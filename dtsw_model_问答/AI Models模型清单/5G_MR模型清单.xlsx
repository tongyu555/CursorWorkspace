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/>
  <mc:AlternateContent xmlns:mc="http://schemas.openxmlformats.org/markup-compatibility/2006">
    <mc:Choice Requires="x15">
      <x15ac:absPath xmlns:x15ac="http://schemas.microsoft.com/office/spreadsheetml/2010/11/ac" url="D:\0000. 25年工作\2. 网络数据处理系统\51.AI Models数据整理\模型清单\AI Models模型清单\"/>
    </mc:Choice>
  </mc:AlternateContent>
  <xr:revisionPtr revIDLastSave="0" documentId="13_ncr:1_{DB73069C-377C-46D5-9FA2-74DD96F7E7C4}" xr6:coauthVersionLast="47" xr6:coauthVersionMax="47" xr10:uidLastSave="{00000000-0000-0000-0000-000000000000}"/>
  <bookViews>
    <workbookView xWindow="-108" yWindow="-108" windowWidth="23256" windowHeight="13896" tabRatio="963" firstSheet="1" activeTab="1" xr2:uid="{00000000-000D-0000-FFFF-FFFF00000000}"/>
  </bookViews>
  <sheets>
    <sheet name="0" sheetId="139" r:id="rId1"/>
    <sheet name="导航" sheetId="3" r:id="rId2"/>
    <sheet name="1" sheetId="60" r:id="rId3"/>
    <sheet name="2" sheetId="63" r:id="rId4"/>
    <sheet name="3" sheetId="64" r:id="rId5"/>
    <sheet name="4" sheetId="144" r:id="rId6"/>
    <sheet name="5" sheetId="67" r:id="rId7"/>
    <sheet name="6" sheetId="72" r:id="rId8"/>
    <sheet name="7" sheetId="75" r:id="rId9"/>
    <sheet name="8" sheetId="69" r:id="rId10"/>
    <sheet name="9" sheetId="71" r:id="rId11"/>
    <sheet name="10" sheetId="91" r:id="rId12"/>
    <sheet name="11" sheetId="142" r:id="rId13"/>
    <sheet name="13" sheetId="101" r:id="rId14"/>
    <sheet name="14" sheetId="126" r:id="rId15"/>
    <sheet name="15" sheetId="102" r:id="rId16"/>
    <sheet name="16" sheetId="128" r:id="rId17"/>
    <sheet name="17" sheetId="103" r:id="rId18"/>
    <sheet name="17.1" sheetId="177" r:id="rId19"/>
    <sheet name="17.2" sheetId="179" r:id="rId20"/>
    <sheet name="18" sheetId="104" r:id="rId21"/>
    <sheet name="19" sheetId="148" r:id="rId22"/>
    <sheet name="20" sheetId="151" r:id="rId23"/>
    <sheet name="21" sheetId="150" r:id="rId24"/>
    <sheet name="22" sheetId="152" r:id="rId25"/>
    <sheet name="23" sheetId="153" r:id="rId26"/>
    <sheet name="24" sheetId="154" r:id="rId27"/>
    <sheet name="25" sheetId="155" r:id="rId28"/>
    <sheet name="26" sheetId="158" r:id="rId29"/>
    <sheet name="27" sheetId="160" r:id="rId30"/>
    <sheet name="28" sheetId="161" r:id="rId31"/>
    <sheet name="29" sheetId="162" r:id="rId32"/>
    <sheet name="30" sheetId="163" r:id="rId33"/>
    <sheet name="31" sheetId="165" r:id="rId34"/>
    <sheet name="32" sheetId="168" r:id="rId35"/>
    <sheet name="33" sheetId="167" r:id="rId36"/>
    <sheet name="34" sheetId="170" r:id="rId37"/>
    <sheet name="35" sheetId="171" r:id="rId38"/>
    <sheet name="36" sheetId="176" r:id="rId39"/>
    <sheet name="37" sheetId="181" r:id="rId40"/>
    <sheet name="38" sheetId="182" r:id="rId41"/>
  </sheets>
  <definedNames>
    <definedName name="_xlnm._FilterDatabase" localSheetId="2" hidden="1">'1'!$A$13:$M$65</definedName>
    <definedName name="_xlnm._FilterDatabase" localSheetId="11" hidden="1">'10'!$A$14:$Q$279</definedName>
    <definedName name="_xlnm._FilterDatabase" localSheetId="12" hidden="1">'11'!$A$14:$L$277</definedName>
    <definedName name="_xlnm._FilterDatabase" localSheetId="13" hidden="1">'13'!$A$14:$N$122</definedName>
    <definedName name="_xlnm._FilterDatabase" localSheetId="14" hidden="1">'14'!$A$14:$N$70</definedName>
    <definedName name="_xlnm._FilterDatabase" localSheetId="15" hidden="1">'15'!$A$14:$N$59</definedName>
    <definedName name="_xlnm._FilterDatabase" localSheetId="16" hidden="1">'16'!$A$14:$N$31</definedName>
    <definedName name="_xlnm._FilterDatabase" localSheetId="17" hidden="1">'17'!$A$14:$L$69</definedName>
    <definedName name="_xlnm._FilterDatabase" localSheetId="18" hidden="1">'17.1'!$A$13:$L$123</definedName>
    <definedName name="_xlnm._FilterDatabase" localSheetId="19" hidden="1">'17.2'!$A$201:$L$216</definedName>
    <definedName name="_xlnm._FilterDatabase" localSheetId="20" hidden="1">'18'!$A$14:$Q$176</definedName>
    <definedName name="_xlnm._FilterDatabase" localSheetId="21" hidden="1">'19'!$A$14:$Q$137</definedName>
    <definedName name="_xlnm._FilterDatabase" localSheetId="3" hidden="1">'2'!$A$14:$N$67</definedName>
    <definedName name="_xlnm._FilterDatabase" localSheetId="22" hidden="1">'20'!$A$14:$Q$69</definedName>
    <definedName name="_xlnm._FilterDatabase" localSheetId="23" hidden="1">'21'!$A$14:$Q$74</definedName>
    <definedName name="_xlnm._FilterDatabase" localSheetId="24" hidden="1">'22'!$A$14:$Q$116</definedName>
    <definedName name="_xlnm._FilterDatabase" localSheetId="25" hidden="1">'23'!$A$14:$Q$141</definedName>
    <definedName name="_xlnm._FilterDatabase" localSheetId="26" hidden="1">'24'!$A$14:$Q$43</definedName>
    <definedName name="_xlnm._FilterDatabase" localSheetId="27" hidden="1">'25'!$A$14:$Q$102</definedName>
    <definedName name="_xlnm._FilterDatabase" localSheetId="28" hidden="1">'26'!$A$14:$L$172</definedName>
    <definedName name="_xlnm._FilterDatabase" localSheetId="29" hidden="1">'27'!$A$14:$L$163</definedName>
    <definedName name="_xlnm._FilterDatabase" localSheetId="30" hidden="1">'28'!$A$14:$L$121</definedName>
    <definedName name="_xlnm._FilterDatabase" localSheetId="31" hidden="1">'29'!$A$14:$L$42</definedName>
    <definedName name="_xlnm._FilterDatabase" localSheetId="4" hidden="1">'3'!$A$14:$N$75</definedName>
    <definedName name="_xlnm._FilterDatabase" localSheetId="32" hidden="1">'30'!$A$14:$L$151</definedName>
    <definedName name="_xlnm._FilterDatabase" localSheetId="33" hidden="1">'31'!$A$14:$L$130</definedName>
    <definedName name="_xlnm._FilterDatabase" localSheetId="34" hidden="1">'32'!$A$14:$L$104</definedName>
    <definedName name="_xlnm._FilterDatabase" localSheetId="35" hidden="1">'33'!$A$13:$N$69</definedName>
    <definedName name="_xlnm._FilterDatabase" localSheetId="36" hidden="1">'34'!$A$14:$L$36</definedName>
    <definedName name="_xlnm._FilterDatabase" localSheetId="37" hidden="1">'35'!$H$138:$I$138</definedName>
    <definedName name="_xlnm._FilterDatabase" localSheetId="38" hidden="1">'36'!$H$134:$I$134</definedName>
    <definedName name="_xlnm._FilterDatabase" localSheetId="39" hidden="1">'37'!$A$14:$Q$69</definedName>
    <definedName name="_xlnm._FilterDatabase" localSheetId="40" hidden="1">'38'!$A$14:$Q$95</definedName>
    <definedName name="_xlnm._FilterDatabase" localSheetId="5" hidden="1">'4'!$A$13:$N$28</definedName>
    <definedName name="_xlnm._FilterDatabase" localSheetId="6" hidden="1">'5'!$A$14:$N$75</definedName>
    <definedName name="_xlnm._FilterDatabase" localSheetId="9" hidden="1">'8'!$A$13:$N$43</definedName>
    <definedName name="_xlnm._FilterDatabase" localSheetId="10" hidden="1">'9'!$A$14:$U$171</definedName>
    <definedName name="_xlnm._FilterDatabase" localSheetId="1" hidden="1">导航!$A$1:$S$40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6" i="75" l="1"/>
  <c r="F45" i="75"/>
  <c r="F46" i="72"/>
  <c r="F45" i="72"/>
  <c r="B1" i="182"/>
  <c r="B40" i="3"/>
  <c r="F106" i="71"/>
  <c r="F107" i="71"/>
  <c r="F108" i="71"/>
  <c r="F109" i="71"/>
  <c r="F110" i="71"/>
  <c r="F100" i="71"/>
  <c r="F101" i="71"/>
  <c r="F102" i="71"/>
  <c r="F103" i="71"/>
  <c r="F104" i="71"/>
  <c r="F105" i="71"/>
  <c r="F99" i="71"/>
  <c r="I55" i="71"/>
  <c r="I56" i="71"/>
  <c r="I57" i="71"/>
  <c r="I58" i="71"/>
  <c r="I59" i="71"/>
  <c r="I60" i="71"/>
  <c r="I61" i="71"/>
  <c r="I62" i="71"/>
  <c r="I54" i="71"/>
  <c r="B1" i="181"/>
  <c r="B1" i="179"/>
  <c r="B1" i="177"/>
  <c r="B19" i="3"/>
  <c r="B18" i="3"/>
  <c r="B1" i="176"/>
  <c r="B1" i="171"/>
  <c r="B1" i="170"/>
  <c r="B1" i="167"/>
  <c r="L24" i="168"/>
  <c r="L23" i="168"/>
  <c r="K23" i="168"/>
  <c r="J23" i="168"/>
  <c r="B1" i="168"/>
  <c r="B1" i="165"/>
  <c r="B1" i="163"/>
  <c r="D38" i="162"/>
  <c r="D37" i="162"/>
  <c r="B1" i="162"/>
  <c r="B1" i="161"/>
  <c r="B1" i="160"/>
  <c r="D36" i="162"/>
  <c r="B1" i="158"/>
  <c r="B1" i="155"/>
  <c r="B1" i="154"/>
  <c r="B1" i="153"/>
  <c r="F19" i="152"/>
  <c r="F18" i="152"/>
  <c r="F17" i="152"/>
  <c r="B1" i="152"/>
  <c r="B1" i="150"/>
  <c r="B1" i="151"/>
  <c r="B1" i="148"/>
  <c r="B1" i="104"/>
  <c r="B1" i="103"/>
  <c r="B1" i="128"/>
  <c r="B1" i="102"/>
  <c r="B1" i="126"/>
  <c r="B1" i="101"/>
  <c r="F137" i="142"/>
  <c r="B1" i="142"/>
  <c r="B1" i="91"/>
  <c r="F44" i="71"/>
  <c r="F42" i="71"/>
  <c r="F35" i="71"/>
  <c r="F34" i="71"/>
  <c r="F33" i="71"/>
  <c r="F30" i="71"/>
  <c r="F29" i="71"/>
  <c r="F28" i="71"/>
  <c r="B1" i="71"/>
  <c r="A14" i="69"/>
  <c r="B1" i="69"/>
  <c r="B1" i="75"/>
  <c r="B1" i="72"/>
  <c r="F22" i="67"/>
  <c r="F21" i="67"/>
  <c r="A16" i="67"/>
  <c r="B1" i="67"/>
  <c r="A15" i="144"/>
  <c r="B1" i="144"/>
  <c r="A16" i="64"/>
  <c r="B1" i="64"/>
  <c r="B1" i="63"/>
  <c r="B1" i="60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M129" i="139"/>
  <c r="H129" i="139"/>
  <c r="C129" i="139"/>
  <c r="M128" i="139"/>
  <c r="H128" i="139"/>
  <c r="C128" i="139"/>
  <c r="M127" i="139"/>
  <c r="H127" i="139"/>
  <c r="C127" i="139"/>
  <c r="M126" i="139"/>
  <c r="H126" i="139"/>
  <c r="C126" i="139"/>
  <c r="M125" i="139"/>
  <c r="H125" i="139"/>
  <c r="C125" i="139"/>
  <c r="M124" i="139"/>
  <c r="H124" i="139"/>
  <c r="C124" i="139"/>
  <c r="M123" i="139"/>
  <c r="H123" i="139"/>
  <c r="C123" i="139"/>
  <c r="M122" i="139"/>
  <c r="H122" i="139"/>
  <c r="C122" i="139"/>
  <c r="M121" i="139"/>
  <c r="H121" i="139"/>
  <c r="C121" i="139"/>
  <c r="M120" i="139"/>
  <c r="H120" i="139"/>
  <c r="C120" i="139"/>
  <c r="M119" i="139"/>
  <c r="H119" i="139"/>
  <c r="C119" i="139"/>
  <c r="M118" i="139"/>
  <c r="H118" i="139"/>
  <c r="C118" i="139"/>
  <c r="M117" i="139"/>
  <c r="H117" i="139"/>
  <c r="C117" i="139"/>
  <c r="M116" i="139"/>
  <c r="H116" i="139"/>
  <c r="C116" i="139"/>
  <c r="M115" i="139"/>
  <c r="H115" i="139"/>
  <c r="C115" i="139"/>
  <c r="M114" i="139"/>
  <c r="H114" i="139"/>
  <c r="C114" i="139"/>
  <c r="M113" i="139"/>
  <c r="H113" i="139"/>
  <c r="C113" i="139"/>
  <c r="M112" i="139"/>
  <c r="H112" i="139"/>
  <c r="C112" i="139"/>
  <c r="M111" i="139"/>
  <c r="H111" i="139"/>
  <c r="C111" i="139"/>
  <c r="M110" i="139"/>
  <c r="H110" i="139"/>
  <c r="C110" i="139"/>
  <c r="M109" i="139"/>
  <c r="H109" i="139"/>
  <c r="C109" i="139"/>
  <c r="M108" i="139"/>
  <c r="H108" i="139"/>
  <c r="C108" i="139"/>
  <c r="M107" i="139"/>
  <c r="H107" i="139"/>
  <c r="C107" i="139"/>
  <c r="M106" i="139"/>
  <c r="H106" i="139"/>
  <c r="C106" i="139"/>
  <c r="M105" i="139"/>
  <c r="H105" i="139"/>
  <c r="C105" i="139"/>
  <c r="M104" i="139"/>
  <c r="H104" i="139"/>
  <c r="C104" i="139"/>
  <c r="M103" i="139"/>
  <c r="H103" i="139"/>
  <c r="C103" i="139"/>
  <c r="M102" i="139"/>
  <c r="H102" i="139"/>
  <c r="C102" i="139"/>
  <c r="M101" i="139"/>
  <c r="H101" i="139"/>
  <c r="C101" i="139"/>
  <c r="M100" i="139"/>
  <c r="H100" i="139"/>
  <c r="C100" i="139"/>
  <c r="M99" i="139"/>
  <c r="H99" i="139"/>
  <c r="C99" i="139"/>
  <c r="M98" i="139"/>
  <c r="H98" i="139"/>
  <c r="C98" i="139"/>
  <c r="M97" i="139"/>
  <c r="H97" i="139"/>
  <c r="C97" i="139"/>
  <c r="M96" i="139"/>
  <c r="H96" i="139"/>
  <c r="C96" i="139"/>
  <c r="M95" i="139"/>
  <c r="H95" i="139"/>
  <c r="C95" i="139"/>
  <c r="M94" i="139"/>
  <c r="H94" i="139"/>
  <c r="C94" i="139"/>
  <c r="M93" i="139"/>
  <c r="H93" i="139"/>
  <c r="C93" i="139"/>
  <c r="M92" i="139"/>
  <c r="H92" i="139"/>
  <c r="C92" i="139"/>
  <c r="M91" i="139"/>
  <c r="H91" i="139"/>
  <c r="C91" i="139"/>
  <c r="M90" i="139"/>
  <c r="H90" i="139"/>
  <c r="C90" i="139"/>
  <c r="M89" i="139"/>
  <c r="H89" i="139"/>
  <c r="C89" i="139"/>
  <c r="M88" i="139"/>
  <c r="H88" i="139"/>
  <c r="C88" i="139"/>
  <c r="M87" i="139"/>
  <c r="H87" i="139"/>
  <c r="C87" i="139"/>
  <c r="M86" i="139"/>
  <c r="H86" i="139"/>
  <c r="C86" i="139"/>
  <c r="M85" i="139"/>
  <c r="H85" i="139"/>
  <c r="C85" i="139"/>
  <c r="M84" i="139"/>
  <c r="H84" i="139"/>
  <c r="C84" i="139"/>
  <c r="M83" i="139"/>
  <c r="H83" i="139"/>
  <c r="C83" i="139"/>
  <c r="M82" i="139"/>
  <c r="H82" i="139"/>
  <c r="C82" i="139"/>
  <c r="M81" i="139"/>
  <c r="H81" i="139"/>
  <c r="C81" i="139"/>
  <c r="M80" i="139"/>
  <c r="H80" i="139"/>
  <c r="C80" i="139"/>
  <c r="M79" i="139"/>
  <c r="H79" i="139"/>
  <c r="C79" i="139"/>
  <c r="M78" i="139"/>
  <c r="H78" i="139"/>
  <c r="C78" i="139"/>
  <c r="M77" i="139"/>
  <c r="H77" i="139"/>
  <c r="C77" i="139"/>
  <c r="M76" i="139"/>
  <c r="H76" i="139"/>
  <c r="C76" i="139"/>
  <c r="M75" i="139"/>
  <c r="H75" i="139"/>
  <c r="C75" i="139"/>
  <c r="M74" i="139"/>
  <c r="H74" i="139"/>
  <c r="C74" i="139"/>
  <c r="M73" i="139"/>
  <c r="H73" i="139"/>
  <c r="C73" i="139"/>
  <c r="M72" i="139"/>
  <c r="H72" i="139"/>
  <c r="C72" i="139"/>
  <c r="M71" i="139"/>
  <c r="H71" i="139"/>
  <c r="C71" i="139"/>
  <c r="M70" i="139"/>
  <c r="H70" i="139"/>
  <c r="C70" i="139"/>
  <c r="M69" i="139"/>
  <c r="H69" i="139"/>
  <c r="C69" i="139"/>
  <c r="M68" i="139"/>
  <c r="H68" i="139"/>
  <c r="C68" i="139"/>
  <c r="M67" i="139"/>
  <c r="H67" i="139"/>
  <c r="C67" i="139"/>
  <c r="M66" i="139"/>
  <c r="H66" i="139"/>
  <c r="C66" i="139"/>
  <c r="M65" i="139"/>
  <c r="H65" i="139"/>
  <c r="C65" i="139"/>
  <c r="M64" i="139"/>
  <c r="H64" i="139"/>
  <c r="C64" i="139"/>
  <c r="M63" i="139"/>
  <c r="H63" i="139"/>
  <c r="C63" i="139"/>
  <c r="M62" i="139"/>
  <c r="H62" i="139"/>
  <c r="C62" i="139"/>
  <c r="M61" i="139"/>
  <c r="H61" i="139"/>
  <c r="C61" i="139"/>
  <c r="M60" i="139"/>
  <c r="H60" i="139"/>
  <c r="C60" i="139"/>
  <c r="M59" i="139"/>
  <c r="H59" i="139"/>
  <c r="C59" i="139"/>
  <c r="M58" i="139"/>
  <c r="H58" i="139"/>
  <c r="C58" i="139"/>
  <c r="M57" i="139"/>
  <c r="H57" i="139"/>
  <c r="C57" i="139"/>
  <c r="M56" i="139"/>
  <c r="H56" i="139"/>
  <c r="C56" i="139"/>
  <c r="M55" i="139"/>
  <c r="H55" i="139"/>
  <c r="C55" i="139"/>
  <c r="M54" i="139"/>
  <c r="H54" i="139"/>
  <c r="C54" i="139"/>
  <c r="M53" i="139"/>
  <c r="H53" i="139"/>
  <c r="C53" i="139"/>
  <c r="M52" i="139"/>
  <c r="H52" i="139"/>
  <c r="C52" i="139"/>
  <c r="M51" i="139"/>
  <c r="H51" i="139"/>
  <c r="C51" i="139"/>
  <c r="M50" i="139"/>
  <c r="H50" i="139"/>
  <c r="C50" i="139"/>
  <c r="M49" i="139"/>
  <c r="H49" i="139"/>
  <c r="C49" i="139"/>
  <c r="M48" i="139"/>
  <c r="H48" i="139"/>
  <c r="C48" i="139"/>
  <c r="M47" i="139"/>
  <c r="H47" i="139"/>
  <c r="C47" i="139"/>
  <c r="M46" i="139"/>
  <c r="H46" i="139"/>
  <c r="C46" i="139"/>
  <c r="M45" i="139"/>
  <c r="H45" i="139"/>
  <c r="C45" i="139"/>
  <c r="M44" i="139"/>
  <c r="H44" i="139"/>
  <c r="C44" i="139"/>
  <c r="M43" i="139"/>
  <c r="H43" i="139"/>
  <c r="C43" i="139"/>
  <c r="M42" i="139"/>
  <c r="H42" i="139"/>
  <c r="C42" i="139"/>
  <c r="M41" i="139"/>
  <c r="H41" i="139"/>
  <c r="C41" i="139"/>
  <c r="M40" i="139"/>
  <c r="H40" i="139"/>
  <c r="C40" i="139"/>
  <c r="M39" i="139"/>
  <c r="H39" i="139"/>
  <c r="C39" i="139"/>
  <c r="M38" i="139"/>
  <c r="H38" i="139"/>
  <c r="C38" i="139"/>
  <c r="M37" i="139"/>
  <c r="H37" i="139"/>
  <c r="C37" i="139"/>
  <c r="M36" i="139"/>
  <c r="H36" i="139"/>
  <c r="C36" i="139"/>
  <c r="M35" i="139"/>
  <c r="H35" i="139"/>
  <c r="C35" i="139"/>
  <c r="M34" i="139"/>
  <c r="H34" i="139"/>
  <c r="C34" i="139"/>
  <c r="M33" i="139"/>
  <c r="H33" i="139"/>
  <c r="C33" i="139"/>
  <c r="M32" i="139"/>
  <c r="H32" i="139"/>
  <c r="C32" i="139"/>
  <c r="M31" i="139"/>
  <c r="H31" i="139"/>
  <c r="C31" i="139"/>
  <c r="M30" i="139"/>
  <c r="H30" i="139"/>
  <c r="C30" i="139"/>
  <c r="M29" i="139"/>
  <c r="H29" i="139"/>
  <c r="C29" i="139"/>
  <c r="M28" i="139"/>
  <c r="H28" i="139"/>
  <c r="C28" i="139"/>
  <c r="M27" i="139"/>
  <c r="H27" i="139"/>
  <c r="C27" i="139"/>
  <c r="M26" i="139"/>
  <c r="H26" i="139"/>
  <c r="C26" i="139"/>
  <c r="M25" i="139"/>
  <c r="H25" i="139"/>
  <c r="C25" i="139"/>
  <c r="M24" i="139"/>
  <c r="H24" i="139"/>
  <c r="C24" i="139"/>
  <c r="M23" i="139"/>
  <c r="H23" i="139"/>
  <c r="C23" i="139"/>
  <c r="M22" i="139"/>
  <c r="H22" i="139"/>
  <c r="C22" i="139"/>
  <c r="M21" i="139"/>
  <c r="H21" i="139"/>
  <c r="C21" i="139"/>
  <c r="M20" i="139"/>
  <c r="H20" i="139"/>
  <c r="C20" i="139"/>
  <c r="M19" i="139"/>
  <c r="H19" i="139"/>
  <c r="C19" i="139"/>
  <c r="M18" i="139"/>
  <c r="H18" i="139"/>
  <c r="C18" i="139"/>
  <c r="M17" i="139"/>
  <c r="H17" i="139"/>
  <c r="C17" i="139"/>
  <c r="M16" i="139"/>
  <c r="H16" i="139"/>
  <c r="C16" i="139"/>
  <c r="M15" i="139"/>
  <c r="H15" i="139"/>
  <c r="C15" i="139"/>
  <c r="M14" i="139"/>
  <c r="H14" i="139"/>
  <c r="C14" i="139"/>
  <c r="M13" i="139"/>
  <c r="H13" i="139"/>
  <c r="C13" i="139"/>
  <c r="M12" i="139"/>
  <c r="H12" i="139"/>
  <c r="C12" i="139"/>
  <c r="M11" i="139"/>
  <c r="H11" i="139"/>
  <c r="C11" i="139"/>
  <c r="M10" i="139"/>
  <c r="H10" i="139"/>
  <c r="C10" i="139"/>
  <c r="M9" i="139"/>
  <c r="H9" i="139"/>
  <c r="C9" i="139"/>
  <c r="M8" i="139"/>
  <c r="H8" i="139"/>
  <c r="C8" i="139"/>
  <c r="M7" i="139"/>
  <c r="H7" i="139"/>
  <c r="C7" i="139"/>
  <c r="M6" i="139"/>
  <c r="H6" i="139"/>
  <c r="C6" i="139"/>
  <c r="M5" i="139"/>
  <c r="H5" i="139"/>
  <c r="C5" i="139"/>
  <c r="M4" i="139"/>
  <c r="H4" i="139"/>
  <c r="C4" i="139"/>
  <c r="M3" i="139"/>
  <c r="H3" i="139"/>
  <c r="C3" i="139"/>
  <c r="M2" i="139"/>
  <c r="H2" i="139"/>
  <c r="C2" i="139"/>
  <c r="D40" i="162"/>
  <c r="D41" i="162"/>
  <c r="D19" i="162"/>
  <c r="D18" i="162"/>
  <c r="D20" i="162"/>
  <c r="D22" i="162"/>
  <c r="D23" i="162"/>
  <c r="D26" i="162"/>
  <c r="D39" i="162"/>
  <c r="D42" i="162"/>
  <c r="D28" i="162"/>
  <c r="D27" i="162"/>
  <c r="D30" i="162"/>
  <c r="D31" i="162"/>
  <c r="D32" i="162"/>
  <c r="D33" i="162"/>
  <c r="D29" i="162"/>
  <c r="D15" i="162"/>
  <c r="D34" i="162"/>
  <c r="D16" i="162"/>
  <c r="D35" i="162"/>
  <c r="D17" i="162"/>
  <c r="D23" i="179"/>
  <c r="D39" i="179"/>
  <c r="D55" i="179"/>
  <c r="D71" i="179"/>
  <c r="D87" i="179"/>
  <c r="D103" i="179"/>
  <c r="D119" i="179"/>
  <c r="D41" i="179"/>
  <c r="D73" i="179"/>
  <c r="D121" i="179"/>
  <c r="D42" i="179"/>
  <c r="D74" i="179"/>
  <c r="D106" i="179"/>
  <c r="D45" i="179"/>
  <c r="D93" i="179"/>
  <c r="D46" i="179"/>
  <c r="D94" i="179"/>
  <c r="D47" i="179"/>
  <c r="D95" i="179"/>
  <c r="D48" i="179"/>
  <c r="D112" i="179"/>
  <c r="D65" i="179"/>
  <c r="D113" i="179"/>
  <c r="D82" i="179"/>
  <c r="D35" i="179"/>
  <c r="D99" i="179"/>
  <c r="D84" i="179"/>
  <c r="D53" i="179"/>
  <c r="D38" i="179"/>
  <c r="D102" i="179"/>
  <c r="D24" i="179"/>
  <c r="D40" i="179"/>
  <c r="D56" i="179"/>
  <c r="D72" i="179"/>
  <c r="D88" i="179"/>
  <c r="D104" i="179"/>
  <c r="D120" i="179"/>
  <c r="D57" i="179"/>
  <c r="D89" i="179"/>
  <c r="D105" i="179"/>
  <c r="D26" i="179"/>
  <c r="D58" i="179"/>
  <c r="D90" i="179"/>
  <c r="D122" i="179"/>
  <c r="D77" i="179"/>
  <c r="D30" i="179"/>
  <c r="D78" i="179"/>
  <c r="D63" i="179"/>
  <c r="D32" i="179"/>
  <c r="D96" i="179"/>
  <c r="D49" i="179"/>
  <c r="D97" i="179"/>
  <c r="D50" i="179"/>
  <c r="D98" i="179"/>
  <c r="D67" i="179"/>
  <c r="D115" i="179"/>
  <c r="D68" i="179"/>
  <c r="D37" i="179"/>
  <c r="D85" i="179"/>
  <c r="D54" i="179"/>
  <c r="D25" i="179"/>
  <c r="D34" i="179"/>
  <c r="D51" i="179"/>
  <c r="D52" i="179"/>
  <c r="D116" i="179"/>
  <c r="D117" i="179"/>
  <c r="D86" i="179"/>
  <c r="D27" i="179"/>
  <c r="D43" i="179"/>
  <c r="D59" i="179"/>
  <c r="D75" i="179"/>
  <c r="D91" i="179"/>
  <c r="D107" i="179"/>
  <c r="D22" i="179"/>
  <c r="D28" i="179"/>
  <c r="D44" i="179"/>
  <c r="D60" i="179"/>
  <c r="D76" i="179"/>
  <c r="D92" i="179"/>
  <c r="D108" i="179"/>
  <c r="D29" i="179"/>
  <c r="D61" i="179"/>
  <c r="D109" i="179"/>
  <c r="D62" i="179"/>
  <c r="D110" i="179"/>
  <c r="D31" i="179"/>
  <c r="D79" i="179"/>
  <c r="D111" i="179"/>
  <c r="D80" i="179"/>
  <c r="D33" i="179"/>
  <c r="D81" i="179"/>
  <c r="D66" i="179"/>
  <c r="D114" i="179"/>
  <c r="D83" i="179"/>
  <c r="D36" i="179"/>
  <c r="D100" i="179"/>
  <c r="D69" i="179"/>
  <c r="D101" i="179"/>
  <c r="D70" i="179"/>
  <c r="D118" i="179"/>
  <c r="D64" i="179"/>
  <c r="F134" i="91"/>
  <c r="F135" i="91"/>
  <c r="F136" i="91"/>
  <c r="F229" i="142"/>
  <c r="F137" i="91"/>
  <c r="F139" i="91"/>
  <c r="F142" i="91"/>
  <c r="F130" i="142"/>
  <c r="F131" i="142"/>
  <c r="F132" i="142"/>
  <c r="F141" i="91"/>
  <c r="F144" i="91"/>
  <c r="F133" i="142"/>
  <c r="F134" i="142"/>
  <c r="F132" i="91"/>
  <c r="F135" i="142"/>
  <c r="F133" i="91"/>
  <c r="F136" i="142"/>
  <c r="F138" i="91"/>
  <c r="F138" i="142"/>
  <c r="F140" i="91"/>
  <c r="F230" i="142"/>
  <c r="F231" i="142"/>
  <c r="F232" i="142"/>
  <c r="F143" i="91"/>
</calcChain>
</file>

<file path=xl/sharedStrings.xml><?xml version="1.0" encoding="utf-8"?>
<sst xmlns="http://schemas.openxmlformats.org/spreadsheetml/2006/main" count="30719" uniqueCount="2611">
  <si>
    <t>RSRP原始值</t>
  </si>
  <si>
    <t>采样点数</t>
  </si>
  <si>
    <t>实际值-含换算公式</t>
  </si>
  <si>
    <t>RSRQ原始值</t>
  </si>
  <si>
    <t>SINR原始值</t>
  </si>
  <si>
    <t>内部编号</t>
  </si>
  <si>
    <t>索引</t>
  </si>
  <si>
    <t>项目名称</t>
  </si>
  <si>
    <t>数据层级</t>
  </si>
  <si>
    <t>主题域</t>
  </si>
  <si>
    <t>表英文名</t>
  </si>
  <si>
    <t>表中文名</t>
  </si>
  <si>
    <t>数据描述</t>
  </si>
  <si>
    <t>汇聚维度</t>
  </si>
  <si>
    <t>数据时间粒度</t>
  </si>
  <si>
    <t>最小时间分区</t>
  </si>
  <si>
    <t>计算位置</t>
  </si>
  <si>
    <t>是否同步</t>
  </si>
  <si>
    <t>生命周期（存储周期单位：天）</t>
  </si>
  <si>
    <t>前向表</t>
  </si>
  <si>
    <t>支撑应用/系统</t>
  </si>
  <si>
    <t>新建/升级</t>
  </si>
  <si>
    <t>备注</t>
  </si>
  <si>
    <t>同步数据库</t>
  </si>
  <si>
    <t>网络数据处理系统</t>
  </si>
  <si>
    <t>接口层</t>
  </si>
  <si>
    <t>/</t>
  </si>
  <si>
    <t>ods_nr_mro_northctcc_temp_new</t>
  </si>
  <si>
    <t>5G电联MRO解析详单表</t>
  </si>
  <si>
    <t>详单</t>
  </si>
  <si>
    <t>15分钟</t>
  </si>
  <si>
    <t>前置</t>
  </si>
  <si>
    <t>原始数据解析</t>
  </si>
  <si>
    <t>无变更</t>
  </si>
  <si>
    <t>整合层</t>
  </si>
  <si>
    <t>ods_nr_mro_northctcc_location</t>
  </si>
  <si>
    <t>5G电联MRO位置定位详单表</t>
  </si>
  <si>
    <t>5G电联MRO用户回填详单表</t>
  </si>
  <si>
    <t>是</t>
  </si>
  <si>
    <t>升级</t>
  </si>
  <si>
    <t>5G电联MRO详单字段裁剪表</t>
  </si>
  <si>
    <t>新建</t>
  </si>
  <si>
    <t>fact_nr_mro_neighbor_nr_q</t>
  </si>
  <si>
    <t>5G电联MRO邻区事实表(5G邻区)</t>
  </si>
  <si>
    <t>中间层</t>
  </si>
  <si>
    <t>aggr_nr_sncell_problem_h</t>
  </si>
  <si>
    <t>MR数据主邻小区对覆盖问题分析汇聚小时表(重叠覆盖与MOD30)</t>
  </si>
  <si>
    <t>邻区对</t>
  </si>
  <si>
    <t>小时</t>
  </si>
  <si>
    <t>fact_nr_mro_neighbor_nr_q、fact_nr_cm_projdata</t>
  </si>
  <si>
    <t>aggr_nr_sncell_problem_d</t>
  </si>
  <si>
    <t>MR数据主邻小区对覆盖问题分析汇聚天表(重叠覆盖与MOD30)</t>
  </si>
  <si>
    <t>天</t>
  </si>
  <si>
    <t>核心</t>
  </si>
  <si>
    <t>建维优</t>
  </si>
  <si>
    <t>覆盖分析</t>
  </si>
  <si>
    <t>aggr_nr_coverage_problem_usrcelgrd_q</t>
  </si>
  <si>
    <t>5G MR主小区覆盖问题汇聚指标15分钟表</t>
  </si>
  <si>
    <t>用户小区栅格</t>
  </si>
  <si>
    <t>aggr_nr_coverage_base_q</t>
  </si>
  <si>
    <t>5G MR用户小区栅格覆盖指标15分钟表(无问题打标)</t>
  </si>
  <si>
    <t>5G MR用户小区栅格覆盖指标15分钟表</t>
  </si>
  <si>
    <t>aggr_nr_coverage_base_q、aggr_nr_coverage_problem_usrcelgrd_q</t>
  </si>
  <si>
    <t>5G MR用户小区栅格覆盖指标小时表</t>
  </si>
  <si>
    <t>aggr_nr_coverage_reduce_usrcelgrd_q</t>
  </si>
  <si>
    <t>5G MR用户小区栅格覆盖指标裁剪15分钟表</t>
  </si>
  <si>
    <t>aggr_nr_coverage_reduce_usrcelgrd_h</t>
  </si>
  <si>
    <t>5G MR用户小区栅格覆盖指标裁剪小时表</t>
  </si>
  <si>
    <t>用户感知</t>
  </si>
  <si>
    <t>aggr_nr_coverage_resident_usrgrd_d</t>
  </si>
  <si>
    <t>5G MR用户常驻栅格覆盖指标天表</t>
  </si>
  <si>
    <t>aggr_nr_usrareagrd_d</t>
  </si>
  <si>
    <t>5G用户区域栅格聚区天表</t>
  </si>
  <si>
    <t>用户区域栅格</t>
  </si>
  <si>
    <t>5G MR用户聚区区域用户小区天表</t>
  </si>
  <si>
    <t>aggr_nr_usrareagrd_d、aggr_nr_coverage_reduce_usrcelgrd_q</t>
  </si>
  <si>
    <t>5G MR小区栅格小时表</t>
  </si>
  <si>
    <t>小区栅格</t>
  </si>
  <si>
    <t>aggr_nr_coverage_wide_usrcel_h</t>
  </si>
  <si>
    <t>5G MR用户小区小时宽表</t>
  </si>
  <si>
    <t>用户小区</t>
  </si>
  <si>
    <t>aggr_nr_coverage_usrgrd_h</t>
  </si>
  <si>
    <t>5G MR用户栅格小时表</t>
  </si>
  <si>
    <t>用户栅格</t>
  </si>
  <si>
    <t>5G MR用户小区小时共享表</t>
  </si>
  <si>
    <t>5G定制网</t>
  </si>
  <si>
    <t>aggr_nr_coverage_usr_h</t>
  </si>
  <si>
    <t>5G MR用户小时表</t>
  </si>
  <si>
    <t>用户</t>
  </si>
  <si>
    <t>5G MR小区小时表</t>
  </si>
  <si>
    <t>小区</t>
  </si>
  <si>
    <t>5G MR小区小时共享表</t>
  </si>
  <si>
    <t>移动业务感知保障系统</t>
  </si>
  <si>
    <t>5G MR栅格小时表</t>
  </si>
  <si>
    <t>栅格</t>
  </si>
  <si>
    <t>表名沿用，但字段重新设计了，需要删表重建</t>
  </si>
  <si>
    <t>5G MR小区栅格天表</t>
  </si>
  <si>
    <t>5G MR小区天表</t>
  </si>
  <si>
    <t>5GR、建维优</t>
  </si>
  <si>
    <t>5GR</t>
  </si>
  <si>
    <t>5G MR小区共享天表</t>
  </si>
  <si>
    <t>5G MR栅格天表</t>
  </si>
  <si>
    <t>共建共享</t>
  </si>
  <si>
    <t>5G MR用户小区天表</t>
  </si>
  <si>
    <t>5G MR用户天表</t>
  </si>
  <si>
    <t>5G MR用户栅格天表</t>
  </si>
  <si>
    <t>目标表基本信息描述</t>
  </si>
  <si>
    <t>目标表英文名</t>
  </si>
  <si>
    <t>目标表中文名</t>
  </si>
  <si>
    <t>数据频度</t>
  </si>
  <si>
    <t>模型主键</t>
  </si>
  <si>
    <t>推送数据库</t>
  </si>
  <si>
    <t>quarter</t>
  </si>
  <si>
    <t>源表基本信息描述</t>
  </si>
  <si>
    <t>来源系统</t>
  </si>
  <si>
    <t>源表英文名</t>
  </si>
  <si>
    <t>源表中文名</t>
  </si>
  <si>
    <t>别名</t>
  </si>
  <si>
    <t>任务描述</t>
  </si>
  <si>
    <t>是否主表</t>
  </si>
  <si>
    <t>详细字段信息</t>
  </si>
  <si>
    <t>PDM字段英文名</t>
  </si>
  <si>
    <t>PDM字段类型</t>
  </si>
  <si>
    <t>PDM字段中文名（说明）</t>
  </si>
  <si>
    <t>源表名</t>
  </si>
  <si>
    <t>源字段英文名</t>
  </si>
  <si>
    <t>算法加工逻辑</t>
  </si>
  <si>
    <t>关联与过滤条件</t>
  </si>
  <si>
    <t>字段属性</t>
  </si>
  <si>
    <t>单位</t>
  </si>
  <si>
    <t>取值范围</t>
  </si>
  <si>
    <t>datetime</t>
  </si>
  <si>
    <t>string</t>
  </si>
  <si>
    <t>样本数据测量对象 UE 的样本测量时间</t>
  </si>
  <si>
    <t>无</t>
  </si>
  <si>
    <t>gnbid</t>
  </si>
  <si>
    <t>bigint</t>
  </si>
  <si>
    <t>5G基站标识</t>
  </si>
  <si>
    <t>cellid</t>
  </si>
  <si>
    <t>int</t>
  </si>
  <si>
    <t>5G小区标识</t>
  </si>
  <si>
    <t>plmn</t>
  </si>
  <si>
    <t>array&lt;int&gt;</t>
  </si>
  <si>
    <t>UE接入NR服务小区的PLMN(公共陆地移动网)</t>
  </si>
  <si>
    <t>nrscssrsrp</t>
  </si>
  <si>
    <t>NR 服务小区的 SSB 参考信 号接收功率</t>
  </si>
  <si>
    <t>nrscssrsrq</t>
  </si>
  <si>
    <t>NR 服务小区的 SSB 参考信号接收质量</t>
  </si>
  <si>
    <t>nrscsssinr</t>
  </si>
  <si>
    <t>NR 服务小区的 SSB 参考信号信噪比</t>
  </si>
  <si>
    <t>nrscssbeamid</t>
  </si>
  <si>
    <t>NR 服务小区的 SSB 波束号</t>
  </si>
  <si>
    <t>nrscarfcn</t>
  </si>
  <si>
    <t>NR 服务小区载波号</t>
  </si>
  <si>
    <t>nrscpci</t>
  </si>
  <si>
    <t>NR 服务小区的物理小区识别码</t>
  </si>
  <si>
    <t>nrsctadv</t>
  </si>
  <si>
    <t>NR 服务小区的时间提前量</t>
  </si>
  <si>
    <t>nrncellcount</t>
  </si>
  <si>
    <t>tinyint</t>
  </si>
  <si>
    <t>NR 服务小区的NR邻小区个数</t>
  </si>
  <si>
    <t>nrncssrsrp</t>
  </si>
  <si>
    <t>NR 已定义邻区关系和未定义邻区关系小区的 SSB 参考信号接收功率</t>
  </si>
  <si>
    <t>nrncssrsrq</t>
  </si>
  <si>
    <t>NR 已定义邻区关系和未定义邻区关系小区的 SSB 参考信号接收质量</t>
  </si>
  <si>
    <t>nrncsssinr</t>
  </si>
  <si>
    <t>NR 已定义邻区关系和未定义邻区关系小区的 SSB 参考信号信噪比</t>
  </si>
  <si>
    <t>nrncssbeamid</t>
  </si>
  <si>
    <t>NR 已定义邻区关系和未定义邻区关系的 SSB 波束号</t>
  </si>
  <si>
    <t>nrncarfcn</t>
  </si>
  <si>
    <t>NR 已定义邻区关系和未定义邻区关系的邻区载波号</t>
  </si>
  <si>
    <t>nrncpci</t>
  </si>
  <si>
    <t>NR 已定义邻区关系和未定义邻区关系的物理小区识别码</t>
  </si>
  <si>
    <t>ltencellcount</t>
  </si>
  <si>
    <t>NR 服务小区的LTE邻小区个数</t>
  </si>
  <si>
    <t>ltencrsrp</t>
  </si>
  <si>
    <t>已定义邻区关系和未定义邻区关系的 LTE 小区参考信号接收功率</t>
  </si>
  <si>
    <t>ltencrsrq</t>
  </si>
  <si>
    <t>已定义邻区关系和未定义邻区关系的 LTE 小区参考信号接收质量</t>
  </si>
  <si>
    <t>ltencearfcn</t>
  </si>
  <si>
    <t>已定义邻区关系和未定义邻区关系的 LTE 邻区载波号</t>
  </si>
  <si>
    <t>ltencpci</t>
  </si>
  <si>
    <t>已定义邻区关系和未定义邻区关系的 LTE 物理小区识别码</t>
  </si>
  <si>
    <t>amfuengapid</t>
  </si>
  <si>
    <t>AMF UE NGAP 应用程序标识</t>
  </si>
  <si>
    <t>amfregionid</t>
  </si>
  <si>
    <t>AMF 区域标识</t>
  </si>
  <si>
    <t>amfsetid</t>
  </si>
  <si>
    <t>AMF 组标识</t>
  </si>
  <si>
    <t>amfpointerid</t>
  </si>
  <si>
    <t>AMF 标识</t>
  </si>
  <si>
    <t>datatype</t>
  </si>
  <si>
    <t>MR类型</t>
  </si>
  <si>
    <t>nrngnbid</t>
  </si>
  <si>
    <t>array&lt;bigint&gt;</t>
  </si>
  <si>
    <t>NR 已定义邻区关系和未定义邻区关系小区的 5G基站标识</t>
  </si>
  <si>
    <t>nrncellid</t>
  </si>
  <si>
    <t>NR 已定义邻区关系和未定义邻区关系小区的 5G小区标识</t>
  </si>
  <si>
    <t>ltenenbid</t>
  </si>
  <si>
    <t>已定义邻区关系和未定义邻区关系的 LTE 基站标识</t>
  </si>
  <si>
    <t>ltencellid</t>
  </si>
  <si>
    <t>已定义邻区关系和未定义邻区关系的 LTE 小区标识</t>
  </si>
  <si>
    <t>locationtype</t>
  </si>
  <si>
    <t>smallint</t>
  </si>
  <si>
    <t>定位类型</t>
  </si>
  <si>
    <t>locationvendor</t>
  </si>
  <si>
    <t>定位厂家</t>
  </si>
  <si>
    <t>mrlon</t>
  </si>
  <si>
    <t>MR经度</t>
  </si>
  <si>
    <t>mrlat</t>
  </si>
  <si>
    <t>MR纬度</t>
  </si>
  <si>
    <t>regionid</t>
  </si>
  <si>
    <t>区域ID</t>
  </si>
  <si>
    <t>x_offset_original</t>
  </si>
  <si>
    <t>原始X偏移</t>
  </si>
  <si>
    <t>y_offset_original</t>
  </si>
  <si>
    <t>原始Y偏移</t>
  </si>
  <si>
    <t>positionmark</t>
  </si>
  <si>
    <t>室内外位置区分结果，0：室内，1：室外，2:未知</t>
  </si>
  <si>
    <t>buildingid</t>
  </si>
  <si>
    <t>建筑物名称ID</t>
  </si>
  <si>
    <t>buildingfloor</t>
  </si>
  <si>
    <t>建筑物楼层ID</t>
  </si>
  <si>
    <t>altitude</t>
  </si>
  <si>
    <t>高度</t>
  </si>
  <si>
    <t>filename</t>
  </si>
  <si>
    <t>文件名</t>
  </si>
  <si>
    <t>data_source</t>
  </si>
  <si>
    <t>数据源类型
0：电信独享_电信用户
1：电信共享_电信用户
2：电信共享_联通用户
3：联通共享_电信用户
4：联通共享_联通用户</t>
  </si>
  <si>
    <t>haoa</t>
  </si>
  <si>
    <t>水平AOA</t>
  </si>
  <si>
    <t>vaoa</t>
  </si>
  <si>
    <t>垂直AOA</t>
  </si>
  <si>
    <t>p_provincecode</t>
  </si>
  <si>
    <t>省分区</t>
  </si>
  <si>
    <t>p_date</t>
  </si>
  <si>
    <t>天分区</t>
  </si>
  <si>
    <t>p_hour</t>
  </si>
  <si>
    <t>小时分区</t>
  </si>
  <si>
    <t>p_region</t>
  </si>
  <si>
    <t>厂家分区：100001:中兴|100002:华为|100003:诺基亚|100004:爱立信|100005:大唐</t>
  </si>
  <si>
    <t>p_quarter</t>
  </si>
  <si>
    <t>15分钟分区</t>
  </si>
  <si>
    <t>A</t>
  </si>
  <si>
    <t>array&lt;smallint&gt;</t>
  </si>
  <si>
    <t>double</t>
  </si>
  <si>
    <t>ranuengapid</t>
  </si>
  <si>
    <t>gNB UE应用协议标识</t>
  </si>
  <si>
    <t>B</t>
  </si>
  <si>
    <t>concat_ws(' ',split(datetime,'T'))</t>
  </si>
  <si>
    <t>直取</t>
  </si>
  <si>
    <t>imsi</t>
  </si>
  <si>
    <t>用户imsi</t>
  </si>
  <si>
    <t>关联回填supi</t>
  </si>
  <si>
    <t>imei</t>
  </si>
  <si>
    <t>用户imei</t>
  </si>
  <si>
    <t>关联回填pei</t>
  </si>
  <si>
    <t>msisdn</t>
  </si>
  <si>
    <t>用户号码</t>
  </si>
  <si>
    <t>s_nssai_sst</t>
  </si>
  <si>
    <t>网络切片选择辅助信息（切片/服务类型）</t>
  </si>
  <si>
    <t>关联回填s_nssai_sst</t>
  </si>
  <si>
    <t>s_nssai_sd</t>
  </si>
  <si>
    <t>网络切片选择辅助信息（切片差分器）</t>
  </si>
  <si>
    <t>关联回填s_nssai_sd</t>
  </si>
  <si>
    <t>测量时间戳</t>
  </si>
  <si>
    <t>mrkey</t>
  </si>
  <si>
    <t>MR采样点唯一标识</t>
  </si>
  <si>
    <t>cast(concat(substring(datetime,15,2), substring(datetime,18,2), substring(datetime,21,3), cast(rand()*100000000000 as bigint)) as bigint)</t>
  </si>
  <si>
    <t>测量时间</t>
  </si>
  <si>
    <t>手机号吗</t>
  </si>
  <si>
    <t>基站ID</t>
  </si>
  <si>
    <t>小区ID</t>
  </si>
  <si>
    <t>provincecode</t>
  </si>
  <si>
    <t>省编码</t>
  </si>
  <si>
    <t>fact_nr_cm_projdata</t>
  </si>
  <si>
    <t>5G电联工参</t>
  </si>
  <si>
    <t>以cellkey进行去重后再参与计算</t>
  </si>
  <si>
    <t>MR的唯一主键</t>
  </si>
  <si>
    <t>业务过程用户IMSI号码</t>
  </si>
  <si>
    <t>电话号码</t>
  </si>
  <si>
    <t>用户终端imei</t>
  </si>
  <si>
    <t>主小区的基站ID</t>
  </si>
  <si>
    <t>主小区ID</t>
  </si>
  <si>
    <t>cellkey</t>
  </si>
  <si>
    <t>小区cellkey</t>
  </si>
  <si>
    <t>concat(gnbid,"_",cellid)</t>
  </si>
  <si>
    <t>arfcn</t>
  </si>
  <si>
    <t>下行频点号</t>
  </si>
  <si>
    <t>pci</t>
  </si>
  <si>
    <t>物理层小区ID</t>
  </si>
  <si>
    <t>scssbeamid</t>
  </si>
  <si>
    <t>服务小区的 SSB 波束号</t>
  </si>
  <si>
    <t>主小区RSRP</t>
  </si>
  <si>
    <t>主小区RSRQ</t>
  </si>
  <si>
    <t>主小区SINR</t>
  </si>
  <si>
    <t>narfcn</t>
  </si>
  <si>
    <t>邻区下行频点号</t>
  </si>
  <si>
    <t>npci</t>
  </si>
  <si>
    <t>邻区物理层小区ID</t>
  </si>
  <si>
    <t>ncssbeamid</t>
  </si>
  <si>
    <t>邻小区的 SSB 波束号</t>
  </si>
  <si>
    <t>nrsrp</t>
  </si>
  <si>
    <t>邻小区RSRP</t>
  </si>
  <si>
    <t>nrsrq</t>
  </si>
  <si>
    <t>邻小区RSRQ</t>
  </si>
  <si>
    <t>nrncssrsrq/2-43</t>
  </si>
  <si>
    <t>nsinr</t>
  </si>
  <si>
    <t>邻小区SINR</t>
  </si>
  <si>
    <t>ncellkey</t>
  </si>
  <si>
    <t>邻区cellkey</t>
  </si>
  <si>
    <t>数组拆分后：concat(nrngnbid,"_",nrncellid)</t>
  </si>
  <si>
    <t>scelllon</t>
  </si>
  <si>
    <t>主小区经度</t>
  </si>
  <si>
    <t>使用cellkey关联工参回填</t>
  </si>
  <si>
    <t>scelllat</t>
  </si>
  <si>
    <t>主小区纬度</t>
  </si>
  <si>
    <t>ncelllon</t>
  </si>
  <si>
    <t>邻区经度</t>
  </si>
  <si>
    <t>使用ncellkey关联工参回填</t>
  </si>
  <si>
    <t>ncelllat</t>
  </si>
  <si>
    <t>邻区纬度</t>
  </si>
  <si>
    <t>终端上报MR时的经度</t>
  </si>
  <si>
    <t>终端上报MR时的纬度</t>
  </si>
  <si>
    <t>is_weakcover</t>
  </si>
  <si>
    <t>是否弱覆盖采样点</t>
  </si>
  <si>
    <t>snearfcnflag</t>
  </si>
  <si>
    <t>主邻频点是否相同</t>
  </si>
  <si>
    <t>同频判断：case when nrscarfcn=nrncarfcn then 1 else 0 end</t>
  </si>
  <si>
    <t>overlapsrsrpflag</t>
  </si>
  <si>
    <r>
      <rPr>
        <sz val="9"/>
        <color theme="1"/>
        <rFont val="微软雅黑"/>
        <family val="2"/>
        <charset val="134"/>
      </rPr>
      <t>重叠覆盖-主RSRP大于等于等于门限：</t>
    </r>
    <r>
      <rPr>
        <sz val="9"/>
        <color rgb="FFFF0000"/>
        <rFont val="微软雅黑"/>
        <family val="2"/>
        <charset val="134"/>
      </rPr>
      <t>-105dBm</t>
    </r>
  </si>
  <si>
    <t>overlapsnrsrpflag</t>
  </si>
  <si>
    <t>overlapncellnumflag</t>
  </si>
  <si>
    <r>
      <rPr>
        <sz val="9"/>
        <color theme="1"/>
        <rFont val="微软雅黑"/>
        <family val="2"/>
        <charset val="134"/>
      </rPr>
      <t>重叠覆盖-</t>
    </r>
    <r>
      <rPr>
        <sz val="9"/>
        <color rgb="FFFF0000"/>
        <rFont val="微软雅黑"/>
        <family val="2"/>
        <charset val="134"/>
      </rPr>
      <t>同频</t>
    </r>
    <r>
      <rPr>
        <sz val="9"/>
        <color theme="1"/>
        <rFont val="微软雅黑"/>
        <family val="2"/>
        <charset val="134"/>
      </rPr>
      <t>主邻RSRP之差小于门限</t>
    </r>
    <r>
      <rPr>
        <sz val="9"/>
        <color rgb="FFFF0000"/>
        <rFont val="微软雅黑"/>
        <family val="2"/>
        <charset val="134"/>
      </rPr>
      <t>(小于6dBm)</t>
    </r>
    <r>
      <rPr>
        <sz val="9"/>
        <color theme="1"/>
        <rFont val="微软雅黑"/>
        <family val="2"/>
        <charset val="134"/>
      </rPr>
      <t>的邻区个数大于等于门限</t>
    </r>
    <r>
      <rPr>
        <sz val="9"/>
        <color rgb="FFFF0000"/>
        <rFont val="微软雅黑"/>
        <family val="2"/>
        <charset val="134"/>
      </rPr>
      <t>(邻区个数&gt;=3)</t>
    </r>
  </si>
  <si>
    <t>是否重叠覆盖采样点</t>
  </si>
  <si>
    <t>1、先计算出snearfcnflag、overlapsrsrpflag、overlapsnrsrpflag
2、按照mrkey及cellkey分组，case when sum(case when snearfcnflag=1 and overlapsrsrpflag=1 and overlapsnrsrpflag=1 then 1 else 0 end)&gt;=3 then 1 else 0 end</t>
  </si>
  <si>
    <r>
      <rPr>
        <sz val="9"/>
        <color theme="1"/>
        <rFont val="微软雅黑"/>
        <family val="2"/>
        <charset val="134"/>
      </rPr>
      <t>Mod30判定:主小区RSRP与邻小区RSRP之差小于门限值：</t>
    </r>
    <r>
      <rPr>
        <sz val="9"/>
        <color rgb="FFFF0000"/>
        <rFont val="微软雅黑"/>
        <family val="2"/>
        <charset val="134"/>
      </rPr>
      <t>3dBm</t>
    </r>
  </si>
  <si>
    <t>与服务小区同频的邻区的PCI的模30值与服务小区的模3值相等</t>
  </si>
  <si>
    <t>主小区MOD3=邻小区MOD3：case when nrscpci%30 = nrncpci%30 then 1  else 0 end</t>
  </si>
  <si>
    <t>是否MOD30干扰采样点</t>
  </si>
  <si>
    <t>scellmrdis</t>
  </si>
  <si>
    <t>mr到主小区间距离</t>
  </si>
  <si>
    <t>B|B1</t>
  </si>
  <si>
    <t>通过MR采样点经纬度与主小区(cellkey)的经纬度计算得到</t>
  </si>
  <si>
    <t>ncellmrdis</t>
  </si>
  <si>
    <t>mr到邻区间距离</t>
  </si>
  <si>
    <t>通过MR采样点经纬度与邻小区(ncellkey)的经纬度计算得到</t>
  </si>
  <si>
    <t>scellncelldis</t>
  </si>
  <si>
    <t>主服务小区和邻区间距离</t>
  </si>
  <si>
    <t>通过主小区(cellkey)与邻小区(ncellkey)的经纬度计算得到</t>
  </si>
  <si>
    <t>intersitedistance</t>
  </si>
  <si>
    <t>主小区平均站间距</t>
  </si>
  <si>
    <t>根据工参计算主小区周围最近6个站点平均距离</t>
  </si>
  <si>
    <t>overshootmrtoscelldistss</t>
  </si>
  <si>
    <t>过覆盖-主小区与MR点距离相对站间距的倍数</t>
  </si>
  <si>
    <t>1、先计算出scellmrdis(主小区与MR距离)、intersitedistance(主小区平均站间距)
2、scellmrdis/intersitedistance</t>
  </si>
  <si>
    <t>overshootsrsrpflag</t>
  </si>
  <si>
    <r>
      <rPr>
        <sz val="9"/>
        <color theme="1"/>
        <rFont val="微软雅黑"/>
        <family val="2"/>
        <charset val="134"/>
      </rPr>
      <t>过覆盖-主RSRP大于门限：</t>
    </r>
    <r>
      <rPr>
        <sz val="9"/>
        <color rgb="FFFF0000"/>
        <rFont val="微软雅黑"/>
        <family val="2"/>
        <charset val="134"/>
      </rPr>
      <t>-105dBm</t>
    </r>
  </si>
  <si>
    <t>overshootsnrsrpflag</t>
  </si>
  <si>
    <r>
      <rPr>
        <sz val="9"/>
        <color theme="1"/>
        <rFont val="微软雅黑"/>
        <family val="2"/>
        <charset val="134"/>
      </rPr>
      <t>过覆盖-主邻RSRP之差小于门限：</t>
    </r>
    <r>
      <rPr>
        <sz val="9"/>
        <color rgb="FFFF0000"/>
        <rFont val="微软雅黑"/>
        <family val="2"/>
        <charset val="134"/>
      </rPr>
      <t>6dBm</t>
    </r>
  </si>
  <si>
    <t>overshootmrtoscelldistssflag</t>
  </si>
  <si>
    <r>
      <rPr>
        <sz val="9"/>
        <color theme="1"/>
        <rFont val="微软雅黑"/>
        <family val="2"/>
        <charset val="134"/>
      </rPr>
      <t>过覆盖-主小区与MR点距离相对站间距的倍数大于等于门限：</t>
    </r>
    <r>
      <rPr>
        <sz val="9"/>
        <color rgb="FFFF0000"/>
        <rFont val="微软雅黑"/>
        <family val="2"/>
        <charset val="134"/>
      </rPr>
      <t>1.5倍</t>
    </r>
  </si>
  <si>
    <t>1、计算出scellmrdis(主小区与MR距离)、intersitedistance(主小区平均站间距)
2、case when scellmrdis&gt;=1.5 * intersitedistance then 1 else 0 end</t>
  </si>
  <si>
    <t>overshootmrtoscelldistnsflag</t>
  </si>
  <si>
    <r>
      <rPr>
        <sz val="9"/>
        <color theme="1"/>
        <rFont val="微软雅黑"/>
        <family val="2"/>
        <charset val="134"/>
      </rPr>
      <t>过覆盖-主小区与MR点距离相对主小区与邻区距离大于门限值：</t>
    </r>
    <r>
      <rPr>
        <sz val="9"/>
        <color rgb="FFFF0000"/>
        <rFont val="微软雅黑"/>
        <family val="2"/>
        <charset val="134"/>
      </rPr>
      <t>1.2倍</t>
    </r>
  </si>
  <si>
    <t>1、计算出scellmrdis(主小区与MR距离)、scellncelldis(主小区与邻小区距离)
2、case when scellmrdis&gt;=1.2  * scellncelldis then 1 else 0 end</t>
  </si>
  <si>
    <t>interstationangle</t>
  </si>
  <si>
    <t>主小区到MR采样点连线与主小区到邻小区连线之间的夹角</t>
  </si>
  <si>
    <t>is_overshoot</t>
  </si>
  <si>
    <t>是否过覆盖采样点</t>
  </si>
  <si>
    <t>栅格编号</t>
  </si>
  <si>
    <t>x_offset_20</t>
  </si>
  <si>
    <t>X轴20米偏移</t>
  </si>
  <si>
    <t>y_offset_20</t>
  </si>
  <si>
    <t>Y轴20米偏移</t>
  </si>
  <si>
    <t>X轴1米偏移</t>
  </si>
  <si>
    <t>Y轴1米偏移</t>
  </si>
  <si>
    <t>vendor</t>
  </si>
  <si>
    <t>厂家：100001:中兴|100002:华为|100003:诺基亚|100004:爱立信|100005:大唐</t>
  </si>
  <si>
    <t>hour</t>
  </si>
  <si>
    <t>1、A left join C，回填主邻小区信息
2、根据重叠覆盖或者MOD3干扰邻区对信息通过主邻小区、栅格进行重叠覆盖MR采样点统计、平均RSRP计算</t>
  </si>
  <si>
    <t>5G电联小区工参</t>
  </si>
  <si>
    <t>C</t>
  </si>
  <si>
    <t>day</t>
  </si>
  <si>
    <t>维度</t>
  </si>
  <si>
    <t>citycode</t>
  </si>
  <si>
    <t>市id</t>
  </si>
  <si>
    <t>主小区关联工参回填</t>
  </si>
  <si>
    <t>districtcode</t>
  </si>
  <si>
    <t>区id</t>
  </si>
  <si>
    <t>province_name</t>
  </si>
  <si>
    <t>省名称</t>
  </si>
  <si>
    <t>province</t>
  </si>
  <si>
    <t>city_name</t>
  </si>
  <si>
    <t>市名称</t>
  </si>
  <si>
    <t>city</t>
  </si>
  <si>
    <t>district_name</t>
  </si>
  <si>
    <t>区名称</t>
  </si>
  <si>
    <t>district</t>
  </si>
  <si>
    <t>小区标识</t>
  </si>
  <si>
    <t>freq</t>
  </si>
  <si>
    <t>小区频段</t>
  </si>
  <si>
    <t>case when arfcn&gt;100000 and substr(arfcn,1,1)=4 then '2.1G'
        when arfcn&gt;100000 and substr(arfcn,1,1)=6 then '3.5G'
        when arfcn&gt;100000 and substr(arfcn,1,2)=17 then '800M'
        when arfcn&gt;100000 and (substr(arfcn,1,2)=18 or substr(arfcn,1,2)=19 then '900M' else 'other' end</t>
  </si>
  <si>
    <t>cell_name</t>
  </si>
  <si>
    <t>小区名称</t>
  </si>
  <si>
    <t>cellname</t>
  </si>
  <si>
    <t>cell_lon</t>
  </si>
  <si>
    <t>小区经度</t>
  </si>
  <si>
    <t>cell_longitude</t>
  </si>
  <si>
    <t>cell_lat</t>
  </si>
  <si>
    <t>小区纬度</t>
  </si>
  <si>
    <t>cell_latitude</t>
  </si>
  <si>
    <t>azimuth</t>
  </si>
  <si>
    <t>小区方位角</t>
  </si>
  <si>
    <t>cell_azimuth</t>
  </si>
  <si>
    <t>nfreq</t>
  </si>
  <si>
    <t>邻小区频段</t>
  </si>
  <si>
    <t>case when narfcn&gt;100000 and substr(narfcn,1,1)=4 then '2.1G'
        when narfcn&gt;100000 and substr(narfcn,1,1)=6 then '3.5G'
        when narfcn&gt;100000 and substr(narfcn,1,2)=17 then '800M'
        when narfcn&gt;100000 and (substr(narfcn,1,2)=18 or substr(narfcn,1,2)=19 then '900M' else 'other' end</t>
  </si>
  <si>
    <t>ncell_name</t>
  </si>
  <si>
    <t>邻小区名称</t>
  </si>
  <si>
    <t>邻小区关联工参回填</t>
  </si>
  <si>
    <t>ncell_lon</t>
  </si>
  <si>
    <t>邻小区经度</t>
  </si>
  <si>
    <t>ncell_lat</t>
  </si>
  <si>
    <t>邻小区纬度</t>
  </si>
  <si>
    <t>nazimuth</t>
  </si>
  <si>
    <t>邻小区方位角</t>
  </si>
  <si>
    <t>prbplem_type</t>
  </si>
  <si>
    <t>problem_scell_avgrsrp</t>
  </si>
  <si>
    <t>覆盖质差主小区平均RSRP</t>
  </si>
  <si>
    <t>avg(srsrp)</t>
  </si>
  <si>
    <t>指标</t>
  </si>
  <si>
    <t>[-156,-29]</t>
  </si>
  <si>
    <t>problem_ncell_avgrsrp</t>
  </si>
  <si>
    <t>覆盖质差邻小区平均RSRP</t>
  </si>
  <si>
    <t>avg(nrsrp)</t>
  </si>
  <si>
    <t>problem_mr_cnt</t>
  </si>
  <si>
    <t>覆盖质差MR采样点数</t>
  </si>
  <si>
    <t>count(*)</t>
  </si>
  <si>
    <t>&gt;=0</t>
  </si>
  <si>
    <t>sum(problem_scell_avgrsrp*problem_mr_cnt)/sum(problem_mr_cnt)</t>
  </si>
  <si>
    <t>sum(problem_ncell_avgrsrp*problem_mr_cnt)/sum(problem_mr_cnt)</t>
  </si>
  <si>
    <t>sum(problem_mr_cnt)</t>
  </si>
  <si>
    <t>5G电联MRO邻区事实表</t>
  </si>
  <si>
    <t>rsrp_total</t>
  </si>
  <si>
    <t>主小区总RSRP值</t>
  </si>
  <si>
    <t>以cellkey及mrkey分组，取max(srsrp)，再求和</t>
  </si>
  <si>
    <t>&lt;=0</t>
  </si>
  <si>
    <t>rsrp_cnt</t>
  </si>
  <si>
    <t>总采样点数量</t>
  </si>
  <si>
    <t>以cellkey及mrkey分组后，再计数</t>
  </si>
  <si>
    <t>weakcover_cnt</t>
  </si>
  <si>
    <t>弱覆盖采样点数量</t>
  </si>
  <si>
    <t>以cellkey及mrkey分组后，取max(is_weakcover)，再求和</t>
  </si>
  <si>
    <t>overlap_cnt</t>
  </si>
  <si>
    <t>重叠覆盖采样点数量</t>
  </si>
  <si>
    <t>以cellkey及mrkey分组后，取max(is_overlap)，再求和</t>
  </si>
  <si>
    <t>MOD30干扰采样点数量</t>
  </si>
  <si>
    <t>以cellkey及mrkey分组后，取max(is_mod30interfer)，再求和</t>
  </si>
  <si>
    <t>overshoot_cnt</t>
  </si>
  <si>
    <t>过覆盖采样点数量</t>
  </si>
  <si>
    <t>以cellkey及mrkey分组后，取max(is_overshoot)，再求和</t>
  </si>
  <si>
    <t>bad_mr_cnt</t>
  </si>
  <si>
    <t>质差MR采样点数量</t>
  </si>
  <si>
    <t>以cellkey及mrkey分组后，取max(scellmrdis)，再求和</t>
  </si>
  <si>
    <t>scellmrdis_cnt</t>
  </si>
  <si>
    <t>mr到主小区间有效距离的MR数目</t>
  </si>
  <si>
    <t>以cellkey及mrkey分组后，取max(scellmrdis)&gt;0则计数1，再求和</t>
  </si>
  <si>
    <t>weakcover_totalrsrp</t>
  </si>
  <si>
    <t>弱覆盖采样点总RSRP值</t>
  </si>
  <si>
    <t>1、以cellkey及mrkey分组后，取max(is_weakcover)；
2、若max(is_weakcover)=1，则取srsrp值，最后再求和</t>
  </si>
  <si>
    <t>overlap_totalrsrp</t>
  </si>
  <si>
    <t>重叠覆盖采样点总RSRP值</t>
  </si>
  <si>
    <t>1、以cellkey及mrkey分组后，取max(is_overlap)；
2、若max(is_overlap)=1，则取srsrp值，最后再求和</t>
  </si>
  <si>
    <t>mod30interfer_totalrsrp</t>
  </si>
  <si>
    <t>MOD30干扰采样点总RSRP值</t>
  </si>
  <si>
    <t>1、以cellkey及mrkey分组后，取max(is_mod30interfer)；
2、若max(is_mod30interfer)=1，则取srsrp值，最后再求和</t>
  </si>
  <si>
    <t>overshoot_totalrsrp</t>
  </si>
  <si>
    <t>过覆盖采样点总RSRP值</t>
  </si>
  <si>
    <t>1、以cellkey及mrkey分组后，取max(is_overshoot)；
2、若max(is_overshoot)=1，则取srsrp值，最后再求和</t>
  </si>
  <si>
    <t>日期</t>
  </si>
  <si>
    <t>刻度</t>
  </si>
  <si>
    <t>厂家</t>
  </si>
  <si>
    <t>case when p_region=100001 then 'ZX' when p_region=100002 then 'HW' when p_region=100003 then 'NK' when p_region=100004 then 'ER' when p_region=100005 then 'DT' else '' end</t>
  </si>
  <si>
    <t>小区唯一标识</t>
  </si>
  <si>
    <t>频段</t>
  </si>
  <si>
    <t>case when nrscarfcn&gt;100000 and substr(nrscarfcn,1,1)=4 then '2.1G'
        when nrscarfcn&gt;100000 and substr(nrscarfcn,1,1)=6 then '3.5G'
        when nrscarfcn&gt;100000 and substr(nrscarfcn,1,1)=1 then '800M'
        else 'other' end</t>
  </si>
  <si>
    <t>城市编码</t>
  </si>
  <si>
    <t>区县编码</t>
  </si>
  <si>
    <t>城市名称</t>
  </si>
  <si>
    <t>区县名称</t>
  </si>
  <si>
    <t>rattypeid</t>
  </si>
  <si>
    <t>网络制式</t>
  </si>
  <si>
    <t>直接赋值：10</t>
  </si>
  <si>
    <t>用户IMSI号</t>
  </si>
  <si>
    <t>终端业务过程用户终端IMEI号码</t>
  </si>
  <si>
    <t>栅格编码</t>
  </si>
  <si>
    <t>栅格坐标x轴偏移</t>
  </si>
  <si>
    <t>栅格坐标y轴偏移</t>
  </si>
  <si>
    <t>center_lon</t>
  </si>
  <si>
    <t>栅格中心经度</t>
  </si>
  <si>
    <t>栅格转经纬度</t>
  </si>
  <si>
    <t>center_lat</t>
  </si>
  <si>
    <t>栅格中心纬度</t>
  </si>
  <si>
    <t>left_up_lon</t>
  </si>
  <si>
    <t>栅格左上角经度</t>
  </si>
  <si>
    <t>left_up_lat</t>
  </si>
  <si>
    <t>栅格左上角纬度</t>
  </si>
  <si>
    <t>right_down_lon</t>
  </si>
  <si>
    <t>栅格右下角经度</t>
  </si>
  <si>
    <t>right_down_lat</t>
  </si>
  <si>
    <t>栅格右下角纬度</t>
  </si>
  <si>
    <t>mrlon_total</t>
  </si>
  <si>
    <t>MR经度总值</t>
  </si>
  <si>
    <t>sum(case when mrlon&gt;=73 and mrlon&lt;=136 and mrlat&gt;=2 and mrlat&lt;=54 then mrlon else 0 end)</t>
  </si>
  <si>
    <t>mrlat_total</t>
  </si>
  <si>
    <t>MR纬度总值</t>
  </si>
  <si>
    <t>sum(case when mrlon&gt;=73 and mrlon&lt;=136 and mrlat&gt;=2 and mrlat&lt;=54 then mrlat else 0 end)</t>
  </si>
  <si>
    <t>validlonlat_totalcnt</t>
  </si>
  <si>
    <t>经纬度有效的MR数目</t>
  </si>
  <si>
    <t>sum(case when mrlon&gt;=73 and mrlon&lt;=136 and mrlat&gt;=2 and mrlat&lt;=54 then 1 else 0 end)</t>
  </si>
  <si>
    <t>mrlon_avg</t>
  </si>
  <si>
    <t>MR平均经度</t>
  </si>
  <si>
    <t>sum(case when mrlon&gt;=73 and mrlon&lt;=136 and mrlat&gt;=2 and mrlat&lt;=54 then mrlon else 0 end) / sum(case when mrlon&gt;=73 and mrlon&lt;=136 and mrlat&gt;=2 and mrlat&lt;=54 then 1 else 0 end)</t>
  </si>
  <si>
    <t>[73,136]</t>
  </si>
  <si>
    <t>mrlat_avg</t>
  </si>
  <si>
    <t>MR平均纬度</t>
  </si>
  <si>
    <t>sum(case when mrlon&gt;=73 and mrlon&lt;=136 and mrlat&gt;=2 and mrlat&lt;=54 then mrlat else 0 end) / sum(case when mrlon&gt;=73 and mrlon&lt;=136 and mrlat&gt;=2 and mrlat&lt;=54 then 1 else 0 end)</t>
  </si>
  <si>
    <t>[2,54]</t>
  </si>
  <si>
    <t>mr_period_totalcnt</t>
  </si>
  <si>
    <t>周期性MR数目</t>
  </si>
  <si>
    <t>count(1)</t>
  </si>
  <si>
    <t>RSRP总值</t>
  </si>
  <si>
    <t>&lt;0</t>
  </si>
  <si>
    <t>RSRP有效数目</t>
  </si>
  <si>
    <t>RSRP平均值</t>
  </si>
  <si>
    <t>rsrp_cnt_f65_f29</t>
  </si>
  <si>
    <t>RSRP在[-65,-29]范围内的MR数目</t>
  </si>
  <si>
    <t>rsrp_cnt_f70_f65</t>
  </si>
  <si>
    <t>RSRP在[-70,-65)范围内的MR数目</t>
  </si>
  <si>
    <t>rsrp_cnt_f75_f70</t>
  </si>
  <si>
    <t>RSRP在[-75,-70]范围内的MR数目</t>
  </si>
  <si>
    <t>rsrp_cnt_f80_f75</t>
  </si>
  <si>
    <t>RSRP在[-80,-75)范围内的MR数目</t>
  </si>
  <si>
    <t>rsrp_cnt_f85_f80</t>
  </si>
  <si>
    <t>RSRP在[-85,-80)范围内的MR数目</t>
  </si>
  <si>
    <t>rsrp_cnt_f90_f85</t>
  </si>
  <si>
    <t>RSRP在[-90,-85)范围内的MR数目</t>
  </si>
  <si>
    <t>rsrp_cnt_f95_f90</t>
  </si>
  <si>
    <t>RSRP在[-95,-90)范围内的MR数目</t>
  </si>
  <si>
    <t>rsrp_cnt_f100_f95</t>
  </si>
  <si>
    <t>RSRP在[-100,-95)范围内的MR数目</t>
  </si>
  <si>
    <t>rsrp_cnt_f105_f100</t>
  </si>
  <si>
    <t>RSRP在[-105,-100)范围内的MR数目</t>
  </si>
  <si>
    <t>rsrp_cnt_f110_f105</t>
  </si>
  <si>
    <t>RSRP在[-110,-105)范围内的MR数目</t>
  </si>
  <si>
    <t>rsrp_cnt_f112_f110</t>
  </si>
  <si>
    <t>RSRP在[-112,-110)范围内的MR数目</t>
  </si>
  <si>
    <t>rsrp_cnt_f115_f112</t>
  </si>
  <si>
    <t>RSRP在[-115,-112)范围内的MR数目</t>
  </si>
  <si>
    <t>rsrp_cnt_f120_f115</t>
  </si>
  <si>
    <t>RSRP在[-120,-115)范围内的MR数目</t>
  </si>
  <si>
    <t>rsrp_cnt_f156_f120</t>
  </si>
  <si>
    <t>RSRP在[-156,-120)范围内的MR数目</t>
  </si>
  <si>
    <t>rsrp_good_cnt_f105</t>
  </si>
  <si>
    <t>RSRP优良数目(&gt;=-105)</t>
  </si>
  <si>
    <t>rsrp_good_rate_f105</t>
  </si>
  <si>
    <t>RSRP优良比(&gt;=-105)</t>
  </si>
  <si>
    <t>[0,1]</t>
  </si>
  <si>
    <t>rsrp_bad_cnt_f110</t>
  </si>
  <si>
    <t>RSRP质差数目(&lt;-110)</t>
  </si>
  <si>
    <t>rsrp_bad_totalrsrp_f110</t>
  </si>
  <si>
    <t>RSRP质差总RSRP值(&lt;-110)</t>
  </si>
  <si>
    <t>rsrq_total</t>
  </si>
  <si>
    <t>RSRQ总值</t>
  </si>
  <si>
    <t>rsrq_cnt</t>
  </si>
  <si>
    <t>RSRQ有效数目</t>
  </si>
  <si>
    <t>rsrq_avg</t>
  </si>
  <si>
    <t>RSRQ平均值</t>
  </si>
  <si>
    <t>[-43,21]</t>
  </si>
  <si>
    <t>rsrq_cnt_11_21</t>
  </si>
  <si>
    <t>RSRQ在[11,21]范围内的MR数目</t>
  </si>
  <si>
    <t>rsrq_cnt_8_11</t>
  </si>
  <si>
    <t>RSRQ在[8,11)范围内的MR数目</t>
  </si>
  <si>
    <t>rsrq_cnt_5_8</t>
  </si>
  <si>
    <t>RSRQ在[5,8)范围内的MR数目</t>
  </si>
  <si>
    <t>rsrq_cnt_2_5</t>
  </si>
  <si>
    <t>RSRQ在[2,5)范围内的MR数目</t>
  </si>
  <si>
    <t>rsrq_cnt_f1_2</t>
  </si>
  <si>
    <t>RSRQ在[-1,2)范围内的MR数目</t>
  </si>
  <si>
    <t>rsrq_cnt_f4_f1</t>
  </si>
  <si>
    <t>RSRQ在[-4,-1)范围内的MR数目</t>
  </si>
  <si>
    <t>rsrq_cnt_f7_f4</t>
  </si>
  <si>
    <t>RSRQ在[-7,-4)范围内的MR数目</t>
  </si>
  <si>
    <t>rsrq_cnt_f10_f7</t>
  </si>
  <si>
    <t>RSRQ在[-10,-7)范围内的MR数目</t>
  </si>
  <si>
    <t>rsrq_cnt_f13_f10</t>
  </si>
  <si>
    <t>RSRQ在[-13,-10)范围内的MR数目</t>
  </si>
  <si>
    <t>rsrq_cnt_f16_f13</t>
  </si>
  <si>
    <t>RSRQ在[-16,-13)范围内的MR数目</t>
  </si>
  <si>
    <t>rsrq_cnt_f19_f16</t>
  </si>
  <si>
    <t>RSRQ在[-19,-16)范围内的MR数目</t>
  </si>
  <si>
    <t>rsrq_cnt_f43_f19</t>
  </si>
  <si>
    <t>RSRQ在[-43,-19)范围内的MR数目</t>
  </si>
  <si>
    <t>rsrq_good_cnt_f13</t>
  </si>
  <si>
    <t>RSRQ优良数目(&gt;=-13)</t>
  </si>
  <si>
    <t>rsrq_good_rate_f13</t>
  </si>
  <si>
    <t>RSRQ优良比(&gt;=-13)</t>
  </si>
  <si>
    <t>ulsinr_total</t>
  </si>
  <si>
    <t>ULSINR总值</t>
  </si>
  <si>
    <t>(-∞,+∞)</t>
  </si>
  <si>
    <t>ulsinr_cnt</t>
  </si>
  <si>
    <t>ULSINR有效的MR数目</t>
  </si>
  <si>
    <t>ulsinr_avg</t>
  </si>
  <si>
    <t>ULSINR平均值</t>
  </si>
  <si>
    <t>[-23,41]</t>
  </si>
  <si>
    <t>ulsinr_cnt_20_41</t>
  </si>
  <si>
    <t>ULSINR在[20,41]范围内的MR数目</t>
  </si>
  <si>
    <t>ulsinr_cnt_15_20</t>
  </si>
  <si>
    <t>ULSINR在[15,20)范围内的MR数目</t>
  </si>
  <si>
    <t>ulsinr_cnt_10_15</t>
  </si>
  <si>
    <t>ULSINR在[10,15)范围内的MR数目</t>
  </si>
  <si>
    <t>ulsinr_cnt_5_10</t>
  </si>
  <si>
    <t>ULSINR在[5,10)范围内的MR数目</t>
  </si>
  <si>
    <t>ulsinr_cnt_0_5</t>
  </si>
  <si>
    <t>ULSINR在[0,5)范围内的MR数目</t>
  </si>
  <si>
    <t>ulsinr_cnt_f3_0</t>
  </si>
  <si>
    <t>ULSINR在[-3,0)范围内的MR数目</t>
  </si>
  <si>
    <t>ulsinr_cnt_f23_f3</t>
  </si>
  <si>
    <t>ULSINR在[-23,-3)范围内的MR数目</t>
  </si>
  <si>
    <t>ulsinr_cnt_33_41</t>
  </si>
  <si>
    <t>ULSINR在[33,+∞)范围内的MR数目</t>
  </si>
  <si>
    <t>ulsinr_cnt_28_33</t>
  </si>
  <si>
    <t>ULSINR在[28,33)范围内的MR数目</t>
  </si>
  <si>
    <t>ulsinr_cnt_23_28</t>
  </si>
  <si>
    <t>ULSINR在[23,28)范围内的MR数目</t>
  </si>
  <si>
    <t>ulsinr_cnt_18_23</t>
  </si>
  <si>
    <t>ULSINR在[18,23)范围内的MR数目</t>
  </si>
  <si>
    <t>ulsinr_cnt_13_18</t>
  </si>
  <si>
    <t>ULSINR在[13,18)范围内的MR数目</t>
  </si>
  <si>
    <t>ulsinr_cnt_8_13</t>
  </si>
  <si>
    <t>ULSINR在[8,13)范围内的MR数目</t>
  </si>
  <si>
    <t>ulsinr_cnt_3_8</t>
  </si>
  <si>
    <t>ULSINR在[3,8)范围内的MR数目</t>
  </si>
  <si>
    <t>ulsinr_cnt_f2_3</t>
  </si>
  <si>
    <t>ULSINR在[-2,3)范围内的MR数目</t>
  </si>
  <si>
    <t>ulsinr_cnt_f7_f2</t>
  </si>
  <si>
    <t>ULSINR在[-7,-2)范围内的MR数目</t>
  </si>
  <si>
    <t>ulsinr_cnt_f10_f7</t>
  </si>
  <si>
    <t>ULSINR在[-10,-7)范围内的MR数目</t>
  </si>
  <si>
    <t>ulsinr_cnt_f15_f10</t>
  </si>
  <si>
    <t>ULSINR在[-15,-10)范围内的MR数目</t>
  </si>
  <si>
    <t>ulsinr_cnt_f23_f15</t>
  </si>
  <si>
    <t>ULSINR在(-∞,-15)范围内的MR数目</t>
  </si>
  <si>
    <t>ulsinr_good_cnt_0</t>
  </si>
  <si>
    <t>ULSINR优良数(&gt;=0)</t>
  </si>
  <si>
    <t>ulsinr_good_rate_0</t>
  </si>
  <si>
    <t>ULSINR优良比(&gt;=0)</t>
  </si>
  <si>
    <t>ta_total</t>
  </si>
  <si>
    <t>TA总值</t>
  </si>
  <si>
    <t>sum(case when nrsctadv&gt;=0 then nrsctadv else 0 end)</t>
  </si>
  <si>
    <t>sum(case when ta&gt;=0 then ta else null end)</t>
  </si>
  <si>
    <t>新增字段</t>
  </si>
  <si>
    <t>fact_lte_mro_lt_q</t>
  </si>
  <si>
    <t>ta</t>
  </si>
  <si>
    <t>ta_cnt</t>
  </si>
  <si>
    <t>TA有效的MR数目</t>
  </si>
  <si>
    <t>sum(case when nrsctadv&gt;=0 then 1 else 0 end)</t>
  </si>
  <si>
    <t>count(case when ta&gt;=0 then 1 else null end)</t>
  </si>
  <si>
    <t>ta_avg</t>
  </si>
  <si>
    <t>TA平均值</t>
  </si>
  <si>
    <t>sum(case when nrsctadv&gt;=0 then nrsctadv else 0 end) / sum(case when nrsctadv&gt;=0 then 1 else 0 end)</t>
  </si>
  <si>
    <t>sum(case when ta&gt;=0 then ta else null end)/count(case when ta&gt;=0 then 1 else null end)</t>
  </si>
  <si>
    <t>ta_cnt_0_1</t>
  </si>
  <si>
    <t>TA在[0,1]范围内的MR数目</t>
  </si>
  <si>
    <t>sum(case when nrsctadv &lt;= 1 then 1 else 0 end)</t>
  </si>
  <si>
    <t>ta_cnt_1_3</t>
  </si>
  <si>
    <t>TA在(1,3]范围内的MR数目</t>
  </si>
  <si>
    <t>sum(case when nrsctadv &gt; 1 and nrsctadv &lt;= 3 then 1 else 0 end)</t>
  </si>
  <si>
    <t>ta_cnt_3_5</t>
  </si>
  <si>
    <t>TA在(3,5]范围内的MR数目</t>
  </si>
  <si>
    <t>sum(case when nrsctadv &gt; 3 and nrsctadv &lt;= 5 then 1 else 0 end)</t>
  </si>
  <si>
    <t>ta_cnt_5_7</t>
  </si>
  <si>
    <t>TA在(5,7]范围内的MR数目</t>
  </si>
  <si>
    <t>sum(case when nrsctadv &gt; 5 and nrsctadv &lt;= 7 then 1 else 0 end)</t>
  </si>
  <si>
    <t>ta_cnt_7_9</t>
  </si>
  <si>
    <t>TA在(7,9]范围内的MR数目</t>
  </si>
  <si>
    <t>sum(case when nrsctadv &gt; 7 and nrsctadv &lt;= 9 then 1 else 0 end)</t>
  </si>
  <si>
    <t>ta_cnt_9_11</t>
  </si>
  <si>
    <t>TA在(9,11]范围内的MR数目</t>
  </si>
  <si>
    <t>sum(case when nrsctadv &gt; 9 and nrsctadv &lt;= 11 then 1 else 0 end)</t>
  </si>
  <si>
    <t>ta_cnt_11_13</t>
  </si>
  <si>
    <t>TA在(11,13]范围内的MR数目</t>
  </si>
  <si>
    <t>sum(case when nrsctadv &gt; 11 and nrsctadv &lt;= 13 then 1 else 0 end)</t>
  </si>
  <si>
    <t>ta_cnt_13_15</t>
  </si>
  <si>
    <t>TA在(13,15]范围内的MR数目</t>
  </si>
  <si>
    <t>sum(case when nrsctadv &gt; 13 and nrsctadv &lt;= 15 then 1 else 0 end)</t>
  </si>
  <si>
    <t>sum(case when ta&gt;=6 and ta&lt;9 then 1 else 0 end)</t>
  </si>
  <si>
    <t>ta_cnt_15_17</t>
  </si>
  <si>
    <t>TA在(15,17]范围内的MR数目</t>
  </si>
  <si>
    <t>sum(case when nrsctadv &gt; 15 and nrsctadv &lt;= 17 then 1 else 0 end)</t>
  </si>
  <si>
    <t>sum(case when ta&gt;=12 and ta&lt;15 then 1 else 0 end)</t>
  </si>
  <si>
    <t>ta_cnt_17_19</t>
  </si>
  <si>
    <t>TA在(17,19]范围内的MR数目</t>
  </si>
  <si>
    <t>sum(case when nrsctadv &gt; 17 and nrsctadv &lt;= 19 then 1 else 0 end)</t>
  </si>
  <si>
    <t>sum(case when ta&gt;=15 and ta&lt;20 then 1 else 0 end)</t>
  </si>
  <si>
    <t>ta_cnt_19_21</t>
  </si>
  <si>
    <t>TA在(19,21]范围内的MR数目</t>
  </si>
  <si>
    <t>sum(case when nrsctadv &gt; 19 and nrsctadv &lt;= 21 then 1 else 0 end)</t>
  </si>
  <si>
    <t>ta_cnt_21_23</t>
  </si>
  <si>
    <t>TA在(21,23]范围内的MR数目</t>
  </si>
  <si>
    <t>sum(case when nrsctadv &gt; 21 and nrsctadv &lt;= 23 then 1 else 0 end)</t>
  </si>
  <si>
    <t>sum(case when ta&gt;=20 then 1 else 0 end)</t>
  </si>
  <si>
    <t>ta_cnt_23_29</t>
  </si>
  <si>
    <t>TA在(23,29]范围内的MR数目</t>
  </si>
  <si>
    <t>sum(case when nrsctadv &gt; 23 and nrsctadv &lt;= 29 then 1 else 0 end)</t>
  </si>
  <si>
    <t>ta_cnt_19_35</t>
  </si>
  <si>
    <t>TA在(29,35]范围内的MR数目</t>
  </si>
  <si>
    <t>sum(case when nrsctadv &gt; 29 and nrsctadv &lt;= 35 then 1 else 0 end)</t>
  </si>
  <si>
    <t>ta_cnt_35_41</t>
  </si>
  <si>
    <t>TA在(35,41]范围内的MR数目</t>
  </si>
  <si>
    <t>sum(case when nrsctadv &gt; 35 and nrsctadv &lt;= 41 then 1 else 0 end)</t>
  </si>
  <si>
    <t>ta_cnt_41_47</t>
  </si>
  <si>
    <t>TA在(41,47]范围内的MR数目</t>
  </si>
  <si>
    <t>sum(case when nrsctadv &gt; 41 and nrsctadv &lt;= 47 then 1 else 0 end)</t>
  </si>
  <si>
    <t>ta_cnt_47_53</t>
  </si>
  <si>
    <t>TA在(47,53]范围内的MR数目</t>
  </si>
  <si>
    <t>sum(case when nrsctadv &gt; 47 and nrsctadv &lt;= 53 then 1 else 0 end)</t>
  </si>
  <si>
    <t>ta_cnt_53_73</t>
  </si>
  <si>
    <t>TA在(53,73]范围内的MR数目</t>
  </si>
  <si>
    <t>sum(case when nrsctadv &gt; 53 and nrsctadv &lt;= 73 then 1 else 0 end)</t>
  </si>
  <si>
    <t>ta_cnt_73_93</t>
  </si>
  <si>
    <t>TA在(73,93]范围内的MR数目</t>
  </si>
  <si>
    <t>sum(case when nrsctadv &gt; 73 and nrsctadv &lt;= 93 then 1 else 0 end)</t>
  </si>
  <si>
    <t>ta_cnt_93_113</t>
  </si>
  <si>
    <t>TA在(93,113]范围内的MR数目</t>
  </si>
  <si>
    <t>sum(case when nrsctadv &gt; 93 and nrsctadv &lt;= 113 then 1 else 0 end)</t>
  </si>
  <si>
    <t>ta_cnt_113_255</t>
  </si>
  <si>
    <t>TA在(113,255]范围内的MR数目</t>
  </si>
  <si>
    <t>sum(case when nrsctadv &gt; 113 and nrsctadv &lt;= 255 then 1 else 0 end)</t>
  </si>
  <si>
    <t>ta_cnt_up_255</t>
  </si>
  <si>
    <t>TA在[255,+∞)范围内的MR数目</t>
  </si>
  <si>
    <t>sum(case when nrsctadv &gt;= 255 then 1 else 0 end)</t>
  </si>
  <si>
    <t>ta_cnt_0_3</t>
  </si>
  <si>
    <t>TA在[0,3)范围内的MR数目</t>
  </si>
  <si>
    <t>sum(case when nrsctadv &gt;= 0 and nrsctadv &lt; 3  then 1 else 0 end )</t>
  </si>
  <si>
    <t>ta_cnt_3_6</t>
  </si>
  <si>
    <t>TA在[3,6)范围内的MR数目</t>
  </si>
  <si>
    <t>sum(case when nrsctadv &gt;= 3 and nrsctadv &lt; 6  then 1 else 0 end )</t>
  </si>
  <si>
    <t>ta_cnt_6_9</t>
  </si>
  <si>
    <t>TA在[6,9)范围内的MR数目</t>
  </si>
  <si>
    <t>sum(case when nrsctadv &gt;= 6 and nrsctadv &lt; 9  then 1 else 0 end )</t>
  </si>
  <si>
    <t>ta_cnt_9_12</t>
  </si>
  <si>
    <t>TA在[9,12)范围内的MR数目</t>
  </si>
  <si>
    <t>sum(case when nrsctadv &gt;= 9 and nrsctadv &lt; 12  then 1 else 0 end )</t>
  </si>
  <si>
    <t>ta_cnt_12_15</t>
  </si>
  <si>
    <t>TA在[12,15)范围内的MR数目</t>
  </si>
  <si>
    <t>sum(case when nrsctadv &gt;= 12 and nrsctadv &lt; 15 then 1 else 0 end )</t>
  </si>
  <si>
    <t>ta_cnt_15_18</t>
  </si>
  <si>
    <t>TA在[15,18)范围内的MR数目</t>
  </si>
  <si>
    <t>sum(case when nrsctadv &gt;= 15 and nrsctadv &lt; 18 then 1 else 0 end )</t>
  </si>
  <si>
    <t>ta_cnt_18_21</t>
  </si>
  <si>
    <t>tadv在[18,21)范围内的MR数目</t>
  </si>
  <si>
    <t>sum(case when nrsctadv &gt;= 18 and nrsctadv &lt; 21 then 1 else 0 end )</t>
  </si>
  <si>
    <t>ta_cnt_21_30</t>
  </si>
  <si>
    <t>tadv在[21,30)范围内的MR数目</t>
  </si>
  <si>
    <t>sum(case when nrsctadv &gt;= 21 and nrsctadv &lt; 30 then 1 else 0 end )</t>
  </si>
  <si>
    <t>ta_cnt_30_40</t>
  </si>
  <si>
    <t>tadv在[30,40)范围内的MR数目</t>
  </si>
  <si>
    <t>sum(case when nrsctadv &gt;= 30 and nrsctadv &lt; 40 then 1 else 0 end )</t>
  </si>
  <si>
    <t>ta_cnt_40_50</t>
  </si>
  <si>
    <t>tadv在[40,50)范围内的MR数目</t>
  </si>
  <si>
    <t>sum(case when nrsctadv &gt;= 40 and nrsctadv &lt; 50 then 1 else 0 end )</t>
  </si>
  <si>
    <t>ta_cnt_50_60</t>
  </si>
  <si>
    <t>tadv在[50,60)范围内的MR数目</t>
  </si>
  <si>
    <t>sum(case when nrsctadv &gt;= 50 and nrsctadv &lt; 60 then 1 else 0 end )</t>
  </si>
  <si>
    <t>ta_cnt_up_60</t>
  </si>
  <si>
    <t>tadv&gt;=60范围内的MR数目</t>
  </si>
  <si>
    <t>sum(case when nrsctadv &gt;= 60 then 1 else 0 end )</t>
  </si>
  <si>
    <t>rsrpf95_sinrf3_cnt</t>
  </si>
  <si>
    <t>rsrp≥-95且SINR≥-3的采样点个数</t>
  </si>
  <si>
    <t>rsrpf95_sinr0_cnt</t>
  </si>
  <si>
    <t>rsrp≥-95且SINR≥0的采样点个数</t>
  </si>
  <si>
    <t>rsrpf95_sinr3_cnt</t>
  </si>
  <si>
    <t>rsrp≥-95且SINR≥3的采样点个数</t>
  </si>
  <si>
    <t>rsrpf95_sinr10_cnt</t>
  </si>
  <si>
    <t>rsrp≥-95且SINR≥10的采样点个数</t>
  </si>
  <si>
    <t>rsrpf100_sinrf3_cnt</t>
  </si>
  <si>
    <t>rsrp≥-100且SINR≥-3的采样点个数</t>
  </si>
  <si>
    <t>rsrpf100_sinr0_cnt</t>
  </si>
  <si>
    <t>rsrp≥-100且SINR≥0的采样点个数</t>
  </si>
  <si>
    <t>rsrpf100_sinr3_cnt</t>
  </si>
  <si>
    <t>rsrp≥-100且SINR≥3的采样点个数</t>
  </si>
  <si>
    <t>rsrpf105_sinrf3_cnt</t>
  </si>
  <si>
    <t>rsrp≥-105且SINR≥-3的采样点个数</t>
  </si>
  <si>
    <t>rsrpf105_sinr0_cnt</t>
  </si>
  <si>
    <t>rsrp≥-105且SINR≥0的采样点个数</t>
  </si>
  <si>
    <t>rsrpf105_sinr3_cnt</t>
  </si>
  <si>
    <t>rsrp≥-105且SINR≥3的采样点个数</t>
  </si>
  <si>
    <t>rsrpf110_sinrf3_cnt</t>
  </si>
  <si>
    <t>rsrp≥-110且SINR≥-3的采样点个数</t>
  </si>
  <si>
    <t>rsrpf110_sinr0_cnt</t>
  </si>
  <si>
    <t>rsrp≥-110且SINR≥0的采样点个数</t>
  </si>
  <si>
    <t>rsrpf110_sinr3_cnt</t>
  </si>
  <si>
    <t>rsrp≥-110且SINR≥3的采样点个数</t>
  </si>
  <si>
    <t>validrsrp_sinr_cnt</t>
  </si>
  <si>
    <t>RSRP且SINR有效采样点个数</t>
  </si>
  <si>
    <t>A left join B，关联条件：plmn+data_source+cellkey+msisdn +imsi+imei+regionid+x_offset_20+y_offset_20</t>
  </si>
  <si>
    <t>频点</t>
  </si>
  <si>
    <t>网络类型</t>
  </si>
  <si>
    <t>RegionID</t>
  </si>
  <si>
    <t>period_totalmrcount</t>
  </si>
  <si>
    <t>周期性MR采样点数量</t>
  </si>
  <si>
    <t>sum(mr_period_totalcnt)</t>
  </si>
  <si>
    <t>totalssrsrp</t>
  </si>
  <si>
    <t>总SS-RSRP值</t>
  </si>
  <si>
    <t>sum(rsrp_total)</t>
  </si>
  <si>
    <t>avgssrsrp</t>
  </si>
  <si>
    <t>平均SS-RSRP值</t>
  </si>
  <si>
    <t>sum(rsrp_total)/sum(rsrp_cnt)</t>
  </si>
  <si>
    <t>ssrsrpcount</t>
  </si>
  <si>
    <t>SS-RSRP计数</t>
  </si>
  <si>
    <t>sum(rsrp_cnt)</t>
  </si>
  <si>
    <t>ssrsrp_level1mrcount</t>
  </si>
  <si>
    <t>RSRP在[-75,+∞）范围内的MR数目</t>
  </si>
  <si>
    <t>sum(rsrp_cnt_f65_f29+rsrp_cnt_f70_f65+rsrp_cnt_f75_f70)</t>
  </si>
  <si>
    <t>ssrsrp_level2mrcount</t>
  </si>
  <si>
    <t>RSRP在[-85,-75）范围内的MR数目</t>
  </si>
  <si>
    <t>sum(rsrp_cnt_f80_f75+rsrp_cnt_f85_f80)</t>
  </si>
  <si>
    <t>ssrsrp_level3mrcount</t>
  </si>
  <si>
    <t>RSRP在[-95,-85）范围内的MR数目</t>
  </si>
  <si>
    <t>sum(rsrp_cnt_f90_f85+rsrp_cnt_f95_f90)</t>
  </si>
  <si>
    <t>ssrsrp_level4mrcount</t>
  </si>
  <si>
    <t>RSRP在[-100,-95）范围内的MR数目</t>
  </si>
  <si>
    <t>sum(rsrp_cnt_f100_f95)</t>
  </si>
  <si>
    <t>ssrsrp_level5mrcount</t>
  </si>
  <si>
    <t>RSRP在[-105,-100）范围内的MR数目</t>
  </si>
  <si>
    <t>sum(rsrp_cnt_f105_f100)</t>
  </si>
  <si>
    <t>ssrsrp_level6mrcount</t>
  </si>
  <si>
    <t>RSRP在[-115,-105）范围内的MR数目</t>
  </si>
  <si>
    <t>sum(rsrp_cnt_f110_f105+rsrp_cnt_f112_f110+rsrp_cnt_f115_f112)</t>
  </si>
  <si>
    <t>ssrsrp_level7mrcount</t>
  </si>
  <si>
    <t>RSRP在（-∞,-115）范围内的MR数目</t>
  </si>
  <si>
    <t>sum(rsrp_cnt_f120_f115+rsrp_cnt_f156_f120)</t>
  </si>
  <si>
    <t>ssrsrpgoodcount</t>
  </si>
  <si>
    <t>sum(rsrp_good_cnt_f105)</t>
  </si>
  <si>
    <t>ssrsrpgoodratio</t>
  </si>
  <si>
    <t>sum(rsrp_good_cnt_f105)/sum(rsrp_cnt)</t>
  </si>
  <si>
    <t>totaldlsinr</t>
  </si>
  <si>
    <t>sum(ulsinr_total)</t>
  </si>
  <si>
    <t>avgdlsinr</t>
  </si>
  <si>
    <t>sum(ulsinr_total)/sum(ulsinr_cnt)</t>
  </si>
  <si>
    <t>dlsinrcount</t>
  </si>
  <si>
    <t>sum(ulsinr_cnt)</t>
  </si>
  <si>
    <t>dlsinr_level1mrcount</t>
  </si>
  <si>
    <t>ULSINR在[20;+∞)范围内的MR数目</t>
  </si>
  <si>
    <t>sum(ulsinr_cnt_20_41)</t>
  </si>
  <si>
    <t>dlsinr_level2mrcount</t>
  </si>
  <si>
    <t>ULSINR在[15;20)范围内的MR数目</t>
  </si>
  <si>
    <t>sum(ulsinr_cnt_15_20)</t>
  </si>
  <si>
    <t>dlsinr_level3mrcount</t>
  </si>
  <si>
    <t>ULSINR在[10;15)范围内的MR数目</t>
  </si>
  <si>
    <t>sum(ulsinr_cnt_10_15)</t>
  </si>
  <si>
    <t>dlsinr_level4mrcount</t>
  </si>
  <si>
    <t>ULSINR在[5;10)范围内的MR数目</t>
  </si>
  <si>
    <t>sum(ulsinr_cnt_5_10)</t>
  </si>
  <si>
    <t>dlsinr_level5mrcount</t>
  </si>
  <si>
    <t>ULSINR在[0;5)范围内的MR数目</t>
  </si>
  <si>
    <t>sum(ulsinr_cnt_0_5)</t>
  </si>
  <si>
    <t>dlsinr_level6mrcount</t>
  </si>
  <si>
    <t>ULSINR在[-3;0)范围内的MR数目</t>
  </si>
  <si>
    <t>sum(ulsinr_cnt_f3_0)</t>
  </si>
  <si>
    <t>dlsinr_level7mrcount</t>
  </si>
  <si>
    <t>ULSINR在(-∞;-3)范围内的MR数目</t>
  </si>
  <si>
    <t>sum(ulsinr_cnt_f23_f3)</t>
  </si>
  <si>
    <t>dlsinrgoodcount</t>
  </si>
  <si>
    <t>sum(ulsinr_good_cnt_0)</t>
  </si>
  <si>
    <t>dlsinrgoodratio</t>
  </si>
  <si>
    <t>sum(ulsinr_good_cnt_0)/sum(ulsinr_cnt)</t>
  </si>
  <si>
    <t>totalidlersrp</t>
  </si>
  <si>
    <t>置空</t>
  </si>
  <si>
    <t>空</t>
  </si>
  <si>
    <t>avgidlersrp</t>
  </si>
  <si>
    <t>idlersrpcount</t>
  </si>
  <si>
    <t>idlersrp_level1mrcount</t>
  </si>
  <si>
    <t>idlersrp_level2mrcount</t>
  </si>
  <si>
    <t>idlersrp_level3mrcount</t>
  </si>
  <si>
    <t>idlersrp_level4mrcount</t>
  </si>
  <si>
    <t>idlersrp_level5mrcount</t>
  </si>
  <si>
    <t>idlersrp_level6mrcount</t>
  </si>
  <si>
    <t>idlersrp_level7mrcount</t>
  </si>
  <si>
    <t>idlersrpgoodcount</t>
  </si>
  <si>
    <t>idlersrpgoodratio</t>
  </si>
  <si>
    <t>mod3interfer_totalrsrp</t>
  </si>
  <si>
    <t>Mod3干扰RSRP总值</t>
  </si>
  <si>
    <t>mod3interfer_mrcount</t>
  </si>
  <si>
    <t>Mod3干扰MR数目</t>
  </si>
  <si>
    <t>mod3interfer_avgrsrp</t>
  </si>
  <si>
    <t>Mod3干扰RSRP平均值</t>
  </si>
  <si>
    <t>mod3interfer_mrratio</t>
  </si>
  <si>
    <t>float</t>
  </si>
  <si>
    <t>Mod3干扰MR数目占周期性MR数目比例</t>
  </si>
  <si>
    <t>弱覆盖RSRP总值(-110)</t>
  </si>
  <si>
    <t>sum(rsrp_bad_totalrsrp_f110)</t>
  </si>
  <si>
    <t>weakcover_mrcount</t>
  </si>
  <si>
    <t>弱覆盖MR数目(-110)</t>
  </si>
  <si>
    <t>sum(rsrp_bad_cnt_f110)</t>
  </si>
  <si>
    <t>weakcover_avgrsrp</t>
  </si>
  <si>
    <t>弱覆盖RSRP平均值(-110)</t>
  </si>
  <si>
    <t>sum(rsrp_bad_totalrsrp_f110)/sum(rsrp_bad_cnt_f110)</t>
  </si>
  <si>
    <t>weakcover_mrratio</t>
  </si>
  <si>
    <t>弱覆盖MR率(-110)</t>
  </si>
  <si>
    <t>sum(rsrp_bad_cnt_f110)/sum(rsrp_cnt)</t>
  </si>
  <si>
    <t>重叠覆盖RSRP总值</t>
  </si>
  <si>
    <t>sum(overlap_totalrsrp)</t>
  </si>
  <si>
    <t>overlap_mrcount</t>
  </si>
  <si>
    <t>重叠覆盖MR数目</t>
  </si>
  <si>
    <t>sum(overlap_cnt)</t>
  </si>
  <si>
    <t>overlap_avgrsrp</t>
  </si>
  <si>
    <t>重叠覆盖RSRP平均值</t>
  </si>
  <si>
    <t>sum(overlap_totalrsrp)/sum(overlap_cnt)</t>
  </si>
  <si>
    <t>overlap_mrratio</t>
  </si>
  <si>
    <t>重叠覆盖MR率</t>
  </si>
  <si>
    <t>A|B</t>
  </si>
  <si>
    <t>sum(B.overlap_cnt)/sum(A.rsrp_cnt)</t>
  </si>
  <si>
    <t>过覆盖RSRP总值</t>
  </si>
  <si>
    <t>sum(overshoot_totalrsrp)</t>
  </si>
  <si>
    <t>overshoot_mrcount</t>
  </si>
  <si>
    <t>过覆盖MR数目</t>
  </si>
  <si>
    <t>sum(overshoot_cnt)</t>
  </si>
  <si>
    <t>overshoot_avgrsrp</t>
  </si>
  <si>
    <t>过覆盖RSRP平均值</t>
  </si>
  <si>
    <t>sum(overshoot_totalrsrp)/sum(overshoot_cnt)</t>
  </si>
  <si>
    <t>overshoot_mrratio</t>
  </si>
  <si>
    <t>过覆盖MR率</t>
  </si>
  <si>
    <t>sum(B.overshoot_cnt)/sum(A.rsrp_cnt)</t>
  </si>
  <si>
    <t>celmr_totaldis</t>
  </si>
  <si>
    <t>服务小区和MR之间的距离总值</t>
  </si>
  <si>
    <t>sum(scellmrdis)</t>
  </si>
  <si>
    <t>celmr_discount</t>
  </si>
  <si>
    <t>服务小区和MR之间距离有效的MR数目</t>
  </si>
  <si>
    <t>sum(scellmrdis_cnt)</t>
  </si>
  <si>
    <t>celmr_avgdis</t>
  </si>
  <si>
    <t>服务小区和MR之间的距离平均值</t>
  </si>
  <si>
    <t>sum(scellmrdis)/sum(scellmrdis_cnt)</t>
  </si>
  <si>
    <t>ssrsrpcoveragecount</t>
  </si>
  <si>
    <t>有效覆盖的采样点数(RSRP&gt;-110)</t>
  </si>
  <si>
    <t>sum(rsrp_cnt-rsrp_bad_cnt_f110)</t>
  </si>
  <si>
    <t>ssrsrqcount</t>
  </si>
  <si>
    <t>SS-RSRQ计数</t>
  </si>
  <si>
    <t>sum(rsrq_cnt)</t>
  </si>
  <si>
    <t>ssrsrq_level1mrcount</t>
  </si>
  <si>
    <t>RSRQ在[-4,21]范围内的MR数目</t>
  </si>
  <si>
    <t>sum(rsrq_cnt_f4_f1 + rsrq_cnt_f1_2 + rsrq_cnt_2_5 + rsrq_cnt_5_8 + rsrq_cnt_8_11 + rsrq_cnt_11_21</t>
  </si>
  <si>
    <t>ssrsrq_level2mrcount</t>
  </si>
  <si>
    <t>sum(rsrq_cnt_f7_f4)</t>
  </si>
  <si>
    <t>ssrsrq_level3mrcount</t>
  </si>
  <si>
    <t>sum(rsrq_cnt_f10_f7)</t>
  </si>
  <si>
    <t>ssrsrq_level4mrcount</t>
  </si>
  <si>
    <t>sum(rsrq_cnt_f13_f10)</t>
  </si>
  <si>
    <t>ssrsrq_level5mrcount</t>
  </si>
  <si>
    <t>sum(rsrq_cnt_f16_f13)</t>
  </si>
  <si>
    <t>ssrsrq_level6mrcount</t>
  </si>
  <si>
    <t>sum(rsrq_cnt_f19_f16)</t>
  </si>
  <si>
    <t>ssrsrq_level7mrcount</t>
  </si>
  <si>
    <t>sum(rsrq_cnt_f43_f19)</t>
  </si>
  <si>
    <t>phrcount</t>
  </si>
  <si>
    <t>PHR有效的MR数目</t>
  </si>
  <si>
    <t>直接赋值：0</t>
  </si>
  <si>
    <t>phr_level1mrcount</t>
  </si>
  <si>
    <t>PHR在[30;40]范围内的MR数目</t>
  </si>
  <si>
    <t>phr_level2mrcount</t>
  </si>
  <si>
    <t>PHR在[20;30)范围内的MR数目</t>
  </si>
  <si>
    <t>phr_level3mrcount</t>
  </si>
  <si>
    <t>PHR在[10;20)范围内的MR数目</t>
  </si>
  <si>
    <t>phr_level4mrcount</t>
  </si>
  <si>
    <t>PHR在[0;10)范围内的MR数目</t>
  </si>
  <si>
    <t>phr_level5mrcount</t>
  </si>
  <si>
    <t>PHR在[-5;0)范围内的MR数目</t>
  </si>
  <si>
    <t>phr_level6mrcount</t>
  </si>
  <si>
    <t>PHR在[-10;-5)范围内的MR数目</t>
  </si>
  <si>
    <t>phr_level7mrcount</t>
  </si>
  <si>
    <t>PHR在[-23;-10)范围内的MR数目</t>
  </si>
  <si>
    <t>ulsinrcount</t>
  </si>
  <si>
    <t>ulsinr_level1mrcount</t>
  </si>
  <si>
    <t>ulsinr_level2mrcount</t>
  </si>
  <si>
    <t>ulsinr_level3mrcount</t>
  </si>
  <si>
    <t>ulsinr_level4mrcount</t>
  </si>
  <si>
    <t>ulsinr_level5mrcount</t>
  </si>
  <si>
    <t>ulsinr_level6mrcount</t>
  </si>
  <si>
    <t>ulsinr_level7mrcount</t>
  </si>
  <si>
    <t>txpowercount</t>
  </si>
  <si>
    <t>TxPower有效的MR数目</t>
  </si>
  <si>
    <t>txpower_level1mrcount</t>
  </si>
  <si>
    <t>TxPower在(-∞; 0]范围内的MR数目</t>
  </si>
  <si>
    <t>txpower_level2mrcount</t>
  </si>
  <si>
    <t>TxPower在[0; 3)范围内的MR数目</t>
  </si>
  <si>
    <t>txpower_level3mrcount</t>
  </si>
  <si>
    <t>TxPower在[3;10)范围内的MR数目</t>
  </si>
  <si>
    <t>txpower_level4mrcount</t>
  </si>
  <si>
    <t>TxPower在[10;13)范围内的MR数目</t>
  </si>
  <si>
    <t>txpower_level5mrcount</t>
  </si>
  <si>
    <t>TxPower在[13;16)范围内的MR数目</t>
  </si>
  <si>
    <t>txpower_level6mrcount</t>
  </si>
  <si>
    <t>TxPower在[16;20)范围内的MR数目</t>
  </si>
  <si>
    <t>txpower_level7mrcount</t>
  </si>
  <si>
    <t>TxPower在[20;+∞)范围内的MR数目</t>
  </si>
  <si>
    <t>cqicount</t>
  </si>
  <si>
    <t>CQI有效的MR数目</t>
  </si>
  <si>
    <t>cqi_level1mrcount</t>
  </si>
  <si>
    <t>CQI在[10;+∞)范围内的MR数目</t>
  </si>
  <si>
    <t>cqi_level2mrcount</t>
  </si>
  <si>
    <t>CQI在[9;10)范围内的MR数目</t>
  </si>
  <si>
    <t>cqi_level3mrcount</t>
  </si>
  <si>
    <t>CQI在[8;9)范围内的MR数目</t>
  </si>
  <si>
    <t>cqi_level4mrcount</t>
  </si>
  <si>
    <t>CQI在[6;8)范围内的MR数目</t>
  </si>
  <si>
    <t>cqi_level5mrcount</t>
  </si>
  <si>
    <t>CQI在[3;6)范围内的MR数目</t>
  </si>
  <si>
    <t>cqi_level6mrcount</t>
  </si>
  <si>
    <t>CQI在[1;3)范围内的MR数目</t>
  </si>
  <si>
    <t>cqi_level7mrcount</t>
  </si>
  <si>
    <t>CQI在[0;1)范围内的MR数目</t>
  </si>
  <si>
    <t>tadvcount</t>
  </si>
  <si>
    <t>TA采样点数量</t>
  </si>
  <si>
    <t>sum(ta_cnt)</t>
  </si>
  <si>
    <t>tadv_level1mrcount</t>
  </si>
  <si>
    <t>TA在[0;3)范围内的MR数目</t>
  </si>
  <si>
    <t>sum(ta_cnt_0_3)</t>
  </si>
  <si>
    <t>tadv_level2mrcount</t>
  </si>
  <si>
    <t>TA在[3;6)范围内的MR数目</t>
  </si>
  <si>
    <t>sum(ta_cnt_3_6)</t>
  </si>
  <si>
    <t>tadv_level3mrcount</t>
  </si>
  <si>
    <t>TA在[6;9)范围内的MR数目</t>
  </si>
  <si>
    <t>sum(ta_cnt_6_9)</t>
  </si>
  <si>
    <t>tadv_level4mrcount</t>
  </si>
  <si>
    <t>TA在[9;12)范围内的MR数目</t>
  </si>
  <si>
    <t>sum(ta_cnt_9_12)</t>
  </si>
  <si>
    <t>tadv_level5mrcount</t>
  </si>
  <si>
    <t>TA在[12;15)范围内的MR数目</t>
  </si>
  <si>
    <t>sum(ta_cnt_12_15)</t>
  </si>
  <si>
    <t>tadv_level6mrcount</t>
  </si>
  <si>
    <t>TA在[15;18)范围内的MR数目</t>
  </si>
  <si>
    <t>sum(ta_cnt_15_18)</t>
  </si>
  <si>
    <t>tadv_level7mrcount</t>
  </si>
  <si>
    <t>TA在[18;+∞)范围内的MR数目</t>
  </si>
  <si>
    <t>sum(ta_cnt_up_18)</t>
  </si>
  <si>
    <t>ssbeamid</t>
  </si>
  <si>
    <t>PLMN</t>
  </si>
  <si>
    <t>国际移动设备识别码</t>
  </si>
  <si>
    <t>网络切片选择辅助信息（切片/服务类型）。若有多个切片，以“,”分隔。</t>
  </si>
  <si>
    <t>网络切片选择辅助信息（切片差分器）。若有多个切片，以“,”分隔。</t>
  </si>
  <si>
    <t>数据源类型,0:电信独享 1:电信共享 2:联通共享</t>
  </si>
  <si>
    <t>栅格左上角维度</t>
  </si>
  <si>
    <t>栅格右下角维度</t>
  </si>
  <si>
    <t>中心经度</t>
  </si>
  <si>
    <t>中心纬度</t>
  </si>
  <si>
    <t>室内外位置区分结果，0：室内 1：室外 2： 未知</t>
  </si>
  <si>
    <t>totalmrlon</t>
  </si>
  <si>
    <t>sum(mrlon_total)</t>
  </si>
  <si>
    <t>totalmrlat</t>
  </si>
  <si>
    <t>sum(mrlat_total)</t>
  </si>
  <si>
    <t>validlonlat_totalmrcount</t>
  </si>
  <si>
    <t>sum(validlonlat_totalcnt)</t>
  </si>
  <si>
    <t>mdt_totalmrcount</t>
  </si>
  <si>
    <t>MDT MR数目</t>
  </si>
  <si>
    <t>置0</t>
  </si>
  <si>
    <t>event_totalmrcount</t>
  </si>
  <si>
    <t>事件性MR数目</t>
  </si>
  <si>
    <t>ssrsrp_5div_level1mrcount</t>
  </si>
  <si>
    <t>SS-RSRP在(-∞;-115)范围内的MR数目</t>
  </si>
  <si>
    <t>sum(rsrp_cnt_f156_f120 + rsrp_cnt_f120_f115)</t>
  </si>
  <si>
    <t>ssrsrp_5div_level2mrcount</t>
  </si>
  <si>
    <t>SS-RSRP在[-115;-110)范围内的MR数目</t>
  </si>
  <si>
    <t>sum(rsrp_cnt_f115_f112 + rsrp_cnt_f112_f110)</t>
  </si>
  <si>
    <t>ssrsrp_5div_level3mrcount</t>
  </si>
  <si>
    <t>SS-RSRP在[-110;-105)范围内的MR数目</t>
  </si>
  <si>
    <t>sum(rsrp_cnt_f110_f105)</t>
  </si>
  <si>
    <t>ssrsrp_5div_level4mrcount</t>
  </si>
  <si>
    <t>SS-RSRP在[-105;-100)范围内的MR数目</t>
  </si>
  <si>
    <t>ssrsrp_5div_level5mrcount</t>
  </si>
  <si>
    <t>SS-RSRP在[-100;-95)范围内的MR数目</t>
  </si>
  <si>
    <t>ssrsrp_5div_level6mrcount</t>
  </si>
  <si>
    <t>SS-RSRP在[-95;-90)范围内的MR数目</t>
  </si>
  <si>
    <t>sum(rsrp_cnt_f95_f90)</t>
  </si>
  <si>
    <t>ssrsrp_5div_level7mrcount</t>
  </si>
  <si>
    <t>SS-RSRP在[-90;-85)范围内的MR数目</t>
  </si>
  <si>
    <t>sum(rsrp_cnt_f90_f85)</t>
  </si>
  <si>
    <t>ssrsrp_5div_level8mrcount</t>
  </si>
  <si>
    <t>SS-RSRP在[-85;-80)范围内的MR数目</t>
  </si>
  <si>
    <t>sum(rsrp_cnt_f85_f80)</t>
  </si>
  <si>
    <t>ssrsrp_5div_level9mrcount</t>
  </si>
  <si>
    <t>SS-RSRP在[-80;-75)范围内的MR数目</t>
  </si>
  <si>
    <t>sum(rsrp_cnt_f80_f75)</t>
  </si>
  <si>
    <t>ssrsrp_5div_level10mrcount</t>
  </si>
  <si>
    <t>SS-RSRP在[-75;-70)范围内的MR数目</t>
  </si>
  <si>
    <t>sum(rsrp_cnt_f75_f70)</t>
  </si>
  <si>
    <t>ssrsrp_5div_level11mrcount</t>
  </si>
  <si>
    <t>SS-RSRP在[-70;-65)范围内的MR数目</t>
  </si>
  <si>
    <t>sum(rsrp_cnt_f70_f65)</t>
  </si>
  <si>
    <t>ssrsrp_5div_level12mrcount</t>
  </si>
  <si>
    <t>SS-RSRP在[-65;+∞)范围内的MR数目</t>
  </si>
  <si>
    <t>sum(rsrp_cnt_f65_f29)</t>
  </si>
  <si>
    <t>totalssrsrq</t>
  </si>
  <si>
    <t>总SS-RSRQ值</t>
  </si>
  <si>
    <t>sum(rsrq_total)</t>
  </si>
  <si>
    <t>avgssrsrq</t>
  </si>
  <si>
    <t>平均SS-RSRQ值</t>
  </si>
  <si>
    <t>sum(rsrq_total)/sum(rsrq_cnt)</t>
  </si>
  <si>
    <t>ssrsrq_5div_level1mrcount</t>
  </si>
  <si>
    <t>SS-RSRQ在[-43,-19)范围内的MR数目</t>
  </si>
  <si>
    <t>ssrsrq_5div_level2mrcount</t>
  </si>
  <si>
    <t>SS-RSRQ在[-19,-16)范围内的MR数目</t>
  </si>
  <si>
    <t>ssrsrq_5div_level3mrcount</t>
  </si>
  <si>
    <t>SS-RSRQ在[-16,-13)范围内的MR数目</t>
  </si>
  <si>
    <t>ssrsrq_5div_level4mrcount</t>
  </si>
  <si>
    <t>SS-RSRQ在[-13,-10)范围内的MR数目</t>
  </si>
  <si>
    <t>ssrsrq_5div_level5mrcount</t>
  </si>
  <si>
    <t>SS-RSRQ在[-10,-7)范围内的MR数目</t>
  </si>
  <si>
    <t>ssrsrq_5div_level6mrcount</t>
  </si>
  <si>
    <t>SS-RSRQ在[-7,-4)范围内的MR数目</t>
  </si>
  <si>
    <t>ssrsrq_5div_level7mrcount</t>
  </si>
  <si>
    <t>SS-RSRQ在[-4,-1)范围内的MR数目</t>
  </si>
  <si>
    <t>sum(rsrq_cnt_f4_f1)</t>
  </si>
  <si>
    <t>ssrsrq_5div_level8mrcount</t>
  </si>
  <si>
    <t>SS-RSRQ在[-1,2)范围内的MR数目</t>
  </si>
  <si>
    <t>sum(rsrq_cnt_f1_2)</t>
  </si>
  <si>
    <t>ssrsrq_5div_level9mrcount</t>
  </si>
  <si>
    <t>SS-RSRQ在[2,5)范围内的MR数目</t>
  </si>
  <si>
    <t>sum(rsrq_cnt_2_5)</t>
  </si>
  <si>
    <t>ssrsrq_5div_level10mrcount</t>
  </si>
  <si>
    <t>SS-RSRQ在[5,8)范围内的MR数目</t>
  </si>
  <si>
    <t>sum(rsrq_cnt_5_8)</t>
  </si>
  <si>
    <t>ssrsrq_5div_level11mrcount</t>
  </si>
  <si>
    <t>SS-RSRQ在[8,11)范围内的MR数目</t>
  </si>
  <si>
    <t>sum(rsrq_cnt_8_11)</t>
  </si>
  <si>
    <t>ssrsrq_5div_level12mrcount</t>
  </si>
  <si>
    <t>SS-RSRQ在[11,21]范围内的MR数目</t>
  </si>
  <si>
    <t>sum(rsrq_cnt_11_21)</t>
  </si>
  <si>
    <t>ssrsrqgoodcount</t>
  </si>
  <si>
    <t>SS-RSRQ优良数(&gt;=-13)</t>
  </si>
  <si>
    <t>sum(rsrq_good_cnt_f13)</t>
  </si>
  <si>
    <t>ssrsrqgoodratio</t>
  </si>
  <si>
    <t>SS-RSRQ优良比例</t>
  </si>
  <si>
    <t>sum(rsrq_good_cnt_f13)/sum(rsrq_cnt)</t>
  </si>
  <si>
    <t>sssinrcount</t>
  </si>
  <si>
    <t>SS-SINR计数</t>
  </si>
  <si>
    <t>totalsssinr</t>
  </si>
  <si>
    <t>总SS-SINR值</t>
  </si>
  <si>
    <t>avgsssinr</t>
  </si>
  <si>
    <t>平均SS-SINR值</t>
  </si>
  <si>
    <t>sssinr_5div_level1mrcount</t>
  </si>
  <si>
    <t>SS-SINR在(-∞,-15)范围内的MR数目</t>
  </si>
  <si>
    <t>sum(ulsinr_cnt_f23_f15)</t>
  </si>
  <si>
    <t>sssinr_5div_level2mrcount</t>
  </si>
  <si>
    <t>SS-SINR在[-15,-10)范围内的MR数目</t>
  </si>
  <si>
    <t>sum(ulsinr_cnt_f15_f10)</t>
  </si>
  <si>
    <t>sssinr_5div_level3mrcount</t>
  </si>
  <si>
    <t>SS-SINR在[-10,-7)范围内的MR数目</t>
  </si>
  <si>
    <t>sum(ulsinr_cnt_f10_f7)</t>
  </si>
  <si>
    <t>sssinr_5div_level4mrcount</t>
  </si>
  <si>
    <t>SS-SINR在[-7,-2)范围内的MR数目</t>
  </si>
  <si>
    <t>sum(ulsinr_cnt_f7_f2)</t>
  </si>
  <si>
    <t>sssinr_5div_level5mrcount</t>
  </si>
  <si>
    <t>SS-SINR在[-2,3)范围内的MR数目</t>
  </si>
  <si>
    <t>sum(ulsinr_cnt_f2_3)</t>
  </si>
  <si>
    <t>sssinr_5div_level6mrcount</t>
  </si>
  <si>
    <t>SS-SINR在[3,8)范围内的MR数目</t>
  </si>
  <si>
    <t>sum(ulsinr_cnt_3_8)</t>
  </si>
  <si>
    <t>sssinr_5div_level7mrcount</t>
  </si>
  <si>
    <t>SS-SINR在[8,13)范围内的MR数目</t>
  </si>
  <si>
    <t>sum(ulsinr_cnt_8_13)</t>
  </si>
  <si>
    <t>sssinr_5div_level8mrcount</t>
  </si>
  <si>
    <t>SS-SINR在[13,18)范围内的MR数目</t>
  </si>
  <si>
    <t>sum(ulsinr_cnt_13_18)</t>
  </si>
  <si>
    <t>sssinr_5div_level9mrcount</t>
  </si>
  <si>
    <t>SS-SINR在[18,23)范围内的MR数目</t>
  </si>
  <si>
    <t>sum(ulsinr_cnt_18_23)</t>
  </si>
  <si>
    <t>sssinr_5div_level10mrcount</t>
  </si>
  <si>
    <t>SS-SINR在[23,28)范围内的MR数目</t>
  </si>
  <si>
    <t>sum(ulsinr_cnt_23_28)</t>
  </si>
  <si>
    <t>sssinr_5div_level11mrcount</t>
  </si>
  <si>
    <t>SS-SINR在[28,33)范围内的MR数目</t>
  </si>
  <si>
    <t>sum(ulsinr_cnt_28_33)</t>
  </si>
  <si>
    <t>sssinr_5div_level12mrcount</t>
  </si>
  <si>
    <t>SS-SINR在[33,+∞)范围内的MR数目</t>
  </si>
  <si>
    <t>sum(ulsinr_cnt_33_41)</t>
  </si>
  <si>
    <t>sssinrgoodcount</t>
  </si>
  <si>
    <t>SS-SINR优良数(&gt;=0)</t>
  </si>
  <si>
    <t>sssinrgoodratio</t>
  </si>
  <si>
    <t>SS-SINR优良比例(&gt;=0)</t>
  </si>
  <si>
    <t>totaltadv</t>
  </si>
  <si>
    <t>总tadv值</t>
  </si>
  <si>
    <t>sum(ta_total)</t>
  </si>
  <si>
    <t>avgtadv</t>
  </si>
  <si>
    <t>平均tadv值</t>
  </si>
  <si>
    <t>sum(ta_total)/sum(ta_cnt)</t>
  </si>
  <si>
    <t>tadv_5div_level1mrcount</t>
  </si>
  <si>
    <t>tadv在[0,3)范围内的MR数目</t>
  </si>
  <si>
    <t>tadv_5div_level2mrcount</t>
  </si>
  <si>
    <t>tadv在[3,6)范围内的MR数目</t>
  </si>
  <si>
    <t>tadv_5div_level3mrcount</t>
  </si>
  <si>
    <t>tadv在[6,9)范围内的MR数目</t>
  </si>
  <si>
    <t>tadv_5div_level4mrcount</t>
  </si>
  <si>
    <t>tadv在[9,12)范围内的MR数目</t>
  </si>
  <si>
    <t>tadv_5div_level5mrcount</t>
  </si>
  <si>
    <t>tadv在[12,15)范围内的MR数目</t>
  </si>
  <si>
    <t>tadv_5div_level6mrcount</t>
  </si>
  <si>
    <t>tadv在[15,18)范围内的MR数目</t>
  </si>
  <si>
    <t>tadv_5div_level7mrcount</t>
  </si>
  <si>
    <t>sum(ta_cnt_18_21)</t>
  </si>
  <si>
    <t>tadv_5div_level8mrcount</t>
  </si>
  <si>
    <t>sum(ta_cnt_21_30)</t>
  </si>
  <si>
    <t>tadv_5div_level9mrcount</t>
  </si>
  <si>
    <t>sum(ta_cnt_30_40)</t>
  </si>
  <si>
    <t>tadv_5div_level10mrcount</t>
  </si>
  <si>
    <t>sum(ta_cnt_40_50)</t>
  </si>
  <si>
    <t>tadv_5div_level11mrcount</t>
  </si>
  <si>
    <t>sum(ta_cnt_50_60)</t>
  </si>
  <si>
    <t>tadv_5div_level12mrcount</t>
  </si>
  <si>
    <t>sum(ta_cnt_up_60)</t>
  </si>
  <si>
    <t>weakcover_totalssrsrp</t>
  </si>
  <si>
    <t>弱覆盖MR总SS-RSRP值</t>
  </si>
  <si>
    <t>weakcover_avgssrsrp</t>
  </si>
  <si>
    <t>弱覆盖MR平均SS-RSRP值</t>
  </si>
  <si>
    <t>overlap_totalssrsrp</t>
  </si>
  <si>
    <t>重叠覆盖MR总SS-RSRP值</t>
  </si>
  <si>
    <t>overlap_avgssrsrp</t>
  </si>
  <si>
    <t>重叠覆盖MR平均SS-RSRP值</t>
  </si>
  <si>
    <t>overshoot_totalssrsrp</t>
  </si>
  <si>
    <t>过覆盖MR总SS-RSRP值</t>
  </si>
  <si>
    <t>overshoot_avgssrsrp</t>
  </si>
  <si>
    <t>过覆盖MR平均SS-RSRP值</t>
  </si>
  <si>
    <t>MOD30干扰RSRP总值</t>
  </si>
  <si>
    <t>sum(mod30interfer_totalrsrp)</t>
  </si>
  <si>
    <t>mod30interfer_mrcount</t>
  </si>
  <si>
    <t>MOD30干扰MR数量</t>
  </si>
  <si>
    <t>sum(mod30interfer_cnt)</t>
  </si>
  <si>
    <t>mod30interfer_avgrsrp</t>
  </si>
  <si>
    <t>MOD30干扰RSRP平均值</t>
  </si>
  <si>
    <t>sum(mod30interfer_totalrsrp)/sum(mod30interfer_cnt)</t>
  </si>
  <si>
    <t>mod30interfer_mrratio</t>
  </si>
  <si>
    <t>MOD30干扰MR占比</t>
  </si>
  <si>
    <t>sum(B.mod30interfer_cnt)/sum(A.rsrp_cnt)</t>
  </si>
  <si>
    <t>compgoodcovernum</t>
  </si>
  <si>
    <t>综合良好覆盖MR数</t>
  </si>
  <si>
    <t>sum(rsrpf110_sinrf3_cnt)</t>
  </si>
  <si>
    <t>rsrp95_sinrf3</t>
  </si>
  <si>
    <t>sum(rsrpf95_sinrf3_cnt)</t>
  </si>
  <si>
    <t>rsrp95_sinr0</t>
  </si>
  <si>
    <t>sum(rsrpf95_sinr0_cnt)</t>
  </si>
  <si>
    <t>rsrp95_sinr3</t>
  </si>
  <si>
    <t>sum(rsrpf95_sinr3_cnt)</t>
  </si>
  <si>
    <t>rsrp95_sinr10</t>
  </si>
  <si>
    <t>sum(rsrpf95_sinr10_cnt)</t>
  </si>
  <si>
    <t>rsrp100_sinrf3</t>
  </si>
  <si>
    <t>sum(rsrpf100_sinrf3_cnt)</t>
  </si>
  <si>
    <t>rsrp100_sinr0</t>
  </si>
  <si>
    <t>sum(rsrpf100_sinr0_cnt)</t>
  </si>
  <si>
    <t>rsrp100_sinr3</t>
  </si>
  <si>
    <t>sum(rsrpf100_sinr3_cnt)</t>
  </si>
  <si>
    <t>rsrp105_sinrf3</t>
  </si>
  <si>
    <t>sum(rsrpf105_sinrf3_cnt)</t>
  </si>
  <si>
    <t>rsrp105_sinr0</t>
  </si>
  <si>
    <t>sum(rsrpf105_sinr0_cnt)</t>
  </si>
  <si>
    <t>rsrp105_sinr3</t>
  </si>
  <si>
    <t>sum(rsrpf105_sinr3_cnt)</t>
  </si>
  <si>
    <t>rsrp110_sinrf3</t>
  </si>
  <si>
    <t>rsrp110_sinr0</t>
  </si>
  <si>
    <t>sum(rsrpf110_sinr0_cnt)</t>
  </si>
  <si>
    <t>rsrp110_sinr3</t>
  </si>
  <si>
    <t>sum(rsrpf110_sinr3_cnt)</t>
  </si>
  <si>
    <t>validrsrp_sinr_totalmrcount</t>
  </si>
  <si>
    <t>rsrq且SINR有效采样点个数</t>
  </si>
  <si>
    <t>sum(validrsrp_sinr_cnt)</t>
  </si>
  <si>
    <t>avgmrlon</t>
  </si>
  <si>
    <t>sum(mrlon_total)/sum(validlonlat_totalcnt)</t>
  </si>
  <si>
    <t>avgmrlat</t>
  </si>
  <si>
    <t>sum(mrlat_total)/sum(validlonlat_totalcnt)</t>
  </si>
  <si>
    <t>sum(rsrp_cnt_f112_f110)</t>
  </si>
  <si>
    <t>sum(rsrp_cnt_f115_f112)</t>
  </si>
  <si>
    <t>sum(rsrp_cnt_f120_f115)</t>
  </si>
  <si>
    <t>sum(rsrp_cnt_f156_f120)</t>
  </si>
  <si>
    <t>1、计算A表sum(weakcover_mrcount)
2、计算B表sum(bad_mr_cnt)
3、比较1、2两步的结果，取max</t>
  </si>
  <si>
    <t>sum(ta_cnt_0_1)</t>
  </si>
  <si>
    <t>sum(ta_cnt_1_3)</t>
  </si>
  <si>
    <t>sum(ta_cnt_3_5)</t>
  </si>
  <si>
    <t>sum(ta_cnt_5_7)</t>
  </si>
  <si>
    <t>sum(ta_cnt_7_9)</t>
  </si>
  <si>
    <t>sum(ta_cnt_9_11)</t>
  </si>
  <si>
    <t>sum(ta_cnt_11_13)</t>
  </si>
  <si>
    <t>sum(ta_cnt_13_15)</t>
  </si>
  <si>
    <t>sum(ta_cnt_15_17)</t>
  </si>
  <si>
    <t>sum(ta_cnt_17_19)</t>
  </si>
  <si>
    <t>sum(ta_cnt_19_21)</t>
  </si>
  <si>
    <t>sum(ta_cnt_21_23)</t>
  </si>
  <si>
    <t>sum(ta_cnt_23_29)</t>
  </si>
  <si>
    <t>sum(ta_cnt_19_35)</t>
  </si>
  <si>
    <t>sum(ta_cnt_35_41)</t>
  </si>
  <si>
    <t>sum(ta_cnt_41_47)</t>
  </si>
  <si>
    <t>sum(ta_cnt_47_53)</t>
  </si>
  <si>
    <t>sum(ta_cnt_53_73)</t>
  </si>
  <si>
    <t>sum(ta_cnt_73_93)</t>
  </si>
  <si>
    <t>sum(ta_cnt_93_113)</t>
  </si>
  <si>
    <t>sum(ta_cnt_113_255)</t>
  </si>
  <si>
    <t>sum(ta_cnt_up_255)</t>
  </si>
  <si>
    <t>sum(period_totalmrcount)</t>
  </si>
  <si>
    <t>sum(totalssrsrp)</t>
  </si>
  <si>
    <t>sum(totalssrsrp)/sum(ssrsrpcount)</t>
  </si>
  <si>
    <t>sum(ssrsrpcount)</t>
  </si>
  <si>
    <t>sum(ssrsrp_level1mrcount)</t>
  </si>
  <si>
    <t>sum(ssrsrp_level2mrcount)</t>
  </si>
  <si>
    <t>sum(ssrsrp_level3mrcount)</t>
  </si>
  <si>
    <t>sum(ssrsrp_level4mrcount)</t>
  </si>
  <si>
    <t>sum(ssrsrp_level5mrcount)</t>
  </si>
  <si>
    <t>sum(ssrsrp_level6mrcount)</t>
  </si>
  <si>
    <t>sum(ssrsrp_level7mrcount)</t>
  </si>
  <si>
    <t>sum(ssrsrpgoodcount)</t>
  </si>
  <si>
    <t>sum(ssrsrpgoodcount)/sum(ssrsrpcount)</t>
  </si>
  <si>
    <t>sum(totaldlsinr)</t>
  </si>
  <si>
    <t>sum(totaldlsinr)/sum(dlsinrcount)</t>
  </si>
  <si>
    <t>sum(dlsinrcount)</t>
  </si>
  <si>
    <t>sum(dlsinr_level1mrcount)</t>
  </si>
  <si>
    <t>sum(dlsinr_level2mrcount)</t>
  </si>
  <si>
    <t>sum(dlsinr_level3mrcount)</t>
  </si>
  <si>
    <t>sum(dlsinr_level4mrcount)</t>
  </si>
  <si>
    <t>sum(dlsinr_level5mrcount)</t>
  </si>
  <si>
    <t>sum(dlsinr_level6mrcount)</t>
  </si>
  <si>
    <t>sum(dlsinr_level7mrcount)</t>
  </si>
  <si>
    <t>sum(dlsinrgoodcount)</t>
  </si>
  <si>
    <t>sum(dlsinrgoodcount)/sum(dlsinrcount)</t>
  </si>
  <si>
    <t>sum(weakcover_totalrsrp)</t>
  </si>
  <si>
    <t>sum(weakcover_mrcount)</t>
  </si>
  <si>
    <t>sum(weakcover_totalrsrp)/sum(weakcover_mrcount)</t>
  </si>
  <si>
    <t>sum(weakcover_mrcount)/sum(ssrsrpcount)</t>
  </si>
  <si>
    <t>sum(overlap_mrcount)</t>
  </si>
  <si>
    <t>sum(overlap_totalrsrp)/sum(overlap_mrcount)</t>
  </si>
  <si>
    <t>sum(overlap_mrcount)/sum(ssrsrpcount)</t>
  </si>
  <si>
    <t>sum(overshoot_mrcount)</t>
  </si>
  <si>
    <t>sum(overshoot_totalrsrp)/sum(overshoot_mrcount)</t>
  </si>
  <si>
    <t>sum(celmr_totaldis)</t>
  </si>
  <si>
    <t>sum(celmr_discount)</t>
  </si>
  <si>
    <t>sum(celmr_totaldis)/sum(celmr_discount)</t>
  </si>
  <si>
    <t>sum(ssrsrpcoveragecount)</t>
  </si>
  <si>
    <t>sum(ssrsrqcount)</t>
  </si>
  <si>
    <t>sum(ssrsrq_level1mrcount)</t>
  </si>
  <si>
    <t>sum(ssrsrq_level2mrcount)</t>
  </si>
  <si>
    <t>sum(ssrsrq_level3mrcount)</t>
  </si>
  <si>
    <t>sum(ssrsrq_level4mrcount)</t>
  </si>
  <si>
    <t>sum(ssrsrq_level5mrcount)</t>
  </si>
  <si>
    <t>sum(ssrsrq_level6mrcount)</t>
  </si>
  <si>
    <t>sum(ssrsrq_level7mrcount)</t>
  </si>
  <si>
    <t>sum(ulsinrcount)</t>
  </si>
  <si>
    <t>sum(ulsinr_level1mrcount)</t>
  </si>
  <si>
    <t>sum(ulsinr_level2mrcount)</t>
  </si>
  <si>
    <t>sum(ulsinr_level3mrcount)</t>
  </si>
  <si>
    <t>sum(ulsinr_level4mrcount)</t>
  </si>
  <si>
    <t>sum(ulsinr_level5mrcount)</t>
  </si>
  <si>
    <t>sum(ulsinr_level6mrcount)</t>
  </si>
  <si>
    <t>sum(ulsinr_level7mrcount)</t>
  </si>
  <si>
    <t>sum(tadvcount)</t>
  </si>
  <si>
    <t>sum(tadv_level1mrcount)</t>
  </si>
  <si>
    <t>sum(tadv_level2mrcount)</t>
  </si>
  <si>
    <t>sum(tadv_level3mrcount)</t>
  </si>
  <si>
    <t>sum(tadv_level4mrcount)</t>
  </si>
  <si>
    <t>sum(tadv_level5mrcount)</t>
  </si>
  <si>
    <t>sum(tadv_level6mrcount)</t>
  </si>
  <si>
    <t>sum(tadv_level7mrcount)</t>
  </si>
  <si>
    <t>sum(totalmrlon)</t>
  </si>
  <si>
    <t>sum(totalmrlat)</t>
  </si>
  <si>
    <t>sum(validlonlat_totalmrcount)</t>
  </si>
  <si>
    <t>sum(ssrsrp_5div_level1mrcount)</t>
  </si>
  <si>
    <t>sum(ssrsrp_5div_level2mrcount)</t>
  </si>
  <si>
    <t>sum(ssrsrp_5div_level3mrcount)</t>
  </si>
  <si>
    <t>sum(ssrsrp_5div_level4mrcount)</t>
  </si>
  <si>
    <t>sum(ssrsrp_5div_level5mrcount)</t>
  </si>
  <si>
    <t>sum(ssrsrp_5div_level6mrcount)</t>
  </si>
  <si>
    <t>sum(ssrsrp_5div_level7mrcount)</t>
  </si>
  <si>
    <t>sum(ssrsrp_5div_level8mrcount)</t>
  </si>
  <si>
    <t>sum(ssrsrp_5div_level9mrcount)</t>
  </si>
  <si>
    <t>sum(ssrsrp_5div_level10mrcount)</t>
  </si>
  <si>
    <t>sum(ssrsrp_5div_level11mrcount)</t>
  </si>
  <si>
    <t>sum(ssrsrp_5div_level12mrcount)</t>
  </si>
  <si>
    <t>sum(totalssrsrq)</t>
  </si>
  <si>
    <t>sum(totalssrsrq)/sum(ssrsrqcount)</t>
  </si>
  <si>
    <t>sum(ssrsrq_5div_level1mrcount)</t>
  </si>
  <si>
    <t>sum(ssrsrq_5div_level2mrcount)</t>
  </si>
  <si>
    <t>sum(ssrsrq_5div_level3mrcount)</t>
  </si>
  <si>
    <t>sum(ssrsrq_5div_level4mrcount)</t>
  </si>
  <si>
    <t>sum(ssrsrq_5div_level5mrcount)</t>
  </si>
  <si>
    <t>sum(ssrsrq_5div_level6mrcount)</t>
  </si>
  <si>
    <t>sum(ssrsrq_5div_level7mrcount)</t>
  </si>
  <si>
    <t>sum(ssrsrq_5div_level8mrcount)</t>
  </si>
  <si>
    <t>sum(ssrsrq_5div_level9mrcount)</t>
  </si>
  <si>
    <t>sum(ssrsrq_5div_level10mrcount)</t>
  </si>
  <si>
    <t>sum(ssrsrq_5div_level11mrcount)</t>
  </si>
  <si>
    <t>sum(ssrsrq_5div_level12mrcount)</t>
  </si>
  <si>
    <t>sum(ssrsrqgoodcount)</t>
  </si>
  <si>
    <t>sum(ssrsrqgoodcount)/sum(ssrsrqcount)</t>
  </si>
  <si>
    <t>sum(sssinrcount)</t>
  </si>
  <si>
    <t>sum(totalsssinr)</t>
  </si>
  <si>
    <t>sum(totalsssinr)/sum(sssinrcount)</t>
  </si>
  <si>
    <t>sum(sssinr_5div_level1mrcount)</t>
  </si>
  <si>
    <t>sum(sssinr_5div_level2mrcount)</t>
  </si>
  <si>
    <t>sum(sssinr_5div_level3mrcount)</t>
  </si>
  <si>
    <t>sum(sssinr_5div_level4mrcount)</t>
  </si>
  <si>
    <t>sum(sssinr_5div_level5mrcount)</t>
  </si>
  <si>
    <t>sum(sssinr_5div_level6mrcount)</t>
  </si>
  <si>
    <t>sum(sssinr_5div_level7mrcount)</t>
  </si>
  <si>
    <t>sum(sssinr_5div_level8mrcount)</t>
  </si>
  <si>
    <t>sum(sssinr_5div_level9mrcount)</t>
  </si>
  <si>
    <t>sum(sssinr_5div_level10mrcount)</t>
  </si>
  <si>
    <t>sum(sssinr_5div_level11mrcount)</t>
  </si>
  <si>
    <t>sum(sssinr_5div_level12mrcount)</t>
  </si>
  <si>
    <t>sum(sssinrgoodcount)</t>
  </si>
  <si>
    <t>sum(sssinrgoodcount)/sum(sssinrcount)</t>
  </si>
  <si>
    <t>sum(totaltadv)</t>
  </si>
  <si>
    <t>sum(totaltadv)/sum(tadvcount)</t>
  </si>
  <si>
    <t>sum(tadv_5div_level1mrcount)</t>
  </si>
  <si>
    <t>sum(tadv_5div_level2mrcount)</t>
  </si>
  <si>
    <t>sum(tadv_5div_level3mrcount)</t>
  </si>
  <si>
    <t>sum(tadv_5div_level4mrcount)</t>
  </si>
  <si>
    <t>sum(tadv_5div_level5mrcount)</t>
  </si>
  <si>
    <t>sum(tadv_5div_level6mrcount)</t>
  </si>
  <si>
    <t>sum(tadv_5div_level7mrcount)</t>
  </si>
  <si>
    <t>sum(tadv_5div_level8mrcount)</t>
  </si>
  <si>
    <t>sum(tadv_5div_level9mrcount)</t>
  </si>
  <si>
    <t>sum(tadv_5div_level10mrcount)</t>
  </si>
  <si>
    <t>sum(tadv_5div_level11mrcount)</t>
  </si>
  <si>
    <t>sum(tadv_5div_level12mrcount)</t>
  </si>
  <si>
    <t>sum(weakcover_totalssrsrp)</t>
  </si>
  <si>
    <t>sum(weakcover_totalssrsrp)/sum(weakcover_mrcount)</t>
  </si>
  <si>
    <t>sum(overlap_totalssrsrp)</t>
  </si>
  <si>
    <t>sum(overlap_totalssrsrp)/sum(overlap_mrcount)</t>
  </si>
  <si>
    <t>sum(overshoot_totalssrsrp)</t>
  </si>
  <si>
    <t>sum(overshoot_totalssrsrp)/sum(overshoot_mrcount)</t>
  </si>
  <si>
    <t>sum(mod30interfer_mrcount)</t>
  </si>
  <si>
    <t>sum(mod30interfer_totalrsrp)/sum(mod30interfer_mrcount)</t>
  </si>
  <si>
    <t>sum(mod30interfer_mrcount)/sum(ssrsrpcount)</t>
  </si>
  <si>
    <t>sum(compgoodcovernum)</t>
  </si>
  <si>
    <t>sum(rsrp95_sinrf3)</t>
  </si>
  <si>
    <t>sum(rsrp95_sinr0)</t>
  </si>
  <si>
    <t>sum(rsrp95_sinr3)</t>
  </si>
  <si>
    <t>sum(rsrp95_sinr10)</t>
  </si>
  <si>
    <t>sum(rsrp100_sinrf3)</t>
  </si>
  <si>
    <t>sum(rsrp100_sinr0)</t>
  </si>
  <si>
    <t>sum(rsrp100_sinr3)</t>
  </si>
  <si>
    <t>sum(rsrp105_sinrf3)</t>
  </si>
  <si>
    <t>sum(rsrp105_sinr0)</t>
  </si>
  <si>
    <t>sum(rsrp105_sinr3)</t>
  </si>
  <si>
    <t>sum(rsrp110_sinrf3)</t>
  </si>
  <si>
    <t>sum(rsrp110_sinr0)</t>
  </si>
  <si>
    <t>sum(rsrp110_sinr3)</t>
  </si>
  <si>
    <t>sum(validrsrp_sinr_totalmrcount)</t>
  </si>
  <si>
    <t>sum(totalmrlon)/sum(validlonlat_totalmrcount)</t>
  </si>
  <si>
    <t>sum(totalmrlat)/sum(validlonlat_totalmrcount)</t>
  </si>
  <si>
    <t>sum(bad_mr_cnt)</t>
  </si>
  <si>
    <t>刻钟</t>
  </si>
  <si>
    <t>Mod30干扰RSRP总值</t>
  </si>
  <si>
    <t>Mod30干扰MR数目</t>
  </si>
  <si>
    <t>弱覆盖RSRP总值</t>
  </si>
  <si>
    <t>弱覆盖MR数目</t>
  </si>
  <si>
    <t>5G MR用户常驻栅格驻留天表</t>
  </si>
  <si>
    <r>
      <rPr>
        <sz val="9"/>
        <color theme="1"/>
        <rFont val="微软雅黑"/>
        <family val="2"/>
        <charset val="134"/>
      </rPr>
      <t>1、将aggr_nr_coverage_reduce_usrcelgrd_h按照用户小区进行天粒度汇聚，得到用户小区维度，指标包含驻留quarter数，</t>
    </r>
    <r>
      <rPr>
        <sz val="9"/>
        <color rgb="FFFF0000"/>
        <rFont val="微软雅黑"/>
        <family val="2"/>
        <charset val="134"/>
      </rPr>
      <t>不要用“LATERAL VIEW explode(hour_quarter_list)”，用UDF函数实现</t>
    </r>
    <r>
      <rPr>
        <sz val="9"/>
        <color theme="1"/>
        <rFont val="微软雅黑"/>
        <family val="2"/>
        <charset val="134"/>
      </rPr>
      <t xml:space="preserve">
2、筛选出驻留时刻数为&gt;=9的用户小区对应关系
3、经过第二步之后，若存在用户驻留小区均不满足&gt;=9条件，则取驻留时刻数最多的用户小区关系
4、通过2、3步骤之后，得到用户常驻小区清单
5、使用第4步结果用户常驻小区对应关系，与表A使用inner join关联，关联条件：用户+小区；关联后按照用户栅格进行汇聚</t>
    </r>
  </si>
  <si>
    <t>过滤条件：period_totalmrcount&gt;=2</t>
  </si>
  <si>
    <t>area_id</t>
  </si>
  <si>
    <t>DBSCAN聚区获取</t>
  </si>
  <si>
    <t>area_regionid</t>
  </si>
  <si>
    <t>区域栅格ID</t>
  </si>
  <si>
    <t>area_x_offset_20</t>
  </si>
  <si>
    <t>区域栅格X轴20米偏移</t>
  </si>
  <si>
    <t>area_y_offset_20</t>
  </si>
  <si>
    <t>区域栅格Y轴20米偏移</t>
  </si>
  <si>
    <t>area_lon</t>
  </si>
  <si>
    <t>区域中心经度</t>
  </si>
  <si>
    <t>area_lat</t>
  </si>
  <si>
    <t>区域中心纬度</t>
  </si>
  <si>
    <t>栅格ID</t>
  </si>
  <si>
    <t>栅格X轴20米偏移</t>
  </si>
  <si>
    <t>栅格Y轴20米偏移</t>
  </si>
  <si>
    <t>5G MR用户聚区区域用户小区栅格天表</t>
  </si>
  <si>
    <t>A、B表通过inner join关联，关联条件：regionid+x_offset_20+y_offset_20+imsi
按照imsi,cellkey,hour,quarter分组，取区域中采样点quarter_totalmrcount最多的一条记录</t>
  </si>
  <si>
    <t>区域栅格坐标x轴偏移</t>
  </si>
  <si>
    <t>区域栅格坐标y轴偏移</t>
  </si>
  <si>
    <t>区域经度</t>
  </si>
  <si>
    <t>区域纬度</t>
  </si>
  <si>
    <t>MDT MR采样点数量</t>
  </si>
  <si>
    <t>事件MR采样点数量</t>
  </si>
  <si>
    <t>ssrsrp_level8mrcount</t>
  </si>
  <si>
    <t>ssrsrp_level9mrcount</t>
  </si>
  <si>
    <t>ssrsrp_level10mrcount</t>
  </si>
  <si>
    <t>ssrsrp_level11mrcount</t>
  </si>
  <si>
    <t>ssrsrp_level12mrcount</t>
  </si>
  <si>
    <t>SS-RSRP优良数(&gt;=-105)</t>
  </si>
  <si>
    <t>SS-RSRP优良比例(&gt;=-105)</t>
  </si>
  <si>
    <t>SS-RSRQ在(-∞;-20)范围内的MR数目</t>
  </si>
  <si>
    <t>SS-RSRQ在[-20;-17)范围内的MR数目</t>
  </si>
  <si>
    <t>SS-RSRQ在[-17;-13.5)范围内的MR数目</t>
  </si>
  <si>
    <t>SS-RSRQ在[-13.5;-10)范围内的MR数目</t>
  </si>
  <si>
    <t>SS-RSRQ在[-10;-7)范围内的MR数目</t>
  </si>
  <si>
    <t>SS-RSRQ在[-7;-4)范围内的MR数目</t>
  </si>
  <si>
    <t>SS-RSRQ在[-4;-1)范围内的MR数目</t>
  </si>
  <si>
    <t>ssrsrq_level8mrcount</t>
  </si>
  <si>
    <t>SS-RSRQ在[-1;2)范围内的MR数目</t>
  </si>
  <si>
    <t>ssrsrq_level9mrcount</t>
  </si>
  <si>
    <t>SS-RSRQ在[2;5)范围内的MR数目</t>
  </si>
  <si>
    <t>ssrsrq_level10mrcount</t>
  </si>
  <si>
    <t>SS-RSRQ在[5;8)范围内的MR数目</t>
  </si>
  <si>
    <t>ssrsrq_level11mrcount</t>
  </si>
  <si>
    <t>SS-RSRQ在[8;11)范围内的MR数目</t>
  </si>
  <si>
    <t>ssrsrq_level12mrcount</t>
  </si>
  <si>
    <t>SS-RSRQ在[11;+∞)范围内的MR数目</t>
  </si>
  <si>
    <t>SS-RSRQ优良比例(&gt;=-13)</t>
  </si>
  <si>
    <t>sssinr_level1mrcount</t>
  </si>
  <si>
    <t>SS-SINR在(-∞;-15)范围内的MR数目</t>
  </si>
  <si>
    <t>sssinr_level2mrcount</t>
  </si>
  <si>
    <t>SS-SINR在[-15;-10)范围内的MR数目</t>
  </si>
  <si>
    <t>sssinr_level3mrcount</t>
  </si>
  <si>
    <t>SS-SINR在[-10;-7)范围内的MR数目</t>
  </si>
  <si>
    <t>sssinr_level4mrcount</t>
  </si>
  <si>
    <t>SS-SINR在[-7;-2)范围内的MR数目</t>
  </si>
  <si>
    <t>sssinr_level5mrcount</t>
  </si>
  <si>
    <t>SS-SINR在[-2;3)范围内的MR数目</t>
  </si>
  <si>
    <t>sssinr_level6mrcount</t>
  </si>
  <si>
    <t>SS-SINR在[3;8)范围内的MR数目</t>
  </si>
  <si>
    <t>sssinr_level7mrcount</t>
  </si>
  <si>
    <t>SS-SINR在[8;13)范围内的MR数目</t>
  </si>
  <si>
    <t>sssinr_level8mrcount</t>
  </si>
  <si>
    <t>SS-SINR在[13;18)范围内的MR数目</t>
  </si>
  <si>
    <t>sssinr_level9mrcount</t>
  </si>
  <si>
    <t>SS-SINR在[18;23)范围内的MR数目</t>
  </si>
  <si>
    <t>sssinr_level10mrcount</t>
  </si>
  <si>
    <t>SS-SINR在[23;28)范围内的MR数目</t>
  </si>
  <si>
    <t>sssinr_level11mrcount</t>
  </si>
  <si>
    <t>SS-SINR在[28;33)范围内的MR数目</t>
  </si>
  <si>
    <t>sssinr_level12mrcount</t>
  </si>
  <si>
    <t>SS-SINR在[33;+∞)范围内的MR数目</t>
  </si>
  <si>
    <t>弱覆盖MR总数</t>
  </si>
  <si>
    <t>弱覆盖MR比例</t>
  </si>
  <si>
    <t>重叠覆盖MR总数</t>
  </si>
  <si>
    <t>重叠覆盖MR比例</t>
  </si>
  <si>
    <t>过覆盖MR总数</t>
  </si>
  <si>
    <t>过覆盖MR比例</t>
  </si>
  <si>
    <t>MOD30总RSRP</t>
  </si>
  <si>
    <t>MOD30采样点数量</t>
  </si>
  <si>
    <t>MOD30平均RSRP</t>
  </si>
  <si>
    <t>MOD30采样点占比</t>
  </si>
  <si>
    <t>ta_cnt_up_18</t>
  </si>
  <si>
    <t>日期分区</t>
  </si>
  <si>
    <t>rsrp_cnt_f156_f115</t>
  </si>
  <si>
    <t>rsrp_cnt_f115_f110</t>
  </si>
  <si>
    <t>SS-RSRQ在(-∞;-19)范围内的MR数目</t>
  </si>
  <si>
    <t>SS-RSRQ在[-19;-16)范围内的MR数目</t>
  </si>
  <si>
    <t>SS-RSRQ在[-16;-13)范围内的MR数目</t>
  </si>
  <si>
    <t>SS-RSRQ在[-13;-10)范围内的MR数目</t>
  </si>
  <si>
    <t>ULSINR在[33;+∞)范围内的MR数目</t>
  </si>
  <si>
    <t>ULSINR在[28;33)范围内的MR数目</t>
  </si>
  <si>
    <t>ULSINR在[23;28)范围内的MR数目</t>
  </si>
  <si>
    <t>ULSINR在[18;23)范围内的MR数目</t>
  </si>
  <si>
    <t>ULSINR在[13;18)范围内的MR数目</t>
  </si>
  <si>
    <t>ULSINR在[8;13)范围内的MR数目</t>
  </si>
  <si>
    <t>ULSINR在[3;8)范围内的MR数目</t>
  </si>
  <si>
    <t>ULSINR在[-2;3)范围内的MR数目</t>
  </si>
  <si>
    <t>ULSINR在[-7;-2)范围内的MR数目</t>
  </si>
  <si>
    <t>ULSINR在[-10;-7)范围内的MR数目</t>
  </si>
  <si>
    <t>ULSINR在[-15;-10)范围内的MR数目</t>
  </si>
  <si>
    <t>ULSINR在(-∞;-15)范围内的MR数目</t>
  </si>
  <si>
    <t>weakcover_rate</t>
  </si>
  <si>
    <t>overlap_rate</t>
  </si>
  <si>
    <t>overshoot_rate</t>
  </si>
  <si>
    <t>小时段</t>
  </si>
  <si>
    <t>MSISDN</t>
  </si>
  <si>
    <t>IMSI</t>
  </si>
  <si>
    <t>NR 服务基站ID</t>
  </si>
  <si>
    <t>split(cellkey,"_")[0]</t>
  </si>
  <si>
    <t>NR 服务小区ID</t>
  </si>
  <si>
    <t>split(cellkey,"_")[1]</t>
  </si>
  <si>
    <t>sum(rsrp_cnt_f156_f115)</t>
  </si>
  <si>
    <t>sum(rsrp_cnt_f115_f110)</t>
  </si>
  <si>
    <t>sum(rsrq_cnt）</t>
  </si>
  <si>
    <t>sum(rsrq_total)/sum(rsrq_cnt）</t>
  </si>
  <si>
    <t>sum(weakcover_cnt)</t>
  </si>
  <si>
    <t>sum(weakcover_totalrsrp)/sum(weakcover_cnt)</t>
  </si>
  <si>
    <t>sum(weakcover_cnt)/sum(rsrp_cnt)</t>
  </si>
  <si>
    <t>sum(overlap_cnt)/sum(rsrp_cnt)</t>
  </si>
  <si>
    <t>频点所属制式</t>
  </si>
  <si>
    <t>小区MR总距离</t>
  </si>
  <si>
    <t>小区MR有效距离计数</t>
  </si>
  <si>
    <t>小区MR平均距离</t>
  </si>
  <si>
    <t>MRO_MR计数</t>
  </si>
  <si>
    <t>MDT_MR计数</t>
  </si>
  <si>
    <t>MRE_MR计数</t>
  </si>
  <si>
    <t>sum(ssrsrp_level8mrcount)</t>
  </si>
  <si>
    <t>sum(ssrsrp_level9mrcount)</t>
  </si>
  <si>
    <t>sum(ssrsrp_level10mrcount)</t>
  </si>
  <si>
    <t>sum(ssrsrp_level11mrcount)</t>
  </si>
  <si>
    <t>sum(ssrsrp_level12mrcount)</t>
  </si>
  <si>
    <t>SS-RSRP优良数</t>
  </si>
  <si>
    <t>SS-RSRP优良比例</t>
  </si>
  <si>
    <t>sum(ssrsrq_level8mrcount)</t>
  </si>
  <si>
    <t>sum(ssrsrq_level9mrcount)</t>
  </si>
  <si>
    <t>sum(ssrsrq_level10mrcount)</t>
  </si>
  <si>
    <t>sum(ssrsrq_level11mrcount)</t>
  </si>
  <si>
    <t>sum(ssrsrq_level12mrcount)</t>
  </si>
  <si>
    <t>SS-RSRQ优良数</t>
  </si>
  <si>
    <t>sum(sssinr_level1mrcount)</t>
  </si>
  <si>
    <t>sum(sssinr_level2mrcount)</t>
  </si>
  <si>
    <t>sum(sssinr_level3mrcount)</t>
  </si>
  <si>
    <t>sum(sssinr_level4mrcount)</t>
  </si>
  <si>
    <t>sum(sssinr_level5mrcount)</t>
  </si>
  <si>
    <t>sum(sssinr_level6mrcount)</t>
  </si>
  <si>
    <t>sum(sssinr_level7mrcount)</t>
  </si>
  <si>
    <t>sum(sssinr_level8mrcount)</t>
  </si>
  <si>
    <t>sum(sssinr_level9mrcount)</t>
  </si>
  <si>
    <t>sum(sssinr_level10mrcount)</t>
  </si>
  <si>
    <t>sum(sssinr_level11mrcount)</t>
  </si>
  <si>
    <t>sum(sssinr_level12mrcount)</t>
  </si>
  <si>
    <t>SS-SINR优良数</t>
  </si>
  <si>
    <t>SS-SINR优良比例</t>
  </si>
  <si>
    <t>sum(overshoot_mrcount)/sum(ssrsrpcount)</t>
  </si>
  <si>
    <t>sum(ta_total)/sum(tadvcount)</t>
  </si>
  <si>
    <t>直接赋值</t>
  </si>
  <si>
    <t>tadv计数</t>
  </si>
  <si>
    <t>&gt;0</t>
  </si>
  <si>
    <t>rsrp且SINR有效采样点个数</t>
  </si>
  <si>
    <t>tadv_0_78</t>
  </si>
  <si>
    <t>距离在[0~78]米内的采样点个数</t>
  </si>
  <si>
    <t>tadv_78_156</t>
  </si>
  <si>
    <t>距离在  (78~156]米内的采样点个数</t>
  </si>
  <si>
    <t>tadv_156_234</t>
  </si>
  <si>
    <t>距离在  (156~234]米内的采样点个数</t>
  </si>
  <si>
    <t>tadv_234_312</t>
  </si>
  <si>
    <t>距离在  (234~312]米内的采样点个数</t>
  </si>
  <si>
    <t>tadv_312_390</t>
  </si>
  <si>
    <t>距离在  (312~390]米内的采样点个数</t>
  </si>
  <si>
    <t>tadv_390_468</t>
  </si>
  <si>
    <t>距离在  (390~468]米内的采样点个数</t>
  </si>
  <si>
    <t>tadv_468_546</t>
  </si>
  <si>
    <t>距离在  (468~546]米内的采样点个数</t>
  </si>
  <si>
    <t>tadv_546_624</t>
  </si>
  <si>
    <t>距离在  (546~624]米内的采样点个数</t>
  </si>
  <si>
    <t>tadv_624_702</t>
  </si>
  <si>
    <t>距离在  (624~702]米内的采样点个数</t>
  </si>
  <si>
    <t>tadv_702_780</t>
  </si>
  <si>
    <t>距离在  (702~780]米内的采样点个数</t>
  </si>
  <si>
    <t>tadv_780_858</t>
  </si>
  <si>
    <t>距离在  (780~858]米内的采样点个数</t>
  </si>
  <si>
    <t>tadv_858_936</t>
  </si>
  <si>
    <t>距离在  (858~936]米内的采样点个数</t>
  </si>
  <si>
    <t>tadv_936_1170</t>
  </si>
  <si>
    <t>距离在  (936~1170]米内的采样点个数</t>
  </si>
  <si>
    <t>tadv_1170_1404</t>
  </si>
  <si>
    <t>距离在  (1170~1404]米内的采样点个数</t>
  </si>
  <si>
    <t>tadv_1404_1638</t>
  </si>
  <si>
    <t>距离在  (1404~1638]米内的采样点个数</t>
  </si>
  <si>
    <t>tadv_1638_1872</t>
  </si>
  <si>
    <t>距离在  (1638~1872]米内的采样点个数</t>
  </si>
  <si>
    <t>tadv_1872_2106</t>
  </si>
  <si>
    <t>距离在  (1872~2106]米内的采样点个数</t>
  </si>
  <si>
    <t>tadv_2106_2886</t>
  </si>
  <si>
    <t>距离在  (2106~2886]米内的采样点个数</t>
  </si>
  <si>
    <t>tadv_2886_3666</t>
  </si>
  <si>
    <t>距离在  (2886~3666]米内的采样点个数</t>
  </si>
  <si>
    <t>tadv_3666_4446</t>
  </si>
  <si>
    <t>距离在  (3666~4446]米内的采样点个数</t>
  </si>
  <si>
    <t>tadv_4446_9984</t>
  </si>
  <si>
    <t>距离在  (4446~9984]米内的采样点个数</t>
  </si>
  <si>
    <t>tadv_up_9984</t>
  </si>
  <si>
    <t>距离在＞9984米内的采样点个数</t>
  </si>
  <si>
    <t>sum(tadv_0_78)</t>
  </si>
  <si>
    <t>sum(tadv_78_156)</t>
  </si>
  <si>
    <t>sum(tadv_156_234)</t>
  </si>
  <si>
    <t>sum(tadv_234_312)</t>
  </si>
  <si>
    <t>sum(tadv_312_390)</t>
  </si>
  <si>
    <t>sum(tadv_390_468)</t>
  </si>
  <si>
    <t>sum(tadv_468_546)</t>
  </si>
  <si>
    <t>sum(tadv_546_624)</t>
  </si>
  <si>
    <t>sum(tadv_624_702)</t>
  </si>
  <si>
    <t>sum(tadv_702_780)</t>
  </si>
  <si>
    <t>sum(tadv_780_858)</t>
  </si>
  <si>
    <t>sum(tadv_858_936)</t>
  </si>
  <si>
    <t>sum(tadv_936_1170)</t>
  </si>
  <si>
    <t>sum(tadv_1170_1404)</t>
  </si>
  <si>
    <t>sum(tadv_1404_1638)</t>
  </si>
  <si>
    <t>sum(tadv_1638_1872)</t>
  </si>
  <si>
    <t>sum(tadv_1872_2106)</t>
  </si>
  <si>
    <t>sum(tadv_2106_2886)</t>
  </si>
  <si>
    <t>sum(tadv_2886_3666)</t>
  </si>
  <si>
    <t>sum(tadv_3666_4446)</t>
  </si>
  <si>
    <t>sum(tadv_4446_9984)</t>
  </si>
  <si>
    <t>sum(tadv_up_9984)</t>
  </si>
  <si>
    <t>tadv_0_78_rsrp95_sinrf3</t>
  </si>
  <si>
    <t>距离在[0~78]米内rsrp≥-95且SINR≥-3的采样点个数</t>
  </si>
  <si>
    <t>tadv_0_78_rsrp95_sinr3</t>
  </si>
  <si>
    <t>距离在[0~78]米内rsrp≥-95且SINR≥3的采样点个数</t>
  </si>
  <si>
    <t>tadv_0_78_rsrp105_sinrf3</t>
  </si>
  <si>
    <t>距离在[0~78]米内rsrp≥-105且SINR≥-3的采样点个数</t>
  </si>
  <si>
    <t>tadv_0_78_rsrp105_sinr3</t>
  </si>
  <si>
    <t>距离在[0~78]米内rsrp≥-105且SINR≥3的采样点个数</t>
  </si>
  <si>
    <t>tadv_78_156_rsrp95_sinrf3</t>
  </si>
  <si>
    <t>距离在  (78~156]米内rsrp≥-95且SINR≥-3的采样点个数</t>
  </si>
  <si>
    <t>tadv_78_156_rsrp95_sinr3</t>
  </si>
  <si>
    <t>距离在  (78~156]米内rsrp≥-95且SINR≥3的采样点个数</t>
  </si>
  <si>
    <t>tadv_78_156_rsrp105_sinrf3</t>
  </si>
  <si>
    <t>距离在  (78~156]米内rsrp≥-105且SINR≥-3的采样点个数</t>
  </si>
  <si>
    <t>tadv_78_156_rsrp105_sinr3</t>
  </si>
  <si>
    <t>距离在  (78~156]米内rsrp≥-105且SINR≥3的采样点个数</t>
  </si>
  <si>
    <t>tadv_156_234_rsrp95_sinrf3</t>
  </si>
  <si>
    <t>距离在  (156~234]米内rsrp≥-95且SINR≥-3的采样点个数</t>
  </si>
  <si>
    <t>tadv_156_234_rsrp95_sinr3</t>
  </si>
  <si>
    <t>距离在  (156~234]米内rsrp≥-95且SINR≥3的采样点个数</t>
  </si>
  <si>
    <t>tadv_156_234_rsrp105_sinrf3</t>
  </si>
  <si>
    <t>距离在  (156~234]米内rsrp≥-105且SINR≥-3的采样点个数</t>
  </si>
  <si>
    <t>tadv_156_234_rsrp105_sinr3</t>
  </si>
  <si>
    <t>距离在  (156~234]米内rsrp≥-105且SINR≥3的采样点个数</t>
  </si>
  <si>
    <t>tadv_234_312_rsrp95_sinrf3</t>
  </si>
  <si>
    <t>距离在  (234~312]米内rsrp≥-95且SINR≥-3的采样点个数</t>
  </si>
  <si>
    <t>tadv_234_312_rsrp95_sinr3</t>
  </si>
  <si>
    <t>距离在  (234~312]米内rsrp≥-95且SINR≥3的采样点个数</t>
  </si>
  <si>
    <t>tadv_234_312_rsrp105_sinrf3</t>
  </si>
  <si>
    <t>距离在  (234~312]米内rsrp≥-105且SINR≥-3的采样点个数</t>
  </si>
  <si>
    <t>tadv_234_312_rsrp105_sinr3</t>
  </si>
  <si>
    <t>距离在  (234~312]米内rsrp≥-105且SINR≥3的采样点个数</t>
  </si>
  <si>
    <t>tadv_312_390_rsrp95_sinrf3</t>
  </si>
  <si>
    <t>距离在  (312~390]米内rsrp≥-95且SINR≥-3的采样点个数</t>
  </si>
  <si>
    <t>tadv_312_390_rsrp95_sinr3</t>
  </si>
  <si>
    <t>距离在  (312~390]米内rsrp≥-95且SINR≥3的采样点个数</t>
  </si>
  <si>
    <t>tadv_312_390_rsrp105_sinrf3</t>
  </si>
  <si>
    <t>距离在  (312~390]米内rsrp≥-105且SINR≥-3的采样点个数</t>
  </si>
  <si>
    <t>tadv_312_390_rsrp105_sinr3</t>
  </si>
  <si>
    <t>距离在  (312~390]米内rsrp≥-105且SINR≥3的采样点个数</t>
  </si>
  <si>
    <t>tadv_390_468_rsrp95_sinrf3</t>
  </si>
  <si>
    <t>距离在  (390~468]米内rsrp≥-95且SINR≥-3的采样点个数</t>
  </si>
  <si>
    <t>tadv_390_468_rsrp95_sinr3</t>
  </si>
  <si>
    <t>距离在  (390~468]米内rsrp≥-95且SINR≥3的采样点个数</t>
  </si>
  <si>
    <t>tadv_390_468_rsrp105_sinrf3</t>
  </si>
  <si>
    <t>距离在  (390~468]米内rsrp≥-105且SINR≥-3的采样点个数</t>
  </si>
  <si>
    <t>tadv_390_468_rsrp105_sinr3</t>
  </si>
  <si>
    <t>距离在  (390~468]米内rsrp≥-105且SINR≥3的采样点个数</t>
  </si>
  <si>
    <t>tadv_468_546_rsrp95_sinrf3</t>
  </si>
  <si>
    <t>距离在  (468~546]米内rsrp≥-95且SINR≥-3的采样点个数</t>
  </si>
  <si>
    <t>tadv_468_546_rsrp95_sinr3</t>
  </si>
  <si>
    <t>距离在  (468~546]米内rsrp≥-95且SINR≥3的采样点个数</t>
  </si>
  <si>
    <t>tadv_468_546_rsrp105_sinrf3</t>
  </si>
  <si>
    <t>距离在  (468~546]米内rsrp≥-105且SINR≥-3的采样点个数</t>
  </si>
  <si>
    <t>tadv_468_546_rsrp105_sinr3</t>
  </si>
  <si>
    <t>距离在  (468~546]米内rsrp≥-105且SINR≥3的采样点个数</t>
  </si>
  <si>
    <t>tadv_546_624_rsrp95_sinrf3</t>
  </si>
  <si>
    <t>距离在  (546~624]米内rsrp≥-95且SINR≥-3的采样点个数</t>
  </si>
  <si>
    <t>tadv_546_624_rsrp95_sinr3</t>
  </si>
  <si>
    <t>距离在  (546~624]米内rsrp≥-95且SINR≥3的采样点个数</t>
  </si>
  <si>
    <t>tadv_546_624_rsrp105_sinrf3</t>
  </si>
  <si>
    <t>距离在  (546~624]米内rsrp≥-105且SINR≥-3的采样点个数</t>
  </si>
  <si>
    <t>tadv_546_624_rsrp105_sinr3</t>
  </si>
  <si>
    <t>距离在  (546~624]米内rsrp≥-105且SINR≥3的采样点个数</t>
  </si>
  <si>
    <t>tadv_624_702_rsrp95_sinrf3</t>
  </si>
  <si>
    <t>距离在  (624~702]米内rsrp≥-95且SINR≥-3的采样点个数</t>
  </si>
  <si>
    <t>tadv_624_702_rsrp95_sinr3</t>
  </si>
  <si>
    <t>距离在  (624~702]米内rsrp≥-95且SINR≥3的采样点个数</t>
  </si>
  <si>
    <t>tadv_624_702_rsrp105_sinrf3</t>
  </si>
  <si>
    <t>距离在  (624~702]米内rsrp≥-105且SINR≥-3的采样点个数</t>
  </si>
  <si>
    <t>tadv_624_702_rsrp105_sinr3</t>
  </si>
  <si>
    <t>距离在  (624~702]米内rsrp≥-105且SINR≥3的采样点个数</t>
  </si>
  <si>
    <t>tadv_702_780_rsrp95_sinrf3</t>
  </si>
  <si>
    <t>距离在  (702~780]米内rsrp≥-95且SINR≥-3的采样点个数</t>
  </si>
  <si>
    <t>tadv_702_780_rsrp95_sinr3</t>
  </si>
  <si>
    <t>距离在  (702~780]米内rsrp≥-95且SINR≥3的采样点个数</t>
  </si>
  <si>
    <t>tadv_702_780_rsrp105_sinrf3</t>
  </si>
  <si>
    <t>距离在  (702~780]米内rsrp≥-105且SINR≥-3的采样点个数</t>
  </si>
  <si>
    <t>tadv_702_780_rsrp105_sinr3</t>
  </si>
  <si>
    <t>距离在  (702~780]米内rsrp≥-105且SINR≥3的采样点个数</t>
  </si>
  <si>
    <t>tadv_780_858_rsrp95_sinrf3</t>
  </si>
  <si>
    <t>距离在  (780~858]米内rsrp≥-95且SINR≥-3的采样点个数</t>
  </si>
  <si>
    <t>tadv_780_858_rsrp95_sinr3</t>
  </si>
  <si>
    <t>距离在  (780~858]米内rsrp≥-95且SINR≥3的采样点个数</t>
  </si>
  <si>
    <t>tadv_780_858_rsrp105_sinrf3</t>
  </si>
  <si>
    <t>距离在  (780~858]米内rsrp≥-105且SINR≥-3的采样点个数</t>
  </si>
  <si>
    <t>tadv_780_858_rsrp105_sinr3</t>
  </si>
  <si>
    <t>距离在  (780~858]米内rsrp≥-105且SINR≥3的采样点个数</t>
  </si>
  <si>
    <t>tadv_858_936_rsrp95_sinrf3</t>
  </si>
  <si>
    <t>距离在  (858~936]米内rsrp≥-95且SINR≥-3的采样点个数</t>
  </si>
  <si>
    <t>tadv_858_936_rsrp95_sinr3</t>
  </si>
  <si>
    <t>距离在  (858~936]米内rsrp≥-95且SINR≥3的采样点个数</t>
  </si>
  <si>
    <t>tadv_858_936_rsrp105_sinrf3</t>
  </si>
  <si>
    <t>距离在  (858~936]米内rsrp≥-105且SINR≥-3的采样点个数</t>
  </si>
  <si>
    <t>tadv_858_936_rsrp105_sinr3</t>
  </si>
  <si>
    <t>距离在  (858~936]米内rsrp≥-105且SINR≥3的采样点个数</t>
  </si>
  <si>
    <t>tadv_936_1170_rsrp95_sinrf3</t>
  </si>
  <si>
    <t>距离在  (936~1170]米内rsrp≥-95且SINR≥-3的采样点个数</t>
  </si>
  <si>
    <t>tadv_936_1170_rsrp95_sinr3</t>
  </si>
  <si>
    <t>距离在  (936~1170]米内rsrp≥-95且SINR≥3的采样点个数</t>
  </si>
  <si>
    <t>tadv_936_1170_rsrp105_sinrf3</t>
  </si>
  <si>
    <t>距离在  (936~1170]米内rsrp≥-105且SINR≥-3的采样点个数</t>
  </si>
  <si>
    <t>tadv_936_1170_rsrp105_sinr3</t>
  </si>
  <si>
    <t>距离在  (936~1170]米内rsrp≥-105且SINR≥3的采样点个数</t>
  </si>
  <si>
    <t>tadv_1170_1404_rsrp95_sinrf3</t>
  </si>
  <si>
    <t>距离在  (1170~1404]米内rsrp≥-95且SINR≥-3的采样点个数</t>
  </si>
  <si>
    <t>tadv_1170_1404_rsrp95_sinr3</t>
  </si>
  <si>
    <t>距离在  (1170~1404]米内rsrp≥-95且SINR≥3的采样点个数</t>
  </si>
  <si>
    <t>tadv_1170_1404_rsrp105_sinrf3</t>
  </si>
  <si>
    <t>距离在  (1170~1404]米内rsrp≥-105且SINR≥-3的采样点个数</t>
  </si>
  <si>
    <t>tadv_1170_1404_rsrp105_sinr3</t>
  </si>
  <si>
    <t>距离在  (1170~1404]米内rsrp≥-105且SINR≥3的采样点个数</t>
  </si>
  <si>
    <t>tadv_1404_1638_rsrp95_sinrf3_1</t>
  </si>
  <si>
    <t>距离在  (1404~1638]米内rsrp≥-95且SINR≥-3的采样点个数</t>
  </si>
  <si>
    <t>tadv_1404_1638_rsrp95_sinr3_1</t>
  </si>
  <si>
    <t>距离在  (1404~1638]米内rsrp≥-95且SINR≥3的采样点个数</t>
  </si>
  <si>
    <t>tadv_1404_1638_rsrp105_sinrf3_1</t>
  </si>
  <si>
    <t>距离在  (1404~1638]米内rsrp≥-105且SINR≥-3的采样点个数</t>
  </si>
  <si>
    <t>tadv_1404_1638_rsrp105_sinr3_1</t>
  </si>
  <si>
    <t>距离在  (1404~1638]米内rsrp≥-105且SINR≥3的采样点个数</t>
  </si>
  <si>
    <t>tadv_1638_1872_rsrp95_sinrf3</t>
  </si>
  <si>
    <t>距离在  (1638~1872]米内rsrp≥-95且SINR≥-3的采样点个数</t>
  </si>
  <si>
    <t>tadv_1638_1872_rsrp95_sinr3</t>
  </si>
  <si>
    <t>距离在  (1638~1872]米内rsrp≥-95且SINR≥3的采样点个数</t>
  </si>
  <si>
    <t>tadv_1638_1872_rsrp105_sinrf3</t>
  </si>
  <si>
    <t>距离在  (1638~1872]米内rsrp≥-105且SINR≥-3的采样点个数</t>
  </si>
  <si>
    <t>tadv_1638_1872_rsrp105_sinr3</t>
  </si>
  <si>
    <t>距离在  (1638~1872]米内rsrp≥-105且SINR≥3的采样点个数</t>
  </si>
  <si>
    <t>tadv_1872_2106_rsrp95_sinrf3</t>
  </si>
  <si>
    <t>距离在  (1872~2106]米内rsrp≥-95且SINR≥-3的采样点个数</t>
  </si>
  <si>
    <t>tadv_1872_2106_rsrp95_sinr3</t>
  </si>
  <si>
    <t>距离在  (1872~2106]米内rsrp≥-95且SINR≥3的采样点个数</t>
  </si>
  <si>
    <t>tadv_1872_2106_rsrp105_sinrf3</t>
  </si>
  <si>
    <t>距离在  (1872~2106]米内rsrp≥-105且SINR≥-3的采样点个数</t>
  </si>
  <si>
    <t>tadv_1872_2106_rsrp105_sinr3</t>
  </si>
  <si>
    <t>距离在  (1872~2106]米内rsrp≥-105且SINR≥3的采样点个数</t>
  </si>
  <si>
    <t>tadv_2106_2886_rsrp95_sinrf3</t>
  </si>
  <si>
    <t>距离在  (2106~2886]米内rsrp≥-95且SINR≥-3的采样点个数</t>
  </si>
  <si>
    <t>tadv_2106_2886_rsrp95_sinr3</t>
  </si>
  <si>
    <t>距离在  (2106~2886]米内rsrp≥-95且SINR≥3的采样点个数</t>
  </si>
  <si>
    <t>tadv_2106_2886_rsrp105_sinrf3</t>
  </si>
  <si>
    <t>距离在  (2106~2886]米内rsrp≥-105且SINR≥-3的采样点个数</t>
  </si>
  <si>
    <t>tadv_2106_2886_rsrp105_sinr3</t>
  </si>
  <si>
    <t>距离在  (2106~2886]米内rsrp≥-105且SINR≥3的采样点个数</t>
  </si>
  <si>
    <t>tadv_2886_3666_rsrp95_sinrf3</t>
  </si>
  <si>
    <t>距离在  (2886~3666]米内rsrp≥-95且SINR≥-3的采样点个数</t>
  </si>
  <si>
    <t>tadv_2886_3666_rsrp95_sinr3</t>
  </si>
  <si>
    <t>距离在  (2886~3666]米内rsrp≥-95且SINR≥3的采样点个数</t>
  </si>
  <si>
    <t>tadv_2886_3666_rsrp105_sinrf3</t>
  </si>
  <si>
    <t>距离在  (2886~3666]米内rsrp≥-105且SINR≥-3的采样点个数</t>
  </si>
  <si>
    <t>tadv_2886_3666_rsrp105_sinr3</t>
  </si>
  <si>
    <t>距离在  (2886~3666]米内rsrp≥-105且SINR≥3的采样点个数</t>
  </si>
  <si>
    <t>tadv_3666_4446_rsrp95_sinrf3</t>
  </si>
  <si>
    <t>距离在  (3666~4446]米内rsrp≥-95且SINR≥-3的采样点个数</t>
  </si>
  <si>
    <t>tadv_3666_4446_rsrp95_sinr3</t>
  </si>
  <si>
    <t>距离在  (3666~4446]米内rsrp≥-95且SINR≥3的采样点个数</t>
  </si>
  <si>
    <t>tadv_3666_4446_rsrp105_sinrf3</t>
  </si>
  <si>
    <t>距离在  (3666~4446]米内rsrp≥-105且SINR≥-3的采样点个数</t>
  </si>
  <si>
    <t>tadv_3666_4446_rsrp105_sinr3</t>
  </si>
  <si>
    <t>距离在  (3666~4446]米内rsrp≥-105且SINR≥3的采样点个数</t>
  </si>
  <si>
    <t>tadv_4446_9984_rsrp95_sinrf3</t>
  </si>
  <si>
    <t>距离在  (4446~9984]米内rsrp≥-95且SINR≥-3的采样点个数</t>
  </si>
  <si>
    <t>tadv_4446_9984_rsrp95_sinr3</t>
  </si>
  <si>
    <t>距离在  (4446~9984]米内rsrp≥-95且SINR≥3的采样点个数</t>
  </si>
  <si>
    <t>tadv_4446_9984_rsrp105_sinrf3</t>
  </si>
  <si>
    <t>距离在  (4446~9984]米内rsrp≥-105且SINR≥-3的采样点个数</t>
  </si>
  <si>
    <t>tadv_4446_9984_rsrp105_sinr3</t>
  </si>
  <si>
    <t>距离在  (4446~9984]米内rsrp≥-105且SINR≥3的采样点个数</t>
  </si>
  <si>
    <t>tadv_up_9984_rsrp95_sinrf3</t>
  </si>
  <si>
    <t>距离在＞9984米内rsrp≥-95且SINR≥-3的采样点个数</t>
  </si>
  <si>
    <t>tadv_up_9984_rsrp95_sinr3</t>
  </si>
  <si>
    <t>距离在＞9984米内rsrp≥-95且SINR≥3的采样点个数</t>
  </si>
  <si>
    <t>tadv_up_9984_rsrp105_sinrf3</t>
  </si>
  <si>
    <t>距离在＞9984米内rsrp≥-105且SINR≥-3的采样点个数</t>
  </si>
  <si>
    <t>tadv_up_9984_rsrp105_sinr3</t>
  </si>
  <si>
    <t>距离在＞9984米内rsrp≥-105且SINR≥3的采样点个数</t>
  </si>
  <si>
    <t>master_operators</t>
  </si>
  <si>
    <t>承建方</t>
  </si>
  <si>
    <t>case  when data_source&lt;3 then '电信承建' else '联通承建'  end</t>
  </si>
  <si>
    <t>ne_belong</t>
  </si>
  <si>
    <t>使用方</t>
  </si>
  <si>
    <t>case  when PLMN=46001 or PLMN=46031 then '电信'  else '联通' end</t>
  </si>
  <si>
    <t>cellkey_top1</t>
  </si>
  <si>
    <t>采样点最多的TOP1小区</t>
  </si>
  <si>
    <t>cellkey_top1_mrcount</t>
  </si>
  <si>
    <t>采样点最多的TOP1小区采样点数量</t>
  </si>
  <si>
    <t>cellkey_top2</t>
  </si>
  <si>
    <t>采样点最多的TOP2小区</t>
  </si>
  <si>
    <t>cellkey_top2_mrcount</t>
  </si>
  <si>
    <t>采样点最多的TOP2小区采样点数量</t>
  </si>
  <si>
    <t>cellkey_top3</t>
  </si>
  <si>
    <t>采样点最多的TOP3小区</t>
  </si>
  <si>
    <t>cellkey_top3_mrcount</t>
  </si>
  <si>
    <t>采样点最多的TOP3小区采样点数量</t>
  </si>
  <si>
    <t>cellkey_ssbeamid_top1</t>
  </si>
  <si>
    <t>采样点最多的SSB波束指示的TOP1小区</t>
  </si>
  <si>
    <t>cellkey_ssbeamid_top1_mrcount</t>
  </si>
  <si>
    <t>采样点最多的SSB波束指示的TOP1小区采样点数量</t>
  </si>
  <si>
    <t>小区与MR平均距离</t>
  </si>
  <si>
    <t>直接赋值0</t>
  </si>
  <si>
    <t>平均RSRP</t>
  </si>
  <si>
    <t>SS-RSRP优良率</t>
  </si>
  <si>
    <t>平均RSRQ</t>
  </si>
  <si>
    <t>SS-RSRQ优良率</t>
  </si>
  <si>
    <t>平均SS-SINR</t>
  </si>
  <si>
    <t>SS-SINR优良率</t>
  </si>
  <si>
    <t>弱覆盖平均RSRP</t>
  </si>
  <si>
    <t>弱覆盖率</t>
  </si>
  <si>
    <t>重叠覆盖平均RSRP</t>
  </si>
  <si>
    <t>重叠覆盖率</t>
  </si>
  <si>
    <t>过覆盖平均RSRP</t>
  </si>
  <si>
    <t>过覆盖率</t>
  </si>
  <si>
    <t>数据源类型,0:电信独享_电信用户 1：电信共享_电信用户 2：电信共享_联通用户 3：联通共享_电信用户 4：联通共享_联通用户</t>
  </si>
  <si>
    <t>应用</t>
  </si>
  <si>
    <t>过滤条件：plmn='46011'</t>
  </si>
  <si>
    <t>格式为"yyyy-MM-dd"的日期</t>
  </si>
  <si>
    <t>[-156,-43]</t>
  </si>
  <si>
    <t>[-∞,+∞]</t>
  </si>
  <si>
    <t>[-40,40]</t>
  </si>
  <si>
    <t>城市ID</t>
  </si>
  <si>
    <t>dx_rsrp_156_sum</t>
  </si>
  <si>
    <t>dx_rsrp_156_avg</t>
  </si>
  <si>
    <t>sum(avgssrsrp*ssrsrpcount)/sum(ssrsrpcount)</t>
  </si>
  <si>
    <t>aggr_nr_coverage_wide_usrcel_h</t>
    <phoneticPr fontId="19" type="noConversion"/>
  </si>
  <si>
    <t>aggr_nr_coverage_usrgrd_h</t>
    <phoneticPr fontId="19" type="noConversion"/>
  </si>
  <si>
    <t>tadv_level8mrcount</t>
  </si>
  <si>
    <t>tadv_level9mrcount</t>
  </si>
  <si>
    <t>tadv_level10mrcount</t>
  </si>
  <si>
    <t>tadv_level11mrcount</t>
  </si>
  <si>
    <t>tadv_level12mrcount</t>
  </si>
  <si>
    <t>国际移动用户识别码</t>
  </si>
  <si>
    <t>频点所属制式： 6:LTEFDD 7:LTETDD 8:NB-IOT 14:IP-Integrate 255:Plat</t>
  </si>
  <si>
    <t>SS-RSRP优良数(SS-RSRP&gt;=-105)</t>
  </si>
  <si>
    <t>省编码</t>
    <phoneticPr fontId="19" type="noConversion"/>
  </si>
  <si>
    <t>城市编码</t>
    <phoneticPr fontId="19" type="noConversion"/>
  </si>
  <si>
    <t>直取</t>
    <phoneticPr fontId="19" type="noConversion"/>
  </si>
  <si>
    <t>p_date</t>
    <phoneticPr fontId="19" type="noConversion"/>
  </si>
  <si>
    <t>p_provincecode</t>
    <phoneticPr fontId="19" type="noConversion"/>
  </si>
  <si>
    <t>维度</t>
    <phoneticPr fontId="19" type="noConversion"/>
  </si>
  <si>
    <t>无</t>
    <phoneticPr fontId="19" type="noConversion"/>
  </si>
  <si>
    <t>SS-RSRQ优良数((SS-RSRQ&gt;=-13)</t>
    <phoneticPr fontId="19" type="noConversion"/>
  </si>
  <si>
    <t>指标</t>
    <phoneticPr fontId="19" type="noConversion"/>
  </si>
  <si>
    <t>新增字段</t>
    <phoneticPr fontId="19" type="noConversion"/>
  </si>
  <si>
    <t>5G MR用户天表</t>
    <phoneticPr fontId="19" type="noConversion"/>
  </si>
  <si>
    <t>ulsinr_level1mrcount</t>
    <phoneticPr fontId="19" type="noConversion"/>
  </si>
  <si>
    <t>升级</t>
    <phoneticPr fontId="19" type="noConversion"/>
  </si>
  <si>
    <t>SS-RSRP优良数(SS-RSRP&gt;=-105)</t>
    <phoneticPr fontId="19" type="noConversion"/>
  </si>
  <si>
    <t>SS-RSRP优良比例(SS-RSRP&gt;=-105)</t>
    <phoneticPr fontId="19" type="noConversion"/>
  </si>
  <si>
    <t>SS-SINR优良数(SS-SINR&gt;=0)</t>
    <phoneticPr fontId="19" type="noConversion"/>
  </si>
  <si>
    <t>sum(ssrsrp_5div_level12mrcount)</t>
    <phoneticPr fontId="19" type="noConversion"/>
  </si>
  <si>
    <t>过滤条件：length(msisdn)&gt;=11</t>
    <phoneticPr fontId="19" type="noConversion"/>
  </si>
  <si>
    <t>关联回填msisdn，需要做去86的操作</t>
    <phoneticPr fontId="19" type="noConversion"/>
  </si>
  <si>
    <r>
      <t>关联回填用户信息，关联逻辑保持与现状一致</t>
    </r>
    <r>
      <rPr>
        <b/>
        <sz val="9"/>
        <color rgb="FFFF0000"/>
        <rFont val="微软雅黑"/>
        <family val="2"/>
        <charset val="134"/>
      </rPr>
      <t>（注意：对msisdn字段处理时，需要去掉86）</t>
    </r>
    <phoneticPr fontId="19" type="noConversion"/>
  </si>
  <si>
    <t>5G MR用户小区区域覆盖天表</t>
  </si>
  <si>
    <t>5G MR用户小区区域覆盖天表</t>
    <phoneticPr fontId="19" type="noConversion"/>
  </si>
  <si>
    <t>5G MR用户区域覆盖天表</t>
    <phoneticPr fontId="19" type="noConversion"/>
  </si>
  <si>
    <t>用户小区区域</t>
    <phoneticPr fontId="19" type="noConversion"/>
  </si>
  <si>
    <t>用户区域</t>
    <phoneticPr fontId="19" type="noConversion"/>
  </si>
  <si>
    <t>day</t>
    <phoneticPr fontId="19" type="noConversion"/>
  </si>
  <si>
    <t>SS-RSRP在(-∞,-115)范围内的MR数目</t>
  </si>
  <si>
    <t>SS-RSRP在[-115,-110)范围内的MR数目</t>
  </si>
  <si>
    <t>SS-RSRP在[-110,-105)范围内的MR数目</t>
  </si>
  <si>
    <t>SS-RSRP在[-105,-100)范围内的MR数目</t>
  </si>
  <si>
    <t>SS-RSRP在[-100,-95)范围内的MR数目</t>
  </si>
  <si>
    <t>SS-RSRP在[-95,-90)范围内的MR数目</t>
  </si>
  <si>
    <t>SS-RSRP在[-90,-85)范围内的MR数目</t>
  </si>
  <si>
    <t>SS-RSRP在[-85,-80)范围内的MR数目</t>
  </si>
  <si>
    <t>SS-RSRP在[-80,-75)范围内的MR数目</t>
  </si>
  <si>
    <t>SS-RSRP在[-75,-70)范围内的MR数目</t>
  </si>
  <si>
    <t>SS-RSRP在[-70,-65)范围内的MR数目</t>
  </si>
  <si>
    <t>SS-RSRP在[-65,+∞)范围内的MR数目</t>
  </si>
  <si>
    <t>SS-RSRQ在(-∞,-20)范围内的MR数目</t>
  </si>
  <si>
    <t>SS-RSRQ在[-20,-17)范围内的MR数目</t>
  </si>
  <si>
    <t>SS-RSRQ在[-17,-13.5)范围内的MR数目</t>
  </si>
  <si>
    <t>SS-RSRQ在[-13.5,-10)范围内的MR数目</t>
  </si>
  <si>
    <t>SS-RSRQ在[11,+∞)范围内的MR数目</t>
  </si>
  <si>
    <t>弱覆盖MR占比</t>
  </si>
  <si>
    <t>重叠覆盖MR占比</t>
  </si>
  <si>
    <t>过覆盖MR占比</t>
  </si>
  <si>
    <t>MDTMR数目</t>
    <phoneticPr fontId="19" type="noConversion"/>
  </si>
  <si>
    <t>A</t>
    <phoneticPr fontId="19" type="noConversion"/>
  </si>
  <si>
    <t>置空</t>
    <phoneticPr fontId="19" type="noConversion"/>
  </si>
  <si>
    <t>period_totalmrcount</t>
    <phoneticPr fontId="19" type="noConversion"/>
  </si>
  <si>
    <t>sum(ssrsrpcount)</t>
    <phoneticPr fontId="19" type="noConversion"/>
  </si>
  <si>
    <t>sum(totalssrsrp)/sum(ssrsrpcount)</t>
    <phoneticPr fontId="19" type="noConversion"/>
  </si>
  <si>
    <t>sum(ssrsrp_5div_level1mrcount)</t>
    <phoneticPr fontId="19" type="noConversion"/>
  </si>
  <si>
    <t>sum(ssrsrpcount-ssrsrp_5div_level1mrcount-ssrsrp_5div_level2mrcount-ssrsrp_5div_level3mrcount)</t>
    <phoneticPr fontId="19" type="noConversion"/>
  </si>
  <si>
    <t>sum(ssrsrpcount-ssrsrp_5div_level1mrcount-ssrsrp_5div_level2mrcount-ssrsrp_5div_level3mrcount)/sum(ssrsrpcount)</t>
    <phoneticPr fontId="19" type="noConversion"/>
  </si>
  <si>
    <t>sum(ssrsrqcount)</t>
    <phoneticPr fontId="19" type="noConversion"/>
  </si>
  <si>
    <t>sum(totalssrsrq)/sum(ssrsrqcount)</t>
    <phoneticPr fontId="19" type="noConversion"/>
  </si>
  <si>
    <t>ssrsrqgoodcount</t>
    <phoneticPr fontId="19" type="noConversion"/>
  </si>
  <si>
    <t>sum(ssrsrqgoodcount)</t>
    <phoneticPr fontId="19" type="noConversion"/>
  </si>
  <si>
    <t>RSRQ在[-13,-10)范围内的MR数目</t>
    <phoneticPr fontId="19" type="noConversion"/>
  </si>
  <si>
    <t>RSRQ在[-16,-13)范围内的MR数目</t>
    <phoneticPr fontId="19" type="noConversion"/>
  </si>
  <si>
    <t>RSRQ在[-19,-16)范围内的MR数目</t>
    <phoneticPr fontId="19" type="noConversion"/>
  </si>
  <si>
    <t>RSRQ在[-43,-19)范围内的MR数目</t>
    <phoneticPr fontId="19" type="noConversion"/>
  </si>
  <si>
    <t>SS-SINR在[33,+∞)范围内的MR数目</t>
    <phoneticPr fontId="19" type="noConversion"/>
  </si>
  <si>
    <t>sum(ulsinr_level2mrcount)</t>
    <phoneticPr fontId="19" type="noConversion"/>
  </si>
  <si>
    <t>ssrsrq_level4mrcount</t>
    <phoneticPr fontId="19" type="noConversion"/>
  </si>
  <si>
    <t>sum(ssrsrq_level1mrcount)</t>
    <phoneticPr fontId="19" type="noConversion"/>
  </si>
  <si>
    <t>sum(ssrsrq_level1mrcount+ssrsrq_level2mrcount+ssrsrq_level3mrcount+ssrsrq_level4mrcount)</t>
    <phoneticPr fontId="19" type="noConversion"/>
  </si>
  <si>
    <t>sum(ssrsrq_level1mrcount+ssrsrq_level2mrcount+ssrsrq_level3mrcount+ssrsrq_level4mrcount)/sum(ssrsrqcount)</t>
    <phoneticPr fontId="19" type="noConversion"/>
  </si>
  <si>
    <t>sum(sssinrcount)</t>
    <phoneticPr fontId="19" type="noConversion"/>
  </si>
  <si>
    <t>sum(totalsssinr)/sum(sssinrcount)</t>
    <phoneticPr fontId="19" type="noConversion"/>
  </si>
  <si>
    <t>sum(ulsinr_level1mrcount)</t>
    <phoneticPr fontId="19" type="noConversion"/>
  </si>
  <si>
    <t>sum(ulsinr_level1mrcount+ulsinr_level2mrcount+ulsinr_level3mrcount+ulsinr_level4mrcount+ulsinr_level5mrcount)</t>
    <phoneticPr fontId="19" type="noConversion"/>
  </si>
  <si>
    <t>sum(ulsinr_level1mrcount+ulsinr_level2mrcount+ulsinr_level3mrcount+ulsinr_level4mrcount+ulsinr_level5mrcount)/sum(sssinrcount)</t>
    <phoneticPr fontId="19" type="noConversion"/>
  </si>
  <si>
    <t>sum(tadvcount)</t>
    <phoneticPr fontId="19" type="noConversion"/>
  </si>
  <si>
    <t>sum(totaltadv)/sum(tadvcount)</t>
    <phoneticPr fontId="19" type="noConversion"/>
  </si>
  <si>
    <t>sum(weakcover_mrcount)</t>
    <phoneticPr fontId="19" type="noConversion"/>
  </si>
  <si>
    <t>sum(weakcover_totalrsrp)/sum(weakcover_mrcount)</t>
    <phoneticPr fontId="19" type="noConversion"/>
  </si>
  <si>
    <t>sum(weakcover_mrcount)/sum(ssrsrpcount)</t>
    <phoneticPr fontId="19" type="noConversion"/>
  </si>
  <si>
    <t>sum(overlap_mrcount)</t>
    <phoneticPr fontId="19" type="noConversion"/>
  </si>
  <si>
    <t>sum(overlap_totalrsrp)/sum(overlap_mrcount)</t>
    <phoneticPr fontId="19" type="noConversion"/>
  </si>
  <si>
    <t>sum(overlap_mrcount)/sum(ssrsrpcount)</t>
    <phoneticPr fontId="19" type="noConversion"/>
  </si>
  <si>
    <t>sum(overshoot_mrcount)</t>
    <phoneticPr fontId="19" type="noConversion"/>
  </si>
  <si>
    <t>sum(overshoot_totalrsrp)/sum(overshoot_mrcount)</t>
    <phoneticPr fontId="19" type="noConversion"/>
  </si>
  <si>
    <t>sum(overshoot_mrcount)/sum(ssrsrpcount)</t>
    <phoneticPr fontId="19" type="noConversion"/>
  </si>
  <si>
    <t>sum(mod30interfer_mrcount)</t>
    <phoneticPr fontId="19" type="noConversion"/>
  </si>
  <si>
    <t>sum(mod30interfer_totalrsrp)/sum(mod30interfer_mrcount)</t>
    <phoneticPr fontId="19" type="noConversion"/>
  </si>
  <si>
    <t>sum(mod30interfer_mrcount)/sum(ssrsrpcount)</t>
    <phoneticPr fontId="19" type="noConversion"/>
  </si>
  <si>
    <t>综合良好覆盖MR数(-110&amp;-3)</t>
    <phoneticPr fontId="19" type="noConversion"/>
  </si>
  <si>
    <t>rsrp110_sinrf3</t>
    <phoneticPr fontId="19" type="noConversion"/>
  </si>
  <si>
    <t>validrsrp_sinr_totalmrcount</t>
    <phoneticPr fontId="19" type="noConversion"/>
  </si>
  <si>
    <t>sum(validrsrp_sinr_totalmrcount)</t>
    <phoneticPr fontId="19" type="noConversion"/>
  </si>
  <si>
    <t>sum(sum(validrsrp_sinr_totalmrcount))</t>
  </si>
  <si>
    <t>sum(sum(validrsrp_sinr_totalmrcount))</t>
    <phoneticPr fontId="19" type="noConversion"/>
  </si>
  <si>
    <t>MDT MR数目</t>
    <phoneticPr fontId="19" type="noConversion"/>
  </si>
  <si>
    <t>sum(ssrsrp_5div_level10mrcount)</t>
    <phoneticPr fontId="19" type="noConversion"/>
  </si>
  <si>
    <t>sum(ssrsrp_5div_level10mrcount+ssrsrp_5div_level11mrcount+ssrsrp_5div_level12mrcount)</t>
    <phoneticPr fontId="19" type="noConversion"/>
  </si>
  <si>
    <t>sum(ssrsrp_5div_level8mrcount)</t>
    <phoneticPr fontId="19" type="noConversion"/>
  </si>
  <si>
    <t>sum(ssrsrp_5div_level8mrcount+ssrsrp_5div_level9mrcount)</t>
    <phoneticPr fontId="19" type="noConversion"/>
  </si>
  <si>
    <t>sum(ssrsrp_5div_level6mrcount)</t>
    <phoneticPr fontId="19" type="noConversion"/>
  </si>
  <si>
    <t>sum(ssrsrp_5div_level6mrcount+ssrsrp_5div_level7mrcount)</t>
    <phoneticPr fontId="19" type="noConversion"/>
  </si>
  <si>
    <t>sum(ssrsrp_5div_level5mrcount)</t>
    <phoneticPr fontId="19" type="noConversion"/>
  </si>
  <si>
    <t>sum(ssrsrp_5div_level2mrcount)</t>
    <phoneticPr fontId="19" type="noConversion"/>
  </si>
  <si>
    <t>sum(ssrsrp_5div_level2mrcount+ssrsrp_5div_level3mrcount)</t>
    <phoneticPr fontId="19" type="noConversion"/>
  </si>
  <si>
    <t>ssrsrpgoodcount</t>
    <phoneticPr fontId="19" type="noConversion"/>
  </si>
  <si>
    <t>sum(ssrsrpgoodcount)</t>
    <phoneticPr fontId="19" type="noConversion"/>
  </si>
  <si>
    <t>sum(ssrsrpgoodcount)/sum(ssrsrpcount)</t>
    <phoneticPr fontId="19" type="noConversion"/>
  </si>
  <si>
    <t>sssinrgoodcount</t>
    <phoneticPr fontId="19" type="noConversion"/>
  </si>
  <si>
    <t>sum(sssinrgoodcount)</t>
    <phoneticPr fontId="19" type="noConversion"/>
  </si>
  <si>
    <t>sum(sssinrgoodcount)/sum(sssinrcount)</t>
    <phoneticPr fontId="19" type="noConversion"/>
  </si>
  <si>
    <t>sum(tadv_5div_level7mrcount)</t>
    <phoneticPr fontId="19" type="noConversion"/>
  </si>
  <si>
    <t>sum(ssrsrqgoodcount)/sum(ssrsrqcount)</t>
    <phoneticPr fontId="19" type="noConversion"/>
  </si>
  <si>
    <t>compgoodcovernum</t>
    <phoneticPr fontId="19" type="noConversion"/>
  </si>
  <si>
    <t>sum(compgoodcovernum)</t>
    <phoneticPr fontId="19" type="noConversion"/>
  </si>
  <si>
    <t>aggr_nr_usrareatime_cel_refactor_d</t>
    <phoneticPr fontId="19" type="noConversion"/>
  </si>
  <si>
    <t>aggr_nr_coverage_usrcelarea_refactor_d</t>
    <phoneticPr fontId="19" type="noConversion"/>
  </si>
  <si>
    <t>aggr_nr_usrarea_coverarea_refactor_d</t>
    <phoneticPr fontId="19" type="noConversion"/>
  </si>
  <si>
    <t>aggr_nr_coverage_celgrd_refactor_h</t>
    <phoneticPr fontId="19" type="noConversion"/>
  </si>
  <si>
    <t>aggr_nr_coverage_usrcel_refactor_h</t>
    <phoneticPr fontId="19" type="noConversion"/>
  </si>
  <si>
    <t>aggr_nr_coverage_cel_refactor_h</t>
    <phoneticPr fontId="19" type="noConversion"/>
  </si>
  <si>
    <t>aggr_nr_coverage_grd_refactor_h</t>
    <phoneticPr fontId="19" type="noConversion"/>
  </si>
  <si>
    <t>aggr_nr_coverage_celgrd_refactor_d</t>
    <phoneticPr fontId="19" type="noConversion"/>
  </si>
  <si>
    <t>aggr_nr_coverage_grd_refactor_d</t>
    <phoneticPr fontId="19" type="noConversion"/>
  </si>
  <si>
    <t>aggr_nr_coverage_usrcel_refactor_d</t>
    <phoneticPr fontId="19" type="noConversion"/>
  </si>
  <si>
    <t>aggr_nr_coverage_usr_refactor_d</t>
    <phoneticPr fontId="19" type="noConversion"/>
  </si>
  <si>
    <t>aggr_nr_coverage_usrgrd_refactor_d</t>
    <phoneticPr fontId="19" type="noConversion"/>
  </si>
  <si>
    <t>datetime</t>
    <phoneticPr fontId="19" type="noConversion"/>
  </si>
  <si>
    <t>过滤条件：(is_mod30interfer=1) or (is_overlap=1 and snearfcnflag=1 and overlapsrsrpflag=1 and overlapsnrsrpflag=1)</t>
    <phoneticPr fontId="19" type="noConversion"/>
  </si>
  <si>
    <t>aggr_nr_sncell_problem_d</t>
    <phoneticPr fontId="19" type="noConversion"/>
  </si>
  <si>
    <t>ulsinr_cnt_f3_0</t>
    <phoneticPr fontId="19" type="noConversion"/>
  </si>
  <si>
    <t>ulsinr_cnt_f23_f3</t>
    <phoneticPr fontId="19" type="noConversion"/>
  </si>
  <si>
    <t>干扰采样点数</t>
    <phoneticPr fontId="19" type="noConversion"/>
  </si>
  <si>
    <t>interfer_cnt</t>
    <phoneticPr fontId="19" type="noConversion"/>
  </si>
  <si>
    <t>validrsrp_sinr_cnt</t>
    <phoneticPr fontId="19" type="noConversion"/>
  </si>
  <si>
    <t>nrscssrsrp</t>
    <phoneticPr fontId="19" type="noConversion"/>
  </si>
  <si>
    <t>nrscsssinr</t>
    <phoneticPr fontId="19" type="noConversion"/>
  </si>
  <si>
    <t>validrsrp_rsrq_sinr_cnt</t>
    <phoneticPr fontId="19" type="noConversion"/>
  </si>
  <si>
    <t>RSRP/RSRQ/SINR有效采样点数</t>
    <phoneticPr fontId="19" type="noConversion"/>
  </si>
  <si>
    <t>sum(interfer_cnt)</t>
    <phoneticPr fontId="19" type="noConversion"/>
  </si>
  <si>
    <t>sum(validrsrp_rsrq_sinr_cnt)</t>
    <phoneticPr fontId="19" type="noConversion"/>
  </si>
  <si>
    <t>重叠覆盖采样点总数</t>
  </si>
  <si>
    <t>过覆盖采样点总数</t>
  </si>
  <si>
    <t>MOD3干扰采样点总数</t>
  </si>
  <si>
    <t>min_starttime</t>
  </si>
  <si>
    <t>最小开始时间(时间戳)</t>
  </si>
  <si>
    <t>min(meastime)</t>
  </si>
  <si>
    <t>max_endtime</t>
  </si>
  <si>
    <t>最大结束时间(时间戳)</t>
  </si>
  <si>
    <t>max(meastime)</t>
  </si>
  <si>
    <t>meastime</t>
    <phoneticPr fontId="19" type="noConversion"/>
  </si>
  <si>
    <t>转换成时间戳。cast(concat(unix_timestamp(concat_ws(' ',split(datetime,'T'))), substring(datetime,21,3)) as bigint)</t>
    <phoneticPr fontId="19" type="noConversion"/>
  </si>
  <si>
    <t>新增字段</t>
    <phoneticPr fontId="19" type="noConversion"/>
  </si>
  <si>
    <t>min_starttime</t>
    <phoneticPr fontId="19" type="noConversion"/>
  </si>
  <si>
    <t>min(min_starttime)</t>
    <phoneticPr fontId="19" type="noConversion"/>
  </si>
  <si>
    <t>max_endtime</t>
    <phoneticPr fontId="19" type="noConversion"/>
  </si>
  <si>
    <t>max(max_endtime)</t>
    <phoneticPr fontId="19" type="noConversion"/>
  </si>
  <si>
    <t>min_starttime</t>
    <phoneticPr fontId="19" type="noConversion"/>
  </si>
  <si>
    <t>min(min_starttime)</t>
    <phoneticPr fontId="19" type="noConversion"/>
  </si>
  <si>
    <t>max_endtime</t>
    <phoneticPr fontId="19" type="noConversion"/>
  </si>
  <si>
    <t>max(max_endtime)</t>
    <phoneticPr fontId="19" type="noConversion"/>
  </si>
  <si>
    <t>overlap_cnt</t>
    <phoneticPr fontId="19" type="noConversion"/>
  </si>
  <si>
    <t>sum(overlap_cnt)</t>
    <phoneticPr fontId="19" type="noConversion"/>
  </si>
  <si>
    <t>overshoot_cnt</t>
    <phoneticPr fontId="19" type="noConversion"/>
  </si>
  <si>
    <t>sum(overshoot_cnt)</t>
    <phoneticPr fontId="19" type="noConversion"/>
  </si>
  <si>
    <t>mod30interfer_mrcount</t>
    <phoneticPr fontId="19" type="noConversion"/>
  </si>
  <si>
    <t>sum(mod30interfer_mrcount)</t>
    <phoneticPr fontId="19" type="noConversion"/>
  </si>
  <si>
    <t>aggr_nr_sncell_problem_h</t>
    <phoneticPr fontId="19" type="noConversion"/>
  </si>
  <si>
    <t>aggr_nr_coverage_usr_h</t>
    <phoneticPr fontId="19" type="noConversion"/>
  </si>
  <si>
    <t>核心</t>
    <phoneticPr fontId="19" type="noConversion"/>
  </si>
  <si>
    <t>ods_nr_mro_northctcc_reduce</t>
    <phoneticPr fontId="19" type="noConversion"/>
  </si>
  <si>
    <t>nrscssrsrp-156</t>
    <phoneticPr fontId="19" type="noConversion"/>
  </si>
  <si>
    <t>nrscssrsrp</t>
    <phoneticPr fontId="19" type="noConversion"/>
  </si>
  <si>
    <t>nrscssrsrq/2-43</t>
    <phoneticPr fontId="19" type="noConversion"/>
  </si>
  <si>
    <t>nrscssrsrq</t>
    <phoneticPr fontId="19" type="noConversion"/>
  </si>
  <si>
    <t>nrscsssinr/2-23</t>
    <phoneticPr fontId="19" type="noConversion"/>
  </si>
  <si>
    <t>nrscsssinr</t>
    <phoneticPr fontId="19" type="noConversion"/>
  </si>
  <si>
    <t>主小区RSRP/SINR/RSRQ值未转换，邻小区RSRP/SINR/RSRQ值未转换，做后向邻区表时需注意</t>
    <phoneticPr fontId="19" type="noConversion"/>
  </si>
  <si>
    <t>nrncsssinr/2-23</t>
    <phoneticPr fontId="19" type="noConversion"/>
  </si>
  <si>
    <t>nrncssrsrp-156</t>
    <phoneticPr fontId="19" type="noConversion"/>
  </si>
  <si>
    <t>case when nrscssrsrp-156 &lt;-110 then 1 else 0 end</t>
    <phoneticPr fontId="19" type="noConversion"/>
  </si>
  <si>
    <t>主小区RSRP值大于等于-105dBm：case when nrscssrsrp-156&gt;=-105 then 1  else 0 end)</t>
    <phoneticPr fontId="19" type="noConversion"/>
  </si>
  <si>
    <t>主小区RSRP值大于-105dBm：case when nrscssrsrp-156&gt;=-105 then 1  else 0 end</t>
    <phoneticPr fontId="19" type="noConversion"/>
  </si>
  <si>
    <t>case when nrscssrsrp-156 &gt;=-105 then 1 else 0 end</t>
    <phoneticPr fontId="19" type="noConversion"/>
  </si>
  <si>
    <t>case when nrscssrsrp - nrncssrsrp &lt;=6 then 1 else 0 end</t>
    <phoneticPr fontId="19" type="noConversion"/>
  </si>
  <si>
    <t>1米栅格转20米栅格</t>
    <phoneticPr fontId="19" type="noConversion"/>
  </si>
  <si>
    <t>sum(case when nrscssrsrp - 156&gt;=-156 and nrscssrsrp - 156&lt;=-29 then nrscssrsrp - 156 else 0 end)</t>
  </si>
  <si>
    <t>sum(case when nrscssrsrp - 156&gt;=-156 and nrscssrsrp - 156&lt;=-29 then 1 else 0 end)</t>
  </si>
  <si>
    <t>sum(case when nrscssrsrp - 156&gt;=-156 and nrscssrsrp - 156&lt;=-29 then nrscssrsrp - 156 else 0 end) / sum(case when nrscssrsrp - 156&gt;=-156 and nrscssrsrp - 156&lt;=-29 then 1 else 0 end)</t>
  </si>
  <si>
    <t>sum(case when nrscssrsrp - 156&gt;=-105 and nrscssrsrp - 156&lt;-100 then 1 else 0 end)</t>
  </si>
  <si>
    <t>sum(case when nrscssrsrp - 156&gt;=-110 and nrscssrsrp - 156&lt;-105 then 1 else 0 end)</t>
  </si>
  <si>
    <t>sum(case when nrscssrsrp - 156&gt;=-112 and nrscssrsrp - 156&lt;-110 then 1 else 0 end)</t>
  </si>
  <si>
    <t>sum(case when nrscssrsrp - 156&gt;=-115 and nrscssrsrp - 156&lt;-112 then 1 else 0 end)</t>
  </si>
  <si>
    <t>sum(case when nrscssrsrp - 156&gt;=-120 and nrscssrsrp - 156&lt;-115 then 1 else 0 end)</t>
  </si>
  <si>
    <t>sum(case when nrscssrsrp - 156&gt;=-156 and nrscssrsrp - 156&lt;-120 then 1 else 0 end)</t>
  </si>
  <si>
    <t>sum(case when nrscssrsrp - 156&gt;=-70 and nrscssrsrp - 156&lt;-65 then 1 else 0 end)</t>
    <phoneticPr fontId="19" type="noConversion"/>
  </si>
  <si>
    <t>sum(case when nrscssrsrp - 156&gt;=-65 and nrscssrsrp - 156&lt;=-29 then 1 else 0 end)</t>
    <phoneticPr fontId="19" type="noConversion"/>
  </si>
  <si>
    <t>sum(case when nrscssrsrp - 156&gt;=-75 and nrscssrsrp - 156&lt;-70 then 1 else 0 end)</t>
    <phoneticPr fontId="19" type="noConversion"/>
  </si>
  <si>
    <t>sum(case when nrscssrsrp - 156&gt;=-80 and nrscssrsrp - 156&lt;-75 then 1 else 0 end)</t>
    <phoneticPr fontId="19" type="noConversion"/>
  </si>
  <si>
    <t>sum(case when nrscssrsrp - 156&gt;=-85 and nrscssrsrp - 156&lt;-80 then 1 else 0 end)</t>
    <phoneticPr fontId="19" type="noConversion"/>
  </si>
  <si>
    <t>sum(case when nrscssrsrp - 156&gt;=-90 and nrscssrsrp - 156&lt;-85 then 1 else 0 end)</t>
    <phoneticPr fontId="19" type="noConversion"/>
  </si>
  <si>
    <t>sum(case when nrscssrsrp - 156&gt;=-95 and nrscssrsrp - 156&lt;-90 then 1 else 0 end)</t>
    <phoneticPr fontId="19" type="noConversion"/>
  </si>
  <si>
    <t>sum(case when nrscssrsrp - 156&gt;=-100 and nrscssrsrp - 156&lt;-95 then 1 else 0 end)</t>
    <phoneticPr fontId="19" type="noConversion"/>
  </si>
  <si>
    <t>sum(case when nrscssrsrp - 156&gt;=-105 and nrscssrsrp - 156&lt;=-29 then 1 else 0 end)</t>
  </si>
  <si>
    <t>sum(case when nrscssrsrp - 156&gt;=-105 and nrscssrsrp - 156&lt;=-29 then 1 else 0 end) / sum(case when nrscssrsrp - 156&gt;=-156 and nrscssrsrp - 156&lt;=-29 then 1 else 0 end)</t>
  </si>
  <si>
    <t>sum(case when nrscssrsrp - 156&lt;-110 and nrscssrsrp - 156&gt;=-156 then 1 else 0 end)</t>
  </si>
  <si>
    <t>sum(case when nrscssrsrp - 156&lt;-110 and nrscssrsrp - 156&gt;=-156 then nrscssrsrp - 156 else 0 end)</t>
  </si>
  <si>
    <t>sum(case when (nrscssrsrq/2-43)&gt;=-43 and (nrscssrsrq/2-43)&lt;=21 then (nrscssrsrq/2-43) else 0 end)</t>
  </si>
  <si>
    <t>sum(case when (nrscssrsrq/2-43)&gt;=-43 and (nrscssrsrq/2-43)&lt;=21 then (nrscssrsrq/2-43) else 0 end) / sum(case when (nrscssrsrq/2-43)&gt;=-43 and (nrscssrsrq/2-43)&lt;=21 then 1 else 0 end)</t>
  </si>
  <si>
    <t>sum(case when (nrscssrsrq/2-43)&gt;=11 and (nrscssrsrq/2-43)&lt;=21 then 1 else 0 end)</t>
  </si>
  <si>
    <t>sum(case when (nrscssrsrq/2-43)&gt;=8 and (nrscssrsrq/2-43)&lt;=11 then 1 else 0 end)</t>
  </si>
  <si>
    <t>sum(case when (nrscssrsrq/2-43)&gt;=5 and (nrscssrsrq/2-43)&lt;=8 then 1 else 0 end)</t>
  </si>
  <si>
    <t>sum(case when (nrscssrsrq/2-43)&gt;=2 and (nrscssrsrq/2-43)&lt;=5 then 1 else 0 end)</t>
  </si>
  <si>
    <t>sum(case when (nrscssrsrq/2-43)&gt;=-1 and (nrscssrsrq/2-43)&lt;=2 then 1 else 0 end)</t>
  </si>
  <si>
    <t>sum(case when (nrscssrsrq/2-43)&gt;=-4 and (nrscssrsrq/2-43)&lt;-1 then 1 else 0 end)</t>
  </si>
  <si>
    <t>sum(case when (nrscssrsrq/2-43)&gt;=-7 and (nrscssrsrq/2-43)&lt;-4 then 1 else 0 end)</t>
  </si>
  <si>
    <t>sum(case when (nrscssrsrq/2-43)&gt;=-10 and (nrscssrsrq/2-43)&lt;-7 then 1 else 0 end)</t>
  </si>
  <si>
    <t>sum(case when (nrscssrsrq/2-43)&gt;=-13 and (nrscssrsrq/2-43)&lt;-10 then 1 else 0 end)</t>
  </si>
  <si>
    <t>sum(case when (nrscssrsrq/2-43)&gt;=-16 and (nrscssrsrq/2-43)&lt;-13 then 1 else 0 end)</t>
  </si>
  <si>
    <t>sum(case when (nrscssrsrq/2-43)&gt;=-19 and (nrscssrsrq/2-43)&lt;-16 then 1 else 0 end)</t>
  </si>
  <si>
    <t>sum(case when (nrscssrsrq/2-43)&gt;=-43 and (nrscssrsrq/2-43)&lt;-19 then 1 else 0 end)</t>
  </si>
  <si>
    <t>sum(case when (nrscssrsrq/2-43)&gt;=-13 and (nrscssrsrq/2-43)&lt;=21 then 1 else 0 end)</t>
  </si>
  <si>
    <t>sum(case when (nrscssrsrq/2-43)&gt;=-13 and (nrscssrsrq/2-43)&lt;=21 then 1 else 0 end) / sum(case when (nrscssrsrq/2-43)&gt;=-43 and (nrscssrsrq/2-43)&lt;=21 then 1 else 0 end)</t>
  </si>
  <si>
    <t>sum(case when (nrscssrsrq/2-43)&gt;=-43 and (nrscssrsrq/2-43)&lt;=21 then 1 else 0 end)</t>
    <phoneticPr fontId="19" type="noConversion"/>
  </si>
  <si>
    <t>sum(case when (nrscsssinr/2-23)&gt;=-23 and (nrscsssinr/2-23)&lt;=41 then (nrscsssinr/2-23) else 0 end)</t>
  </si>
  <si>
    <t>sum(case when (nrscsssinr/2-23)&gt;=-23 and (nrscsssinr/2-23)&lt;=41 then 1 else 0 end)</t>
  </si>
  <si>
    <t>sum(case when (nrscsssinr/2-23)&gt;=-23 and (nrscsssinr/2-23)&lt;=41 then (nrscsssinr/2-23) else 0 end) / sum(case when (nrscsssinr/2-23)&gt;=-23 and (nrscsssinr/2-23)&lt;=41 then 1 else 0 end)</t>
  </si>
  <si>
    <t>sum(case when (nrscsssinr/2-23)&gt;=20 and (nrscsssinr/2-23)&lt;=41 then 1 else 0 end)</t>
  </si>
  <si>
    <t>sum(case when (nrscsssinr/2-23)&gt;=15 and (nrscsssinr/2-23)&lt;20 then 1 else 0 end)</t>
  </si>
  <si>
    <t>sum(case when (nrscsssinr/2-23)&gt;=10 and (nrscsssinr/2-23)&lt;15 then 1 else 0 end)</t>
  </si>
  <si>
    <t>sum(case when (nrscsssinr/2-23)&gt;=5 and (nrscsssinr/2-23)&lt;10 then 1 else 0 end)</t>
  </si>
  <si>
    <t>sum(case when (nrscsssinr/2-23)&gt;=0 and (nrscsssinr/2-23)&lt;5 then 1 else 0 end)</t>
  </si>
  <si>
    <t>sum(case when (nrscsssinr/2-23)&gt;=-3 and (nrscsssinr/2-23)&lt;0 then 1 else 0 end)</t>
  </si>
  <si>
    <t>sum(case when (nrscsssinr/2-23)&gt;=-23 and (nrscsssinr/2-23)&lt;-3 then 1 else 0 end)</t>
  </si>
  <si>
    <t>sum(case when (nrscsssinr/2-23)&gt;=33 and (nrscsssinr/2-23)&lt;=41 then 1 else 0 end)</t>
  </si>
  <si>
    <t>sum(case when (nrscsssinr/2-23)&gt;=28 and (nrscsssinr/2-23)&lt;33 then 1 else 0 end)</t>
  </si>
  <si>
    <t>sum(case when (nrscsssinr/2-23)&gt;=23 and (nrscsssinr/2-23)&lt;28 then 1 else 0 end)</t>
  </si>
  <si>
    <t>sum(case when (nrscsssinr/2-23)&gt;=18 and (nrscsssinr/2-23)&lt;23 then 1 else 0 end)</t>
  </si>
  <si>
    <t>sum(case when (nrscsssinr/2-23)&gt;=13 and (nrscsssinr/2-23)&lt;18 then 1 else 0 end)</t>
  </si>
  <si>
    <t>sum(case when (nrscsssinr/2-23)&gt;=8 and (nrscsssinr/2-23)&lt;13 then 1 else 0 end)</t>
  </si>
  <si>
    <t>sum(case when (nrscsssinr/2-23)&gt;=3 and (nrscsssinr/2-23)&lt;8 then 1 else 0 end)</t>
  </si>
  <si>
    <t>sum(case when (nrscsssinr/2-23)&gt;=-2 and (nrscsssinr/2-23)&lt;3 then 1 else 0 end)</t>
  </si>
  <si>
    <t>sum(case when (nrscsssinr/2-23)&gt;=-7 and (nrscsssinr/2-23)&lt;-2 then 1 else 0 end)</t>
  </si>
  <si>
    <t>sum(case when (nrscsssinr/2-23)&gt;=-10 and (nrscsssinr/2-23)&lt;-7 then 1 else 0 end)</t>
  </si>
  <si>
    <t>sum(case when (nrscsssinr/2-23)&gt;=-15 and (nrscsssinr/2-23)&lt;-10 then 1 else 0 end)</t>
  </si>
  <si>
    <t>sum(case when (nrscsssinr/2-23)&gt;=-23 and (nrscsssinr/2-23)&lt;-15 then 1 else 0 end)</t>
  </si>
  <si>
    <t>sum(case when (nrscsssinr/2-23)&gt;=0 and (nrscsssinr/2-23)&lt;=41 then 1 else 0 end)</t>
  </si>
  <si>
    <t>sum(case when (nrscsssinr/2-23)&gt;=0 and (nrscsssinr/2-23)&lt;=41 then 1 else 0 end) / sum(case when (nrscsssinr/2-23)&gt;=-23 and (nrscsssinr/2-23)&lt;=41 then 1 else 0 end)</t>
  </si>
  <si>
    <t>sum(case when (nrscssrsrp-156)&gt;=-95 and (nrscssrsrp-156)&lt;=-29 and (nrscsssinr/2-23)&gt;=-3 and (nrscsssinr/2-23)&lt;=41 then 1 else 0 end)</t>
  </si>
  <si>
    <t>sum(case when (nrscssrsrp-156)&gt;=-95 and (nrscssrsrp-156)&lt;=-29 and (nrscsssinr/2-23)&gt;=0 and (nrscsssinr/2-23)&lt;=41 then 1 else 0 end)</t>
  </si>
  <si>
    <t>sum(case when (nrscssrsrp-156)&gt;=-95 and (nrscssrsrp-156)&lt;=-29 and (nrscsssinr/2-23)&gt;=3 and (nrscsssinr/2-23)&lt;=41 then 1 else 0 end)</t>
  </si>
  <si>
    <t>sum(case when (nrscssrsrp-156)&gt;=-95 and (nrscssrsrp-156)&lt;=-29 and (nrscsssinr/2-23)&gt;=10 and (nrscsssinr/2-23)&lt;=41 then 1 else 0 end)</t>
  </si>
  <si>
    <t>sum(case when (nrscssrsrp-156)&gt;=-100 and (nrscssrsrp-156)&lt;=-29 and (nrscsssinr/2-23)&gt;=-3 and (nrscsssinr/2-23)&lt;=41 then 1 else 0 end)</t>
  </si>
  <si>
    <t>sum(case when (nrscssrsrp-156)&gt;=-100 and (nrscssrsrp-156)&lt;=-29 and (nrscsssinr/2-23)&gt;=0 and (nrscsssinr/2-23)&lt;=41 then 1 else 0 end)</t>
  </si>
  <si>
    <t>sum(case when (nrscssrsrp-156)&gt;=-100 and (nrscssrsrp-156)&lt;=-29 and (nrscsssinr/2-23)&gt;=3 and (nrscsssinr/2-23)&lt;=41 then 1 else 0 end)</t>
  </si>
  <si>
    <t>sum(case when (nrscssrsrp-156)&gt;=-105 and (nrscssrsrp-156)&lt;=-29 and (nrscsssinr/2-23)&gt;=-3 and (nrscsssinr/2-23)&lt;=41 then 1 else 0 end)</t>
  </si>
  <si>
    <t>sum(case when (nrscssrsrp-156)&gt;=-105 and (nrscssrsrp-156)&lt;=-29 and (nrscsssinr/2-23)&gt;=0 and (nrscsssinr/2-23)&lt;=41 then 1 else 0 end)</t>
  </si>
  <si>
    <t>sum(case when (nrscssrsrp-156)&gt;=-105 and (nrscssrsrp-156)&lt;=-29 and (nrscsssinr/2-23)&gt;=3 and (nrscsssinr/2-23)&lt;=41 then 1 else 0 end)</t>
  </si>
  <si>
    <t>sum(case when (nrscssrsrp-156)&gt;=-110 and (nrscssrsrp-156)&lt;=-29 and (nrscsssinr/2-23)&gt;=-3 and (nrscsssinr/2-23)&lt;=41 then 1 else 0 end)</t>
  </si>
  <si>
    <t>sum(case when (nrscssrsrp-156)&gt;=-110 and (nrscssrsrp-156)&lt;=-29 and (nrscsssinr/2-23)&gt;=0 and (nrscsssinr/2-23)&lt;=41 then 1 else 0 end)</t>
  </si>
  <si>
    <t>sum(case when (nrscssrsrp-156)&gt;=-110 and (nrscssrsrp-156)&lt;=-29 and (nrscsssinr/2-23)&gt;=3 and (nrscsssinr/2-23)&lt;=41 then 1 else 0 end)</t>
  </si>
  <si>
    <t>sum(case when (nrscssrsrp-156)&gt;=-156 and (nrscssrsrp-156)&lt;=-29 and (nrscsssinr/2-23)&gt;=-23 and (nrscsssinr/2-23)&lt;=41 then 1 else 0 end)</t>
  </si>
  <si>
    <t>sum(case when (nrscssrsrp-156)&gt;-105 and rsrq&lt;-14 and (nrscsssinr/2-23)&lt;-3  then 1 else 0 end)</t>
  </si>
  <si>
    <t>sum(case when (nrscssrsrp-156)&gt;=-156 and (nrscssrsrp-156)&lt;=-29 and (nrscsssinr/2-23)&gt;=-23 and (nrscsssinr/2-23)&lt;=41 and nrscssrsrq&gt;=-43 and nrscssrsrq&lt;=21 then 1 else 0 end)</t>
  </si>
  <si>
    <t>主小区到MR采样点连线与主小区到邻小区连线之间的夹角</t>
    <phoneticPr fontId="19" type="noConversion"/>
  </si>
  <si>
    <t>1、先计算overshootsrsrpflag、overshootsnrsrpflag、overshootmrtoscelldistssflag、overshootmrtoscelldistnsflag、interstationangle
2、case when overshootsrsrpflag=1 and overshootsnrsrpflag=1 and overshootmrtoscelldistssflag=1 and overshootmrtoscelldistnsflag=1 and interstationangle&lt;=45 then 1 else 0 end</t>
    <phoneticPr fontId="19" type="noConversion"/>
  </si>
  <si>
    <t>rsrp_total</t>
    <phoneticPr fontId="19" type="noConversion"/>
  </si>
  <si>
    <t>rsrp_cnt</t>
    <phoneticPr fontId="19" type="noConversion"/>
  </si>
  <si>
    <t>rsrp_good_cnt_f105</t>
    <phoneticPr fontId="19" type="noConversion"/>
  </si>
  <si>
    <t>rsrp_cnt_f110_f105</t>
    <phoneticPr fontId="19" type="noConversion"/>
  </si>
  <si>
    <t>栅格坐标x轴偏移_20米</t>
    <phoneticPr fontId="19" type="noConversion"/>
  </si>
  <si>
    <t>栅格坐标y轴偏移_20米</t>
    <phoneticPr fontId="19" type="noConversion"/>
  </si>
  <si>
    <t>1米转20米栅格</t>
    <phoneticPr fontId="19" type="noConversion"/>
  </si>
  <si>
    <t>rattypeid</t>
    <phoneticPr fontId="19" type="noConversion"/>
  </si>
  <si>
    <t>sum(rsrp_cnt)</t>
    <phoneticPr fontId="19" type="noConversion"/>
  </si>
  <si>
    <t>rsrp_total</t>
    <phoneticPr fontId="19" type="noConversion"/>
  </si>
  <si>
    <t>sum(rsrp_total)</t>
    <phoneticPr fontId="19" type="noConversion"/>
  </si>
  <si>
    <t>sum(rsrp_total)/sum(rsrp_cnt)</t>
    <phoneticPr fontId="19" type="noConversion"/>
  </si>
  <si>
    <t>sum(ssrsrpcount)</t>
    <phoneticPr fontId="19" type="noConversion"/>
  </si>
  <si>
    <t>rsrp_good_cnt_f105</t>
    <phoneticPr fontId="19" type="noConversion"/>
  </si>
  <si>
    <t>sum(rsrp_good_cnt_f105)</t>
    <phoneticPr fontId="19" type="noConversion"/>
  </si>
  <si>
    <t>rsrp_good_rate_f105</t>
    <phoneticPr fontId="19" type="noConversion"/>
  </si>
  <si>
    <t>sum(rsrp_good_cnt_f105)/sum(rsrp_cnt)</t>
    <phoneticPr fontId="19" type="noConversion"/>
  </si>
  <si>
    <t>rsrq_cnt</t>
    <phoneticPr fontId="19" type="noConversion"/>
  </si>
  <si>
    <t>sum(rsrq_cnt)</t>
    <phoneticPr fontId="19" type="noConversion"/>
  </si>
  <si>
    <t>rsrq_total</t>
    <phoneticPr fontId="19" type="noConversion"/>
  </si>
  <si>
    <t>sum(rsrq_total)</t>
    <phoneticPr fontId="19" type="noConversion"/>
  </si>
  <si>
    <t>sum(rsrq_total)/sum(rsrq_cnt)</t>
    <phoneticPr fontId="19" type="noConversion"/>
  </si>
  <si>
    <t>rsrq_good_cnt_f13</t>
    <phoneticPr fontId="19" type="noConversion"/>
  </si>
  <si>
    <t>sum(rsrq_good_cnt_f13)</t>
    <phoneticPr fontId="19" type="noConversion"/>
  </si>
  <si>
    <t>sum(rsrq_good_cnt_f13)/sum(rsrq_cnt)</t>
    <phoneticPr fontId="19" type="noConversion"/>
  </si>
  <si>
    <t>ulsinr_cnt</t>
    <phoneticPr fontId="19" type="noConversion"/>
  </si>
  <si>
    <t>sum(ulsinr_cnt)</t>
    <phoneticPr fontId="19" type="noConversion"/>
  </si>
  <si>
    <t>ulsinr_total</t>
    <phoneticPr fontId="19" type="noConversion"/>
  </si>
  <si>
    <t>sum(ulsinr_total)</t>
    <phoneticPr fontId="19" type="noConversion"/>
  </si>
  <si>
    <t>sum(ulsinr_total)/sum(ulsinr_cnt)</t>
    <phoneticPr fontId="19" type="noConversion"/>
  </si>
  <si>
    <t>ulsinr_cnt_f23_f15</t>
    <phoneticPr fontId="19" type="noConversion"/>
  </si>
  <si>
    <t>sum(ulsinr_cnt_f23_f15)</t>
    <phoneticPr fontId="19" type="noConversion"/>
  </si>
  <si>
    <t>ulsinr_cnt_f15_f10</t>
    <phoneticPr fontId="19" type="noConversion"/>
  </si>
  <si>
    <t>sum(ulsinr_cnt_f15_f10)</t>
    <phoneticPr fontId="19" type="noConversion"/>
  </si>
  <si>
    <t>ulsinr_cnt_f10_f7</t>
    <phoneticPr fontId="19" type="noConversion"/>
  </si>
  <si>
    <t>sum(ulsinr_cnt_f10_f7)</t>
    <phoneticPr fontId="19" type="noConversion"/>
  </si>
  <si>
    <t>ulsinr_cnt_f7_f2</t>
    <phoneticPr fontId="19" type="noConversion"/>
  </si>
  <si>
    <t>sum(ulsinr_cnt_f7_f2)</t>
    <phoneticPr fontId="19" type="noConversion"/>
  </si>
  <si>
    <t>ulsinr_cnt_f2_3</t>
    <phoneticPr fontId="19" type="noConversion"/>
  </si>
  <si>
    <t>sum(ulsinr_cnt_f2_3)</t>
    <phoneticPr fontId="19" type="noConversion"/>
  </si>
  <si>
    <t>ulsinr_cnt_3_8</t>
    <phoneticPr fontId="19" type="noConversion"/>
  </si>
  <si>
    <t>sum(ulsinr_cnt_3_8)</t>
    <phoneticPr fontId="19" type="noConversion"/>
  </si>
  <si>
    <t>ulsinr_cnt_8_13</t>
    <phoneticPr fontId="19" type="noConversion"/>
  </si>
  <si>
    <t>sum(ulsinr_cnt_8_13)</t>
    <phoneticPr fontId="19" type="noConversion"/>
  </si>
  <si>
    <t>ulsinr_cnt_13_18</t>
    <phoneticPr fontId="19" type="noConversion"/>
  </si>
  <si>
    <t>sum(ulsinr_cnt_13_18)</t>
    <phoneticPr fontId="19" type="noConversion"/>
  </si>
  <si>
    <t>ulsinr_cnt_18_23</t>
    <phoneticPr fontId="19" type="noConversion"/>
  </si>
  <si>
    <t>sum(ulsinr_cnt_18_23)</t>
    <phoneticPr fontId="19" type="noConversion"/>
  </si>
  <si>
    <t>ulsinr_cnt_23_28</t>
    <phoneticPr fontId="19" type="noConversion"/>
  </si>
  <si>
    <t>sum(ulsinr_cnt_23_28)</t>
    <phoneticPr fontId="19" type="noConversion"/>
  </si>
  <si>
    <t>ulsinr_cnt_28_33</t>
    <phoneticPr fontId="19" type="noConversion"/>
  </si>
  <si>
    <t>sum(ulsinr_cnt_28_33)</t>
    <phoneticPr fontId="19" type="noConversion"/>
  </si>
  <si>
    <t>ulsinr_cnt_33_41</t>
    <phoneticPr fontId="19" type="noConversion"/>
  </si>
  <si>
    <t>sum(ulsinr_cnt_33_41)</t>
    <phoneticPr fontId="19" type="noConversion"/>
  </si>
  <si>
    <t>ulsinr_good_cnt_0</t>
    <phoneticPr fontId="19" type="noConversion"/>
  </si>
  <si>
    <t>sum(ulsinr_good_cnt_0)</t>
    <phoneticPr fontId="19" type="noConversion"/>
  </si>
  <si>
    <t>sum(ulsinr_good_cnt_0)/sum(ulsinr_cnt)</t>
    <phoneticPr fontId="19" type="noConversion"/>
  </si>
  <si>
    <t>ta_cnt</t>
    <phoneticPr fontId="19" type="noConversion"/>
  </si>
  <si>
    <t>ta_total</t>
    <phoneticPr fontId="19" type="noConversion"/>
  </si>
  <si>
    <t>ta_cnt_0_3</t>
    <phoneticPr fontId="19" type="noConversion"/>
  </si>
  <si>
    <t>ta_cnt_3_6</t>
    <phoneticPr fontId="19" type="noConversion"/>
  </si>
  <si>
    <t>weakcover_cnt</t>
    <phoneticPr fontId="19" type="noConversion"/>
  </si>
  <si>
    <t>sum(weakcover_cnt)</t>
    <phoneticPr fontId="19" type="noConversion"/>
  </si>
  <si>
    <t>sum(weakcover_totalrsrp)/sum(weakcover_cnt)</t>
    <phoneticPr fontId="19" type="noConversion"/>
  </si>
  <si>
    <t>sum(weakcover_cnt)/sum(rsrp_cnt)</t>
    <phoneticPr fontId="19" type="noConversion"/>
  </si>
  <si>
    <t>sum(overlap_totalrsrp)/sum(overlap_cnt)</t>
    <phoneticPr fontId="19" type="noConversion"/>
  </si>
  <si>
    <t>sum(overlap_cnt)/sum(rsrp_cnt)</t>
    <phoneticPr fontId="19" type="noConversion"/>
  </si>
  <si>
    <t>sum(overshoot_totalrsrp)/sum(overshoot_cnt)</t>
    <phoneticPr fontId="19" type="noConversion"/>
  </si>
  <si>
    <t>sum(mod30interfer_mrcount)/sum(rsrp_cnt)</t>
    <phoneticPr fontId="19" type="noConversion"/>
  </si>
  <si>
    <t>rsrpf110_sinrf3_cnt</t>
    <phoneticPr fontId="19" type="noConversion"/>
  </si>
  <si>
    <t>sum(rsrpf110_sinrf3_cnt)</t>
    <phoneticPr fontId="19" type="noConversion"/>
  </si>
  <si>
    <t>rsrpf95_sinrf3_cnt</t>
    <phoneticPr fontId="19" type="noConversion"/>
  </si>
  <si>
    <t>sum(rsrpf95_sinrf3_cnt)</t>
    <phoneticPr fontId="19" type="noConversion"/>
  </si>
  <si>
    <t>rsrpf95_sinr3_cnt</t>
    <phoneticPr fontId="19" type="noConversion"/>
  </si>
  <si>
    <t>sum(rsrpf95_sinr3_cnt)</t>
    <phoneticPr fontId="19" type="noConversion"/>
  </si>
  <si>
    <t>rsrpf105_sinrf3_cnt</t>
    <phoneticPr fontId="19" type="noConversion"/>
  </si>
  <si>
    <t>sum(rsrpf105_sinrf3_cnt)</t>
    <phoneticPr fontId="19" type="noConversion"/>
  </si>
  <si>
    <t>rsrpf105_sinr3_cnt</t>
    <phoneticPr fontId="19" type="noConversion"/>
  </si>
  <si>
    <t>sum(rsrpf105_sinr3_cnt)</t>
    <phoneticPr fontId="19" type="noConversion"/>
  </si>
  <si>
    <t>rsrpf95_sinr10_cnt</t>
    <phoneticPr fontId="19" type="noConversion"/>
  </si>
  <si>
    <t>sum(rsrpf95_sinr10_cnt)</t>
    <phoneticPr fontId="19" type="noConversion"/>
  </si>
  <si>
    <t>rsrpf100_sinr3_cnt</t>
    <phoneticPr fontId="19" type="noConversion"/>
  </si>
  <si>
    <t>sum(rsrpf100_sinr3_cnt)</t>
    <phoneticPr fontId="19" type="noConversion"/>
  </si>
  <si>
    <t>rsrpf105_sinr0_cnt</t>
    <phoneticPr fontId="19" type="noConversion"/>
  </si>
  <si>
    <t>sum(rsrpf105_sinr0_cnt)</t>
    <phoneticPr fontId="19" type="noConversion"/>
  </si>
  <si>
    <t>validrsrp_sinr_cnt</t>
    <phoneticPr fontId="19" type="noConversion"/>
  </si>
  <si>
    <t>sum(validrsrp_sinr_cnt)</t>
    <phoneticPr fontId="19" type="noConversion"/>
  </si>
  <si>
    <t>freq</t>
    <phoneticPr fontId="19" type="noConversion"/>
  </si>
  <si>
    <t>直接赋值：10</t>
    <phoneticPr fontId="19" type="noConversion"/>
  </si>
  <si>
    <t>rsrpf95_sinr0_cnt</t>
    <phoneticPr fontId="19" type="noConversion"/>
  </si>
  <si>
    <t>sum(rsrpf95_sinr0_cnt)</t>
    <phoneticPr fontId="19" type="noConversion"/>
  </si>
  <si>
    <t>rsrpf100_sinrf3_cnt</t>
    <phoneticPr fontId="19" type="noConversion"/>
  </si>
  <si>
    <t>sum(rsrpf100_sinrf3_cnt)</t>
    <phoneticPr fontId="19" type="noConversion"/>
  </si>
  <si>
    <t>rsrpf100_sinr0_cnt</t>
    <phoneticPr fontId="19" type="noConversion"/>
  </si>
  <si>
    <t>sum(rsrpf100_sinr0_cnt)</t>
    <phoneticPr fontId="19" type="noConversion"/>
  </si>
  <si>
    <t>rsrpf110_sinr0_cnt</t>
    <phoneticPr fontId="19" type="noConversion"/>
  </si>
  <si>
    <t>sum(rsrpf110_sinr0_cnt)</t>
    <phoneticPr fontId="19" type="noConversion"/>
  </si>
  <si>
    <t>rsrpf110_sinr3_cnt</t>
    <phoneticPr fontId="19" type="noConversion"/>
  </si>
  <si>
    <t>sum(rsrpf110_sinr3_cnt)</t>
    <phoneticPr fontId="19" type="noConversion"/>
  </si>
  <si>
    <t>aggr_nr_coverage_celgrd_refactor_h</t>
  </si>
  <si>
    <t>过滤条件：plmn=46011 and length(imsi)&gt;=13</t>
    <phoneticPr fontId="19" type="noConversion"/>
  </si>
  <si>
    <t>rsrp_cnt_f90_f29</t>
    <phoneticPr fontId="19" type="noConversion"/>
  </si>
  <si>
    <t>SS-RSRP在[-90;-29)范围内的MR数目</t>
    <phoneticPr fontId="19" type="noConversion"/>
  </si>
  <si>
    <t>sum(nvl(ssrsrp_5div_level7mrcount,0) + nvl(ssrsrp_5div_level8mrcount,0) + nvl(ssrsrp_5div_level9mrcount,0) + nvl(ssrsrp_5div_level10mrcount,0) + nvl(ssrsrp_5div_level11mrcount,0) + nvl(ssrsrp_5div_level12mrcount,0))</t>
    <phoneticPr fontId="19" type="noConversion"/>
  </si>
  <si>
    <t>sum(rsrp_cnt_f90_f29)</t>
  </si>
  <si>
    <t>validlonlat_totalmrcount</t>
    <phoneticPr fontId="19" type="noConversion"/>
  </si>
  <si>
    <t>sum(validlonlat_totalmrcount)</t>
    <phoneticPr fontId="19" type="noConversion"/>
  </si>
  <si>
    <t>sum(validrsrp_sinr_cnt)</t>
    <phoneticPr fontId="19" type="noConversion"/>
  </si>
  <si>
    <t>ssrsrp_level1mrcount</t>
    <phoneticPr fontId="19" type="noConversion"/>
  </si>
  <si>
    <t>sum(ta_total)</t>
    <phoneticPr fontId="19" type="noConversion"/>
  </si>
  <si>
    <t>sum(ta_cnt)</t>
    <phoneticPr fontId="19" type="noConversion"/>
  </si>
  <si>
    <t>sum(ta_total)/sum(ta_cnt)</t>
    <phoneticPr fontId="19" type="noConversion"/>
  </si>
  <si>
    <t>sum(weakcover_totalssrsrp)</t>
    <phoneticPr fontId="19" type="noConversion"/>
  </si>
  <si>
    <t>weakcover_totalssrsrp</t>
    <phoneticPr fontId="19" type="noConversion"/>
  </si>
  <si>
    <t>sum(weakcover_totalrsrp)</t>
    <phoneticPr fontId="19" type="noConversion"/>
  </si>
  <si>
    <t>weakcover_mrcount</t>
    <phoneticPr fontId="19" type="noConversion"/>
  </si>
  <si>
    <t>sum(weakcover_totalssrsrp)/sum(weakcover_mrcount)</t>
    <phoneticPr fontId="19" type="noConversion"/>
  </si>
  <si>
    <t>sum(overlap_totalssrsrp)/sum(overlap_mrcount)</t>
    <phoneticPr fontId="19" type="noConversion"/>
  </si>
  <si>
    <t>sum(overshoot_totalssrsrp)/sum(overshoot_mrcount)</t>
    <phoneticPr fontId="19" type="noConversion"/>
  </si>
  <si>
    <t>sum(overshoot_cnt)/sum(rsrp_cnt)</t>
  </si>
  <si>
    <t>备注(最终变更点)</t>
    <phoneticPr fontId="19" type="noConversion"/>
  </si>
  <si>
    <t>增加4个字段</t>
    <phoneticPr fontId="19" type="noConversion"/>
  </si>
  <si>
    <t>无变更</t>
    <phoneticPr fontId="19" type="noConversion"/>
  </si>
  <si>
    <t>aggr_nr_coverage_base_usr_refactor_q</t>
  </si>
  <si>
    <t>aggr_nr_coverage_base_usr_refactor_h</t>
  </si>
  <si>
    <t>aggr_nr_coverage_cell_share_refactor_d</t>
  </si>
  <si>
    <t>升级</t>
    <phoneticPr fontId="19" type="noConversion"/>
  </si>
  <si>
    <t>aggr_nr_coverage_cel_refactor_d</t>
  </si>
  <si>
    <t>aggr_nr_coverage_celgrd_refactor_d</t>
  </si>
  <si>
    <t>aggr_nr_coverage_cell_share_refactor_d</t>
    <phoneticPr fontId="19" type="noConversion"/>
  </si>
  <si>
    <t>aggr_nr_coverage_cel_refactor_d</t>
    <phoneticPr fontId="19" type="noConversion"/>
  </si>
  <si>
    <t>输入表变更(输入表使用了别名)</t>
    <phoneticPr fontId="19" type="noConversion"/>
  </si>
  <si>
    <t>aggr_nr_coverage_usrcel_refactor_d</t>
  </si>
  <si>
    <t>aggr_nr_coverage_wide_usrcel_h</t>
    <phoneticPr fontId="19" type="noConversion"/>
  </si>
  <si>
    <t>aggr_nr_usrareatime_cel_refactor_d</t>
  </si>
  <si>
    <t>aggr_nr_coverage_usrcelarea_refactor_d</t>
  </si>
  <si>
    <t>5G MR小区栅格覆盖指标小时表</t>
    <phoneticPr fontId="19" type="noConversion"/>
  </si>
  <si>
    <t>aggr_nr_coverage_grd_refactor_d</t>
  </si>
  <si>
    <t>aggr_nr_coverage_usr_refactor_d</t>
  </si>
  <si>
    <t>fact_nr_mro_neighbor_nr_q</t>
    <phoneticPr fontId="19" type="noConversion"/>
  </si>
  <si>
    <t>data_source</t>
    <phoneticPr fontId="19" type="noConversion"/>
  </si>
  <si>
    <t>gnbid</t>
    <phoneticPr fontId="19" type="noConversion"/>
  </si>
  <si>
    <t>cellid</t>
    <phoneticPr fontId="19" type="noConversion"/>
  </si>
  <si>
    <t>srsrp</t>
    <phoneticPr fontId="19" type="noConversion"/>
  </si>
  <si>
    <t>pci</t>
    <phoneticPr fontId="19" type="noConversion"/>
  </si>
  <si>
    <t>ssinr</t>
    <phoneticPr fontId="19" type="noConversion"/>
  </si>
  <si>
    <t>srsrq</t>
    <phoneticPr fontId="19" type="noConversion"/>
  </si>
  <si>
    <t>is_overlap</t>
    <phoneticPr fontId="19" type="noConversion"/>
  </si>
  <si>
    <t>is_mod30interfer</t>
    <phoneticPr fontId="19" type="noConversion"/>
  </si>
  <si>
    <t>cellkey</t>
    <phoneticPr fontId="19" type="noConversion"/>
  </si>
  <si>
    <t>aggr_nr_coverage_problem_usrcelgrd_q</t>
    <phoneticPr fontId="19" type="noConversion"/>
  </si>
  <si>
    <t>mod30interfer_cnt</t>
    <phoneticPr fontId="19" type="noConversion"/>
  </si>
  <si>
    <t>overlap_cnt</t>
    <phoneticPr fontId="19" type="noConversion"/>
  </si>
  <si>
    <t>overshoot_cnt</t>
    <phoneticPr fontId="19" type="noConversion"/>
  </si>
  <si>
    <t>regionid</t>
    <phoneticPr fontId="19" type="noConversion"/>
  </si>
  <si>
    <t>x_offset_20</t>
    <phoneticPr fontId="19" type="noConversion"/>
  </si>
  <si>
    <t>y_offset_20</t>
    <phoneticPr fontId="19" type="noConversion"/>
  </si>
  <si>
    <t>imsi</t>
    <phoneticPr fontId="19" type="noConversion"/>
  </si>
  <si>
    <t>rsrp_avg</t>
    <phoneticPr fontId="19" type="noConversion"/>
  </si>
  <si>
    <t>rsrp_cnt</t>
    <phoneticPr fontId="19" type="noConversion"/>
  </si>
  <si>
    <t>rsrp_good_cnt_f105</t>
    <phoneticPr fontId="19" type="noConversion"/>
  </si>
  <si>
    <t>rsrp_cnt_f65_f29</t>
    <phoneticPr fontId="19" type="noConversion"/>
  </si>
  <si>
    <t>nvl(</t>
    <phoneticPr fontId="19" type="noConversion"/>
  </si>
  <si>
    <t>,0)</t>
    <phoneticPr fontId="19" type="noConversion"/>
  </si>
  <si>
    <t>rsrp_cnt_f110_f105</t>
    <phoneticPr fontId="19" type="noConversion"/>
  </si>
  <si>
    <t>rsrp_cnt_f112_f110</t>
    <phoneticPr fontId="19" type="noConversion"/>
  </si>
  <si>
    <t>rsrp_cnt_f115_f112</t>
    <phoneticPr fontId="19" type="noConversion"/>
  </si>
  <si>
    <t>rsrp_cnt_f120_f115</t>
    <phoneticPr fontId="19" type="noConversion"/>
  </si>
  <si>
    <t>rsrp_cnt_f156_f120</t>
    <phoneticPr fontId="19" type="noConversion"/>
  </si>
  <si>
    <t>ulsinr_avg</t>
    <phoneticPr fontId="19" type="noConversion"/>
  </si>
  <si>
    <t>ulsinr_cnt</t>
    <phoneticPr fontId="19" type="noConversion"/>
  </si>
  <si>
    <t>ulsinr_cnt_f23_f3</t>
    <phoneticPr fontId="19" type="noConversion"/>
  </si>
  <si>
    <t>overlap_mrcount</t>
    <phoneticPr fontId="19" type="noConversion"/>
  </si>
  <si>
    <t>mod3interfer_mrcount</t>
    <phoneticPr fontId="19" type="noConversion"/>
  </si>
  <si>
    <t>overshoot_mrcount</t>
    <phoneticPr fontId="19" type="noConversion"/>
  </si>
  <si>
    <t>avgssrsrp</t>
    <phoneticPr fontId="19" type="noConversion"/>
  </si>
  <si>
    <t>ssrsrpcount</t>
    <phoneticPr fontId="19" type="noConversion"/>
  </si>
  <si>
    <t>ssrsrp_5div_level4mrcount</t>
    <phoneticPr fontId="19" type="noConversion"/>
  </si>
  <si>
    <t>avgsssinr</t>
    <phoneticPr fontId="19" type="noConversion"/>
  </si>
  <si>
    <t>sssinrcount</t>
    <phoneticPr fontId="19" type="noConversion"/>
  </si>
  <si>
    <t>sssinr_5div_level6mrcount</t>
    <phoneticPr fontId="19" type="noConversion"/>
  </si>
  <si>
    <t>aggr_nr_coverage_reduce_usrcelgrd_q</t>
    <phoneticPr fontId="19" type="noConversion"/>
  </si>
  <si>
    <t>aggr_nr_coverage_resident_usrgrd_d</t>
    <phoneticPr fontId="19" type="noConversion"/>
  </si>
  <si>
    <t>aggr_nr_usrareatime_cel_refactor_d</t>
    <phoneticPr fontId="19" type="noConversion"/>
  </si>
  <si>
    <t>cellkey</t>
    <phoneticPr fontId="19" type="noConversion"/>
  </si>
  <si>
    <t>ssrsrpcount</t>
    <phoneticPr fontId="19" type="noConversion"/>
  </si>
  <si>
    <t>sssinrcount</t>
    <phoneticPr fontId="19" type="noConversion"/>
  </si>
  <si>
    <t>overlap_mrcount</t>
    <phoneticPr fontId="19" type="noConversion"/>
  </si>
  <si>
    <t>ssrsrpcount</t>
    <phoneticPr fontId="19" type="noConversion"/>
  </si>
  <si>
    <t>sssinrcount</t>
    <phoneticPr fontId="19" type="noConversion"/>
  </si>
  <si>
    <t>aggr_nr_coverage_celgrd_refactor_h</t>
    <phoneticPr fontId="19" type="noConversion"/>
  </si>
  <si>
    <t>data_source</t>
    <phoneticPr fontId="19" type="noConversion"/>
  </si>
  <si>
    <t>ssrsrp_level5mrcount</t>
    <phoneticPr fontId="19" type="noConversion"/>
  </si>
  <si>
    <t>sssinr_level1mrcount</t>
    <phoneticPr fontId="19" type="noConversion"/>
  </si>
  <si>
    <t>ssrsrp_level1mrcount</t>
    <phoneticPr fontId="19" type="noConversion"/>
  </si>
  <si>
    <t>rsrpf105_sinrf3_cnt</t>
    <phoneticPr fontId="19" type="noConversion"/>
  </si>
  <si>
    <t>rsrpf105_sinr0_cnt</t>
    <phoneticPr fontId="19" type="noConversion"/>
  </si>
  <si>
    <t>rsrpf105_sinr3_cnt</t>
    <phoneticPr fontId="19" type="noConversion"/>
  </si>
  <si>
    <t>rsrpf110_sinrf3_cnt</t>
    <phoneticPr fontId="19" type="noConversion"/>
  </si>
  <si>
    <t>rsrpf110_sinr0_cnt</t>
    <phoneticPr fontId="19" type="noConversion"/>
  </si>
  <si>
    <t>rsrpf110_sinr3_cnt</t>
    <phoneticPr fontId="19" type="noConversion"/>
  </si>
  <si>
    <t>msisdn</t>
    <phoneticPr fontId="19" type="noConversion"/>
  </si>
  <si>
    <t>imsi</t>
    <phoneticPr fontId="19" type="noConversion"/>
  </si>
  <si>
    <t>gnbid</t>
    <phoneticPr fontId="19" type="noConversion"/>
  </si>
  <si>
    <t>overlap_cnt</t>
    <phoneticPr fontId="19" type="noConversion"/>
  </si>
  <si>
    <t>overshoot_cnt</t>
    <phoneticPr fontId="19" type="noConversion"/>
  </si>
  <si>
    <t>rsrp_avg</t>
    <phoneticPr fontId="19" type="noConversion"/>
  </si>
  <si>
    <t>rsrp_cnt_f95_f90</t>
    <phoneticPr fontId="19" type="noConversion"/>
  </si>
  <si>
    <t>rsrp_cnt_f100_f95</t>
    <phoneticPr fontId="19" type="noConversion"/>
  </si>
  <si>
    <t>rsrp_cnt_f105_f100</t>
    <phoneticPr fontId="19" type="noConversion"/>
  </si>
  <si>
    <t>rsrp_cnt_f115_f110</t>
    <phoneticPr fontId="19" type="noConversion"/>
  </si>
  <si>
    <t>rsrp_cnt_f110_f105</t>
    <phoneticPr fontId="19" type="noConversion"/>
  </si>
  <si>
    <t>rsrp_cnt_f156_f115</t>
    <phoneticPr fontId="19" type="noConversion"/>
  </si>
  <si>
    <t>ulsinr_avg</t>
    <phoneticPr fontId="19" type="noConversion"/>
  </si>
  <si>
    <t>过滤条件：plmn=46011 and length(msisdn)&gt;=11</t>
    <phoneticPr fontId="19" type="noConversion"/>
  </si>
  <si>
    <t>rsrq_avg</t>
    <phoneticPr fontId="19" type="noConversion"/>
  </si>
  <si>
    <t>mod30interfer_mrcount</t>
    <phoneticPr fontId="19" type="noConversion"/>
  </si>
  <si>
    <t>SS-RSRP在[-115;-110)范围内的MR数目</t>
    <phoneticPr fontId="19" type="noConversion"/>
  </si>
  <si>
    <t>avgssrsrp</t>
    <phoneticPr fontId="19" type="noConversion"/>
  </si>
  <si>
    <t>rsrp_cnt_f115_f110</t>
    <phoneticPr fontId="19" type="noConversion"/>
  </si>
  <si>
    <t>rsrp_cnt_f156_f115</t>
    <phoneticPr fontId="19" type="noConversion"/>
  </si>
  <si>
    <t>rsrq_avg</t>
    <phoneticPr fontId="19" type="noConversion"/>
  </si>
  <si>
    <t>ulsinr_cnt_20_41</t>
    <phoneticPr fontId="19" type="noConversion"/>
  </si>
  <si>
    <t>rsrp105_sinrf3</t>
    <phoneticPr fontId="19" type="noConversion"/>
  </si>
  <si>
    <t>rsrp105_sinr0</t>
    <phoneticPr fontId="19" type="noConversion"/>
  </si>
  <si>
    <t>rsrp105_sinr3</t>
    <phoneticPr fontId="19" type="noConversion"/>
  </si>
  <si>
    <t>rsrp110_sinrf3</t>
    <phoneticPr fontId="19" type="noConversion"/>
  </si>
  <si>
    <t>rsrp110_sinr0</t>
    <phoneticPr fontId="19" type="noConversion"/>
  </si>
  <si>
    <t>rsrp110_sinr3</t>
    <phoneticPr fontId="19" type="noConversion"/>
  </si>
  <si>
    <t>validrsrp_sinr_totalmrcount</t>
    <phoneticPr fontId="19" type="noConversion"/>
  </si>
  <si>
    <t>aggr_nr_coverage_cel_refactor_d</t>
    <phoneticPr fontId="19" type="noConversion"/>
  </si>
  <si>
    <t>sum(mod30interfer_totalrsrp)/sum(mod30interfer_mrcount)</t>
    <phoneticPr fontId="19" type="noConversion"/>
  </si>
  <si>
    <t>sum(mod30interfer_mrcount)/sum(ssrsrpcount)</t>
    <phoneticPr fontId="19" type="noConversion"/>
  </si>
  <si>
    <t>sum(mod30interfer_totalrsrp)</t>
    <phoneticPr fontId="19" type="noConversion"/>
  </si>
  <si>
    <t>weakcover_mrcount</t>
    <phoneticPr fontId="19" type="noConversion"/>
  </si>
  <si>
    <t>gnodebid</t>
    <phoneticPr fontId="19" type="noConversion"/>
  </si>
  <si>
    <t>ssrsrp_level1mrcount</t>
    <phoneticPr fontId="19" type="noConversion"/>
  </si>
  <si>
    <t>rsrp_avg</t>
    <phoneticPr fontId="19" type="noConversion"/>
  </si>
  <si>
    <t>rsrp_cnt_f156_f115</t>
    <phoneticPr fontId="19" type="noConversion"/>
  </si>
  <si>
    <t>rsrp_cnt_f105_f100</t>
    <phoneticPr fontId="19" type="noConversion"/>
  </si>
  <si>
    <t>以cellkey及mrkey分组后，case when sum(is_weakcover+is_overlap+is_mod30interfer+is_overshoot)&gt;0 then 1 else 0 end，再求和</t>
    <phoneticPr fontId="19" type="noConversion"/>
  </si>
  <si>
    <t>mod3interfer_totalrsrp</t>
    <phoneticPr fontId="19" type="noConversion"/>
  </si>
  <si>
    <t>mod30interfer_mrcount</t>
    <phoneticPr fontId="19" type="noConversion"/>
  </si>
  <si>
    <t>rsrq_avg</t>
    <phoneticPr fontId="19" type="noConversion"/>
  </si>
  <si>
    <t>ulsinr_avg</t>
    <phoneticPr fontId="19" type="noConversion"/>
  </si>
  <si>
    <t>1、先计算出snearfcnflag、mod30srsrpflag、mod30snrsrpflag、mod30snpciflag
2、case when snearfcnflag=1 and mod30srsrpflag=1 and mod30snrsrpflag=1 and mod30snpciflag=1 then 1 else 0 end</t>
    <phoneticPr fontId="19" type="noConversion"/>
  </si>
  <si>
    <t>ssrsrq_level1mrcount</t>
    <phoneticPr fontId="19" type="noConversion"/>
  </si>
  <si>
    <t>rsrq_level1mrcount</t>
  </si>
  <si>
    <t>rsrq_level2mrcount</t>
  </si>
  <si>
    <t>rsrq_level3mrcount</t>
  </si>
  <si>
    <t>rsrq_level4mrcount</t>
  </si>
  <si>
    <t>rsrq_level5mrcount</t>
  </si>
  <si>
    <t>rsrq_level6mrcount</t>
  </si>
  <si>
    <t>rsrq_level7mrcount</t>
  </si>
  <si>
    <t>sum(rsrq_level1mrcount)</t>
  </si>
  <si>
    <t>sum(rsrq_level2mrcount)</t>
  </si>
  <si>
    <t>sum(rsrq_level3mrcount)</t>
  </si>
  <si>
    <t>sum(rsrq_level4mrcount)</t>
  </si>
  <si>
    <t>sum(rsrq_level5mrcount)</t>
  </si>
  <si>
    <t>sum(rsrq_level6mrcount)</t>
  </si>
  <si>
    <t>sum(rsrq_level7mrcount)</t>
  </si>
  <si>
    <t>hour_quarter_list</t>
  </si>
  <si>
    <t>array</t>
  </si>
  <si>
    <t>驻留时刻清单</t>
  </si>
  <si>
    <t>将小时刻度拼接后按数组结果呈现 (hour1_quarter0,hour1_quarter1,hour1_quarter2,hour1_quarter3)</t>
  </si>
  <si>
    <t>aggr_nr_coverage_base_q</t>
    <phoneticPr fontId="19" type="noConversion"/>
  </si>
  <si>
    <t>aggr_nr_coverage_rsrpsinr_cel_d</t>
    <phoneticPr fontId="19" type="noConversion"/>
  </si>
  <si>
    <t>aggr_nr_coverage_rsrpsinr_grd_d</t>
    <phoneticPr fontId="19" type="noConversion"/>
  </si>
  <si>
    <t>aggr_nr_coverage_reduce_cel_h</t>
    <phoneticPr fontId="19" type="noConversion"/>
  </si>
  <si>
    <t>grid_num</t>
    <phoneticPr fontId="19" type="noConversion"/>
  </si>
  <si>
    <t>city_id</t>
    <phoneticPr fontId="19" type="noConversion"/>
  </si>
  <si>
    <t>longitude_mid</t>
    <phoneticPr fontId="19" type="noConversion"/>
  </si>
  <si>
    <t>latitude_mid</t>
    <phoneticPr fontId="19" type="noConversion"/>
  </si>
  <si>
    <t>double</t>
    <phoneticPr fontId="19" type="noConversion"/>
  </si>
  <si>
    <t>aggr_nr_coverage_rsrp_celgrd_d</t>
    <phoneticPr fontId="19" type="noConversion"/>
  </si>
  <si>
    <t>5G MR小区栅格RSRP指标共享天表</t>
    <phoneticPr fontId="19" type="noConversion"/>
  </si>
  <si>
    <t>aggr_nr_highspeedrail_coverage_base_refactor_h</t>
    <phoneticPr fontId="19" type="noConversion"/>
  </si>
  <si>
    <t>5G高铁用户小区栅格覆盖小时表</t>
  </si>
  <si>
    <t>5G高铁用户小区栅格覆盖小时表</t>
    <phoneticPr fontId="19" type="noConversion"/>
  </si>
  <si>
    <t>线路用户小区栅格</t>
    <phoneticPr fontId="19" type="noConversion"/>
  </si>
  <si>
    <t>小时</t>
    <phoneticPr fontId="19" type="noConversion"/>
  </si>
  <si>
    <t>aggr_highspeedrail_usrlist_d</t>
    <phoneticPr fontId="19" type="noConversion"/>
  </si>
  <si>
    <t>aggr_highspeedrail_usrlist_d、aggr_nr_coverage_base_usr_refactor_q</t>
    <phoneticPr fontId="19" type="noConversion"/>
  </si>
  <si>
    <t>aggr_nr_coverage_base_usr_refactor_q</t>
    <phoneticPr fontId="19" type="noConversion"/>
  </si>
  <si>
    <t>B</t>
    <phoneticPr fontId="19" type="noConversion"/>
  </si>
  <si>
    <t>lineid</t>
  </si>
  <si>
    <t>高铁线路id</t>
  </si>
  <si>
    <t>line_name</t>
  </si>
  <si>
    <t>高铁线路名称</t>
  </si>
  <si>
    <t>栅格regionid</t>
  </si>
  <si>
    <t>栅格x_offset_20</t>
  </si>
  <si>
    <t>栅格y_offset_20</t>
  </si>
  <si>
    <t>总RSRP值</t>
  </si>
  <si>
    <t>RSRP采样点数量</t>
  </si>
  <si>
    <t>平均RSRSP</t>
  </si>
  <si>
    <t>总SINR值</t>
  </si>
  <si>
    <t>SINR采样点数量</t>
  </si>
  <si>
    <t>平均SINR</t>
  </si>
  <si>
    <t>弱覆盖MR率</t>
  </si>
  <si>
    <t>RSRP在[-75,-43]范围内的MR数目</t>
  </si>
  <si>
    <t>RSRP在[-85,-75)范围内的MR数目</t>
  </si>
  <si>
    <t>RSRP在[-95,-85)范围内的MR数目</t>
  </si>
  <si>
    <t>RSRP在[-115,-105)范围内的MR数目</t>
  </si>
  <si>
    <t>RSRP在[-∞,-115)范围内的MR数目</t>
  </si>
  <si>
    <t>RSRP优良数目（&gt;=-105）</t>
  </si>
  <si>
    <t>SINR在[20,+∞)的数量</t>
  </si>
  <si>
    <t>SINR在[15,20)的数量</t>
  </si>
  <si>
    <t>SINR在[10,15)的数量</t>
  </si>
  <si>
    <t>SINR在[5,10)的数量</t>
  </si>
  <si>
    <t>SINR在[0,5)的数量</t>
  </si>
  <si>
    <t>SINR在[-3,0)的数量</t>
  </si>
  <si>
    <t>SINR在[-∞,-3)的数量</t>
  </si>
  <si>
    <t>SINR在[0,+∞)的数量</t>
  </si>
  <si>
    <t>RSRQ在[-4,+∞）范围内的MR数目</t>
  </si>
  <si>
    <t>RSRQ在[-7,-4）范围内的MR数目</t>
  </si>
  <si>
    <t>RSRQ在[-10,-7）范围内的MR数目</t>
  </si>
  <si>
    <t>RSRQ在[-13.5,-10）范围内的MR数目</t>
  </si>
  <si>
    <t>RSRQ在[-17,-13.5）范围内的MR数目</t>
  </si>
  <si>
    <t>RSRQ在[-20,-17）范围内的MR数目</t>
  </si>
  <si>
    <t>ULSINR在[20,+∞)范围内的MR数目</t>
  </si>
  <si>
    <t>ULSINR在(-∞,-3)范围内的MR数目</t>
  </si>
  <si>
    <t>CQI在[10,15]范围内的MR数目</t>
  </si>
  <si>
    <t>CQI在[9,10)范围内的MR数目</t>
  </si>
  <si>
    <t>CQI在[8,9)范围内的MR数目</t>
  </si>
  <si>
    <t>CQI在[6,8)范围内的MR数目</t>
  </si>
  <si>
    <t>CQI在[3,6)范围内的MR数目</t>
  </si>
  <si>
    <t>CQI在[1,3)范围内的MR数目</t>
  </si>
  <si>
    <t>CQI在[0,1)范围内的MR数目</t>
  </si>
  <si>
    <t>TA在[18,+∞)范围内的MR数目</t>
  </si>
  <si>
    <t>RSRQ在（-∞,-20）范围内的MR数目</t>
  </si>
  <si>
    <t>sum(cqicount)</t>
  </si>
  <si>
    <t>sum(cqi_level1mrcount)</t>
  </si>
  <si>
    <t>sum(cqi_level2mrcount)</t>
  </si>
  <si>
    <t>sum(cqi_level3mrcount)</t>
  </si>
  <si>
    <t>sum(cqi_level4mrcount)</t>
  </si>
  <si>
    <t>sum(cqi_level5mrcount)</t>
  </si>
  <si>
    <t>sum(cqi_level6mrcount)</t>
  </si>
  <si>
    <t>sum(cqi_level7mrcount)</t>
  </si>
  <si>
    <t>sum(totaldlsinr)/sum(dlsinrcount)</t>
    <phoneticPr fontId="19" type="noConversion"/>
  </si>
  <si>
    <t>mod30interfer_mrcount</t>
    <phoneticPr fontId="19" type="noConversion"/>
  </si>
  <si>
    <t>&gt;=0</t>
    <phoneticPr fontId="19" type="noConversion"/>
  </si>
  <si>
    <t>&lt;0</t>
    <phoneticPr fontId="19" type="noConversion"/>
  </si>
  <si>
    <t>[-23,41]</t>
    <phoneticPr fontId="19" type="noConversion"/>
  </si>
  <si>
    <t>Mod30干扰MR数目</t>
    <phoneticPr fontId="19" type="noConversion"/>
  </si>
  <si>
    <t>Mod30干扰MR占比</t>
    <phoneticPr fontId="19" type="noConversion"/>
  </si>
  <si>
    <t>核心系统,支撑基站节能</t>
    <phoneticPr fontId="19" type="noConversion"/>
  </si>
  <si>
    <t>ssrsrp_level6mrcount</t>
    <phoneticPr fontId="19" type="noConversion"/>
  </si>
  <si>
    <t>ssrsrp_level7mrcount</t>
    <phoneticPr fontId="19" type="noConversion"/>
  </si>
  <si>
    <t>rsrpgoodcount</t>
    <phoneticPr fontId="19" type="noConversion"/>
  </si>
  <si>
    <t>dlsinr_level1mrcount</t>
    <phoneticPr fontId="19" type="noConversion"/>
  </si>
  <si>
    <t>dlsinr_level6mrcount</t>
    <phoneticPr fontId="19" type="noConversion"/>
  </si>
  <si>
    <t>dlsinr_level7mrcount</t>
    <phoneticPr fontId="19" type="noConversion"/>
  </si>
  <si>
    <t>aggr_nr_coverage_index_reduce_grd_d</t>
  </si>
  <si>
    <t>aggr_nr_coverage_reduce_cel_h</t>
  </si>
  <si>
    <t>5G MR小区小时表</t>
    <phoneticPr fontId="19" type="noConversion"/>
  </si>
  <si>
    <t>aggr_nr_coverage_rsrpsinr_cel_d</t>
  </si>
  <si>
    <t>5G MR小区RSRP&amp;SINR组合指标天表</t>
  </si>
  <si>
    <t>5G MR小区RSRP&amp;SINR组合指标天表</t>
    <phoneticPr fontId="19" type="noConversion"/>
  </si>
  <si>
    <t>5G MR栅格RSRP&amp;SINR组合指标天表</t>
  </si>
  <si>
    <t>5G MR栅格RSRP&amp;SINR组合指标天表</t>
    <phoneticPr fontId="19" type="noConversion"/>
  </si>
  <si>
    <t>aggr_nr_coverage_rsrpsinr_grd_d</t>
  </si>
  <si>
    <t>5G MR栅格指标裁剪天表</t>
  </si>
  <si>
    <t>5G MR栅格指标裁剪天表</t>
    <phoneticPr fontId="19" type="noConversion"/>
  </si>
  <si>
    <t>aggr_nr_coverage_index_reduce_celgrd_d</t>
  </si>
  <si>
    <t>aggr_nr_coverage_index_reduce_celgrd_d</t>
    <phoneticPr fontId="19" type="noConversion"/>
  </si>
  <si>
    <t>5G MR小区栅格中心经纬度指标裁剪天表</t>
  </si>
  <si>
    <t>5G MR小区栅格中心经纬度指标裁剪天表</t>
    <phoneticPr fontId="19" type="noConversion"/>
  </si>
  <si>
    <t>5G MR小区栅格RSRP指标共享天表</t>
  </si>
  <si>
    <t>mod30srsrpflag</t>
    <phoneticPr fontId="19" type="noConversion"/>
  </si>
  <si>
    <t>mod30snrsrpflag</t>
    <phoneticPr fontId="19" type="noConversion"/>
  </si>
  <si>
    <t>mod30snpciflag</t>
    <phoneticPr fontId="19" type="noConversion"/>
  </si>
  <si>
    <t>主小区RSRP-邻小区RSRP&lt;3dBm：case when nrscssrsrp - nrncssrsrp &lt;3 then 1  else 0 end</t>
    <phoneticPr fontId="19" type="noConversion"/>
  </si>
  <si>
    <r>
      <t>Mod30判定:服务小区RSRP大于等于门限值：</t>
    </r>
    <r>
      <rPr>
        <sz val="9"/>
        <color rgb="FFFF0000"/>
        <rFont val="微软雅黑"/>
        <family val="2"/>
        <charset val="134"/>
      </rPr>
      <t>-105dBm</t>
    </r>
    <phoneticPr fontId="19" type="noConversion"/>
  </si>
  <si>
    <r>
      <t>重叠覆盖-主邻RSRP之差小于门限：</t>
    </r>
    <r>
      <rPr>
        <sz val="9"/>
        <color rgb="FFFF0000"/>
        <rFont val="微软雅黑"/>
        <family val="2"/>
        <charset val="134"/>
      </rPr>
      <t>6dBm</t>
    </r>
    <phoneticPr fontId="19" type="noConversion"/>
  </si>
  <si>
    <t>主小区RSRP-邻小区RSRP&lt;6dBm：case when nrscssrsrp - nrncssrsrp &lt;6 then 1  else 0 end</t>
    <phoneticPr fontId="19" type="noConversion"/>
  </si>
  <si>
    <r>
      <t>存在</t>
    </r>
    <r>
      <rPr>
        <sz val="9"/>
        <color rgb="FFFF0000"/>
        <rFont val="微软雅黑"/>
        <family val="2"/>
        <charset val="134"/>
      </rPr>
      <t>3</t>
    </r>
    <r>
      <rPr>
        <sz val="9"/>
        <color theme="1"/>
        <rFont val="微软雅黑"/>
        <family val="2"/>
        <charset val="134"/>
      </rPr>
      <t>个及以上</t>
    </r>
    <r>
      <rPr>
        <sz val="9"/>
        <color rgb="FFFF0000"/>
        <rFont val="微软雅黑"/>
        <family val="2"/>
        <charset val="134"/>
      </rPr>
      <t>同频邻区</t>
    </r>
    <r>
      <rPr>
        <sz val="9"/>
        <color theme="1"/>
        <rFont val="微软雅黑"/>
        <family val="2"/>
        <charset val="134"/>
      </rPr>
      <t>RSRP差值在6dBm以内：满足snearfcnflag=1 且 nrscssrsrp - nrncssrsrp&lt;6的邻区对大于等于3则赋值为1</t>
    </r>
    <phoneticPr fontId="19" type="noConversion"/>
  </si>
  <si>
    <t>line_id</t>
  </si>
  <si>
    <t>主小区pci</t>
  </si>
  <si>
    <t>主小区厂商</t>
  </si>
  <si>
    <t>邻小区pci</t>
  </si>
  <si>
    <t>nvendor</t>
  </si>
  <si>
    <t>邻小区厂商</t>
  </si>
  <si>
    <t>indoor_flag</t>
  </si>
  <si>
    <t>主小区覆盖类型</t>
  </si>
  <si>
    <t>nindoor_flag</t>
  </si>
  <si>
    <t>邻小区覆盖类型</t>
  </si>
  <si>
    <t>C</t>
    <phoneticPr fontId="19" type="noConversion"/>
  </si>
  <si>
    <t>cellkey关联工参回填</t>
    <phoneticPr fontId="19" type="noConversion"/>
  </si>
  <si>
    <t>vendor</t>
    <phoneticPr fontId="19" type="noConversion"/>
  </si>
  <si>
    <t>indoor_flag</t>
    <phoneticPr fontId="19" type="noConversion"/>
  </si>
  <si>
    <t>ncellkey关联工参回填</t>
    <phoneticPr fontId="19" type="noConversion"/>
  </si>
  <si>
    <t>aggr_nr_coverage_rsrp_celgrd_d</t>
    <phoneticPr fontId="19" type="noConversion"/>
  </si>
  <si>
    <t>用户常驻</t>
  </si>
  <si>
    <t>用户级感知</t>
  </si>
  <si>
    <t>高铁优化</t>
  </si>
  <si>
    <t>ods_nr_mro_northctcc_q</t>
    <phoneticPr fontId="19" type="noConversion"/>
  </si>
  <si>
    <t>置空</t>
    <phoneticPr fontId="19" type="noConversion"/>
  </si>
  <si>
    <t>is_mod30interfer_custom</t>
    <phoneticPr fontId="19" type="noConversion"/>
  </si>
  <si>
    <t>int</t>
    <phoneticPr fontId="19" type="noConversion"/>
  </si>
  <si>
    <t>是否自定义MOD30干扰采样点</t>
    <phoneticPr fontId="19" type="noConversion"/>
  </si>
  <si>
    <r>
      <t>case when (nrscssrsrp-156) &gt;= -110 and (nrscssrsrp - nrncssrsrp)  &lt; 6 and (nrscpci % 30 = nrncpci % 30)</t>
    </r>
    <r>
      <rPr>
        <sz val="9"/>
        <color rgb="FFFF0000"/>
        <rFont val="微软雅黑"/>
        <family val="2"/>
        <charset val="134"/>
      </rPr>
      <t xml:space="preserve"> and nrscarfcn = nrncarfcn</t>
    </r>
    <r>
      <rPr>
        <sz val="9"/>
        <color theme="1"/>
        <rFont val="微软雅黑"/>
        <family val="2"/>
        <charset val="134"/>
      </rPr>
      <t xml:space="preserve"> then 1 else 0 end</t>
    </r>
    <phoneticPr fontId="19" type="noConversion"/>
  </si>
  <si>
    <t>算法变更</t>
    <phoneticPr fontId="19" type="noConversion"/>
  </si>
  <si>
    <t>mod30interfer_custom_cnt</t>
    <phoneticPr fontId="19" type="noConversion"/>
  </si>
  <si>
    <t>自定义MOD30干扰采样点数量</t>
    <phoneticPr fontId="19" type="noConversion"/>
  </si>
  <si>
    <t>以cellkey及mrkey分组后，取max(is_mod30interfer_custom)，再求和</t>
    <phoneticPr fontId="19" type="noConversion"/>
  </si>
  <si>
    <t>mod30interfer_custom_totalrsrp</t>
    <phoneticPr fontId="19" type="noConversion"/>
  </si>
  <si>
    <t>自定义MOD30干扰采样点总RSRP值</t>
    <phoneticPr fontId="19" type="noConversion"/>
  </si>
  <si>
    <t>1、以cellkey及mrkey分组后，取max(is_mod30interfer_custom)；
2、若max(is_mod30interfer_custom)=1，则取srsrp值，最后再求和</t>
    <phoneticPr fontId="19" type="noConversion"/>
  </si>
  <si>
    <t>sum(mod30interfer_custom_cnt)</t>
  </si>
  <si>
    <t>sum(mod30interfer_custom_totalrsrp)</t>
  </si>
  <si>
    <t>mod30interfer_custom_cnt</t>
  </si>
  <si>
    <t>问题类型
0：重叠覆盖+MOD30干扰+自定义MOD30干扰；
1：重叠覆盖+MOD30干扰；
2：重叠覆盖+自定义MOD30干扰
3：MOD30干扰+自定义MOD30干扰
4：重叠覆盖
5：MOD30干扰
6：自定义MOD30干扰</t>
    <phoneticPr fontId="19" type="noConversion"/>
  </si>
  <si>
    <t>以mrkey,cellkey分组
1、满足sum(is_overlap)&gt;0 and sum(is_mod30interfer)&gt;0 and sum(is_mod30interfer_custom)&gt;0则赋值为0
2、满足sum(is_overlap)&gt;0 and sum(is_mod30interfer)&gt;0则赋值为1；
3、满足sum(is_overlap)&gt;0 and sum(is_mod30interfer_custom)&gt;0则赋值为2；
4、满足sum(is_mod30interfer)&gt;0 and sum(is_mod30interfer_custom)&gt;0则赋值为3
5、满足sum(is_overlap)&gt;0则赋值为4
6、满足sum(is_mod30interfer)&gt;0则赋值为5
7、满足sum(is_mod30interfer_custom)&gt;0则赋值为6</t>
  </si>
  <si>
    <t>算法升级</t>
    <phoneticPr fontId="19" type="noConversion"/>
  </si>
  <si>
    <t>UE接入E-utran网络使用的PLMN号。</t>
  </si>
  <si>
    <t>数据源类型
0：电信独享_电信用户
1：电信共享_电信用户
2：电信共享_联通用户
3：联通共享_电信用户
4：联通共享_联通用户</t>
    <phoneticPr fontId="19" type="noConversion"/>
  </si>
  <si>
    <t>ods_nr_mro_northctcc_q、fact_nr_cm_projdata</t>
    <phoneticPr fontId="19" type="noConversion"/>
  </si>
  <si>
    <t>ods_nr_mro_northctcc_location、ods_5gdpi_n1n2_e2e_telecom_5min</t>
    <phoneticPr fontId="19" type="noConversion"/>
  </si>
  <si>
    <t>ods_5gdpi_n1n2_e2e_telecom_5min</t>
    <phoneticPr fontId="19" type="noConversion"/>
  </si>
  <si>
    <t>5G N1N2接口层详单表</t>
    <phoneticPr fontId="19" type="noConversion"/>
  </si>
  <si>
    <t>ods_nr_mro_northctcc_q</t>
    <phoneticPr fontId="19" type="noConversion"/>
  </si>
  <si>
    <t>aggr_nr_coverage_base_usr_refactor_q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</si>
</sst>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charset val="134"/>
      <scheme val="minor"/>
    </font>
    <font>
      <sz val="9"/>
      <color theme="1"/>
      <name val="微软雅黑"/>
      <family val="2"/>
      <charset val="134"/>
    </font>
    <font>
      <u/>
      <sz val="9"/>
      <color rgb="FF0000FF"/>
      <name val="微软雅黑"/>
      <family val="2"/>
      <charset val="134"/>
    </font>
    <font>
      <sz val="9"/>
      <name val="微软雅黑"/>
      <family val="2"/>
      <charset val="134"/>
    </font>
    <font>
      <b/>
      <i/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2"/>
      <color rgb="FF0000FF"/>
      <name val="微软雅黑"/>
      <family val="2"/>
      <charset val="134"/>
    </font>
    <font>
      <sz val="10"/>
      <name val="微软雅黑"/>
      <family val="2"/>
      <charset val="134"/>
    </font>
    <font>
      <b/>
      <i/>
      <sz val="12"/>
      <name val="微软雅黑"/>
      <family val="2"/>
      <charset val="134"/>
    </font>
    <font>
      <b/>
      <sz val="10"/>
      <name val="微软雅黑"/>
      <family val="2"/>
      <charset val="134"/>
    </font>
    <font>
      <u/>
      <sz val="9"/>
      <color rgb="FF800080"/>
      <name val="微软雅黑"/>
      <family val="2"/>
      <charset val="134"/>
    </font>
    <font>
      <u/>
      <sz val="11"/>
      <color rgb="FF0000F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  <font>
      <b/>
      <sz val="9"/>
      <color rgb="FFFF000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8290963469344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3">
    <xf numFmtId="0" fontId="0" fillId="0" borderId="0"/>
    <xf numFmtId="0" fontId="15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8" fillId="0" borderId="0"/>
    <xf numFmtId="0" fontId="18" fillId="0" borderId="0"/>
  </cellStyleXfs>
  <cellXfs count="167">
    <xf numFmtId="0" fontId="0" fillId="0" borderId="0" xfId="0"/>
    <xf numFmtId="0" fontId="1" fillId="0" borderId="0" xfId="0" applyFont="1" applyAlignment="1">
      <alignment vertical="center"/>
    </xf>
    <xf numFmtId="0" fontId="1" fillId="0" borderId="0" xfId="4" applyFont="1" applyAlignment="1">
      <alignment vertical="center"/>
    </xf>
    <xf numFmtId="0" fontId="1" fillId="0" borderId="0" xfId="2" applyFont="1">
      <alignment vertical="center"/>
    </xf>
    <xf numFmtId="0" fontId="1" fillId="2" borderId="0" xfId="2" applyFont="1" applyFill="1">
      <alignment vertical="center"/>
    </xf>
    <xf numFmtId="0" fontId="1" fillId="0" borderId="0" xfId="2" applyFont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2" fillId="3" borderId="0" xfId="1" applyNumberFormat="1" applyFont="1" applyFill="1" applyBorder="1" applyAlignment="1" applyProtection="1">
      <alignment horizontal="center" vertical="center"/>
    </xf>
    <xf numFmtId="0" fontId="3" fillId="4" borderId="1" xfId="2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left" vertical="center" wrapText="1"/>
    </xf>
    <xf numFmtId="0" fontId="3" fillId="0" borderId="1" xfId="2" applyFont="1" applyBorder="1" applyAlignment="1">
      <alignment horizontal="center" vertical="center" wrapText="1"/>
    </xf>
    <xf numFmtId="0" fontId="1" fillId="0" borderId="1" xfId="2" applyFont="1" applyBorder="1" applyAlignment="1">
      <alignment horizontal="left" vertical="center"/>
    </xf>
    <xf numFmtId="0" fontId="3" fillId="7" borderId="1" xfId="2" applyFont="1" applyFill="1" applyBorder="1" applyAlignment="1">
      <alignment horizontal="left" vertical="center"/>
    </xf>
    <xf numFmtId="0" fontId="1" fillId="0" borderId="1" xfId="2" applyFont="1" applyBorder="1" applyAlignment="1">
      <alignment horizontal="center" vertical="center"/>
    </xf>
    <xf numFmtId="0" fontId="3" fillId="7" borderId="1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left" vertical="center" wrapText="1"/>
    </xf>
    <xf numFmtId="0" fontId="5" fillId="6" borderId="1" xfId="2" applyFont="1" applyFill="1" applyBorder="1" applyAlignment="1">
      <alignment horizontal="center" vertical="center"/>
    </xf>
    <xf numFmtId="0" fontId="5" fillId="6" borderId="1" xfId="2" applyFont="1" applyFill="1" applyBorder="1" applyAlignment="1">
      <alignment horizontal="left" vertical="center"/>
    </xf>
    <xf numFmtId="0" fontId="1" fillId="0" borderId="1" xfId="2" applyFont="1" applyBorder="1" applyAlignment="1">
      <alignment vertical="center" wrapText="1"/>
    </xf>
    <xf numFmtId="0" fontId="1" fillId="0" borderId="1" xfId="2" applyFont="1" applyBorder="1" applyAlignment="1">
      <alignment horizontal="left" vertical="center" wrapText="1"/>
    </xf>
    <xf numFmtId="0" fontId="3" fillId="7" borderId="2" xfId="6" applyFont="1" applyFill="1" applyBorder="1" applyAlignment="1">
      <alignment horizontal="center" vertical="center"/>
    </xf>
    <xf numFmtId="0" fontId="1" fillId="0" borderId="0" xfId="2" applyFont="1" applyAlignment="1">
      <alignment horizontal="left" vertical="center" wrapText="1"/>
    </xf>
    <xf numFmtId="0" fontId="5" fillId="6" borderId="3" xfId="2" applyFont="1" applyFill="1" applyBorder="1" applyAlignment="1">
      <alignment horizontal="center" vertical="center" wrapText="1"/>
    </xf>
    <xf numFmtId="0" fontId="5" fillId="6" borderId="3" xfId="2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1" xfId="4" applyFont="1" applyBorder="1" applyAlignment="1">
      <alignment horizontal="center" vertical="center" wrapText="1"/>
    </xf>
    <xf numFmtId="0" fontId="1" fillId="0" borderId="0" xfId="4" applyFont="1" applyAlignment="1">
      <alignment horizontal="center" vertical="center"/>
    </xf>
    <xf numFmtId="0" fontId="3" fillId="7" borderId="1" xfId="4" applyFont="1" applyFill="1" applyBorder="1" applyAlignment="1">
      <alignment horizontal="center" vertical="center" wrapText="1"/>
    </xf>
    <xf numFmtId="0" fontId="1" fillId="0" borderId="1" xfId="2" applyFont="1" applyBorder="1">
      <alignment vertical="center"/>
    </xf>
    <xf numFmtId="0" fontId="3" fillId="7" borderId="1" xfId="4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4" applyFont="1" applyBorder="1" applyAlignment="1">
      <alignment vertical="center"/>
    </xf>
    <xf numFmtId="0" fontId="1" fillId="0" borderId="1" xfId="4" applyFont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left" vertical="center"/>
    </xf>
    <xf numFmtId="0" fontId="1" fillId="2" borderId="1" xfId="2" applyFont="1" applyFill="1" applyBorder="1">
      <alignment vertical="center"/>
    </xf>
    <xf numFmtId="0" fontId="1" fillId="3" borderId="0" xfId="2" applyFont="1" applyFill="1">
      <alignment vertical="center"/>
    </xf>
    <xf numFmtId="0" fontId="1" fillId="0" borderId="1" xfId="4" applyFont="1" applyBorder="1" applyAlignment="1">
      <alignment horizontal="left" vertical="center"/>
    </xf>
    <xf numFmtId="0" fontId="1" fillId="3" borderId="1" xfId="2" applyFont="1" applyFill="1" applyBorder="1" applyAlignment="1">
      <alignment horizontal="center" vertical="center"/>
    </xf>
    <xf numFmtId="0" fontId="1" fillId="3" borderId="1" xfId="2" applyFont="1" applyFill="1" applyBorder="1" applyAlignment="1">
      <alignment horizontal="left" vertical="center"/>
    </xf>
    <xf numFmtId="0" fontId="1" fillId="3" borderId="1" xfId="2" applyFont="1" applyFill="1" applyBorder="1" applyAlignment="1">
      <alignment horizontal="left" vertical="center" wrapText="1"/>
    </xf>
    <xf numFmtId="0" fontId="3" fillId="3" borderId="1" xfId="4" applyFont="1" applyFill="1" applyBorder="1" applyAlignment="1">
      <alignment horizontal="center" vertical="center" wrapText="1"/>
    </xf>
    <xf numFmtId="0" fontId="1" fillId="3" borderId="1" xfId="2" applyFont="1" applyFill="1" applyBorder="1" applyAlignment="1">
      <alignment horizontal="center" vertical="center" wrapText="1"/>
    </xf>
    <xf numFmtId="0" fontId="1" fillId="3" borderId="1" xfId="2" applyFont="1" applyFill="1" applyBorder="1">
      <alignment vertical="center"/>
    </xf>
    <xf numFmtId="0" fontId="1" fillId="3" borderId="1" xfId="4" applyFont="1" applyFill="1" applyBorder="1" applyAlignment="1">
      <alignment vertical="center"/>
    </xf>
    <xf numFmtId="0" fontId="1" fillId="0" borderId="0" xfId="2" applyFont="1" applyAlignment="1">
      <alignment horizontal="center" vertical="center" wrapText="1"/>
    </xf>
    <xf numFmtId="0" fontId="1" fillId="0" borderId="1" xfId="2" applyFont="1" applyBorder="1" applyAlignment="1">
      <alignment horizontal="center" vertical="center" wrapText="1"/>
    </xf>
    <xf numFmtId="0" fontId="1" fillId="2" borderId="1" xfId="2" applyFont="1" applyFill="1" applyBorder="1" applyAlignment="1">
      <alignment vertical="center" wrapText="1"/>
    </xf>
    <xf numFmtId="0" fontId="1" fillId="2" borderId="4" xfId="2" applyFont="1" applyFill="1" applyBorder="1" applyAlignment="1">
      <alignment vertical="center" wrapText="1"/>
    </xf>
    <xf numFmtId="0" fontId="3" fillId="2" borderId="1" xfId="4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0" borderId="1" xfId="3" applyFont="1" applyBorder="1" applyAlignment="1">
      <alignment horizontal="left" vertical="center"/>
    </xf>
    <xf numFmtId="0" fontId="1" fillId="0" borderId="4" xfId="2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4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4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7" borderId="1" xfId="4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6" fillId="0" borderId="1" xfId="2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2" applyFont="1" applyFill="1" applyBorder="1" applyAlignment="1">
      <alignment vertical="center" wrapText="1"/>
    </xf>
    <xf numFmtId="0" fontId="3" fillId="3" borderId="1" xfId="4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3" fillId="7" borderId="1" xfId="4" applyFont="1" applyFill="1" applyBorder="1" applyAlignment="1">
      <alignment vertical="center"/>
    </xf>
    <xf numFmtId="0" fontId="1" fillId="0" borderId="4" xfId="2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0" borderId="1" xfId="2" applyFont="1" applyBorder="1" applyAlignment="1">
      <alignment vertical="center" wrapText="1"/>
    </xf>
    <xf numFmtId="0" fontId="6" fillId="0" borderId="1" xfId="2" applyFont="1" applyBorder="1" applyAlignment="1">
      <alignment horizontal="left" vertical="center" wrapText="1"/>
    </xf>
    <xf numFmtId="0" fontId="3" fillId="0" borderId="1" xfId="3" applyFont="1" applyBorder="1" applyAlignment="1">
      <alignment horizontal="left" vertical="center" wrapText="1"/>
    </xf>
    <xf numFmtId="0" fontId="1" fillId="0" borderId="0" xfId="3" applyFont="1" applyAlignment="1">
      <alignment horizontal="center" vertical="center"/>
    </xf>
    <xf numFmtId="0" fontId="1" fillId="0" borderId="0" xfId="3" applyFont="1">
      <alignment vertical="center"/>
    </xf>
    <xf numFmtId="0" fontId="1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 wrapText="1"/>
    </xf>
    <xf numFmtId="0" fontId="6" fillId="0" borderId="0" xfId="3" applyFont="1" applyAlignment="1">
      <alignment horizontal="center" vertical="center" wrapText="1"/>
    </xf>
    <xf numFmtId="0" fontId="1" fillId="0" borderId="1" xfId="3" applyFont="1" applyBorder="1" applyAlignment="1">
      <alignment horizontal="center" vertical="center"/>
    </xf>
    <xf numFmtId="0" fontId="1" fillId="0" borderId="1" xfId="3" applyFont="1" applyBorder="1" applyAlignment="1">
      <alignment horizontal="center" vertical="center" wrapText="1"/>
    </xf>
    <xf numFmtId="0" fontId="1" fillId="0" borderId="1" xfId="3" applyFont="1" applyBorder="1" applyAlignment="1">
      <alignment horizontal="left" vertical="center" wrapText="1"/>
    </xf>
    <xf numFmtId="0" fontId="3" fillId="0" borderId="1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 wrapText="1"/>
    </xf>
    <xf numFmtId="0" fontId="3" fillId="0" borderId="1" xfId="9" applyFont="1" applyBorder="1" applyAlignment="1">
      <alignment horizontal="center" vertical="center"/>
    </xf>
    <xf numFmtId="0" fontId="1" fillId="8" borderId="1" xfId="3" applyFont="1" applyFill="1" applyBorder="1" applyAlignment="1">
      <alignment horizontal="center" vertical="center"/>
    </xf>
    <xf numFmtId="0" fontId="1" fillId="8" borderId="1" xfId="3" applyFont="1" applyFill="1" applyBorder="1" applyAlignment="1">
      <alignment horizontal="left" vertical="center"/>
    </xf>
    <xf numFmtId="0" fontId="1" fillId="0" borderId="1" xfId="3" applyFont="1" applyBorder="1">
      <alignment vertical="center"/>
    </xf>
    <xf numFmtId="0" fontId="6" fillId="0" borderId="1" xfId="3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vertical="center" wrapText="1"/>
    </xf>
    <xf numFmtId="0" fontId="3" fillId="2" borderId="1" xfId="4" applyFont="1" applyFill="1" applyBorder="1" applyAlignment="1">
      <alignment vertical="center" wrapText="1"/>
    </xf>
    <xf numFmtId="0" fontId="8" fillId="0" borderId="0" xfId="2" applyFont="1">
      <alignment vertical="center"/>
    </xf>
    <xf numFmtId="0" fontId="1" fillId="0" borderId="0" xfId="2" applyFont="1" applyAlignment="1">
      <alignment vertical="center" wrapText="1"/>
    </xf>
    <xf numFmtId="0" fontId="8" fillId="0" borderId="0" xfId="4" applyFont="1" applyAlignment="1">
      <alignment vertical="center"/>
    </xf>
    <xf numFmtId="0" fontId="9" fillId="0" borderId="0" xfId="2" applyFont="1" applyAlignment="1">
      <alignment horizontal="center" vertical="center"/>
    </xf>
    <xf numFmtId="0" fontId="9" fillId="0" borderId="0" xfId="2" applyFont="1">
      <alignment vertical="center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4" borderId="1" xfId="2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13" fillId="6" borderId="1" xfId="2" applyFont="1" applyFill="1" applyBorder="1" applyAlignment="1">
      <alignment horizontal="center" vertical="center" wrapText="1"/>
    </xf>
    <xf numFmtId="0" fontId="13" fillId="6" borderId="1" xfId="2" applyFont="1" applyFill="1" applyBorder="1" applyAlignment="1">
      <alignment horizontal="center" vertical="center"/>
    </xf>
    <xf numFmtId="0" fontId="1" fillId="0" borderId="1" xfId="10" applyFont="1" applyBorder="1" applyAlignment="1">
      <alignment vertical="center"/>
    </xf>
    <xf numFmtId="0" fontId="8" fillId="0" borderId="0" xfId="4" applyFont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1" xfId="4" applyFont="1" applyBorder="1" applyAlignment="1">
      <alignment horizontal="left" vertical="center"/>
    </xf>
    <xf numFmtId="0" fontId="5" fillId="9" borderId="1" xfId="7" applyFont="1" applyFill="1" applyBorder="1" applyAlignment="1">
      <alignment horizontal="center" vertical="center" wrapText="1"/>
    </xf>
    <xf numFmtId="0" fontId="5" fillId="9" borderId="1" xfId="7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 vertical="center"/>
    </xf>
    <xf numFmtId="0" fontId="5" fillId="9" borderId="1" xfId="7" applyFont="1" applyFill="1" applyBorder="1" applyAlignment="1">
      <alignment horizontal="left" vertical="center" wrapText="1"/>
    </xf>
    <xf numFmtId="0" fontId="5" fillId="3" borderId="1" xfId="7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3" borderId="1" xfId="3" applyFont="1" applyFill="1" applyBorder="1" applyAlignment="1">
      <alignment horizontal="left" vertical="center"/>
    </xf>
    <xf numFmtId="0" fontId="3" fillId="7" borderId="1" xfId="6" applyFont="1" applyFill="1" applyBorder="1" applyAlignment="1">
      <alignment horizontal="center" vertical="center"/>
    </xf>
    <xf numFmtId="0" fontId="3" fillId="0" borderId="1" xfId="2" applyFont="1" applyBorder="1" applyAlignment="1">
      <alignment horizontal="left" vertical="center" wrapText="1"/>
    </xf>
    <xf numFmtId="0" fontId="1" fillId="3" borderId="0" xfId="4" applyFont="1" applyFill="1" applyAlignment="1">
      <alignment horizontal="center" vertical="center"/>
    </xf>
    <xf numFmtId="0" fontId="1" fillId="3" borderId="1" xfId="4" applyFont="1" applyFill="1" applyBorder="1" applyAlignment="1">
      <alignment horizontal="center" vertical="center"/>
    </xf>
    <xf numFmtId="0" fontId="1" fillId="3" borderId="0" xfId="4" applyFont="1" applyFill="1" applyAlignment="1">
      <alignment vertical="center"/>
    </xf>
    <xf numFmtId="0" fontId="1" fillId="3" borderId="0" xfId="2" applyFont="1" applyFill="1" applyAlignment="1">
      <alignment horizontal="center" vertical="center"/>
    </xf>
    <xf numFmtId="0" fontId="1" fillId="3" borderId="4" xfId="2" applyFont="1" applyFill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left" vertical="center" wrapText="1"/>
    </xf>
    <xf numFmtId="0" fontId="3" fillId="0" borderId="1" xfId="4" applyFont="1" applyBorder="1" applyAlignment="1">
      <alignment vertical="center" wrapText="1"/>
    </xf>
    <xf numFmtId="0" fontId="1" fillId="3" borderId="4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2" applyFont="1" applyBorder="1">
      <alignment vertical="center"/>
    </xf>
    <xf numFmtId="0" fontId="3" fillId="0" borderId="1" xfId="3" applyFont="1" applyBorder="1" applyAlignment="1">
      <alignment horizontal="left" vertical="center"/>
    </xf>
    <xf numFmtId="0" fontId="6" fillId="3" borderId="1" xfId="2" applyFont="1" applyFill="1" applyBorder="1" applyAlignment="1">
      <alignment horizontal="left" vertical="center" wrapText="1"/>
    </xf>
    <xf numFmtId="0" fontId="1" fillId="3" borderId="0" xfId="3" applyFont="1" applyFill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left" vertical="center" wrapText="1"/>
    </xf>
    <xf numFmtId="0" fontId="1" fillId="3" borderId="1" xfId="3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vertical="center" wrapText="1"/>
    </xf>
    <xf numFmtId="0" fontId="6" fillId="3" borderId="1" xfId="3" applyFont="1" applyFill="1" applyBorder="1" applyAlignment="1">
      <alignment horizontal="center" vertical="center" wrapText="1"/>
    </xf>
    <xf numFmtId="0" fontId="1" fillId="3" borderId="1" xfId="3" applyFont="1" applyFill="1" applyBorder="1">
      <alignment vertical="center"/>
    </xf>
    <xf numFmtId="0" fontId="1" fillId="3" borderId="0" xfId="3" applyFont="1" applyFill="1">
      <alignment vertical="center"/>
    </xf>
    <xf numFmtId="0" fontId="1" fillId="3" borderId="1" xfId="3" applyFont="1" applyFill="1" applyBorder="1" applyAlignment="1">
      <alignment horizontal="center" vertical="center" wrapText="1"/>
    </xf>
    <xf numFmtId="0" fontId="6" fillId="3" borderId="1" xfId="3" applyFont="1" applyFill="1" applyBorder="1">
      <alignment vertical="center"/>
    </xf>
    <xf numFmtId="0" fontId="11" fillId="4" borderId="1" xfId="2" applyFont="1" applyFill="1" applyBorder="1" applyAlignment="1">
      <alignment horizontal="center" vertical="center" wrapText="1"/>
    </xf>
    <xf numFmtId="0" fontId="12" fillId="5" borderId="1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1" fillId="0" borderId="5" xfId="2" applyFont="1" applyBorder="1" applyAlignment="1">
      <alignment horizontal="left" vertical="center" wrapText="1"/>
    </xf>
    <xf numFmtId="0" fontId="1" fillId="0" borderId="6" xfId="2" applyFont="1" applyBorder="1" applyAlignment="1">
      <alignment horizontal="left" vertical="center" wrapText="1"/>
    </xf>
    <xf numFmtId="0" fontId="1" fillId="0" borderId="7" xfId="2" applyFont="1" applyBorder="1" applyAlignment="1">
      <alignment horizontal="left" vertical="center" wrapText="1"/>
    </xf>
    <xf numFmtId="0" fontId="1" fillId="0" borderId="8" xfId="2" applyFont="1" applyBorder="1" applyAlignment="1">
      <alignment horizontal="left" vertical="center" wrapText="1"/>
    </xf>
    <xf numFmtId="0" fontId="1" fillId="0" borderId="1" xfId="2" applyFont="1" applyBorder="1" applyAlignment="1">
      <alignment horizontal="left" vertical="center" wrapText="1"/>
    </xf>
    <xf numFmtId="0" fontId="1" fillId="0" borderId="5" xfId="2" applyFont="1" applyBorder="1" applyAlignment="1">
      <alignment horizontal="center" vertical="center" wrapText="1"/>
    </xf>
    <xf numFmtId="0" fontId="1" fillId="0" borderId="6" xfId="2" applyFont="1" applyBorder="1" applyAlignment="1">
      <alignment horizontal="center" vertical="center" wrapText="1"/>
    </xf>
    <xf numFmtId="0" fontId="1" fillId="0" borderId="7" xfId="2" applyFont="1" applyBorder="1" applyAlignment="1">
      <alignment horizontal="center" vertical="center" wrapText="1"/>
    </xf>
    <xf numFmtId="0" fontId="1" fillId="0" borderId="8" xfId="2" applyFont="1" applyBorder="1" applyAlignment="1">
      <alignment horizontal="center" vertical="center" wrapText="1"/>
    </xf>
  </cellXfs>
  <cellStyles count="13">
    <cellStyle name="常规" xfId="0" builtinId="0"/>
    <cellStyle name="常规 18 4" xfId="2" xr:uid="{00000000-0005-0000-0000-000031000000}"/>
    <cellStyle name="常规 2" xfId="3" xr:uid="{00000000-0005-0000-0000-000032000000}"/>
    <cellStyle name="常规 2 2" xfId="4" xr:uid="{00000000-0005-0000-0000-000033000000}"/>
    <cellStyle name="常规 2 3" xfId="5" xr:uid="{00000000-0005-0000-0000-000034000000}"/>
    <cellStyle name="常规 2 4" xfId="6" xr:uid="{00000000-0005-0000-0000-000035000000}"/>
    <cellStyle name="常规 2 7" xfId="7" xr:uid="{00000000-0005-0000-0000-000036000000}"/>
    <cellStyle name="常规 3" xfId="8" xr:uid="{00000000-0005-0000-0000-000037000000}"/>
    <cellStyle name="常规 3 2" xfId="9" xr:uid="{00000000-0005-0000-0000-000038000000}"/>
    <cellStyle name="常规 3 3" xfId="10" xr:uid="{00000000-0005-0000-0000-000039000000}"/>
    <cellStyle name="常规 41" xfId="11" xr:uid="{00000000-0005-0000-0000-00003A000000}"/>
    <cellStyle name="常规 49" xfId="12" xr:uid="{00000000-0005-0000-0000-00003B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9"/>
  <sheetViews>
    <sheetView workbookViewId="0">
      <selection activeCell="K129" sqref="K129"/>
    </sheetView>
  </sheetViews>
  <sheetFormatPr defaultColWidth="8.88671875" defaultRowHeight="13.8"/>
  <cols>
    <col min="1" max="1" width="12.109375" style="123" customWidth="1"/>
    <col min="2" max="2" width="9.5546875" style="123" customWidth="1"/>
    <col min="3" max="3" width="10" style="123" customWidth="1"/>
    <col min="4" max="5" width="8.88671875" style="124"/>
    <col min="6" max="6" width="12.109375" style="123" customWidth="1"/>
    <col min="7" max="7" width="9.5546875" style="123" customWidth="1"/>
    <col min="8" max="8" width="10" style="123" customWidth="1"/>
    <col min="9" max="10" width="8.88671875" style="124"/>
    <col min="11" max="11" width="12.109375" style="123" customWidth="1"/>
    <col min="12" max="12" width="9.5546875" style="123" customWidth="1"/>
    <col min="13" max="13" width="10" style="123" customWidth="1"/>
    <col min="14" max="16384" width="8.88671875" style="124"/>
  </cols>
  <sheetData>
    <row r="1" spans="1:13" ht="27.6">
      <c r="A1" s="123" t="s">
        <v>0</v>
      </c>
      <c r="B1" s="123" t="s">
        <v>1</v>
      </c>
      <c r="C1" s="125" t="s">
        <v>2</v>
      </c>
      <c r="F1" s="123" t="s">
        <v>3</v>
      </c>
      <c r="G1" s="123" t="s">
        <v>1</v>
      </c>
      <c r="H1" s="125" t="s">
        <v>2</v>
      </c>
      <c r="K1" s="123" t="s">
        <v>4</v>
      </c>
      <c r="L1" s="123" t="s">
        <v>1</v>
      </c>
      <c r="M1" s="125" t="s">
        <v>2</v>
      </c>
    </row>
    <row r="2" spans="1:13">
      <c r="A2" s="123">
        <v>0</v>
      </c>
      <c r="B2" s="123">
        <v>19</v>
      </c>
      <c r="C2" s="123">
        <f>A2-156</f>
        <v>-156</v>
      </c>
      <c r="F2" s="123">
        <v>0</v>
      </c>
      <c r="G2" s="123">
        <v>5816</v>
      </c>
      <c r="H2" s="123">
        <f>F2/2-43</f>
        <v>-43</v>
      </c>
      <c r="K2" s="123">
        <v>0</v>
      </c>
      <c r="L2" s="123">
        <v>1163</v>
      </c>
      <c r="M2" s="123">
        <f>K2/2-23</f>
        <v>-23</v>
      </c>
    </row>
    <row r="3" spans="1:13">
      <c r="A3" s="123">
        <v>1</v>
      </c>
      <c r="B3" s="123">
        <v>276</v>
      </c>
      <c r="C3" s="123">
        <f>A3-156</f>
        <v>-155</v>
      </c>
      <c r="F3" s="123">
        <v>1</v>
      </c>
      <c r="G3" s="123">
        <v>554</v>
      </c>
      <c r="H3" s="123">
        <f t="shared" ref="H3:H66" si="0">F3/2-43</f>
        <v>-42.5</v>
      </c>
      <c r="K3" s="123">
        <v>1</v>
      </c>
      <c r="L3" s="123">
        <v>95</v>
      </c>
      <c r="M3" s="123">
        <f t="shared" ref="M3:M66" si="1">K3/2-23</f>
        <v>-22.5</v>
      </c>
    </row>
    <row r="4" spans="1:13">
      <c r="A4" s="123">
        <v>2</v>
      </c>
      <c r="B4" s="123">
        <v>76</v>
      </c>
      <c r="C4" s="123">
        <f t="shared" ref="C4:C67" si="2">A4-156</f>
        <v>-154</v>
      </c>
      <c r="F4" s="123">
        <v>2</v>
      </c>
      <c r="G4" s="123">
        <v>269</v>
      </c>
      <c r="H4" s="123">
        <f t="shared" si="0"/>
        <v>-42</v>
      </c>
      <c r="K4" s="123">
        <v>2</v>
      </c>
      <c r="L4" s="123">
        <v>120</v>
      </c>
      <c r="M4" s="123">
        <f t="shared" si="1"/>
        <v>-22</v>
      </c>
    </row>
    <row r="5" spans="1:13">
      <c r="A5" s="123">
        <v>3</v>
      </c>
      <c r="B5" s="123">
        <v>89</v>
      </c>
      <c r="C5" s="123">
        <f t="shared" si="2"/>
        <v>-153</v>
      </c>
      <c r="F5" s="123">
        <v>3</v>
      </c>
      <c r="G5" s="123">
        <v>308</v>
      </c>
      <c r="H5" s="123">
        <f t="shared" si="0"/>
        <v>-41.5</v>
      </c>
      <c r="K5" s="123">
        <v>3</v>
      </c>
      <c r="L5" s="123">
        <v>125</v>
      </c>
      <c r="M5" s="123">
        <f t="shared" si="1"/>
        <v>-21.5</v>
      </c>
    </row>
    <row r="6" spans="1:13">
      <c r="A6" s="123">
        <v>4</v>
      </c>
      <c r="B6" s="123">
        <v>98</v>
      </c>
      <c r="C6" s="123">
        <f t="shared" si="2"/>
        <v>-152</v>
      </c>
      <c r="F6" s="123">
        <v>4</v>
      </c>
      <c r="G6" s="123">
        <v>323</v>
      </c>
      <c r="H6" s="123">
        <f t="shared" si="0"/>
        <v>-41</v>
      </c>
      <c r="K6" s="123">
        <v>4</v>
      </c>
      <c r="L6" s="123">
        <v>147</v>
      </c>
      <c r="M6" s="123">
        <f t="shared" si="1"/>
        <v>-21</v>
      </c>
    </row>
    <row r="7" spans="1:13">
      <c r="A7" s="123">
        <v>5</v>
      </c>
      <c r="B7" s="123">
        <v>95</v>
      </c>
      <c r="C7" s="123">
        <f t="shared" si="2"/>
        <v>-151</v>
      </c>
      <c r="F7" s="123">
        <v>5</v>
      </c>
      <c r="G7" s="123">
        <v>307</v>
      </c>
      <c r="H7" s="123">
        <f t="shared" si="0"/>
        <v>-40.5</v>
      </c>
      <c r="K7" s="123">
        <v>5</v>
      </c>
      <c r="L7" s="123">
        <v>162</v>
      </c>
      <c r="M7" s="123">
        <f t="shared" si="1"/>
        <v>-20.5</v>
      </c>
    </row>
    <row r="8" spans="1:13">
      <c r="A8" s="123">
        <v>6</v>
      </c>
      <c r="B8" s="123">
        <v>87</v>
      </c>
      <c r="C8" s="123">
        <f t="shared" si="2"/>
        <v>-150</v>
      </c>
      <c r="F8" s="123">
        <v>6</v>
      </c>
      <c r="G8" s="123">
        <v>323</v>
      </c>
      <c r="H8" s="123">
        <f t="shared" si="0"/>
        <v>-40</v>
      </c>
      <c r="K8" s="123">
        <v>6</v>
      </c>
      <c r="L8" s="123">
        <v>200</v>
      </c>
      <c r="M8" s="123">
        <f t="shared" si="1"/>
        <v>-20</v>
      </c>
    </row>
    <row r="9" spans="1:13">
      <c r="A9" s="123">
        <v>7</v>
      </c>
      <c r="B9" s="123">
        <v>545</v>
      </c>
      <c r="C9" s="123">
        <f t="shared" si="2"/>
        <v>-149</v>
      </c>
      <c r="F9" s="123">
        <v>7</v>
      </c>
      <c r="G9" s="123">
        <v>425</v>
      </c>
      <c r="H9" s="123">
        <f t="shared" si="0"/>
        <v>-39.5</v>
      </c>
      <c r="K9" s="123">
        <v>7</v>
      </c>
      <c r="L9" s="123">
        <v>217</v>
      </c>
      <c r="M9" s="123">
        <f t="shared" si="1"/>
        <v>-19.5</v>
      </c>
    </row>
    <row r="10" spans="1:13">
      <c r="A10" s="123">
        <v>8</v>
      </c>
      <c r="B10" s="123">
        <v>120</v>
      </c>
      <c r="C10" s="123">
        <f t="shared" si="2"/>
        <v>-148</v>
      </c>
      <c r="F10" s="123">
        <v>8</v>
      </c>
      <c r="G10" s="123">
        <v>308</v>
      </c>
      <c r="H10" s="123">
        <f t="shared" si="0"/>
        <v>-39</v>
      </c>
      <c r="K10" s="123">
        <v>8</v>
      </c>
      <c r="L10" s="123">
        <v>309</v>
      </c>
      <c r="M10" s="123">
        <f t="shared" si="1"/>
        <v>-19</v>
      </c>
    </row>
    <row r="11" spans="1:13">
      <c r="A11" s="123">
        <v>9</v>
      </c>
      <c r="B11" s="123">
        <v>127</v>
      </c>
      <c r="C11" s="123">
        <f t="shared" si="2"/>
        <v>-147</v>
      </c>
      <c r="F11" s="123">
        <v>9</v>
      </c>
      <c r="G11" s="123">
        <v>309</v>
      </c>
      <c r="H11" s="123">
        <f t="shared" si="0"/>
        <v>-38.5</v>
      </c>
      <c r="K11" s="123">
        <v>9</v>
      </c>
      <c r="L11" s="123">
        <v>373</v>
      </c>
      <c r="M11" s="123">
        <f t="shared" si="1"/>
        <v>-18.5</v>
      </c>
    </row>
    <row r="12" spans="1:13">
      <c r="A12" s="123">
        <v>10</v>
      </c>
      <c r="B12" s="123">
        <v>138</v>
      </c>
      <c r="C12" s="123">
        <f t="shared" si="2"/>
        <v>-146</v>
      </c>
      <c r="F12" s="123">
        <v>10</v>
      </c>
      <c r="G12" s="123">
        <v>289</v>
      </c>
      <c r="H12" s="123">
        <f t="shared" si="0"/>
        <v>-38</v>
      </c>
      <c r="K12" s="123">
        <v>10</v>
      </c>
      <c r="L12" s="123">
        <v>391</v>
      </c>
      <c r="M12" s="123">
        <f t="shared" si="1"/>
        <v>-18</v>
      </c>
    </row>
    <row r="13" spans="1:13">
      <c r="A13" s="123">
        <v>11</v>
      </c>
      <c r="B13" s="123">
        <v>142</v>
      </c>
      <c r="C13" s="123">
        <f t="shared" si="2"/>
        <v>-145</v>
      </c>
      <c r="F13" s="123">
        <v>11</v>
      </c>
      <c r="G13" s="123">
        <v>341</v>
      </c>
      <c r="H13" s="123">
        <f t="shared" si="0"/>
        <v>-37.5</v>
      </c>
      <c r="K13" s="123">
        <v>11</v>
      </c>
      <c r="L13" s="123">
        <v>483</v>
      </c>
      <c r="M13" s="123">
        <f t="shared" si="1"/>
        <v>-17.5</v>
      </c>
    </row>
    <row r="14" spans="1:13">
      <c r="A14" s="123">
        <v>12</v>
      </c>
      <c r="B14" s="123">
        <v>154</v>
      </c>
      <c r="C14" s="123">
        <f t="shared" si="2"/>
        <v>-144</v>
      </c>
      <c r="F14" s="123">
        <v>12</v>
      </c>
      <c r="G14" s="123">
        <v>316</v>
      </c>
      <c r="H14" s="123">
        <f t="shared" si="0"/>
        <v>-37</v>
      </c>
      <c r="K14" s="123">
        <v>12</v>
      </c>
      <c r="L14" s="123">
        <v>579</v>
      </c>
      <c r="M14" s="123">
        <f t="shared" si="1"/>
        <v>-17</v>
      </c>
    </row>
    <row r="15" spans="1:13">
      <c r="A15" s="123">
        <v>13</v>
      </c>
      <c r="B15" s="123">
        <v>179</v>
      </c>
      <c r="C15" s="123">
        <f t="shared" si="2"/>
        <v>-143</v>
      </c>
      <c r="F15" s="123">
        <v>13</v>
      </c>
      <c r="G15" s="123">
        <v>338</v>
      </c>
      <c r="H15" s="123">
        <f t="shared" si="0"/>
        <v>-36.5</v>
      </c>
      <c r="K15" s="123">
        <v>13</v>
      </c>
      <c r="L15" s="123">
        <v>723</v>
      </c>
      <c r="M15" s="123">
        <f t="shared" si="1"/>
        <v>-16.5</v>
      </c>
    </row>
    <row r="16" spans="1:13">
      <c r="A16" s="123">
        <v>14</v>
      </c>
      <c r="B16" s="123">
        <v>196</v>
      </c>
      <c r="C16" s="123">
        <f t="shared" si="2"/>
        <v>-142</v>
      </c>
      <c r="F16" s="123">
        <v>14</v>
      </c>
      <c r="G16" s="123">
        <v>413</v>
      </c>
      <c r="H16" s="123">
        <f t="shared" si="0"/>
        <v>-36</v>
      </c>
      <c r="K16" s="123">
        <v>14</v>
      </c>
      <c r="L16" s="123">
        <v>892</v>
      </c>
      <c r="M16" s="123">
        <f t="shared" si="1"/>
        <v>-16</v>
      </c>
    </row>
    <row r="17" spans="1:13">
      <c r="A17" s="123">
        <v>15</v>
      </c>
      <c r="B17" s="123">
        <v>215</v>
      </c>
      <c r="C17" s="123">
        <f t="shared" si="2"/>
        <v>-141</v>
      </c>
      <c r="F17" s="123">
        <v>15</v>
      </c>
      <c r="G17" s="123">
        <v>442</v>
      </c>
      <c r="H17" s="123">
        <f t="shared" si="0"/>
        <v>-35.5</v>
      </c>
      <c r="K17" s="123">
        <v>15</v>
      </c>
      <c r="L17" s="123">
        <v>1079</v>
      </c>
      <c r="M17" s="123">
        <f t="shared" si="1"/>
        <v>-15.5</v>
      </c>
    </row>
    <row r="18" spans="1:13">
      <c r="A18" s="123">
        <v>16</v>
      </c>
      <c r="B18" s="123">
        <v>222</v>
      </c>
      <c r="C18" s="123">
        <f t="shared" si="2"/>
        <v>-140</v>
      </c>
      <c r="F18" s="123">
        <v>16</v>
      </c>
      <c r="G18" s="123">
        <v>472</v>
      </c>
      <c r="H18" s="123">
        <f t="shared" si="0"/>
        <v>-35</v>
      </c>
      <c r="K18" s="123">
        <v>16</v>
      </c>
      <c r="L18" s="123">
        <v>1385</v>
      </c>
      <c r="M18" s="123">
        <f t="shared" si="1"/>
        <v>-15</v>
      </c>
    </row>
    <row r="19" spans="1:13">
      <c r="A19" s="123">
        <v>17</v>
      </c>
      <c r="B19" s="123">
        <v>349</v>
      </c>
      <c r="C19" s="123">
        <f t="shared" si="2"/>
        <v>-139</v>
      </c>
      <c r="F19" s="123">
        <v>17</v>
      </c>
      <c r="G19" s="123">
        <v>470</v>
      </c>
      <c r="H19" s="123">
        <f t="shared" si="0"/>
        <v>-34.5</v>
      </c>
      <c r="K19" s="123">
        <v>17</v>
      </c>
      <c r="L19" s="123">
        <v>9799</v>
      </c>
      <c r="M19" s="123">
        <f t="shared" si="1"/>
        <v>-14.5</v>
      </c>
    </row>
    <row r="20" spans="1:13">
      <c r="A20" s="123">
        <v>18</v>
      </c>
      <c r="B20" s="123">
        <v>300</v>
      </c>
      <c r="C20" s="123">
        <f t="shared" si="2"/>
        <v>-138</v>
      </c>
      <c r="F20" s="123">
        <v>18</v>
      </c>
      <c r="G20" s="123">
        <v>588</v>
      </c>
      <c r="H20" s="123">
        <f t="shared" si="0"/>
        <v>-34</v>
      </c>
      <c r="K20" s="123">
        <v>18</v>
      </c>
      <c r="L20" s="123">
        <v>3390</v>
      </c>
      <c r="M20" s="123">
        <f t="shared" si="1"/>
        <v>-14</v>
      </c>
    </row>
    <row r="21" spans="1:13">
      <c r="A21" s="123">
        <v>19</v>
      </c>
      <c r="B21" s="123">
        <v>351</v>
      </c>
      <c r="C21" s="123">
        <f t="shared" si="2"/>
        <v>-137</v>
      </c>
      <c r="F21" s="123">
        <v>19</v>
      </c>
      <c r="G21" s="123">
        <v>501</v>
      </c>
      <c r="H21" s="123">
        <f t="shared" si="0"/>
        <v>-33.5</v>
      </c>
      <c r="K21" s="123">
        <v>19</v>
      </c>
      <c r="L21" s="123">
        <v>4209</v>
      </c>
      <c r="M21" s="123">
        <f t="shared" si="1"/>
        <v>-13.5</v>
      </c>
    </row>
    <row r="22" spans="1:13">
      <c r="A22" s="123">
        <v>20</v>
      </c>
      <c r="B22" s="123">
        <v>370</v>
      </c>
      <c r="C22" s="123">
        <f t="shared" si="2"/>
        <v>-136</v>
      </c>
      <c r="F22" s="123">
        <v>20</v>
      </c>
      <c r="G22" s="123">
        <v>482</v>
      </c>
      <c r="H22" s="123">
        <f t="shared" si="0"/>
        <v>-33</v>
      </c>
      <c r="K22" s="123">
        <v>20</v>
      </c>
      <c r="L22" s="123">
        <v>5008</v>
      </c>
      <c r="M22" s="123">
        <f t="shared" si="1"/>
        <v>-13</v>
      </c>
    </row>
    <row r="23" spans="1:13">
      <c r="A23" s="123">
        <v>21</v>
      </c>
      <c r="B23" s="123">
        <v>395</v>
      </c>
      <c r="C23" s="123">
        <f t="shared" si="2"/>
        <v>-135</v>
      </c>
      <c r="F23" s="123">
        <v>21</v>
      </c>
      <c r="G23" s="123">
        <v>591</v>
      </c>
      <c r="H23" s="123">
        <f t="shared" si="0"/>
        <v>-32.5</v>
      </c>
      <c r="K23" s="123">
        <v>21</v>
      </c>
      <c r="L23" s="123">
        <v>5975</v>
      </c>
      <c r="M23" s="123">
        <f t="shared" si="1"/>
        <v>-12.5</v>
      </c>
    </row>
    <row r="24" spans="1:13">
      <c r="A24" s="123">
        <v>22</v>
      </c>
      <c r="B24" s="123">
        <v>459</v>
      </c>
      <c r="C24" s="123">
        <f t="shared" si="2"/>
        <v>-134</v>
      </c>
      <c r="F24" s="123">
        <v>22</v>
      </c>
      <c r="G24" s="123">
        <v>609</v>
      </c>
      <c r="H24" s="123">
        <f t="shared" si="0"/>
        <v>-32</v>
      </c>
      <c r="K24" s="123">
        <v>22</v>
      </c>
      <c r="L24" s="123">
        <v>7212</v>
      </c>
      <c r="M24" s="123">
        <f t="shared" si="1"/>
        <v>-12</v>
      </c>
    </row>
    <row r="25" spans="1:13">
      <c r="A25" s="123">
        <v>23</v>
      </c>
      <c r="B25" s="123">
        <v>456</v>
      </c>
      <c r="C25" s="123">
        <f t="shared" si="2"/>
        <v>-133</v>
      </c>
      <c r="F25" s="123">
        <v>23</v>
      </c>
      <c r="G25" s="123">
        <v>609</v>
      </c>
      <c r="H25" s="123">
        <f t="shared" si="0"/>
        <v>-31.5</v>
      </c>
      <c r="K25" s="123">
        <v>23</v>
      </c>
      <c r="L25" s="123">
        <v>8624</v>
      </c>
      <c r="M25" s="123">
        <f t="shared" si="1"/>
        <v>-11.5</v>
      </c>
    </row>
    <row r="26" spans="1:13">
      <c r="A26" s="123">
        <v>24</v>
      </c>
      <c r="B26" s="123">
        <v>584</v>
      </c>
      <c r="C26" s="123">
        <f t="shared" si="2"/>
        <v>-132</v>
      </c>
      <c r="F26" s="123">
        <v>24</v>
      </c>
      <c r="G26" s="123">
        <v>655</v>
      </c>
      <c r="H26" s="123">
        <f t="shared" si="0"/>
        <v>-31</v>
      </c>
      <c r="K26" s="123">
        <v>24</v>
      </c>
      <c r="L26" s="123">
        <v>10685</v>
      </c>
      <c r="M26" s="123">
        <f t="shared" si="1"/>
        <v>-11</v>
      </c>
    </row>
    <row r="27" spans="1:13">
      <c r="A27" s="123">
        <v>25</v>
      </c>
      <c r="B27" s="123">
        <v>625</v>
      </c>
      <c r="C27" s="123">
        <f t="shared" si="2"/>
        <v>-131</v>
      </c>
      <c r="F27" s="123">
        <v>25</v>
      </c>
      <c r="G27" s="123">
        <v>732</v>
      </c>
      <c r="H27" s="123">
        <f t="shared" si="0"/>
        <v>-30.5</v>
      </c>
      <c r="K27" s="123">
        <v>25</v>
      </c>
      <c r="L27" s="123">
        <v>13221</v>
      </c>
      <c r="M27" s="123">
        <f t="shared" si="1"/>
        <v>-10.5</v>
      </c>
    </row>
    <row r="28" spans="1:13">
      <c r="A28" s="123">
        <v>26</v>
      </c>
      <c r="B28" s="123">
        <v>753</v>
      </c>
      <c r="C28" s="123">
        <f t="shared" si="2"/>
        <v>-130</v>
      </c>
      <c r="F28" s="123">
        <v>26</v>
      </c>
      <c r="G28" s="123">
        <v>799</v>
      </c>
      <c r="H28" s="123">
        <f t="shared" si="0"/>
        <v>-30</v>
      </c>
      <c r="K28" s="123">
        <v>26</v>
      </c>
      <c r="L28" s="123">
        <v>16421</v>
      </c>
      <c r="M28" s="123">
        <f t="shared" si="1"/>
        <v>-10</v>
      </c>
    </row>
    <row r="29" spans="1:13">
      <c r="A29" s="123">
        <v>27</v>
      </c>
      <c r="B29" s="123">
        <v>978</v>
      </c>
      <c r="C29" s="123">
        <f t="shared" si="2"/>
        <v>-129</v>
      </c>
      <c r="F29" s="123">
        <v>27</v>
      </c>
      <c r="G29" s="123">
        <v>951</v>
      </c>
      <c r="H29" s="123">
        <f t="shared" si="0"/>
        <v>-29.5</v>
      </c>
      <c r="K29" s="123">
        <v>27</v>
      </c>
      <c r="L29" s="123">
        <v>20439</v>
      </c>
      <c r="M29" s="123">
        <f t="shared" si="1"/>
        <v>-9.5</v>
      </c>
    </row>
    <row r="30" spans="1:13">
      <c r="A30" s="123">
        <v>28</v>
      </c>
      <c r="B30" s="123">
        <v>1125</v>
      </c>
      <c r="C30" s="123">
        <f t="shared" si="2"/>
        <v>-128</v>
      </c>
      <c r="F30" s="123">
        <v>28</v>
      </c>
      <c r="G30" s="123">
        <v>996</v>
      </c>
      <c r="H30" s="123">
        <f t="shared" si="0"/>
        <v>-29</v>
      </c>
      <c r="K30" s="123">
        <v>28</v>
      </c>
      <c r="L30" s="123">
        <v>25229</v>
      </c>
      <c r="M30" s="123">
        <f t="shared" si="1"/>
        <v>-9</v>
      </c>
    </row>
    <row r="31" spans="1:13">
      <c r="A31" s="123">
        <v>29</v>
      </c>
      <c r="B31" s="123">
        <v>1417</v>
      </c>
      <c r="C31" s="123">
        <f t="shared" si="2"/>
        <v>-127</v>
      </c>
      <c r="F31" s="123">
        <v>29</v>
      </c>
      <c r="G31" s="123">
        <v>1167</v>
      </c>
      <c r="H31" s="123">
        <f t="shared" si="0"/>
        <v>-28.5</v>
      </c>
      <c r="K31" s="123">
        <v>29</v>
      </c>
      <c r="L31" s="123">
        <v>31808</v>
      </c>
      <c r="M31" s="123">
        <f t="shared" si="1"/>
        <v>-8.5</v>
      </c>
    </row>
    <row r="32" spans="1:13">
      <c r="A32" s="123">
        <v>30</v>
      </c>
      <c r="B32" s="123">
        <v>1708</v>
      </c>
      <c r="C32" s="123">
        <f t="shared" si="2"/>
        <v>-126</v>
      </c>
      <c r="F32" s="123">
        <v>30</v>
      </c>
      <c r="G32" s="123">
        <v>1295</v>
      </c>
      <c r="H32" s="123">
        <f t="shared" si="0"/>
        <v>-28</v>
      </c>
      <c r="K32" s="123">
        <v>30</v>
      </c>
      <c r="L32" s="123">
        <v>39337</v>
      </c>
      <c r="M32" s="123">
        <f t="shared" si="1"/>
        <v>-8</v>
      </c>
    </row>
    <row r="33" spans="1:13">
      <c r="A33" s="123">
        <v>31</v>
      </c>
      <c r="B33" s="123">
        <v>2302</v>
      </c>
      <c r="C33" s="123">
        <f t="shared" si="2"/>
        <v>-125</v>
      </c>
      <c r="F33" s="123">
        <v>31</v>
      </c>
      <c r="G33" s="123">
        <v>1289</v>
      </c>
      <c r="H33" s="123">
        <f t="shared" si="0"/>
        <v>-27.5</v>
      </c>
      <c r="K33" s="123">
        <v>31</v>
      </c>
      <c r="L33" s="123">
        <v>50349</v>
      </c>
      <c r="M33" s="123">
        <f t="shared" si="1"/>
        <v>-7.5</v>
      </c>
    </row>
    <row r="34" spans="1:13">
      <c r="A34" s="123">
        <v>32</v>
      </c>
      <c r="B34" s="123">
        <v>2928</v>
      </c>
      <c r="C34" s="123">
        <f t="shared" si="2"/>
        <v>-124</v>
      </c>
      <c r="F34" s="123">
        <v>32</v>
      </c>
      <c r="G34" s="123">
        <v>1437</v>
      </c>
      <c r="H34" s="123">
        <f t="shared" si="0"/>
        <v>-27</v>
      </c>
      <c r="K34" s="123">
        <v>32</v>
      </c>
      <c r="L34" s="123">
        <v>61960</v>
      </c>
      <c r="M34" s="123">
        <f t="shared" si="1"/>
        <v>-7</v>
      </c>
    </row>
    <row r="35" spans="1:13">
      <c r="A35" s="123">
        <v>33</v>
      </c>
      <c r="B35" s="123">
        <v>3965</v>
      </c>
      <c r="C35" s="123">
        <f t="shared" si="2"/>
        <v>-123</v>
      </c>
      <c r="F35" s="123">
        <v>33</v>
      </c>
      <c r="G35" s="123">
        <v>1686</v>
      </c>
      <c r="H35" s="123">
        <f t="shared" si="0"/>
        <v>-26.5</v>
      </c>
      <c r="K35" s="123">
        <v>33</v>
      </c>
      <c r="L35" s="123">
        <v>77766</v>
      </c>
      <c r="M35" s="123">
        <f t="shared" si="1"/>
        <v>-6.5</v>
      </c>
    </row>
    <row r="36" spans="1:13">
      <c r="A36" s="123">
        <v>34</v>
      </c>
      <c r="B36" s="123">
        <v>5219</v>
      </c>
      <c r="C36" s="123">
        <f t="shared" si="2"/>
        <v>-122</v>
      </c>
      <c r="F36" s="123">
        <v>34</v>
      </c>
      <c r="G36" s="123">
        <v>1864</v>
      </c>
      <c r="H36" s="123">
        <f t="shared" si="0"/>
        <v>-26</v>
      </c>
      <c r="K36" s="123">
        <v>34</v>
      </c>
      <c r="L36" s="123">
        <v>97567</v>
      </c>
      <c r="M36" s="123">
        <f t="shared" si="1"/>
        <v>-6</v>
      </c>
    </row>
    <row r="37" spans="1:13">
      <c r="A37" s="123">
        <v>35</v>
      </c>
      <c r="B37" s="123">
        <v>6884</v>
      </c>
      <c r="C37" s="123">
        <f t="shared" si="2"/>
        <v>-121</v>
      </c>
      <c r="F37" s="123">
        <v>35</v>
      </c>
      <c r="G37" s="123">
        <v>2170</v>
      </c>
      <c r="H37" s="123">
        <f t="shared" si="0"/>
        <v>-25.5</v>
      </c>
      <c r="K37" s="123">
        <v>35</v>
      </c>
      <c r="L37" s="123">
        <v>118580</v>
      </c>
      <c r="M37" s="123">
        <f t="shared" si="1"/>
        <v>-5.5</v>
      </c>
    </row>
    <row r="38" spans="1:13">
      <c r="A38" s="123">
        <v>36</v>
      </c>
      <c r="B38" s="123">
        <v>9691</v>
      </c>
      <c r="C38" s="123">
        <f t="shared" si="2"/>
        <v>-120</v>
      </c>
      <c r="F38" s="123">
        <v>36</v>
      </c>
      <c r="G38" s="123">
        <v>2596</v>
      </c>
      <c r="H38" s="123">
        <f t="shared" si="0"/>
        <v>-25</v>
      </c>
      <c r="K38" s="123">
        <v>36</v>
      </c>
      <c r="L38" s="123">
        <v>148591</v>
      </c>
      <c r="M38" s="123">
        <f t="shared" si="1"/>
        <v>-5</v>
      </c>
    </row>
    <row r="39" spans="1:13">
      <c r="A39" s="123">
        <v>37</v>
      </c>
      <c r="B39" s="123">
        <v>14489</v>
      </c>
      <c r="C39" s="123">
        <f t="shared" si="2"/>
        <v>-119</v>
      </c>
      <c r="F39" s="123">
        <v>37</v>
      </c>
      <c r="G39" s="123">
        <v>3025</v>
      </c>
      <c r="H39" s="123">
        <f t="shared" si="0"/>
        <v>-24.5</v>
      </c>
      <c r="K39" s="123">
        <v>37</v>
      </c>
      <c r="L39" s="123">
        <v>178191</v>
      </c>
      <c r="M39" s="123">
        <f t="shared" si="1"/>
        <v>-4.5</v>
      </c>
    </row>
    <row r="40" spans="1:13">
      <c r="A40" s="123">
        <v>38</v>
      </c>
      <c r="B40" s="123">
        <v>20500</v>
      </c>
      <c r="C40" s="123">
        <f t="shared" si="2"/>
        <v>-118</v>
      </c>
      <c r="F40" s="123">
        <v>38</v>
      </c>
      <c r="G40" s="123">
        <v>3565</v>
      </c>
      <c r="H40" s="123">
        <f t="shared" si="0"/>
        <v>-24</v>
      </c>
      <c r="K40" s="123">
        <v>38</v>
      </c>
      <c r="L40" s="123">
        <v>218414</v>
      </c>
      <c r="M40" s="123">
        <f t="shared" si="1"/>
        <v>-4</v>
      </c>
    </row>
    <row r="41" spans="1:13">
      <c r="A41" s="123">
        <v>39</v>
      </c>
      <c r="B41" s="123">
        <v>30111</v>
      </c>
      <c r="C41" s="123">
        <f t="shared" si="2"/>
        <v>-117</v>
      </c>
      <c r="F41" s="123">
        <v>39</v>
      </c>
      <c r="G41" s="123">
        <v>4339</v>
      </c>
      <c r="H41" s="123">
        <f t="shared" si="0"/>
        <v>-23.5</v>
      </c>
      <c r="K41" s="123">
        <v>39</v>
      </c>
      <c r="L41" s="123">
        <v>267292</v>
      </c>
      <c r="M41" s="123">
        <f t="shared" si="1"/>
        <v>-3.5</v>
      </c>
    </row>
    <row r="42" spans="1:13">
      <c r="A42" s="123">
        <v>40</v>
      </c>
      <c r="B42" s="123">
        <v>45077</v>
      </c>
      <c r="C42" s="123">
        <f t="shared" si="2"/>
        <v>-116</v>
      </c>
      <c r="F42" s="123">
        <v>40</v>
      </c>
      <c r="G42" s="123">
        <v>5097</v>
      </c>
      <c r="H42" s="123">
        <f t="shared" si="0"/>
        <v>-23</v>
      </c>
      <c r="K42" s="123">
        <v>40</v>
      </c>
      <c r="L42" s="123">
        <v>317138</v>
      </c>
      <c r="M42" s="123">
        <f t="shared" si="1"/>
        <v>-3</v>
      </c>
    </row>
    <row r="43" spans="1:13">
      <c r="A43" s="123">
        <v>41</v>
      </c>
      <c r="B43" s="123">
        <v>66314</v>
      </c>
      <c r="C43" s="123">
        <f t="shared" si="2"/>
        <v>-115</v>
      </c>
      <c r="F43" s="123">
        <v>41</v>
      </c>
      <c r="G43" s="123">
        <v>6089</v>
      </c>
      <c r="H43" s="123">
        <f t="shared" si="0"/>
        <v>-22.5</v>
      </c>
      <c r="K43" s="123">
        <v>41</v>
      </c>
      <c r="L43" s="123">
        <v>389933</v>
      </c>
      <c r="M43" s="123">
        <f t="shared" si="1"/>
        <v>-2.5</v>
      </c>
    </row>
    <row r="44" spans="1:13">
      <c r="A44" s="123">
        <v>42</v>
      </c>
      <c r="B44" s="123">
        <v>100959</v>
      </c>
      <c r="C44" s="123">
        <f t="shared" si="2"/>
        <v>-114</v>
      </c>
      <c r="F44" s="123">
        <v>42</v>
      </c>
      <c r="G44" s="123">
        <v>7283</v>
      </c>
      <c r="H44" s="123">
        <f t="shared" si="0"/>
        <v>-22</v>
      </c>
      <c r="K44" s="123">
        <v>42</v>
      </c>
      <c r="L44" s="123">
        <v>452930</v>
      </c>
      <c r="M44" s="123">
        <f t="shared" si="1"/>
        <v>-2</v>
      </c>
    </row>
    <row r="45" spans="1:13">
      <c r="A45" s="123">
        <v>43</v>
      </c>
      <c r="B45" s="123">
        <v>149956</v>
      </c>
      <c r="C45" s="123">
        <f t="shared" si="2"/>
        <v>-113</v>
      </c>
      <c r="F45" s="123">
        <v>43</v>
      </c>
      <c r="G45" s="123">
        <v>9134</v>
      </c>
      <c r="H45" s="123">
        <f t="shared" si="0"/>
        <v>-21.5</v>
      </c>
      <c r="K45" s="123">
        <v>43</v>
      </c>
      <c r="L45" s="123">
        <v>527429</v>
      </c>
      <c r="M45" s="123">
        <f t="shared" si="1"/>
        <v>-1.5</v>
      </c>
    </row>
    <row r="46" spans="1:13">
      <c r="A46" s="123">
        <v>44</v>
      </c>
      <c r="B46" s="123">
        <v>224020</v>
      </c>
      <c r="C46" s="123">
        <f t="shared" si="2"/>
        <v>-112</v>
      </c>
      <c r="F46" s="123">
        <v>44</v>
      </c>
      <c r="G46" s="123">
        <v>11702</v>
      </c>
      <c r="H46" s="123">
        <f t="shared" si="0"/>
        <v>-21</v>
      </c>
      <c r="K46" s="123">
        <v>44</v>
      </c>
      <c r="L46" s="123">
        <v>608471</v>
      </c>
      <c r="M46" s="123">
        <f t="shared" si="1"/>
        <v>-1</v>
      </c>
    </row>
    <row r="47" spans="1:13">
      <c r="A47" s="123">
        <v>45</v>
      </c>
      <c r="B47" s="123">
        <v>327923</v>
      </c>
      <c r="C47" s="123">
        <f t="shared" si="2"/>
        <v>-111</v>
      </c>
      <c r="F47" s="123">
        <v>45</v>
      </c>
      <c r="G47" s="123">
        <v>14951</v>
      </c>
      <c r="H47" s="123">
        <f t="shared" si="0"/>
        <v>-20.5</v>
      </c>
      <c r="K47" s="123">
        <v>45</v>
      </c>
      <c r="L47" s="123">
        <v>672482</v>
      </c>
      <c r="M47" s="123">
        <f t="shared" si="1"/>
        <v>-0.5</v>
      </c>
    </row>
    <row r="48" spans="1:13">
      <c r="A48" s="123">
        <v>46</v>
      </c>
      <c r="B48" s="123">
        <v>460127</v>
      </c>
      <c r="C48" s="123">
        <f t="shared" si="2"/>
        <v>-110</v>
      </c>
      <c r="F48" s="123">
        <v>46</v>
      </c>
      <c r="G48" s="123">
        <v>19879</v>
      </c>
      <c r="H48" s="123">
        <f t="shared" si="0"/>
        <v>-20</v>
      </c>
      <c r="K48" s="123">
        <v>46</v>
      </c>
      <c r="L48" s="123">
        <v>761820</v>
      </c>
      <c r="M48" s="123">
        <f t="shared" si="1"/>
        <v>0</v>
      </c>
    </row>
    <row r="49" spans="1:13">
      <c r="A49" s="123">
        <v>47</v>
      </c>
      <c r="B49" s="123">
        <v>621015</v>
      </c>
      <c r="C49" s="123">
        <f t="shared" si="2"/>
        <v>-109</v>
      </c>
      <c r="F49" s="123">
        <v>47</v>
      </c>
      <c r="G49" s="123">
        <v>25689</v>
      </c>
      <c r="H49" s="123">
        <f t="shared" si="0"/>
        <v>-19.5</v>
      </c>
      <c r="K49" s="123">
        <v>47</v>
      </c>
      <c r="L49" s="123">
        <v>832902</v>
      </c>
      <c r="M49" s="123">
        <f t="shared" si="1"/>
        <v>0.5</v>
      </c>
    </row>
    <row r="50" spans="1:13">
      <c r="A50" s="123">
        <v>48</v>
      </c>
      <c r="B50" s="123">
        <v>784277</v>
      </c>
      <c r="C50" s="123">
        <f t="shared" si="2"/>
        <v>-108</v>
      </c>
      <c r="F50" s="123">
        <v>48</v>
      </c>
      <c r="G50" s="123">
        <v>34026</v>
      </c>
      <c r="H50" s="123">
        <f t="shared" si="0"/>
        <v>-19</v>
      </c>
      <c r="K50" s="123">
        <v>48</v>
      </c>
      <c r="L50" s="123">
        <v>899782</v>
      </c>
      <c r="M50" s="123">
        <f t="shared" si="1"/>
        <v>1</v>
      </c>
    </row>
    <row r="51" spans="1:13">
      <c r="A51" s="123">
        <v>49</v>
      </c>
      <c r="B51" s="123">
        <v>952359</v>
      </c>
      <c r="C51" s="123">
        <f t="shared" si="2"/>
        <v>-107</v>
      </c>
      <c r="F51" s="123">
        <v>49</v>
      </c>
      <c r="G51" s="123">
        <v>46765</v>
      </c>
      <c r="H51" s="123">
        <f t="shared" si="0"/>
        <v>-18.5</v>
      </c>
      <c r="K51" s="123">
        <v>49</v>
      </c>
      <c r="L51" s="123">
        <v>981295</v>
      </c>
      <c r="M51" s="123">
        <f t="shared" si="1"/>
        <v>1.5</v>
      </c>
    </row>
    <row r="52" spans="1:13">
      <c r="A52" s="123">
        <v>50</v>
      </c>
      <c r="B52" s="123">
        <v>1123629</v>
      </c>
      <c r="C52" s="123">
        <f t="shared" si="2"/>
        <v>-106</v>
      </c>
      <c r="F52" s="123">
        <v>50</v>
      </c>
      <c r="G52" s="123">
        <v>64660</v>
      </c>
      <c r="H52" s="123">
        <f t="shared" si="0"/>
        <v>-18</v>
      </c>
      <c r="K52" s="123">
        <v>50</v>
      </c>
      <c r="L52" s="123">
        <v>1041884</v>
      </c>
      <c r="M52" s="123">
        <f t="shared" si="1"/>
        <v>2</v>
      </c>
    </row>
    <row r="53" spans="1:13">
      <c r="A53" s="123">
        <v>51</v>
      </c>
      <c r="B53" s="123">
        <v>1292896</v>
      </c>
      <c r="C53" s="123">
        <f t="shared" si="2"/>
        <v>-105</v>
      </c>
      <c r="F53" s="123">
        <v>51</v>
      </c>
      <c r="G53" s="123">
        <v>84431</v>
      </c>
      <c r="H53" s="123">
        <f t="shared" si="0"/>
        <v>-17.5</v>
      </c>
      <c r="K53" s="123">
        <v>51</v>
      </c>
      <c r="L53" s="123">
        <v>1135256</v>
      </c>
      <c r="M53" s="123">
        <f t="shared" si="1"/>
        <v>2.5</v>
      </c>
    </row>
    <row r="54" spans="1:13">
      <c r="A54" s="123">
        <v>52</v>
      </c>
      <c r="B54" s="123">
        <v>1471951</v>
      </c>
      <c r="C54" s="123">
        <f t="shared" si="2"/>
        <v>-104</v>
      </c>
      <c r="F54" s="123">
        <v>52</v>
      </c>
      <c r="G54" s="123">
        <v>115192</v>
      </c>
      <c r="H54" s="123">
        <f t="shared" si="0"/>
        <v>-17</v>
      </c>
      <c r="K54" s="123">
        <v>52</v>
      </c>
      <c r="L54" s="123">
        <v>1189615</v>
      </c>
      <c r="M54" s="123">
        <f t="shared" si="1"/>
        <v>3</v>
      </c>
    </row>
    <row r="55" spans="1:13">
      <c r="A55" s="123">
        <v>53</v>
      </c>
      <c r="B55" s="123">
        <v>1646188</v>
      </c>
      <c r="C55" s="123">
        <f t="shared" si="2"/>
        <v>-103</v>
      </c>
      <c r="F55" s="123">
        <v>53</v>
      </c>
      <c r="G55" s="123">
        <v>156897</v>
      </c>
      <c r="H55" s="123">
        <f t="shared" si="0"/>
        <v>-16.5</v>
      </c>
      <c r="K55" s="123">
        <v>53</v>
      </c>
      <c r="L55" s="123">
        <v>1269351</v>
      </c>
      <c r="M55" s="123">
        <f t="shared" si="1"/>
        <v>3.5</v>
      </c>
    </row>
    <row r="56" spans="1:13">
      <c r="A56" s="123">
        <v>54</v>
      </c>
      <c r="B56" s="123">
        <v>1813939</v>
      </c>
      <c r="C56" s="123">
        <f t="shared" si="2"/>
        <v>-102</v>
      </c>
      <c r="F56" s="123">
        <v>54</v>
      </c>
      <c r="G56" s="123">
        <v>213063</v>
      </c>
      <c r="H56" s="123">
        <f t="shared" si="0"/>
        <v>-16</v>
      </c>
      <c r="K56" s="123">
        <v>54</v>
      </c>
      <c r="L56" s="123">
        <v>1352328</v>
      </c>
      <c r="M56" s="123">
        <f t="shared" si="1"/>
        <v>4</v>
      </c>
    </row>
    <row r="57" spans="1:13">
      <c r="A57" s="123">
        <v>55</v>
      </c>
      <c r="B57" s="123">
        <v>1962769</v>
      </c>
      <c r="C57" s="123">
        <f t="shared" si="2"/>
        <v>-101</v>
      </c>
      <c r="F57" s="123">
        <v>55</v>
      </c>
      <c r="G57" s="123">
        <v>292665</v>
      </c>
      <c r="H57" s="123">
        <f t="shared" si="0"/>
        <v>-15.5</v>
      </c>
      <c r="K57" s="123">
        <v>55</v>
      </c>
      <c r="L57" s="123">
        <v>1397035</v>
      </c>
      <c r="M57" s="123">
        <f t="shared" si="1"/>
        <v>4.5</v>
      </c>
    </row>
    <row r="58" spans="1:13">
      <c r="A58" s="123">
        <v>56</v>
      </c>
      <c r="B58" s="123">
        <v>2114961</v>
      </c>
      <c r="C58" s="123">
        <f t="shared" si="2"/>
        <v>-100</v>
      </c>
      <c r="F58" s="123">
        <v>56</v>
      </c>
      <c r="G58" s="123">
        <v>413394</v>
      </c>
      <c r="H58" s="123">
        <f t="shared" si="0"/>
        <v>-15</v>
      </c>
      <c r="K58" s="123">
        <v>56</v>
      </c>
      <c r="L58" s="123">
        <v>1482772</v>
      </c>
      <c r="M58" s="123">
        <f t="shared" si="1"/>
        <v>5</v>
      </c>
    </row>
    <row r="59" spans="1:13">
      <c r="A59" s="123">
        <v>57</v>
      </c>
      <c r="B59" s="123">
        <v>2264160</v>
      </c>
      <c r="C59" s="123">
        <f t="shared" si="2"/>
        <v>-99</v>
      </c>
      <c r="F59" s="123">
        <v>57</v>
      </c>
      <c r="G59" s="123">
        <v>594604</v>
      </c>
      <c r="H59" s="123">
        <f t="shared" si="0"/>
        <v>-14.5</v>
      </c>
      <c r="K59" s="123">
        <v>57</v>
      </c>
      <c r="L59" s="123">
        <v>1518007</v>
      </c>
      <c r="M59" s="123">
        <f t="shared" si="1"/>
        <v>5.5</v>
      </c>
    </row>
    <row r="60" spans="1:13">
      <c r="A60" s="123">
        <v>58</v>
      </c>
      <c r="B60" s="123">
        <v>2391525</v>
      </c>
      <c r="C60" s="123">
        <f t="shared" si="2"/>
        <v>-98</v>
      </c>
      <c r="F60" s="123">
        <v>58</v>
      </c>
      <c r="G60" s="123">
        <v>832991</v>
      </c>
      <c r="H60" s="123">
        <f t="shared" si="0"/>
        <v>-14</v>
      </c>
      <c r="K60" s="123">
        <v>58</v>
      </c>
      <c r="L60" s="123">
        <v>800565</v>
      </c>
      <c r="M60" s="123">
        <f t="shared" si="1"/>
        <v>6</v>
      </c>
    </row>
    <row r="61" spans="1:13">
      <c r="A61" s="123">
        <v>59</v>
      </c>
      <c r="B61" s="123">
        <v>2504734</v>
      </c>
      <c r="C61" s="123">
        <f t="shared" si="2"/>
        <v>-97</v>
      </c>
      <c r="F61" s="123">
        <v>59</v>
      </c>
      <c r="G61" s="123">
        <v>1135154</v>
      </c>
      <c r="H61" s="123">
        <f t="shared" si="0"/>
        <v>-13.5</v>
      </c>
      <c r="K61" s="123">
        <v>59</v>
      </c>
      <c r="L61" s="123">
        <v>1508246</v>
      </c>
      <c r="M61" s="123">
        <f t="shared" si="1"/>
        <v>6.5</v>
      </c>
    </row>
    <row r="62" spans="1:13">
      <c r="A62" s="123">
        <v>60</v>
      </c>
      <c r="B62" s="123">
        <v>2606945</v>
      </c>
      <c r="C62" s="123">
        <f t="shared" si="2"/>
        <v>-96</v>
      </c>
      <c r="F62" s="123">
        <v>60</v>
      </c>
      <c r="G62" s="123">
        <v>1526174</v>
      </c>
      <c r="H62" s="123">
        <f t="shared" si="0"/>
        <v>-13</v>
      </c>
      <c r="K62" s="123">
        <v>60</v>
      </c>
      <c r="L62" s="123">
        <v>1564216</v>
      </c>
      <c r="M62" s="123">
        <f t="shared" si="1"/>
        <v>7</v>
      </c>
    </row>
    <row r="63" spans="1:13">
      <c r="A63" s="123">
        <v>61</v>
      </c>
      <c r="B63" s="123">
        <v>2678803</v>
      </c>
      <c r="C63" s="123">
        <f t="shared" si="2"/>
        <v>-95</v>
      </c>
      <c r="F63" s="123">
        <v>61</v>
      </c>
      <c r="G63" s="123">
        <v>2071117</v>
      </c>
      <c r="H63" s="123">
        <f t="shared" si="0"/>
        <v>-12.5</v>
      </c>
      <c r="K63" s="123">
        <v>61</v>
      </c>
      <c r="L63" s="123">
        <v>1562895</v>
      </c>
      <c r="M63" s="123">
        <f t="shared" si="1"/>
        <v>7.5</v>
      </c>
    </row>
    <row r="64" spans="1:13">
      <c r="A64" s="123">
        <v>62</v>
      </c>
      <c r="B64" s="123">
        <v>2741981</v>
      </c>
      <c r="C64" s="123">
        <f t="shared" si="2"/>
        <v>-94</v>
      </c>
      <c r="F64" s="123">
        <v>62</v>
      </c>
      <c r="G64" s="123">
        <v>2960704</v>
      </c>
      <c r="H64" s="123">
        <f t="shared" si="0"/>
        <v>-12</v>
      </c>
      <c r="K64" s="123">
        <v>62</v>
      </c>
      <c r="L64" s="123">
        <v>1597093</v>
      </c>
      <c r="M64" s="123">
        <f t="shared" si="1"/>
        <v>8</v>
      </c>
    </row>
    <row r="65" spans="1:13">
      <c r="A65" s="123">
        <v>63</v>
      </c>
      <c r="B65" s="123">
        <v>2785407</v>
      </c>
      <c r="C65" s="123">
        <f t="shared" si="2"/>
        <v>-93</v>
      </c>
      <c r="F65" s="123">
        <v>63</v>
      </c>
      <c r="G65" s="123">
        <v>4574305</v>
      </c>
      <c r="H65" s="123">
        <f t="shared" si="0"/>
        <v>-11.5</v>
      </c>
      <c r="K65" s="123">
        <v>63</v>
      </c>
      <c r="L65" s="123">
        <v>1633591</v>
      </c>
      <c r="M65" s="123">
        <f t="shared" si="1"/>
        <v>8.5</v>
      </c>
    </row>
    <row r="66" spans="1:13">
      <c r="A66" s="123">
        <v>64</v>
      </c>
      <c r="B66" s="123">
        <v>2812405</v>
      </c>
      <c r="C66" s="123">
        <f t="shared" si="2"/>
        <v>-92</v>
      </c>
      <c r="F66" s="123">
        <v>64</v>
      </c>
      <c r="G66" s="123">
        <v>9382441</v>
      </c>
      <c r="H66" s="123">
        <f t="shared" si="0"/>
        <v>-11</v>
      </c>
      <c r="K66" s="123">
        <v>64</v>
      </c>
      <c r="L66" s="123">
        <v>1616291</v>
      </c>
      <c r="M66" s="123">
        <f t="shared" si="1"/>
        <v>9</v>
      </c>
    </row>
    <row r="67" spans="1:13">
      <c r="A67" s="123">
        <v>65</v>
      </c>
      <c r="B67" s="123">
        <v>2823505</v>
      </c>
      <c r="C67" s="123">
        <f t="shared" si="2"/>
        <v>-91</v>
      </c>
      <c r="F67" s="123">
        <v>65</v>
      </c>
      <c r="G67" s="123">
        <v>19551237</v>
      </c>
      <c r="H67" s="123">
        <f t="shared" ref="H67:H129" si="3">F67/2-43</f>
        <v>-10.5</v>
      </c>
      <c r="K67" s="123">
        <v>65</v>
      </c>
      <c r="L67" s="123">
        <v>1658461</v>
      </c>
      <c r="M67" s="123">
        <f t="shared" ref="M67:M129" si="4">K67/2-23</f>
        <v>9.5</v>
      </c>
    </row>
    <row r="68" spans="1:13">
      <c r="A68" s="123">
        <v>66</v>
      </c>
      <c r="B68" s="123">
        <v>2811747</v>
      </c>
      <c r="C68" s="123">
        <f t="shared" ref="C68:C129" si="5">A68-156</f>
        <v>-90</v>
      </c>
      <c r="F68" s="123">
        <v>66</v>
      </c>
      <c r="G68" s="123">
        <v>21996953</v>
      </c>
      <c r="H68" s="123">
        <f t="shared" si="3"/>
        <v>-10</v>
      </c>
      <c r="K68" s="123">
        <v>66</v>
      </c>
      <c r="L68" s="123">
        <v>1654970</v>
      </c>
      <c r="M68" s="123">
        <f t="shared" si="4"/>
        <v>10</v>
      </c>
    </row>
    <row r="69" spans="1:13">
      <c r="A69" s="123">
        <v>67</v>
      </c>
      <c r="B69" s="123">
        <v>2792047</v>
      </c>
      <c r="C69" s="123">
        <f t="shared" si="5"/>
        <v>-89</v>
      </c>
      <c r="F69" s="123">
        <v>67</v>
      </c>
      <c r="G69" s="123">
        <v>1251012</v>
      </c>
      <c r="H69" s="123">
        <f t="shared" si="3"/>
        <v>-9.5</v>
      </c>
      <c r="K69" s="123">
        <v>67</v>
      </c>
      <c r="L69" s="123">
        <v>1643321</v>
      </c>
      <c r="M69" s="123">
        <f t="shared" si="4"/>
        <v>10.5</v>
      </c>
    </row>
    <row r="70" spans="1:13">
      <c r="A70" s="123">
        <v>68</v>
      </c>
      <c r="B70" s="123">
        <v>2770596</v>
      </c>
      <c r="C70" s="123">
        <f t="shared" si="5"/>
        <v>-88</v>
      </c>
      <c r="F70" s="123">
        <v>68</v>
      </c>
      <c r="G70" s="123">
        <v>431355</v>
      </c>
      <c r="H70" s="123">
        <f t="shared" si="3"/>
        <v>-9</v>
      </c>
      <c r="K70" s="123">
        <v>68</v>
      </c>
      <c r="L70" s="123">
        <v>1677657</v>
      </c>
      <c r="M70" s="123">
        <f t="shared" si="4"/>
        <v>11</v>
      </c>
    </row>
    <row r="71" spans="1:13">
      <c r="A71" s="123">
        <v>69</v>
      </c>
      <c r="B71" s="123">
        <v>2710953</v>
      </c>
      <c r="C71" s="123">
        <f t="shared" si="5"/>
        <v>-87</v>
      </c>
      <c r="F71" s="123">
        <v>69</v>
      </c>
      <c r="G71" s="123">
        <v>288972</v>
      </c>
      <c r="H71" s="123">
        <f t="shared" si="3"/>
        <v>-8.5</v>
      </c>
      <c r="K71" s="123">
        <v>69</v>
      </c>
      <c r="L71" s="123">
        <v>1635938</v>
      </c>
      <c r="M71" s="123">
        <f t="shared" si="4"/>
        <v>11.5</v>
      </c>
    </row>
    <row r="72" spans="1:13">
      <c r="A72" s="123">
        <v>70</v>
      </c>
      <c r="B72" s="123">
        <v>2662360</v>
      </c>
      <c r="C72" s="123">
        <f t="shared" si="5"/>
        <v>-86</v>
      </c>
      <c r="F72" s="123">
        <v>70</v>
      </c>
      <c r="G72" s="123">
        <v>279083</v>
      </c>
      <c r="H72" s="123">
        <f t="shared" si="3"/>
        <v>-8</v>
      </c>
      <c r="K72" s="123">
        <v>70</v>
      </c>
      <c r="L72" s="123">
        <v>1657762</v>
      </c>
      <c r="M72" s="123">
        <f t="shared" si="4"/>
        <v>12</v>
      </c>
    </row>
    <row r="73" spans="1:13">
      <c r="A73" s="123">
        <v>71</v>
      </c>
      <c r="B73" s="123">
        <v>2625634</v>
      </c>
      <c r="C73" s="123">
        <f t="shared" si="5"/>
        <v>-85</v>
      </c>
      <c r="F73" s="123">
        <v>71</v>
      </c>
      <c r="G73" s="123">
        <v>318064</v>
      </c>
      <c r="H73" s="123">
        <f t="shared" si="3"/>
        <v>-7.5</v>
      </c>
      <c r="K73" s="123">
        <v>71</v>
      </c>
      <c r="L73" s="123">
        <v>1604050</v>
      </c>
      <c r="M73" s="123">
        <f t="shared" si="4"/>
        <v>12.5</v>
      </c>
    </row>
    <row r="74" spans="1:13">
      <c r="A74" s="123">
        <v>72</v>
      </c>
      <c r="B74" s="123">
        <v>2612186</v>
      </c>
      <c r="C74" s="123">
        <f t="shared" si="5"/>
        <v>-84</v>
      </c>
      <c r="F74" s="123">
        <v>72</v>
      </c>
      <c r="G74" s="123">
        <v>385104</v>
      </c>
      <c r="H74" s="123">
        <f t="shared" si="3"/>
        <v>-7</v>
      </c>
      <c r="K74" s="123">
        <v>72</v>
      </c>
      <c r="L74" s="123">
        <v>1601500</v>
      </c>
      <c r="M74" s="123">
        <f t="shared" si="4"/>
        <v>13</v>
      </c>
    </row>
    <row r="75" spans="1:13">
      <c r="A75" s="123">
        <v>73</v>
      </c>
      <c r="B75" s="123">
        <v>2557260</v>
      </c>
      <c r="C75" s="123">
        <f t="shared" si="5"/>
        <v>-83</v>
      </c>
      <c r="F75" s="123">
        <v>73</v>
      </c>
      <c r="G75" s="123">
        <v>458366</v>
      </c>
      <c r="H75" s="123">
        <f t="shared" si="3"/>
        <v>-6.5</v>
      </c>
      <c r="K75" s="123">
        <v>73</v>
      </c>
      <c r="L75" s="123">
        <v>1598565</v>
      </c>
      <c r="M75" s="123">
        <f t="shared" si="4"/>
        <v>13.5</v>
      </c>
    </row>
    <row r="76" spans="1:13">
      <c r="A76" s="123">
        <v>74</v>
      </c>
      <c r="B76" s="123">
        <v>2466975</v>
      </c>
      <c r="C76" s="123">
        <f t="shared" si="5"/>
        <v>-82</v>
      </c>
      <c r="F76" s="123">
        <v>74</v>
      </c>
      <c r="G76" s="123">
        <v>553873</v>
      </c>
      <c r="H76" s="123">
        <f t="shared" si="3"/>
        <v>-6</v>
      </c>
      <c r="K76" s="123">
        <v>74</v>
      </c>
      <c r="L76" s="123">
        <v>1529332</v>
      </c>
      <c r="M76" s="123">
        <f t="shared" si="4"/>
        <v>14</v>
      </c>
    </row>
    <row r="77" spans="1:13">
      <c r="A77" s="123">
        <v>75</v>
      </c>
      <c r="B77" s="123">
        <v>2356017</v>
      </c>
      <c r="C77" s="123">
        <f t="shared" si="5"/>
        <v>-81</v>
      </c>
      <c r="F77" s="123">
        <v>75</v>
      </c>
      <c r="G77" s="123">
        <v>677541</v>
      </c>
      <c r="H77" s="123">
        <f t="shared" si="3"/>
        <v>-5.5</v>
      </c>
      <c r="K77" s="123">
        <v>75</v>
      </c>
      <c r="L77" s="123">
        <v>1540100</v>
      </c>
      <c r="M77" s="123">
        <f t="shared" si="4"/>
        <v>14.5</v>
      </c>
    </row>
    <row r="78" spans="1:13">
      <c r="A78" s="123">
        <v>76</v>
      </c>
      <c r="B78" s="123">
        <v>2216791</v>
      </c>
      <c r="C78" s="123">
        <f t="shared" si="5"/>
        <v>-80</v>
      </c>
      <c r="F78" s="123">
        <v>76</v>
      </c>
      <c r="G78" s="123">
        <v>757264</v>
      </c>
      <c r="H78" s="123">
        <f t="shared" si="3"/>
        <v>-5</v>
      </c>
      <c r="K78" s="123">
        <v>76</v>
      </c>
      <c r="L78" s="123">
        <v>1477745</v>
      </c>
      <c r="M78" s="123">
        <f t="shared" si="4"/>
        <v>15</v>
      </c>
    </row>
    <row r="79" spans="1:13">
      <c r="A79" s="123">
        <v>77</v>
      </c>
      <c r="B79" s="123">
        <v>2109309</v>
      </c>
      <c r="C79" s="123">
        <f t="shared" si="5"/>
        <v>-79</v>
      </c>
      <c r="F79" s="123">
        <v>77</v>
      </c>
      <c r="G79" s="123">
        <v>831145</v>
      </c>
      <c r="H79" s="123">
        <f t="shared" si="3"/>
        <v>-4.5</v>
      </c>
      <c r="K79" s="123">
        <v>77</v>
      </c>
      <c r="L79" s="123">
        <v>1438596</v>
      </c>
      <c r="M79" s="123">
        <f t="shared" si="4"/>
        <v>15.5</v>
      </c>
    </row>
    <row r="80" spans="1:13">
      <c r="A80" s="123">
        <v>78</v>
      </c>
      <c r="B80" s="123">
        <v>2018403</v>
      </c>
      <c r="C80" s="123">
        <f t="shared" si="5"/>
        <v>-78</v>
      </c>
      <c r="F80" s="123">
        <v>78</v>
      </c>
      <c r="G80" s="123">
        <v>968697</v>
      </c>
      <c r="H80" s="123">
        <f t="shared" si="3"/>
        <v>-4</v>
      </c>
      <c r="K80" s="123">
        <v>78</v>
      </c>
      <c r="L80" s="123">
        <v>1442158</v>
      </c>
      <c r="M80" s="123">
        <f t="shared" si="4"/>
        <v>16</v>
      </c>
    </row>
    <row r="81" spans="1:13">
      <c r="A81" s="123">
        <v>79</v>
      </c>
      <c r="B81" s="123">
        <v>1901104</v>
      </c>
      <c r="C81" s="123">
        <f t="shared" si="5"/>
        <v>-77</v>
      </c>
      <c r="F81" s="123">
        <v>79</v>
      </c>
      <c r="G81" s="123">
        <v>1127086</v>
      </c>
      <c r="H81" s="123">
        <f t="shared" si="3"/>
        <v>-3.5</v>
      </c>
      <c r="K81" s="123">
        <v>79</v>
      </c>
      <c r="L81" s="123">
        <v>1352616</v>
      </c>
      <c r="M81" s="123">
        <f t="shared" si="4"/>
        <v>16.5</v>
      </c>
    </row>
    <row r="82" spans="1:13">
      <c r="A82" s="123">
        <v>80</v>
      </c>
      <c r="B82" s="123">
        <v>1783659</v>
      </c>
      <c r="C82" s="123">
        <f t="shared" si="5"/>
        <v>-76</v>
      </c>
      <c r="F82" s="123">
        <v>80</v>
      </c>
      <c r="G82" s="123">
        <v>1312131</v>
      </c>
      <c r="H82" s="123">
        <f t="shared" si="3"/>
        <v>-3</v>
      </c>
      <c r="K82" s="123">
        <v>80</v>
      </c>
      <c r="L82" s="123">
        <v>1355301</v>
      </c>
      <c r="M82" s="123">
        <f t="shared" si="4"/>
        <v>17</v>
      </c>
    </row>
    <row r="83" spans="1:13">
      <c r="A83" s="123">
        <v>81</v>
      </c>
      <c r="B83" s="123">
        <v>1657379</v>
      </c>
      <c r="C83" s="123">
        <f t="shared" si="5"/>
        <v>-75</v>
      </c>
      <c r="F83" s="123">
        <v>81</v>
      </c>
      <c r="G83" s="123">
        <v>1536015</v>
      </c>
      <c r="H83" s="123">
        <f t="shared" si="3"/>
        <v>-2.5</v>
      </c>
      <c r="K83" s="123">
        <v>81</v>
      </c>
      <c r="L83" s="123">
        <v>1280211</v>
      </c>
      <c r="M83" s="123">
        <f t="shared" si="4"/>
        <v>17.5</v>
      </c>
    </row>
    <row r="84" spans="1:13">
      <c r="A84" s="123">
        <v>82</v>
      </c>
      <c r="B84" s="123">
        <v>1521022</v>
      </c>
      <c r="C84" s="123">
        <f t="shared" si="5"/>
        <v>-74</v>
      </c>
      <c r="F84" s="123">
        <v>82</v>
      </c>
      <c r="G84" s="123">
        <v>1788848</v>
      </c>
      <c r="H84" s="123">
        <f t="shared" si="3"/>
        <v>-2</v>
      </c>
      <c r="K84" s="123">
        <v>82</v>
      </c>
      <c r="L84" s="123">
        <v>1240146</v>
      </c>
      <c r="M84" s="123">
        <f t="shared" si="4"/>
        <v>18</v>
      </c>
    </row>
    <row r="85" spans="1:13">
      <c r="A85" s="123">
        <v>83</v>
      </c>
      <c r="B85" s="123">
        <v>1398295</v>
      </c>
      <c r="C85" s="123">
        <f t="shared" si="5"/>
        <v>-73</v>
      </c>
      <c r="F85" s="123">
        <v>83</v>
      </c>
      <c r="G85" s="123">
        <v>1584235</v>
      </c>
      <c r="H85" s="123">
        <f t="shared" si="3"/>
        <v>-1.5</v>
      </c>
      <c r="K85" s="123">
        <v>83</v>
      </c>
      <c r="L85" s="123">
        <v>1214423</v>
      </c>
      <c r="M85" s="123">
        <f t="shared" si="4"/>
        <v>18.5</v>
      </c>
    </row>
    <row r="86" spans="1:13">
      <c r="A86" s="123">
        <v>84</v>
      </c>
      <c r="B86" s="123">
        <v>1271619</v>
      </c>
      <c r="C86" s="123">
        <f t="shared" si="5"/>
        <v>-72</v>
      </c>
      <c r="F86" s="123">
        <v>84</v>
      </c>
      <c r="G86" s="123">
        <v>1634797</v>
      </c>
      <c r="H86" s="123">
        <f t="shared" si="3"/>
        <v>-1</v>
      </c>
      <c r="K86" s="123">
        <v>84</v>
      </c>
      <c r="L86" s="123">
        <v>1142153</v>
      </c>
      <c r="M86" s="123">
        <f t="shared" si="4"/>
        <v>19</v>
      </c>
    </row>
    <row r="87" spans="1:13">
      <c r="A87" s="123">
        <v>85</v>
      </c>
      <c r="B87" s="123">
        <v>1160406</v>
      </c>
      <c r="C87" s="123">
        <f t="shared" si="5"/>
        <v>-71</v>
      </c>
      <c r="F87" s="123">
        <v>85</v>
      </c>
      <c r="G87" s="123">
        <v>1658646</v>
      </c>
      <c r="H87" s="123">
        <f t="shared" si="3"/>
        <v>-0.5</v>
      </c>
      <c r="K87" s="123">
        <v>85</v>
      </c>
      <c r="L87" s="123">
        <v>1129556</v>
      </c>
      <c r="M87" s="123">
        <f t="shared" si="4"/>
        <v>19.5</v>
      </c>
    </row>
    <row r="88" spans="1:13">
      <c r="A88" s="123">
        <v>86</v>
      </c>
      <c r="B88" s="123">
        <v>1049416</v>
      </c>
      <c r="C88" s="123">
        <f t="shared" si="5"/>
        <v>-70</v>
      </c>
      <c r="F88" s="123">
        <v>86</v>
      </c>
      <c r="G88" s="123">
        <v>1614521</v>
      </c>
      <c r="H88" s="123">
        <f t="shared" si="3"/>
        <v>0</v>
      </c>
      <c r="K88" s="123">
        <v>86</v>
      </c>
      <c r="L88" s="123">
        <v>1053482</v>
      </c>
      <c r="M88" s="123">
        <f t="shared" si="4"/>
        <v>20</v>
      </c>
    </row>
    <row r="89" spans="1:13">
      <c r="A89" s="123">
        <v>87</v>
      </c>
      <c r="B89" s="123">
        <v>943637</v>
      </c>
      <c r="C89" s="123">
        <f t="shared" si="5"/>
        <v>-69</v>
      </c>
      <c r="F89" s="123">
        <v>87</v>
      </c>
      <c r="G89" s="123">
        <v>1396888</v>
      </c>
      <c r="H89" s="123">
        <f t="shared" si="3"/>
        <v>0.5</v>
      </c>
      <c r="K89" s="123">
        <v>87</v>
      </c>
      <c r="L89" s="123">
        <v>1023872</v>
      </c>
      <c r="M89" s="123">
        <f t="shared" si="4"/>
        <v>20.5</v>
      </c>
    </row>
    <row r="90" spans="1:13">
      <c r="A90" s="123">
        <v>88</v>
      </c>
      <c r="B90" s="123">
        <v>845306</v>
      </c>
      <c r="C90" s="123">
        <f t="shared" si="5"/>
        <v>-68</v>
      </c>
      <c r="F90" s="123">
        <v>88</v>
      </c>
      <c r="G90" s="123">
        <v>950349</v>
      </c>
      <c r="H90" s="123">
        <f t="shared" si="3"/>
        <v>1</v>
      </c>
      <c r="K90" s="123">
        <v>88</v>
      </c>
      <c r="L90" s="123">
        <v>981307</v>
      </c>
      <c r="M90" s="123">
        <f t="shared" si="4"/>
        <v>21</v>
      </c>
    </row>
    <row r="91" spans="1:13">
      <c r="A91" s="123">
        <v>89</v>
      </c>
      <c r="B91" s="123">
        <v>752824</v>
      </c>
      <c r="C91" s="123">
        <f t="shared" si="5"/>
        <v>-67</v>
      </c>
      <c r="F91" s="123">
        <v>89</v>
      </c>
      <c r="G91" s="123">
        <v>767906</v>
      </c>
      <c r="H91" s="123">
        <f t="shared" si="3"/>
        <v>1.5</v>
      </c>
      <c r="K91" s="123">
        <v>89</v>
      </c>
      <c r="L91" s="123">
        <v>931156</v>
      </c>
      <c r="M91" s="123">
        <f t="shared" si="4"/>
        <v>21.5</v>
      </c>
    </row>
    <row r="92" spans="1:13">
      <c r="A92" s="123">
        <v>90</v>
      </c>
      <c r="B92" s="123">
        <v>665615</v>
      </c>
      <c r="C92" s="123">
        <f t="shared" si="5"/>
        <v>-66</v>
      </c>
      <c r="F92" s="123">
        <v>90</v>
      </c>
      <c r="G92" s="123">
        <v>623317</v>
      </c>
      <c r="H92" s="123">
        <f t="shared" si="3"/>
        <v>2</v>
      </c>
      <c r="K92" s="123">
        <v>90</v>
      </c>
      <c r="L92" s="123">
        <v>916056</v>
      </c>
      <c r="M92" s="123">
        <f t="shared" si="4"/>
        <v>22</v>
      </c>
    </row>
    <row r="93" spans="1:13">
      <c r="A93" s="123">
        <v>91</v>
      </c>
      <c r="B93" s="123">
        <v>583734</v>
      </c>
      <c r="C93" s="123">
        <f t="shared" si="5"/>
        <v>-65</v>
      </c>
      <c r="F93" s="123">
        <v>91</v>
      </c>
      <c r="G93" s="123">
        <v>469898</v>
      </c>
      <c r="H93" s="123">
        <f t="shared" si="3"/>
        <v>2.5</v>
      </c>
      <c r="K93" s="123">
        <v>91</v>
      </c>
      <c r="L93" s="123">
        <v>864476</v>
      </c>
      <c r="M93" s="123">
        <f t="shared" si="4"/>
        <v>22.5</v>
      </c>
    </row>
    <row r="94" spans="1:13">
      <c r="A94" s="123">
        <v>92</v>
      </c>
      <c r="B94" s="123">
        <v>508848</v>
      </c>
      <c r="C94" s="123">
        <f t="shared" si="5"/>
        <v>-64</v>
      </c>
      <c r="F94" s="123">
        <v>92</v>
      </c>
      <c r="G94" s="123">
        <v>274434</v>
      </c>
      <c r="H94" s="123">
        <f t="shared" si="3"/>
        <v>3</v>
      </c>
      <c r="K94" s="123">
        <v>92</v>
      </c>
      <c r="L94" s="123">
        <v>1331083</v>
      </c>
      <c r="M94" s="123">
        <f t="shared" si="4"/>
        <v>23</v>
      </c>
    </row>
    <row r="95" spans="1:13">
      <c r="A95" s="123">
        <v>93</v>
      </c>
      <c r="B95" s="123">
        <v>441878</v>
      </c>
      <c r="C95" s="123">
        <f t="shared" si="5"/>
        <v>-63</v>
      </c>
      <c r="F95" s="123">
        <v>93</v>
      </c>
      <c r="G95" s="123">
        <v>52369</v>
      </c>
      <c r="H95" s="123">
        <f t="shared" si="3"/>
        <v>3.5</v>
      </c>
      <c r="K95" s="123">
        <v>93</v>
      </c>
      <c r="L95" s="123">
        <v>13126775</v>
      </c>
      <c r="M95" s="123">
        <f t="shared" si="4"/>
        <v>23.5</v>
      </c>
    </row>
    <row r="96" spans="1:13">
      <c r="A96" s="123">
        <v>94</v>
      </c>
      <c r="B96" s="123">
        <v>379556</v>
      </c>
      <c r="C96" s="123">
        <f t="shared" si="5"/>
        <v>-62</v>
      </c>
      <c r="F96" s="123">
        <v>94</v>
      </c>
      <c r="G96" s="123">
        <v>24309</v>
      </c>
      <c r="H96" s="123">
        <f t="shared" si="3"/>
        <v>4</v>
      </c>
      <c r="K96" s="123">
        <v>94</v>
      </c>
      <c r="L96" s="123">
        <v>437279</v>
      </c>
      <c r="M96" s="123">
        <f t="shared" si="4"/>
        <v>24</v>
      </c>
    </row>
    <row r="97" spans="1:13">
      <c r="A97" s="123">
        <v>95</v>
      </c>
      <c r="B97" s="123">
        <v>326928</v>
      </c>
      <c r="C97" s="123">
        <f t="shared" si="5"/>
        <v>-61</v>
      </c>
      <c r="F97" s="123">
        <v>95</v>
      </c>
      <c r="G97" s="123">
        <v>16349</v>
      </c>
      <c r="H97" s="123">
        <f t="shared" si="3"/>
        <v>4.5</v>
      </c>
      <c r="K97" s="123">
        <v>95</v>
      </c>
      <c r="L97" s="123">
        <v>424317</v>
      </c>
      <c r="M97" s="123">
        <f t="shared" si="4"/>
        <v>24.5</v>
      </c>
    </row>
    <row r="98" spans="1:13">
      <c r="A98" s="123">
        <v>96</v>
      </c>
      <c r="B98" s="123">
        <v>276481</v>
      </c>
      <c r="C98" s="123">
        <f t="shared" si="5"/>
        <v>-60</v>
      </c>
      <c r="F98" s="123">
        <v>96</v>
      </c>
      <c r="G98" s="123">
        <v>7811</v>
      </c>
      <c r="H98" s="123">
        <f t="shared" si="3"/>
        <v>5</v>
      </c>
      <c r="K98" s="123">
        <v>96</v>
      </c>
      <c r="L98" s="123">
        <v>421772</v>
      </c>
      <c r="M98" s="123">
        <f t="shared" si="4"/>
        <v>25</v>
      </c>
    </row>
    <row r="99" spans="1:13">
      <c r="A99" s="123">
        <v>97</v>
      </c>
      <c r="B99" s="123">
        <v>233407</v>
      </c>
      <c r="C99" s="123">
        <f t="shared" si="5"/>
        <v>-59</v>
      </c>
      <c r="F99" s="123">
        <v>97</v>
      </c>
      <c r="G99" s="123">
        <v>2130</v>
      </c>
      <c r="H99" s="123">
        <f t="shared" si="3"/>
        <v>5.5</v>
      </c>
      <c r="K99" s="123">
        <v>97</v>
      </c>
      <c r="L99" s="123">
        <v>369880</v>
      </c>
      <c r="M99" s="123">
        <f t="shared" si="4"/>
        <v>25.5</v>
      </c>
    </row>
    <row r="100" spans="1:13">
      <c r="A100" s="123">
        <v>98</v>
      </c>
      <c r="B100" s="123">
        <v>195470</v>
      </c>
      <c r="C100" s="123">
        <f t="shared" si="5"/>
        <v>-58</v>
      </c>
      <c r="F100" s="123">
        <v>98</v>
      </c>
      <c r="G100" s="123">
        <v>1593</v>
      </c>
      <c r="H100" s="123">
        <f t="shared" si="3"/>
        <v>6</v>
      </c>
      <c r="K100" s="123">
        <v>98</v>
      </c>
      <c r="L100" s="123">
        <v>351046</v>
      </c>
      <c r="M100" s="123">
        <f t="shared" si="4"/>
        <v>26</v>
      </c>
    </row>
    <row r="101" spans="1:13">
      <c r="A101" s="123">
        <v>99</v>
      </c>
      <c r="B101" s="123">
        <v>160767</v>
      </c>
      <c r="C101" s="123">
        <f t="shared" si="5"/>
        <v>-57</v>
      </c>
      <c r="F101" s="123">
        <v>99</v>
      </c>
      <c r="G101" s="123">
        <v>1414</v>
      </c>
      <c r="H101" s="123">
        <f t="shared" si="3"/>
        <v>6.5</v>
      </c>
      <c r="K101" s="123">
        <v>99</v>
      </c>
      <c r="L101" s="123">
        <v>337013</v>
      </c>
      <c r="M101" s="123">
        <f t="shared" si="4"/>
        <v>26.5</v>
      </c>
    </row>
    <row r="102" spans="1:13">
      <c r="A102" s="123">
        <v>100</v>
      </c>
      <c r="B102" s="123">
        <v>132359</v>
      </c>
      <c r="C102" s="123">
        <f t="shared" si="5"/>
        <v>-56</v>
      </c>
      <c r="F102" s="123">
        <v>100</v>
      </c>
      <c r="G102" s="123">
        <v>1220</v>
      </c>
      <c r="H102" s="123">
        <f t="shared" si="3"/>
        <v>7</v>
      </c>
      <c r="K102" s="123">
        <v>100</v>
      </c>
      <c r="L102" s="123">
        <v>324472</v>
      </c>
      <c r="M102" s="123">
        <f t="shared" si="4"/>
        <v>27</v>
      </c>
    </row>
    <row r="103" spans="1:13">
      <c r="A103" s="123">
        <v>101</v>
      </c>
      <c r="B103" s="123">
        <v>106703</v>
      </c>
      <c r="C103" s="123">
        <f t="shared" si="5"/>
        <v>-55</v>
      </c>
      <c r="F103" s="123">
        <v>101</v>
      </c>
      <c r="G103" s="123">
        <v>1165</v>
      </c>
      <c r="H103" s="123">
        <f t="shared" si="3"/>
        <v>7.5</v>
      </c>
      <c r="K103" s="123">
        <v>101</v>
      </c>
      <c r="L103" s="123">
        <v>309961</v>
      </c>
      <c r="M103" s="123">
        <f t="shared" si="4"/>
        <v>27.5</v>
      </c>
    </row>
    <row r="104" spans="1:13">
      <c r="A104" s="123">
        <v>102</v>
      </c>
      <c r="B104" s="123">
        <v>85823</v>
      </c>
      <c r="C104" s="123">
        <f t="shared" si="5"/>
        <v>-54</v>
      </c>
      <c r="F104" s="123">
        <v>102</v>
      </c>
      <c r="G104" s="123">
        <v>1032</v>
      </c>
      <c r="H104" s="123">
        <f t="shared" si="3"/>
        <v>8</v>
      </c>
      <c r="K104" s="123">
        <v>102</v>
      </c>
      <c r="L104" s="123">
        <v>299070</v>
      </c>
      <c r="M104" s="123">
        <f t="shared" si="4"/>
        <v>28</v>
      </c>
    </row>
    <row r="105" spans="1:13">
      <c r="A105" s="123">
        <v>103</v>
      </c>
      <c r="B105" s="123">
        <v>67420</v>
      </c>
      <c r="C105" s="123">
        <f t="shared" si="5"/>
        <v>-53</v>
      </c>
      <c r="F105" s="123">
        <v>103</v>
      </c>
      <c r="G105" s="123">
        <v>1016</v>
      </c>
      <c r="H105" s="123">
        <f t="shared" si="3"/>
        <v>8.5</v>
      </c>
      <c r="K105" s="123">
        <v>103</v>
      </c>
      <c r="L105" s="123">
        <v>284673</v>
      </c>
      <c r="M105" s="123">
        <f t="shared" si="4"/>
        <v>28.5</v>
      </c>
    </row>
    <row r="106" spans="1:13">
      <c r="A106" s="123">
        <v>104</v>
      </c>
      <c r="B106" s="123">
        <v>54103</v>
      </c>
      <c r="C106" s="123">
        <f t="shared" si="5"/>
        <v>-52</v>
      </c>
      <c r="F106" s="123">
        <v>104</v>
      </c>
      <c r="G106" s="123">
        <v>902</v>
      </c>
      <c r="H106" s="123">
        <f t="shared" si="3"/>
        <v>9</v>
      </c>
      <c r="K106" s="123">
        <v>104</v>
      </c>
      <c r="L106" s="123">
        <v>268853</v>
      </c>
      <c r="M106" s="123">
        <f t="shared" si="4"/>
        <v>29</v>
      </c>
    </row>
    <row r="107" spans="1:13">
      <c r="A107" s="123">
        <v>105</v>
      </c>
      <c r="B107" s="123">
        <v>42192</v>
      </c>
      <c r="C107" s="123">
        <f t="shared" si="5"/>
        <v>-51</v>
      </c>
      <c r="F107" s="123">
        <v>105</v>
      </c>
      <c r="G107" s="123">
        <v>905</v>
      </c>
      <c r="H107" s="123">
        <f t="shared" si="3"/>
        <v>9.5</v>
      </c>
      <c r="K107" s="123">
        <v>105</v>
      </c>
      <c r="L107" s="123">
        <v>251015</v>
      </c>
      <c r="M107" s="123">
        <f t="shared" si="4"/>
        <v>29.5</v>
      </c>
    </row>
    <row r="108" spans="1:13">
      <c r="A108" s="123">
        <v>106</v>
      </c>
      <c r="B108" s="123">
        <v>33144</v>
      </c>
      <c r="C108" s="123">
        <f t="shared" si="5"/>
        <v>-50</v>
      </c>
      <c r="F108" s="123">
        <v>106</v>
      </c>
      <c r="G108" s="123">
        <v>869</v>
      </c>
      <c r="H108" s="123">
        <f t="shared" si="3"/>
        <v>10</v>
      </c>
      <c r="K108" s="123">
        <v>106</v>
      </c>
      <c r="L108" s="123">
        <v>226317</v>
      </c>
      <c r="M108" s="123">
        <f t="shared" si="4"/>
        <v>30</v>
      </c>
    </row>
    <row r="109" spans="1:13">
      <c r="A109" s="123">
        <v>107</v>
      </c>
      <c r="B109" s="123">
        <v>24950</v>
      </c>
      <c r="C109" s="123">
        <f t="shared" si="5"/>
        <v>-49</v>
      </c>
      <c r="F109" s="123">
        <v>107</v>
      </c>
      <c r="G109" s="123">
        <v>743</v>
      </c>
      <c r="H109" s="123">
        <f t="shared" si="3"/>
        <v>10.5</v>
      </c>
      <c r="K109" s="123">
        <v>107</v>
      </c>
      <c r="L109" s="123">
        <v>196800</v>
      </c>
      <c r="M109" s="123">
        <f t="shared" si="4"/>
        <v>30.5</v>
      </c>
    </row>
    <row r="110" spans="1:13">
      <c r="A110" s="123">
        <v>108</v>
      </c>
      <c r="B110" s="123">
        <v>18407</v>
      </c>
      <c r="C110" s="123">
        <f t="shared" si="5"/>
        <v>-48</v>
      </c>
      <c r="F110" s="123">
        <v>108</v>
      </c>
      <c r="G110" s="123">
        <v>764</v>
      </c>
      <c r="H110" s="123">
        <f t="shared" si="3"/>
        <v>11</v>
      </c>
      <c r="K110" s="123">
        <v>108</v>
      </c>
      <c r="L110" s="123">
        <v>165354</v>
      </c>
      <c r="M110" s="123">
        <f t="shared" si="4"/>
        <v>31</v>
      </c>
    </row>
    <row r="111" spans="1:13">
      <c r="A111" s="123">
        <v>109</v>
      </c>
      <c r="B111" s="123">
        <v>13786</v>
      </c>
      <c r="C111" s="123">
        <f t="shared" si="5"/>
        <v>-47</v>
      </c>
      <c r="F111" s="123">
        <v>109</v>
      </c>
      <c r="G111" s="123">
        <v>714</v>
      </c>
      <c r="H111" s="123">
        <f t="shared" si="3"/>
        <v>11.5</v>
      </c>
      <c r="K111" s="123">
        <v>109</v>
      </c>
      <c r="L111" s="123">
        <v>130661</v>
      </c>
      <c r="M111" s="123">
        <f t="shared" si="4"/>
        <v>31.5</v>
      </c>
    </row>
    <row r="112" spans="1:13">
      <c r="A112" s="123">
        <v>110</v>
      </c>
      <c r="B112" s="123">
        <v>10134</v>
      </c>
      <c r="C112" s="123">
        <f t="shared" si="5"/>
        <v>-46</v>
      </c>
      <c r="F112" s="123">
        <v>110</v>
      </c>
      <c r="G112" s="123">
        <v>656</v>
      </c>
      <c r="H112" s="123">
        <f t="shared" si="3"/>
        <v>12</v>
      </c>
      <c r="K112" s="123">
        <v>110</v>
      </c>
      <c r="L112" s="123">
        <v>96981</v>
      </c>
      <c r="M112" s="123">
        <f t="shared" si="4"/>
        <v>32</v>
      </c>
    </row>
    <row r="113" spans="1:13">
      <c r="A113" s="123">
        <v>111</v>
      </c>
      <c r="B113" s="123">
        <v>7092</v>
      </c>
      <c r="C113" s="123">
        <f t="shared" si="5"/>
        <v>-45</v>
      </c>
      <c r="F113" s="123">
        <v>111</v>
      </c>
      <c r="G113" s="123">
        <v>612</v>
      </c>
      <c r="H113" s="123">
        <f t="shared" si="3"/>
        <v>12.5</v>
      </c>
      <c r="K113" s="123">
        <v>111</v>
      </c>
      <c r="L113" s="123">
        <v>70141</v>
      </c>
      <c r="M113" s="123">
        <f t="shared" si="4"/>
        <v>32.5</v>
      </c>
    </row>
    <row r="114" spans="1:13">
      <c r="A114" s="123">
        <v>112</v>
      </c>
      <c r="B114" s="123">
        <v>5359</v>
      </c>
      <c r="C114" s="123">
        <f t="shared" si="5"/>
        <v>-44</v>
      </c>
      <c r="F114" s="123">
        <v>112</v>
      </c>
      <c r="G114" s="123">
        <v>621</v>
      </c>
      <c r="H114" s="123">
        <f t="shared" si="3"/>
        <v>13</v>
      </c>
      <c r="K114" s="123">
        <v>112</v>
      </c>
      <c r="L114" s="123">
        <v>48365</v>
      </c>
      <c r="M114" s="123">
        <f t="shared" si="4"/>
        <v>33</v>
      </c>
    </row>
    <row r="115" spans="1:13">
      <c r="A115" s="123">
        <v>113</v>
      </c>
      <c r="B115" s="123">
        <v>4429</v>
      </c>
      <c r="C115" s="123">
        <f t="shared" si="5"/>
        <v>-43</v>
      </c>
      <c r="F115" s="123">
        <v>113</v>
      </c>
      <c r="G115" s="123">
        <v>582</v>
      </c>
      <c r="H115" s="123">
        <f t="shared" si="3"/>
        <v>13.5</v>
      </c>
      <c r="K115" s="123">
        <v>113</v>
      </c>
      <c r="L115" s="123">
        <v>33464</v>
      </c>
      <c r="M115" s="123">
        <f t="shared" si="4"/>
        <v>33.5</v>
      </c>
    </row>
    <row r="116" spans="1:13">
      <c r="A116" s="123">
        <v>114</v>
      </c>
      <c r="B116" s="123">
        <v>2348</v>
      </c>
      <c r="C116" s="123">
        <f t="shared" si="5"/>
        <v>-42</v>
      </c>
      <c r="F116" s="123">
        <v>114</v>
      </c>
      <c r="G116" s="123">
        <v>611</v>
      </c>
      <c r="H116" s="123">
        <f t="shared" si="3"/>
        <v>14</v>
      </c>
      <c r="K116" s="123">
        <v>114</v>
      </c>
      <c r="L116" s="123">
        <v>25705</v>
      </c>
      <c r="M116" s="123">
        <f t="shared" si="4"/>
        <v>34</v>
      </c>
    </row>
    <row r="117" spans="1:13">
      <c r="A117" s="123">
        <v>115</v>
      </c>
      <c r="B117" s="123">
        <v>1605</v>
      </c>
      <c r="C117" s="123">
        <f t="shared" si="5"/>
        <v>-41</v>
      </c>
      <c r="F117" s="123">
        <v>115</v>
      </c>
      <c r="G117" s="123">
        <v>564</v>
      </c>
      <c r="H117" s="123">
        <f t="shared" si="3"/>
        <v>14.5</v>
      </c>
      <c r="K117" s="123">
        <v>115</v>
      </c>
      <c r="L117" s="123">
        <v>21577</v>
      </c>
      <c r="M117" s="123">
        <f t="shared" si="4"/>
        <v>34.5</v>
      </c>
    </row>
    <row r="118" spans="1:13">
      <c r="A118" s="123">
        <v>116</v>
      </c>
      <c r="B118" s="123">
        <v>1139</v>
      </c>
      <c r="C118" s="123">
        <f t="shared" si="5"/>
        <v>-40</v>
      </c>
      <c r="F118" s="123">
        <v>116</v>
      </c>
      <c r="G118" s="123">
        <v>495</v>
      </c>
      <c r="H118" s="123">
        <f t="shared" si="3"/>
        <v>15</v>
      </c>
      <c r="K118" s="123">
        <v>116</v>
      </c>
      <c r="L118" s="123">
        <v>19290</v>
      </c>
      <c r="M118" s="123">
        <f t="shared" si="4"/>
        <v>35</v>
      </c>
    </row>
    <row r="119" spans="1:13">
      <c r="A119" s="123">
        <v>117</v>
      </c>
      <c r="B119" s="123">
        <v>790</v>
      </c>
      <c r="C119" s="123">
        <f t="shared" si="5"/>
        <v>-39</v>
      </c>
      <c r="F119" s="123">
        <v>117</v>
      </c>
      <c r="G119" s="123">
        <v>462</v>
      </c>
      <c r="H119" s="123">
        <f t="shared" si="3"/>
        <v>15.5</v>
      </c>
      <c r="K119" s="123">
        <v>117</v>
      </c>
      <c r="L119" s="123">
        <v>16932</v>
      </c>
      <c r="M119" s="123">
        <f t="shared" si="4"/>
        <v>35.5</v>
      </c>
    </row>
    <row r="120" spans="1:13">
      <c r="A120" s="123">
        <v>118</v>
      </c>
      <c r="B120" s="123">
        <v>585</v>
      </c>
      <c r="C120" s="123">
        <f t="shared" si="5"/>
        <v>-38</v>
      </c>
      <c r="F120" s="123">
        <v>118</v>
      </c>
      <c r="G120" s="123">
        <v>485</v>
      </c>
      <c r="H120" s="123">
        <f t="shared" si="3"/>
        <v>16</v>
      </c>
      <c r="K120" s="123">
        <v>118</v>
      </c>
      <c r="L120" s="123">
        <v>14746</v>
      </c>
      <c r="M120" s="123">
        <f t="shared" si="4"/>
        <v>36</v>
      </c>
    </row>
    <row r="121" spans="1:13">
      <c r="A121" s="123">
        <v>119</v>
      </c>
      <c r="B121" s="123">
        <v>385</v>
      </c>
      <c r="C121" s="123">
        <f t="shared" si="5"/>
        <v>-37</v>
      </c>
      <c r="F121" s="123">
        <v>119</v>
      </c>
      <c r="G121" s="123">
        <v>483</v>
      </c>
      <c r="H121" s="123">
        <f t="shared" si="3"/>
        <v>16.5</v>
      </c>
      <c r="K121" s="123">
        <v>119</v>
      </c>
      <c r="L121" s="123">
        <v>12350</v>
      </c>
      <c r="M121" s="123">
        <f t="shared" si="4"/>
        <v>36.5</v>
      </c>
    </row>
    <row r="122" spans="1:13">
      <c r="A122" s="123">
        <v>120</v>
      </c>
      <c r="B122" s="123">
        <v>243</v>
      </c>
      <c r="C122" s="123">
        <f t="shared" si="5"/>
        <v>-36</v>
      </c>
      <c r="F122" s="123">
        <v>120</v>
      </c>
      <c r="G122" s="123">
        <v>464</v>
      </c>
      <c r="H122" s="123">
        <f t="shared" si="3"/>
        <v>17</v>
      </c>
      <c r="K122" s="123">
        <v>120</v>
      </c>
      <c r="L122" s="123">
        <v>10321</v>
      </c>
      <c r="M122" s="123">
        <f t="shared" si="4"/>
        <v>37</v>
      </c>
    </row>
    <row r="123" spans="1:13">
      <c r="A123" s="123">
        <v>121</v>
      </c>
      <c r="B123" s="123">
        <v>152</v>
      </c>
      <c r="C123" s="123">
        <f t="shared" si="5"/>
        <v>-35</v>
      </c>
      <c r="F123" s="123">
        <v>121</v>
      </c>
      <c r="G123" s="123">
        <v>442</v>
      </c>
      <c r="H123" s="123">
        <f t="shared" si="3"/>
        <v>17.5</v>
      </c>
      <c r="K123" s="123">
        <v>121</v>
      </c>
      <c r="L123" s="123">
        <v>8496</v>
      </c>
      <c r="M123" s="123">
        <f t="shared" si="4"/>
        <v>37.5</v>
      </c>
    </row>
    <row r="124" spans="1:13">
      <c r="A124" s="123">
        <v>122</v>
      </c>
      <c r="B124" s="123">
        <v>150</v>
      </c>
      <c r="C124" s="123">
        <f t="shared" si="5"/>
        <v>-34</v>
      </c>
      <c r="F124" s="123">
        <v>122</v>
      </c>
      <c r="G124" s="123">
        <v>485</v>
      </c>
      <c r="H124" s="123">
        <f t="shared" si="3"/>
        <v>18</v>
      </c>
      <c r="K124" s="123">
        <v>122</v>
      </c>
      <c r="L124" s="123">
        <v>7105</v>
      </c>
      <c r="M124" s="123">
        <f t="shared" si="4"/>
        <v>38</v>
      </c>
    </row>
    <row r="125" spans="1:13">
      <c r="A125" s="123">
        <v>123</v>
      </c>
      <c r="B125" s="123">
        <v>117</v>
      </c>
      <c r="C125" s="123">
        <f t="shared" si="5"/>
        <v>-33</v>
      </c>
      <c r="F125" s="123">
        <v>123</v>
      </c>
      <c r="G125" s="123">
        <v>467</v>
      </c>
      <c r="H125" s="123">
        <f t="shared" si="3"/>
        <v>18.5</v>
      </c>
      <c r="K125" s="123">
        <v>123</v>
      </c>
      <c r="L125" s="123">
        <v>6146</v>
      </c>
      <c r="M125" s="123">
        <f t="shared" si="4"/>
        <v>38.5</v>
      </c>
    </row>
    <row r="126" spans="1:13">
      <c r="A126" s="123">
        <v>124</v>
      </c>
      <c r="B126" s="123">
        <v>81</v>
      </c>
      <c r="C126" s="123">
        <f t="shared" si="5"/>
        <v>-32</v>
      </c>
      <c r="F126" s="123">
        <v>124</v>
      </c>
      <c r="G126" s="123">
        <v>394</v>
      </c>
      <c r="H126" s="123">
        <f t="shared" si="3"/>
        <v>19</v>
      </c>
      <c r="K126" s="123">
        <v>124</v>
      </c>
      <c r="L126" s="123">
        <v>5532</v>
      </c>
      <c r="M126" s="123">
        <f t="shared" si="4"/>
        <v>39</v>
      </c>
    </row>
    <row r="127" spans="1:13">
      <c r="A127" s="123">
        <v>125</v>
      </c>
      <c r="B127" s="123">
        <v>78</v>
      </c>
      <c r="C127" s="123">
        <f t="shared" si="5"/>
        <v>-31</v>
      </c>
      <c r="F127" s="123">
        <v>125</v>
      </c>
      <c r="G127" s="123">
        <v>363</v>
      </c>
      <c r="H127" s="123">
        <f t="shared" si="3"/>
        <v>19.5</v>
      </c>
      <c r="K127" s="123">
        <v>125</v>
      </c>
      <c r="L127" s="123">
        <v>5156</v>
      </c>
      <c r="M127" s="123">
        <f t="shared" si="4"/>
        <v>39.5</v>
      </c>
    </row>
    <row r="128" spans="1:13">
      <c r="A128" s="123">
        <v>126</v>
      </c>
      <c r="B128" s="123">
        <v>160</v>
      </c>
      <c r="C128" s="123">
        <f t="shared" si="5"/>
        <v>-30</v>
      </c>
      <c r="F128" s="123">
        <v>126</v>
      </c>
      <c r="G128" s="123">
        <v>451</v>
      </c>
      <c r="H128" s="123">
        <f t="shared" si="3"/>
        <v>20</v>
      </c>
      <c r="K128" s="123">
        <v>126</v>
      </c>
      <c r="L128" s="123">
        <v>10065</v>
      </c>
      <c r="M128" s="123">
        <f t="shared" si="4"/>
        <v>40</v>
      </c>
    </row>
    <row r="129" spans="1:13">
      <c r="A129" s="123">
        <v>127</v>
      </c>
      <c r="B129" s="123">
        <v>75</v>
      </c>
      <c r="C129" s="123">
        <f t="shared" si="5"/>
        <v>-29</v>
      </c>
      <c r="F129" s="123">
        <v>127</v>
      </c>
      <c r="G129" s="123">
        <v>3945</v>
      </c>
      <c r="H129" s="123">
        <f t="shared" si="3"/>
        <v>20.5</v>
      </c>
      <c r="K129" s="123">
        <v>127</v>
      </c>
      <c r="L129" s="123">
        <v>1566</v>
      </c>
      <c r="M129" s="123">
        <f t="shared" si="4"/>
        <v>40.5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0"/>
  <sheetViews>
    <sheetView tabSelected="1" zoomScale="85" zoomScaleNormal="85" workbookViewId="0">
      <pane ySplit="1" topLeftCell="A2" activePane="bottomLeft" state="frozen"/>
      <selection pane="bottomLeft" activeCell="F13" sqref="F13"/>
    </sheetView>
  </sheetViews>
  <sheetFormatPr defaultColWidth="9" defaultRowHeight="13.2"/>
  <cols>
    <col min="1" max="1" width="8.21875" style="82" customWidth="1"/>
    <col min="2" max="2" width="6.77734375" style="82" customWidth="1"/>
    <col min="3" max="4" width="8.21875" style="84" customWidth="1"/>
    <col min="5" max="5" width="10.21875" style="84" customWidth="1"/>
    <col min="6" max="6" width="41.109375" style="84" bestFit="1" customWidth="1"/>
    <col min="7" max="7" width="35" style="84" customWidth="1"/>
    <col min="8" max="8" width="15.109375" style="84" hidden="1" customWidth="1"/>
    <col min="9" max="11" width="8.21875" style="84" customWidth="1"/>
    <col min="12" max="12" width="8.33203125" style="84" customWidth="1"/>
    <col min="13" max="13" width="8.21875" style="84" customWidth="1"/>
    <col min="14" max="14" width="11.6640625" style="82" customWidth="1"/>
    <col min="15" max="15" width="34.6640625" style="84" customWidth="1"/>
    <col min="16" max="16" width="8.88671875" style="84" customWidth="1"/>
    <col min="17" max="17" width="8.88671875" style="82" customWidth="1"/>
    <col min="18" max="18" width="9.33203125" style="84" customWidth="1"/>
    <col min="19" max="19" width="7.5546875" style="84" customWidth="1"/>
    <col min="20" max="16384" width="9" style="84"/>
  </cols>
  <sheetData>
    <row r="1" spans="1:19" s="82" customFormat="1" ht="36">
      <c r="A1" s="117" t="s">
        <v>5</v>
      </c>
      <c r="B1" s="117" t="s">
        <v>6</v>
      </c>
      <c r="C1" s="117" t="s">
        <v>7</v>
      </c>
      <c r="D1" s="117" t="s">
        <v>8</v>
      </c>
      <c r="E1" s="117" t="s">
        <v>9</v>
      </c>
      <c r="F1" s="118" t="s">
        <v>10</v>
      </c>
      <c r="G1" s="118" t="s">
        <v>11</v>
      </c>
      <c r="H1" s="117" t="s">
        <v>12</v>
      </c>
      <c r="I1" s="121" t="s">
        <v>13</v>
      </c>
      <c r="J1" s="122" t="s">
        <v>14</v>
      </c>
      <c r="K1" s="122" t="s">
        <v>15</v>
      </c>
      <c r="L1" s="117" t="s">
        <v>16</v>
      </c>
      <c r="M1" s="122" t="s">
        <v>17</v>
      </c>
      <c r="N1" s="117" t="s">
        <v>18</v>
      </c>
      <c r="O1" s="117" t="s">
        <v>19</v>
      </c>
      <c r="P1" s="117" t="s">
        <v>20</v>
      </c>
      <c r="Q1" s="122" t="s">
        <v>21</v>
      </c>
      <c r="R1" s="117" t="s">
        <v>2309</v>
      </c>
      <c r="S1" s="117" t="s">
        <v>23</v>
      </c>
    </row>
    <row r="2" spans="1:19">
      <c r="A2" s="14">
        <v>1</v>
      </c>
      <c r="B2" s="119">
        <f t="shared" ref="B2" si="0">HYPERLINK("#"&amp;A2&amp;"!A1",A2)</f>
        <v>1</v>
      </c>
      <c r="C2" s="12" t="s">
        <v>24</v>
      </c>
      <c r="D2" s="12" t="s">
        <v>25</v>
      </c>
      <c r="E2" s="14" t="s">
        <v>26</v>
      </c>
      <c r="F2" s="12" t="s">
        <v>27</v>
      </c>
      <c r="G2" s="12" t="s">
        <v>28</v>
      </c>
      <c r="H2" s="12" t="s">
        <v>28</v>
      </c>
      <c r="I2" s="12" t="s">
        <v>26</v>
      </c>
      <c r="J2" s="12" t="s">
        <v>29</v>
      </c>
      <c r="K2" s="12" t="s">
        <v>30</v>
      </c>
      <c r="L2" s="12" t="s">
        <v>31</v>
      </c>
      <c r="M2" s="12"/>
      <c r="N2" s="14">
        <v>3</v>
      </c>
      <c r="O2" s="12" t="s">
        <v>32</v>
      </c>
      <c r="P2" s="12"/>
      <c r="Q2" s="87" t="s">
        <v>33</v>
      </c>
      <c r="R2" s="54" t="s">
        <v>33</v>
      </c>
      <c r="S2" s="12"/>
    </row>
    <row r="3" spans="1:19">
      <c r="A3" s="14">
        <v>2</v>
      </c>
      <c r="B3" s="119">
        <f t="shared" ref="B3" si="1">HYPERLINK("#"&amp;A3&amp;"!A1",A3)</f>
        <v>2</v>
      </c>
      <c r="C3" s="12" t="s">
        <v>24</v>
      </c>
      <c r="D3" s="12" t="s">
        <v>34</v>
      </c>
      <c r="E3" s="14" t="s">
        <v>26</v>
      </c>
      <c r="F3" s="12" t="s">
        <v>35</v>
      </c>
      <c r="G3" s="12" t="s">
        <v>36</v>
      </c>
      <c r="H3" s="12" t="s">
        <v>36</v>
      </c>
      <c r="I3" s="12" t="s">
        <v>26</v>
      </c>
      <c r="J3" s="12" t="s">
        <v>29</v>
      </c>
      <c r="K3" s="12" t="s">
        <v>30</v>
      </c>
      <c r="L3" s="12" t="s">
        <v>31</v>
      </c>
      <c r="M3" s="12"/>
      <c r="N3" s="14">
        <v>3</v>
      </c>
      <c r="O3" s="12" t="s">
        <v>27</v>
      </c>
      <c r="P3" s="12"/>
      <c r="Q3" s="87" t="s">
        <v>33</v>
      </c>
      <c r="R3" s="54" t="s">
        <v>33</v>
      </c>
      <c r="S3" s="12"/>
    </row>
    <row r="4" spans="1:19">
      <c r="A4" s="14">
        <v>3</v>
      </c>
      <c r="B4" s="119">
        <f t="shared" ref="B4:B11" si="2">HYPERLINK("#"&amp;A4&amp;"!A1",A4)</f>
        <v>3</v>
      </c>
      <c r="C4" s="12" t="s">
        <v>24</v>
      </c>
      <c r="D4" s="12" t="s">
        <v>34</v>
      </c>
      <c r="E4" s="14" t="s">
        <v>26</v>
      </c>
      <c r="F4" s="12" t="s">
        <v>2584</v>
      </c>
      <c r="G4" s="12" t="s">
        <v>37</v>
      </c>
      <c r="H4" s="12" t="s">
        <v>37</v>
      </c>
      <c r="I4" s="12" t="s">
        <v>26</v>
      </c>
      <c r="J4" s="12" t="s">
        <v>29</v>
      </c>
      <c r="K4" s="12" t="s">
        <v>30</v>
      </c>
      <c r="L4" s="12" t="s">
        <v>31</v>
      </c>
      <c r="M4" s="12" t="s">
        <v>38</v>
      </c>
      <c r="N4" s="14">
        <v>3</v>
      </c>
      <c r="O4" s="12" t="s">
        <v>2606</v>
      </c>
      <c r="P4" s="12"/>
      <c r="Q4" s="87" t="s">
        <v>39</v>
      </c>
      <c r="R4" s="54" t="s">
        <v>2310</v>
      </c>
      <c r="S4" s="12"/>
    </row>
    <row r="5" spans="1:19">
      <c r="A5" s="14">
        <v>4</v>
      </c>
      <c r="B5" s="119">
        <f t="shared" ref="B5" si="3">HYPERLINK("#"&amp;A5&amp;"!A1",A5)</f>
        <v>4</v>
      </c>
      <c r="C5" s="12" t="s">
        <v>24</v>
      </c>
      <c r="D5" s="12" t="s">
        <v>34</v>
      </c>
      <c r="E5" s="14" t="s">
        <v>26</v>
      </c>
      <c r="F5" s="12" t="s">
        <v>2093</v>
      </c>
      <c r="G5" s="12" t="s">
        <v>40</v>
      </c>
      <c r="H5" s="12" t="s">
        <v>40</v>
      </c>
      <c r="I5" s="12" t="s">
        <v>26</v>
      </c>
      <c r="J5" s="12" t="s">
        <v>29</v>
      </c>
      <c r="K5" s="12" t="s">
        <v>30</v>
      </c>
      <c r="L5" s="12" t="s">
        <v>2092</v>
      </c>
      <c r="M5" s="12"/>
      <c r="N5" s="14">
        <v>3</v>
      </c>
      <c r="O5" s="12" t="s">
        <v>2584</v>
      </c>
      <c r="P5" s="12"/>
      <c r="Q5" s="87" t="s">
        <v>2311</v>
      </c>
      <c r="R5" s="54" t="s">
        <v>33</v>
      </c>
      <c r="S5" s="12"/>
    </row>
    <row r="6" spans="1:19">
      <c r="A6" s="14">
        <v>5</v>
      </c>
      <c r="B6" s="119">
        <f t="shared" si="2"/>
        <v>5</v>
      </c>
      <c r="C6" s="12" t="s">
        <v>24</v>
      </c>
      <c r="D6" s="12" t="s">
        <v>34</v>
      </c>
      <c r="E6" s="14" t="s">
        <v>26</v>
      </c>
      <c r="F6" s="12" t="s">
        <v>2328</v>
      </c>
      <c r="G6" s="12" t="s">
        <v>43</v>
      </c>
      <c r="H6" s="12" t="s">
        <v>43</v>
      </c>
      <c r="I6" s="12" t="s">
        <v>26</v>
      </c>
      <c r="J6" s="12" t="s">
        <v>29</v>
      </c>
      <c r="K6" s="12" t="s">
        <v>30</v>
      </c>
      <c r="L6" s="12" t="s">
        <v>2092</v>
      </c>
      <c r="M6" s="12"/>
      <c r="N6" s="14">
        <v>3</v>
      </c>
      <c r="O6" s="12" t="s">
        <v>2605</v>
      </c>
      <c r="P6" s="12"/>
      <c r="Q6" s="87" t="s">
        <v>41</v>
      </c>
      <c r="R6" s="54"/>
      <c r="S6" s="12"/>
    </row>
    <row r="7" spans="1:19">
      <c r="A7" s="14">
        <v>6</v>
      </c>
      <c r="B7" s="119">
        <f t="shared" si="2"/>
        <v>6</v>
      </c>
      <c r="C7" s="12" t="s">
        <v>24</v>
      </c>
      <c r="D7" s="12" t="s">
        <v>44</v>
      </c>
      <c r="E7" s="14" t="s">
        <v>26</v>
      </c>
      <c r="F7" s="12" t="s">
        <v>2090</v>
      </c>
      <c r="G7" s="12" t="s">
        <v>46</v>
      </c>
      <c r="H7" s="12" t="s">
        <v>46</v>
      </c>
      <c r="I7" s="12" t="s">
        <v>47</v>
      </c>
      <c r="J7" s="12" t="s">
        <v>48</v>
      </c>
      <c r="K7" s="12" t="s">
        <v>48</v>
      </c>
      <c r="L7" s="12" t="s">
        <v>2092</v>
      </c>
      <c r="M7" s="12"/>
      <c r="N7" s="14">
        <v>14</v>
      </c>
      <c r="O7" s="12" t="s">
        <v>49</v>
      </c>
      <c r="P7" s="12"/>
      <c r="Q7" s="87" t="s">
        <v>41</v>
      </c>
      <c r="R7" s="54"/>
      <c r="S7" s="12"/>
    </row>
    <row r="8" spans="1:19">
      <c r="A8" s="14">
        <v>7</v>
      </c>
      <c r="B8" s="119">
        <f t="shared" si="2"/>
        <v>7</v>
      </c>
      <c r="C8" s="12" t="s">
        <v>24</v>
      </c>
      <c r="D8" s="12" t="s">
        <v>44</v>
      </c>
      <c r="E8" s="14" t="s">
        <v>26</v>
      </c>
      <c r="F8" s="12" t="s">
        <v>50</v>
      </c>
      <c r="G8" s="12" t="s">
        <v>51</v>
      </c>
      <c r="H8" s="12" t="s">
        <v>51</v>
      </c>
      <c r="I8" s="12" t="s">
        <v>47</v>
      </c>
      <c r="J8" s="12" t="s">
        <v>52</v>
      </c>
      <c r="K8" s="12" t="s">
        <v>52</v>
      </c>
      <c r="L8" s="12" t="s">
        <v>53</v>
      </c>
      <c r="M8" s="12"/>
      <c r="N8" s="14">
        <v>30</v>
      </c>
      <c r="O8" s="12" t="s">
        <v>2090</v>
      </c>
      <c r="P8" s="12" t="s">
        <v>54</v>
      </c>
      <c r="Q8" s="87" t="s">
        <v>41</v>
      </c>
      <c r="R8" s="54"/>
      <c r="S8" s="12"/>
    </row>
    <row r="9" spans="1:19">
      <c r="A9" s="14">
        <v>8</v>
      </c>
      <c r="B9" s="119">
        <f t="shared" si="2"/>
        <v>8</v>
      </c>
      <c r="C9" s="12" t="s">
        <v>24</v>
      </c>
      <c r="D9" s="12" t="s">
        <v>44</v>
      </c>
      <c r="E9" s="14" t="s">
        <v>55</v>
      </c>
      <c r="F9" s="12" t="s">
        <v>56</v>
      </c>
      <c r="G9" s="12" t="s">
        <v>57</v>
      </c>
      <c r="H9" s="12" t="s">
        <v>57</v>
      </c>
      <c r="I9" s="12" t="s">
        <v>58</v>
      </c>
      <c r="J9" s="12" t="s">
        <v>30</v>
      </c>
      <c r="K9" s="12" t="s">
        <v>30</v>
      </c>
      <c r="L9" s="12" t="s">
        <v>2092</v>
      </c>
      <c r="M9" s="12"/>
      <c r="N9" s="14">
        <v>14</v>
      </c>
      <c r="O9" s="12" t="s">
        <v>42</v>
      </c>
      <c r="P9" s="12"/>
      <c r="Q9" s="87" t="s">
        <v>41</v>
      </c>
      <c r="R9" s="54"/>
      <c r="S9" s="12"/>
    </row>
    <row r="10" spans="1:19">
      <c r="A10" s="14">
        <v>9</v>
      </c>
      <c r="B10" s="120">
        <f t="shared" si="2"/>
        <v>9</v>
      </c>
      <c r="C10" s="12" t="s">
        <v>24</v>
      </c>
      <c r="D10" s="12" t="s">
        <v>44</v>
      </c>
      <c r="E10" s="14" t="s">
        <v>55</v>
      </c>
      <c r="F10" s="12" t="s">
        <v>2454</v>
      </c>
      <c r="G10" s="12" t="s">
        <v>60</v>
      </c>
      <c r="H10" s="12" t="s">
        <v>60</v>
      </c>
      <c r="I10" s="12" t="s">
        <v>58</v>
      </c>
      <c r="J10" s="12" t="s">
        <v>30</v>
      </c>
      <c r="K10" s="12" t="s">
        <v>30</v>
      </c>
      <c r="L10" s="12" t="s">
        <v>2092</v>
      </c>
      <c r="M10" s="12"/>
      <c r="N10" s="14">
        <v>14</v>
      </c>
      <c r="O10" s="12" t="s">
        <v>2605</v>
      </c>
      <c r="P10" s="12"/>
      <c r="Q10" s="87" t="s">
        <v>41</v>
      </c>
      <c r="R10" s="54"/>
      <c r="S10" s="12"/>
    </row>
    <row r="11" spans="1:19">
      <c r="A11" s="14">
        <v>10</v>
      </c>
      <c r="B11" s="120">
        <f t="shared" si="2"/>
        <v>10</v>
      </c>
      <c r="C11" s="12" t="s">
        <v>24</v>
      </c>
      <c r="D11" s="12" t="s">
        <v>44</v>
      </c>
      <c r="E11" s="14" t="s">
        <v>55</v>
      </c>
      <c r="F11" s="12" t="s">
        <v>2610</v>
      </c>
      <c r="G11" s="12" t="s">
        <v>61</v>
      </c>
      <c r="H11" s="12" t="s">
        <v>61</v>
      </c>
      <c r="I11" s="12" t="s">
        <v>58</v>
      </c>
      <c r="J11" s="12" t="s">
        <v>30</v>
      </c>
      <c r="K11" s="12" t="s">
        <v>30</v>
      </c>
      <c r="L11" s="12" t="s">
        <v>2092</v>
      </c>
      <c r="M11" s="12"/>
      <c r="N11" s="14">
        <v>14</v>
      </c>
      <c r="O11" s="12" t="s">
        <v>62</v>
      </c>
      <c r="P11" s="12" t="s">
        <v>54</v>
      </c>
      <c r="Q11" s="87" t="s">
        <v>39</v>
      </c>
      <c r="R11" s="54"/>
      <c r="S11" s="12"/>
    </row>
    <row r="12" spans="1:19">
      <c r="A12" s="14">
        <v>11</v>
      </c>
      <c r="B12" s="119">
        <f t="shared" ref="B12" si="4">HYPERLINK("#"&amp;A12&amp;"!A1",A12)</f>
        <v>11</v>
      </c>
      <c r="C12" s="12" t="s">
        <v>24</v>
      </c>
      <c r="D12" s="12" t="s">
        <v>44</v>
      </c>
      <c r="E12" s="14" t="s">
        <v>55</v>
      </c>
      <c r="F12" s="12" t="s">
        <v>2313</v>
      </c>
      <c r="G12" s="12" t="s">
        <v>63</v>
      </c>
      <c r="H12" s="12" t="s">
        <v>63</v>
      </c>
      <c r="I12" s="12" t="s">
        <v>58</v>
      </c>
      <c r="J12" s="12" t="s">
        <v>48</v>
      </c>
      <c r="K12" s="12" t="s">
        <v>48</v>
      </c>
      <c r="L12" s="12" t="s">
        <v>53</v>
      </c>
      <c r="M12" s="12"/>
      <c r="N12" s="14">
        <v>14</v>
      </c>
      <c r="O12" s="12" t="s">
        <v>2312</v>
      </c>
      <c r="P12" s="12" t="s">
        <v>54</v>
      </c>
      <c r="Q12" s="87" t="s">
        <v>39</v>
      </c>
      <c r="R12" s="54"/>
      <c r="S12" s="12"/>
    </row>
    <row r="13" spans="1:19">
      <c r="A13" s="14">
        <v>13</v>
      </c>
      <c r="B13" s="119">
        <f t="shared" ref="B13" si="5">HYPERLINK("#"&amp;A13&amp;"!A1",A13)</f>
        <v>13</v>
      </c>
      <c r="C13" s="12" t="s">
        <v>24</v>
      </c>
      <c r="D13" s="12" t="s">
        <v>44</v>
      </c>
      <c r="E13" s="14" t="s">
        <v>55</v>
      </c>
      <c r="F13" s="12" t="s">
        <v>64</v>
      </c>
      <c r="G13" s="12" t="s">
        <v>65</v>
      </c>
      <c r="H13" s="12" t="s">
        <v>65</v>
      </c>
      <c r="I13" s="12" t="s">
        <v>58</v>
      </c>
      <c r="J13" s="12" t="s">
        <v>30</v>
      </c>
      <c r="K13" s="12" t="s">
        <v>30</v>
      </c>
      <c r="L13" s="12" t="s">
        <v>53</v>
      </c>
      <c r="M13" s="12"/>
      <c r="N13" s="14">
        <v>14</v>
      </c>
      <c r="O13" s="12" t="s">
        <v>2312</v>
      </c>
      <c r="P13" s="12"/>
      <c r="Q13" s="87" t="s">
        <v>41</v>
      </c>
      <c r="R13" s="54"/>
      <c r="S13" s="12"/>
    </row>
    <row r="14" spans="1:19">
      <c r="A14" s="14">
        <v>14</v>
      </c>
      <c r="B14" s="119">
        <f t="shared" ref="B14" si="6">HYPERLINK("#"&amp;A14&amp;"!A1",A14)</f>
        <v>14</v>
      </c>
      <c r="C14" s="12" t="s">
        <v>24</v>
      </c>
      <c r="D14" s="12" t="s">
        <v>44</v>
      </c>
      <c r="E14" s="14" t="s">
        <v>55</v>
      </c>
      <c r="F14" s="12" t="s">
        <v>66</v>
      </c>
      <c r="G14" s="12" t="s">
        <v>67</v>
      </c>
      <c r="H14" s="12" t="s">
        <v>67</v>
      </c>
      <c r="I14" s="12" t="s">
        <v>58</v>
      </c>
      <c r="J14" s="12" t="s">
        <v>48</v>
      </c>
      <c r="K14" s="12" t="s">
        <v>48</v>
      </c>
      <c r="L14" s="12" t="s">
        <v>53</v>
      </c>
      <c r="M14" s="12"/>
      <c r="N14" s="14">
        <v>14</v>
      </c>
      <c r="O14" s="12" t="s">
        <v>64</v>
      </c>
      <c r="P14" s="12"/>
      <c r="Q14" s="87" t="s">
        <v>41</v>
      </c>
      <c r="R14" s="54"/>
      <c r="S14" s="12"/>
    </row>
    <row r="15" spans="1:19">
      <c r="A15" s="14">
        <v>15</v>
      </c>
      <c r="B15" s="119">
        <f t="shared" ref="B15:B16" si="7">HYPERLINK("#"&amp;A15&amp;"!A1",A15)</f>
        <v>15</v>
      </c>
      <c r="C15" s="12" t="s">
        <v>24</v>
      </c>
      <c r="D15" s="12" t="s">
        <v>44</v>
      </c>
      <c r="E15" s="14" t="s">
        <v>2581</v>
      </c>
      <c r="F15" s="12" t="s">
        <v>69</v>
      </c>
      <c r="G15" s="12" t="s">
        <v>70</v>
      </c>
      <c r="H15" s="12" t="s">
        <v>70</v>
      </c>
      <c r="I15" s="12" t="s">
        <v>58</v>
      </c>
      <c r="J15" s="12" t="s">
        <v>52</v>
      </c>
      <c r="K15" s="12" t="s">
        <v>52</v>
      </c>
      <c r="L15" s="12" t="s">
        <v>53</v>
      </c>
      <c r="M15" s="12"/>
      <c r="N15" s="14">
        <v>30</v>
      </c>
      <c r="O15" s="12" t="s">
        <v>66</v>
      </c>
      <c r="P15" s="12"/>
      <c r="Q15" s="87" t="s">
        <v>41</v>
      </c>
      <c r="R15" s="54"/>
      <c r="S15" s="12"/>
    </row>
    <row r="16" spans="1:19">
      <c r="A16" s="14">
        <v>16</v>
      </c>
      <c r="B16" s="119">
        <f t="shared" si="7"/>
        <v>16</v>
      </c>
      <c r="C16" s="12" t="s">
        <v>24</v>
      </c>
      <c r="D16" s="12" t="s">
        <v>44</v>
      </c>
      <c r="E16" s="14" t="s">
        <v>2581</v>
      </c>
      <c r="F16" s="12" t="s">
        <v>71</v>
      </c>
      <c r="G16" s="12" t="s">
        <v>72</v>
      </c>
      <c r="H16" s="12" t="s">
        <v>72</v>
      </c>
      <c r="I16" s="12" t="s">
        <v>73</v>
      </c>
      <c r="J16" s="12" t="s">
        <v>52</v>
      </c>
      <c r="K16" s="12" t="s">
        <v>52</v>
      </c>
      <c r="L16" s="12" t="s">
        <v>53</v>
      </c>
      <c r="M16" s="12"/>
      <c r="N16" s="14">
        <v>30</v>
      </c>
      <c r="O16" s="12" t="s">
        <v>69</v>
      </c>
      <c r="P16" s="12"/>
      <c r="Q16" s="87" t="s">
        <v>41</v>
      </c>
      <c r="R16" s="54"/>
      <c r="S16" s="12"/>
    </row>
    <row r="17" spans="1:19">
      <c r="A17" s="14">
        <v>17</v>
      </c>
      <c r="B17" s="120">
        <f t="shared" ref="B17:B29" si="8">HYPERLINK("#"&amp;A17&amp;"!A1",A17)</f>
        <v>17</v>
      </c>
      <c r="C17" s="12" t="s">
        <v>24</v>
      </c>
      <c r="D17" s="12" t="s">
        <v>44</v>
      </c>
      <c r="E17" s="14" t="s">
        <v>2582</v>
      </c>
      <c r="F17" s="12" t="s">
        <v>2038</v>
      </c>
      <c r="G17" s="12" t="s">
        <v>74</v>
      </c>
      <c r="H17" s="12" t="s">
        <v>74</v>
      </c>
      <c r="I17" s="12" t="s">
        <v>58</v>
      </c>
      <c r="J17" s="12" t="s">
        <v>30</v>
      </c>
      <c r="K17" s="12" t="s">
        <v>52</v>
      </c>
      <c r="L17" s="12" t="s">
        <v>53</v>
      </c>
      <c r="M17" s="12"/>
      <c r="N17" s="14">
        <v>30</v>
      </c>
      <c r="O17" s="12" t="s">
        <v>75</v>
      </c>
      <c r="P17" s="12" t="s">
        <v>54</v>
      </c>
      <c r="Q17" s="87" t="s">
        <v>39</v>
      </c>
      <c r="R17" s="54"/>
      <c r="S17" s="12"/>
    </row>
    <row r="18" spans="1:19">
      <c r="A18" s="14">
        <v>17.100000000000001</v>
      </c>
      <c r="B18" s="120">
        <f t="shared" si="8"/>
        <v>17.100000000000001</v>
      </c>
      <c r="C18" s="12" t="s">
        <v>24</v>
      </c>
      <c r="D18" s="12" t="s">
        <v>44</v>
      </c>
      <c r="E18" s="14" t="s">
        <v>2582</v>
      </c>
      <c r="F18" s="12" t="s">
        <v>2039</v>
      </c>
      <c r="G18" s="12" t="s">
        <v>1945</v>
      </c>
      <c r="H18" s="12" t="s">
        <v>1945</v>
      </c>
      <c r="I18" s="12" t="s">
        <v>1947</v>
      </c>
      <c r="J18" s="12" t="s">
        <v>52</v>
      </c>
      <c r="K18" s="12" t="s">
        <v>52</v>
      </c>
      <c r="L18" s="12" t="s">
        <v>53</v>
      </c>
      <c r="M18" s="12"/>
      <c r="N18" s="14">
        <v>30</v>
      </c>
      <c r="O18" s="12" t="s">
        <v>2038</v>
      </c>
      <c r="P18" s="12" t="s">
        <v>54</v>
      </c>
      <c r="Q18" s="87" t="s">
        <v>39</v>
      </c>
      <c r="R18" s="54"/>
      <c r="S18" s="12"/>
    </row>
    <row r="19" spans="1:19">
      <c r="A19" s="14">
        <v>17.2</v>
      </c>
      <c r="B19" s="120">
        <f t="shared" si="8"/>
        <v>17.2</v>
      </c>
      <c r="C19" s="12" t="s">
        <v>24</v>
      </c>
      <c r="D19" s="12" t="s">
        <v>44</v>
      </c>
      <c r="E19" s="14" t="s">
        <v>2582</v>
      </c>
      <c r="F19" s="12" t="s">
        <v>2040</v>
      </c>
      <c r="G19" s="12" t="s">
        <v>1946</v>
      </c>
      <c r="H19" s="12" t="s">
        <v>1946</v>
      </c>
      <c r="I19" s="12" t="s">
        <v>1948</v>
      </c>
      <c r="J19" s="12" t="s">
        <v>52</v>
      </c>
      <c r="K19" s="12" t="s">
        <v>52</v>
      </c>
      <c r="L19" s="12" t="s">
        <v>53</v>
      </c>
      <c r="M19" s="12"/>
      <c r="N19" s="14">
        <v>30</v>
      </c>
      <c r="O19" s="12" t="s">
        <v>2039</v>
      </c>
      <c r="P19" s="12" t="s">
        <v>54</v>
      </c>
      <c r="Q19" s="87" t="s">
        <v>39</v>
      </c>
      <c r="R19" s="54"/>
      <c r="S19" s="12"/>
    </row>
    <row r="20" spans="1:19">
      <c r="A20" s="14">
        <v>18</v>
      </c>
      <c r="B20" s="119">
        <f t="shared" si="8"/>
        <v>18</v>
      </c>
      <c r="C20" s="12" t="s">
        <v>24</v>
      </c>
      <c r="D20" s="12" t="s">
        <v>44</v>
      </c>
      <c r="E20" s="14" t="s">
        <v>55</v>
      </c>
      <c r="F20" s="12" t="s">
        <v>2041</v>
      </c>
      <c r="G20" s="12" t="s">
        <v>76</v>
      </c>
      <c r="H20" s="12" t="s">
        <v>76</v>
      </c>
      <c r="I20" s="12" t="s">
        <v>77</v>
      </c>
      <c r="J20" s="12" t="s">
        <v>48</v>
      </c>
      <c r="K20" s="12" t="s">
        <v>48</v>
      </c>
      <c r="L20" s="12" t="s">
        <v>53</v>
      </c>
      <c r="M20" s="12"/>
      <c r="N20" s="14">
        <v>14</v>
      </c>
      <c r="O20" s="12" t="s">
        <v>2313</v>
      </c>
      <c r="P20" s="12"/>
      <c r="Q20" s="87" t="s">
        <v>39</v>
      </c>
      <c r="R20" s="54"/>
      <c r="S20" s="12"/>
    </row>
    <row r="21" spans="1:19">
      <c r="A21" s="14">
        <v>19</v>
      </c>
      <c r="B21" s="119">
        <f t="shared" si="8"/>
        <v>19</v>
      </c>
      <c r="C21" s="12" t="s">
        <v>24</v>
      </c>
      <c r="D21" s="12" t="s">
        <v>44</v>
      </c>
      <c r="E21" s="14" t="s">
        <v>55</v>
      </c>
      <c r="F21" s="12" t="s">
        <v>1914</v>
      </c>
      <c r="G21" s="12" t="s">
        <v>79</v>
      </c>
      <c r="H21" s="12" t="s">
        <v>79</v>
      </c>
      <c r="I21" s="12" t="s">
        <v>80</v>
      </c>
      <c r="J21" s="12" t="s">
        <v>48</v>
      </c>
      <c r="K21" s="12" t="s">
        <v>48</v>
      </c>
      <c r="L21" s="12" t="s">
        <v>53</v>
      </c>
      <c r="M21" s="12"/>
      <c r="N21" s="14">
        <v>14</v>
      </c>
      <c r="O21" s="12" t="s">
        <v>2313</v>
      </c>
      <c r="P21" s="12"/>
      <c r="Q21" s="87" t="s">
        <v>41</v>
      </c>
      <c r="R21" s="54"/>
      <c r="S21" s="12"/>
    </row>
    <row r="22" spans="1:19">
      <c r="A22" s="14">
        <v>20</v>
      </c>
      <c r="B22" s="119">
        <f t="shared" si="8"/>
        <v>20</v>
      </c>
      <c r="C22" s="12" t="s">
        <v>24</v>
      </c>
      <c r="D22" s="12" t="s">
        <v>44</v>
      </c>
      <c r="E22" s="14" t="s">
        <v>55</v>
      </c>
      <c r="F22" s="12" t="s">
        <v>1915</v>
      </c>
      <c r="G22" s="12" t="s">
        <v>82</v>
      </c>
      <c r="H22" s="12" t="s">
        <v>82</v>
      </c>
      <c r="I22" s="12" t="s">
        <v>83</v>
      </c>
      <c r="J22" s="12" t="s">
        <v>48</v>
      </c>
      <c r="K22" s="12" t="s">
        <v>48</v>
      </c>
      <c r="L22" s="12" t="s">
        <v>53</v>
      </c>
      <c r="M22" s="12"/>
      <c r="N22" s="14">
        <v>14</v>
      </c>
      <c r="O22" s="12" t="s">
        <v>2313</v>
      </c>
      <c r="P22" s="12" t="s">
        <v>54</v>
      </c>
      <c r="Q22" s="87" t="s">
        <v>41</v>
      </c>
      <c r="R22" s="54"/>
      <c r="S22" s="12"/>
    </row>
    <row r="23" spans="1:19">
      <c r="A23" s="14">
        <v>21</v>
      </c>
      <c r="B23" s="119">
        <f t="shared" si="8"/>
        <v>21</v>
      </c>
      <c r="C23" s="12" t="s">
        <v>24</v>
      </c>
      <c r="D23" s="12" t="s">
        <v>44</v>
      </c>
      <c r="E23" s="14" t="s">
        <v>55</v>
      </c>
      <c r="F23" s="12" t="s">
        <v>2042</v>
      </c>
      <c r="G23" s="12" t="s">
        <v>84</v>
      </c>
      <c r="H23" s="12" t="s">
        <v>84</v>
      </c>
      <c r="I23" s="12" t="s">
        <v>80</v>
      </c>
      <c r="J23" s="12" t="s">
        <v>48</v>
      </c>
      <c r="K23" s="12" t="s">
        <v>48</v>
      </c>
      <c r="L23" s="12" t="s">
        <v>53</v>
      </c>
      <c r="M23" s="12"/>
      <c r="N23" s="14">
        <v>14</v>
      </c>
      <c r="O23" s="12" t="s">
        <v>78</v>
      </c>
      <c r="P23" s="12" t="s">
        <v>85</v>
      </c>
      <c r="Q23" s="87" t="s">
        <v>39</v>
      </c>
      <c r="R23" s="54"/>
      <c r="S23" s="12"/>
    </row>
    <row r="24" spans="1:19">
      <c r="A24" s="14">
        <v>22</v>
      </c>
      <c r="B24" s="119">
        <f t="shared" si="8"/>
        <v>22</v>
      </c>
      <c r="C24" s="12" t="s">
        <v>24</v>
      </c>
      <c r="D24" s="12" t="s">
        <v>44</v>
      </c>
      <c r="E24" s="14" t="s">
        <v>55</v>
      </c>
      <c r="F24" s="12" t="s">
        <v>2091</v>
      </c>
      <c r="G24" s="12" t="s">
        <v>87</v>
      </c>
      <c r="H24" s="12" t="s">
        <v>87</v>
      </c>
      <c r="I24" s="12" t="s">
        <v>88</v>
      </c>
      <c r="J24" s="12" t="s">
        <v>48</v>
      </c>
      <c r="K24" s="12" t="s">
        <v>48</v>
      </c>
      <c r="L24" s="12" t="s">
        <v>53</v>
      </c>
      <c r="M24" s="12"/>
      <c r="N24" s="14">
        <v>14</v>
      </c>
      <c r="O24" s="12" t="s">
        <v>78</v>
      </c>
      <c r="P24" s="12"/>
      <c r="Q24" s="87" t="s">
        <v>41</v>
      </c>
      <c r="R24" s="54"/>
      <c r="S24" s="12"/>
    </row>
    <row r="25" spans="1:19">
      <c r="A25" s="14">
        <v>23</v>
      </c>
      <c r="B25" s="119">
        <f t="shared" si="8"/>
        <v>23</v>
      </c>
      <c r="C25" s="12" t="s">
        <v>24</v>
      </c>
      <c r="D25" s="12" t="s">
        <v>44</v>
      </c>
      <c r="E25" s="14" t="s">
        <v>55</v>
      </c>
      <c r="F25" s="12" t="s">
        <v>2043</v>
      </c>
      <c r="G25" s="12" t="s">
        <v>89</v>
      </c>
      <c r="H25" s="12" t="s">
        <v>87</v>
      </c>
      <c r="I25" s="12" t="s">
        <v>90</v>
      </c>
      <c r="J25" s="12" t="s">
        <v>48</v>
      </c>
      <c r="K25" s="12" t="s">
        <v>48</v>
      </c>
      <c r="L25" s="12" t="s">
        <v>53</v>
      </c>
      <c r="M25" s="12"/>
      <c r="N25" s="14">
        <v>14</v>
      </c>
      <c r="O25" s="12" t="s">
        <v>2288</v>
      </c>
      <c r="P25" s="12"/>
      <c r="Q25" s="87" t="s">
        <v>39</v>
      </c>
      <c r="R25" s="54"/>
      <c r="S25" s="12"/>
    </row>
    <row r="26" spans="1:19">
      <c r="A26" s="14">
        <v>24</v>
      </c>
      <c r="B26" s="120">
        <f t="shared" si="8"/>
        <v>24</v>
      </c>
      <c r="C26" s="12" t="s">
        <v>24</v>
      </c>
      <c r="D26" s="12" t="s">
        <v>44</v>
      </c>
      <c r="E26" s="14" t="s">
        <v>55</v>
      </c>
      <c r="F26" s="12" t="s">
        <v>2457</v>
      </c>
      <c r="G26" s="12" t="s">
        <v>91</v>
      </c>
      <c r="H26" s="12" t="s">
        <v>91</v>
      </c>
      <c r="I26" s="12" t="s">
        <v>90</v>
      </c>
      <c r="J26" s="12" t="s">
        <v>48</v>
      </c>
      <c r="K26" s="12" t="s">
        <v>48</v>
      </c>
      <c r="L26" s="12" t="s">
        <v>53</v>
      </c>
      <c r="M26" s="12"/>
      <c r="N26" s="14">
        <v>14</v>
      </c>
      <c r="O26" s="12" t="s">
        <v>2043</v>
      </c>
      <c r="P26" s="12" t="s">
        <v>92</v>
      </c>
      <c r="Q26" s="87" t="s">
        <v>2315</v>
      </c>
      <c r="R26" s="54" t="s">
        <v>2320</v>
      </c>
      <c r="S26" s="12"/>
    </row>
    <row r="27" spans="1:19">
      <c r="A27" s="14">
        <v>25</v>
      </c>
      <c r="B27" s="119">
        <f t="shared" si="8"/>
        <v>25</v>
      </c>
      <c r="C27" s="12" t="s">
        <v>24</v>
      </c>
      <c r="D27" s="12" t="s">
        <v>44</v>
      </c>
      <c r="E27" s="14" t="s">
        <v>55</v>
      </c>
      <c r="F27" s="12" t="s">
        <v>2044</v>
      </c>
      <c r="G27" s="12" t="s">
        <v>93</v>
      </c>
      <c r="H27" s="12" t="s">
        <v>93</v>
      </c>
      <c r="I27" s="12" t="s">
        <v>94</v>
      </c>
      <c r="J27" s="12" t="s">
        <v>48</v>
      </c>
      <c r="K27" s="12" t="s">
        <v>48</v>
      </c>
      <c r="L27" s="12" t="s">
        <v>53</v>
      </c>
      <c r="M27" s="12"/>
      <c r="N27" s="14">
        <v>14</v>
      </c>
      <c r="O27" s="12" t="s">
        <v>2288</v>
      </c>
      <c r="P27" s="12" t="s">
        <v>54</v>
      </c>
      <c r="Q27" s="87" t="s">
        <v>39</v>
      </c>
      <c r="R27" s="54" t="s">
        <v>95</v>
      </c>
      <c r="S27" s="12"/>
    </row>
    <row r="28" spans="1:19">
      <c r="A28" s="14">
        <v>26</v>
      </c>
      <c r="B28" s="120">
        <f t="shared" si="8"/>
        <v>26</v>
      </c>
      <c r="C28" s="12" t="s">
        <v>24</v>
      </c>
      <c r="D28" s="12" t="s">
        <v>44</v>
      </c>
      <c r="E28" s="14" t="s">
        <v>55</v>
      </c>
      <c r="F28" s="12" t="s">
        <v>2045</v>
      </c>
      <c r="G28" s="12" t="s">
        <v>96</v>
      </c>
      <c r="H28" s="12" t="s">
        <v>96</v>
      </c>
      <c r="I28" s="12" t="s">
        <v>77</v>
      </c>
      <c r="J28" s="12" t="s">
        <v>52</v>
      </c>
      <c r="K28" s="12" t="s">
        <v>52</v>
      </c>
      <c r="L28" s="12" t="s">
        <v>53</v>
      </c>
      <c r="M28" s="12"/>
      <c r="N28" s="14">
        <v>30</v>
      </c>
      <c r="O28" s="12" t="s">
        <v>2288</v>
      </c>
      <c r="P28" s="12" t="s">
        <v>54</v>
      </c>
      <c r="Q28" s="87" t="s">
        <v>39</v>
      </c>
      <c r="R28" s="54"/>
      <c r="S28" s="12"/>
    </row>
    <row r="29" spans="1:19">
      <c r="A29" s="14">
        <v>27</v>
      </c>
      <c r="B29" s="120">
        <f t="shared" si="8"/>
        <v>27</v>
      </c>
      <c r="C29" s="12" t="s">
        <v>24</v>
      </c>
      <c r="D29" s="12" t="s">
        <v>44</v>
      </c>
      <c r="E29" s="14" t="s">
        <v>55</v>
      </c>
      <c r="F29" s="12" t="s">
        <v>2316</v>
      </c>
      <c r="G29" s="12" t="s">
        <v>97</v>
      </c>
      <c r="H29" s="12" t="s">
        <v>97</v>
      </c>
      <c r="I29" s="12" t="s">
        <v>90</v>
      </c>
      <c r="J29" s="12" t="s">
        <v>52</v>
      </c>
      <c r="K29" s="12" t="s">
        <v>52</v>
      </c>
      <c r="L29" s="12" t="s">
        <v>53</v>
      </c>
      <c r="M29" s="12"/>
      <c r="N29" s="14">
        <v>30</v>
      </c>
      <c r="O29" s="12" t="s">
        <v>2317</v>
      </c>
      <c r="P29" s="12" t="s">
        <v>98</v>
      </c>
      <c r="Q29" s="87" t="s">
        <v>39</v>
      </c>
      <c r="R29" s="54"/>
      <c r="S29" s="12"/>
    </row>
    <row r="30" spans="1:19">
      <c r="A30" s="14">
        <v>28</v>
      </c>
      <c r="B30" s="119">
        <f t="shared" ref="B30" si="9">HYPERLINK("#"&amp;A30&amp;"!A1",A30)</f>
        <v>28</v>
      </c>
      <c r="C30" s="12" t="s">
        <v>24</v>
      </c>
      <c r="D30" s="12" t="s">
        <v>44</v>
      </c>
      <c r="E30" s="14" t="s">
        <v>55</v>
      </c>
      <c r="F30" s="12" t="s">
        <v>2455</v>
      </c>
      <c r="G30" s="12" t="s">
        <v>2546</v>
      </c>
      <c r="H30" s="12" t="s">
        <v>2546</v>
      </c>
      <c r="I30" s="12" t="s">
        <v>90</v>
      </c>
      <c r="J30" s="12" t="s">
        <v>52</v>
      </c>
      <c r="K30" s="12" t="s">
        <v>52</v>
      </c>
      <c r="L30" s="12" t="s">
        <v>53</v>
      </c>
      <c r="M30" s="12"/>
      <c r="N30" s="14">
        <v>30</v>
      </c>
      <c r="O30" s="12" t="s">
        <v>2316</v>
      </c>
      <c r="P30" s="12" t="s">
        <v>99</v>
      </c>
      <c r="Q30" s="87" t="s">
        <v>39</v>
      </c>
      <c r="R30" s="54" t="s">
        <v>2320</v>
      </c>
      <c r="S30" s="12"/>
    </row>
    <row r="31" spans="1:19">
      <c r="A31" s="14">
        <v>29</v>
      </c>
      <c r="B31" s="119">
        <f t="shared" ref="B31:B40" si="10">HYPERLINK("#"&amp;A31&amp;"!A1",A31)</f>
        <v>29</v>
      </c>
      <c r="C31" s="12" t="s">
        <v>24</v>
      </c>
      <c r="D31" s="12" t="s">
        <v>44</v>
      </c>
      <c r="E31" s="14" t="s">
        <v>55</v>
      </c>
      <c r="F31" s="12" t="s">
        <v>2318</v>
      </c>
      <c r="G31" s="12" t="s">
        <v>100</v>
      </c>
      <c r="H31" s="12" t="s">
        <v>100</v>
      </c>
      <c r="I31" s="12" t="s">
        <v>90</v>
      </c>
      <c r="J31" s="12" t="s">
        <v>52</v>
      </c>
      <c r="K31" s="12" t="s">
        <v>52</v>
      </c>
      <c r="L31" s="12" t="s">
        <v>53</v>
      </c>
      <c r="M31" s="12"/>
      <c r="N31" s="14">
        <v>30</v>
      </c>
      <c r="O31" s="12" t="s">
        <v>2319</v>
      </c>
      <c r="P31" s="12" t="s">
        <v>99</v>
      </c>
      <c r="Q31" s="87" t="s">
        <v>39</v>
      </c>
      <c r="R31" s="54" t="s">
        <v>2320</v>
      </c>
      <c r="S31" s="12"/>
    </row>
    <row r="32" spans="1:19">
      <c r="A32" s="14">
        <v>30</v>
      </c>
      <c r="B32" s="119">
        <f t="shared" si="10"/>
        <v>30</v>
      </c>
      <c r="C32" s="12" t="s">
        <v>24</v>
      </c>
      <c r="D32" s="12" t="s">
        <v>44</v>
      </c>
      <c r="E32" s="14" t="s">
        <v>55</v>
      </c>
      <c r="F32" s="12" t="s">
        <v>2046</v>
      </c>
      <c r="G32" s="12" t="s">
        <v>101</v>
      </c>
      <c r="H32" s="12" t="s">
        <v>101</v>
      </c>
      <c r="I32" s="12" t="s">
        <v>94</v>
      </c>
      <c r="J32" s="12" t="s">
        <v>52</v>
      </c>
      <c r="K32" s="12" t="s">
        <v>52</v>
      </c>
      <c r="L32" s="12" t="s">
        <v>53</v>
      </c>
      <c r="M32" s="12"/>
      <c r="N32" s="14">
        <v>30</v>
      </c>
      <c r="O32" s="12" t="s">
        <v>2317</v>
      </c>
      <c r="P32" s="12" t="s">
        <v>99</v>
      </c>
      <c r="Q32" s="87" t="s">
        <v>39</v>
      </c>
      <c r="R32" s="54"/>
      <c r="S32" s="12"/>
    </row>
    <row r="33" spans="1:19">
      <c r="A33" s="14">
        <v>31</v>
      </c>
      <c r="B33" s="119">
        <f t="shared" si="10"/>
        <v>31</v>
      </c>
      <c r="C33" s="12" t="s">
        <v>24</v>
      </c>
      <c r="D33" s="12" t="s">
        <v>44</v>
      </c>
      <c r="E33" s="14" t="s">
        <v>55</v>
      </c>
      <c r="F33" s="12" t="s">
        <v>2456</v>
      </c>
      <c r="G33" s="12" t="s">
        <v>2548</v>
      </c>
      <c r="H33" s="12" t="s">
        <v>2548</v>
      </c>
      <c r="I33" s="12" t="s">
        <v>94</v>
      </c>
      <c r="J33" s="12" t="s">
        <v>52</v>
      </c>
      <c r="K33" s="12" t="s">
        <v>52</v>
      </c>
      <c r="L33" s="12" t="s">
        <v>53</v>
      </c>
      <c r="M33" s="12"/>
      <c r="N33" s="14">
        <v>30</v>
      </c>
      <c r="O33" s="12" t="s">
        <v>2046</v>
      </c>
      <c r="P33" s="12" t="s">
        <v>99</v>
      </c>
      <c r="Q33" s="87" t="s">
        <v>39</v>
      </c>
      <c r="R33" s="54" t="s">
        <v>2320</v>
      </c>
      <c r="S33" s="12"/>
    </row>
    <row r="34" spans="1:19">
      <c r="A34" s="14">
        <v>32</v>
      </c>
      <c r="B34" s="119">
        <f t="shared" si="10"/>
        <v>32</v>
      </c>
      <c r="C34" s="12" t="s">
        <v>24</v>
      </c>
      <c r="D34" s="12" t="s">
        <v>44</v>
      </c>
      <c r="E34" s="14" t="s">
        <v>55</v>
      </c>
      <c r="F34" s="84" t="s">
        <v>2541</v>
      </c>
      <c r="G34" s="12" t="s">
        <v>2551</v>
      </c>
      <c r="H34" s="12" t="s">
        <v>2551</v>
      </c>
      <c r="I34" s="12" t="s">
        <v>94</v>
      </c>
      <c r="J34" s="12" t="s">
        <v>52</v>
      </c>
      <c r="K34" s="12" t="s">
        <v>52</v>
      </c>
      <c r="L34" s="12" t="s">
        <v>53</v>
      </c>
      <c r="M34" s="12"/>
      <c r="N34" s="14">
        <v>30</v>
      </c>
      <c r="O34" s="12" t="s">
        <v>2046</v>
      </c>
      <c r="P34" s="12" t="s">
        <v>102</v>
      </c>
      <c r="Q34" s="87" t="s">
        <v>39</v>
      </c>
      <c r="R34" s="54"/>
      <c r="S34" s="12"/>
    </row>
    <row r="35" spans="1:19">
      <c r="A35" s="14">
        <v>33</v>
      </c>
      <c r="B35" s="119">
        <f t="shared" si="10"/>
        <v>33</v>
      </c>
      <c r="C35" s="12" t="s">
        <v>24</v>
      </c>
      <c r="D35" s="12" t="s">
        <v>44</v>
      </c>
      <c r="E35" s="14" t="s">
        <v>55</v>
      </c>
      <c r="F35" s="12" t="s">
        <v>2553</v>
      </c>
      <c r="G35" s="12" t="s">
        <v>2555</v>
      </c>
      <c r="H35" s="12" t="s">
        <v>2555</v>
      </c>
      <c r="I35" s="12" t="s">
        <v>77</v>
      </c>
      <c r="J35" s="12" t="s">
        <v>52</v>
      </c>
      <c r="K35" s="12" t="s">
        <v>52</v>
      </c>
      <c r="L35" s="12" t="s">
        <v>53</v>
      </c>
      <c r="M35" s="12"/>
      <c r="N35" s="14">
        <v>30</v>
      </c>
      <c r="O35" s="12" t="s">
        <v>2317</v>
      </c>
      <c r="P35" s="12" t="s">
        <v>85</v>
      </c>
      <c r="Q35" s="87" t="s">
        <v>39</v>
      </c>
      <c r="R35" s="54" t="s">
        <v>2320</v>
      </c>
      <c r="S35" s="12"/>
    </row>
    <row r="36" spans="1:19">
      <c r="A36" s="14">
        <v>34</v>
      </c>
      <c r="B36" s="119">
        <f t="shared" si="10"/>
        <v>34</v>
      </c>
      <c r="C36" s="12" t="s">
        <v>24</v>
      </c>
      <c r="D36" s="12" t="s">
        <v>44</v>
      </c>
      <c r="E36" s="14" t="s">
        <v>55</v>
      </c>
      <c r="F36" s="12" t="s">
        <v>2463</v>
      </c>
      <c r="G36" s="12" t="s">
        <v>2464</v>
      </c>
      <c r="H36" s="12" t="s">
        <v>2464</v>
      </c>
      <c r="I36" s="12" t="s">
        <v>77</v>
      </c>
      <c r="J36" s="12" t="s">
        <v>52</v>
      </c>
      <c r="K36" s="12" t="s">
        <v>52</v>
      </c>
      <c r="L36" s="12" t="s">
        <v>53</v>
      </c>
      <c r="M36" s="12"/>
      <c r="N36" s="14">
        <v>30</v>
      </c>
      <c r="O36" s="12" t="s">
        <v>2317</v>
      </c>
      <c r="P36" s="12" t="s">
        <v>2534</v>
      </c>
      <c r="Q36" s="87" t="s">
        <v>39</v>
      </c>
      <c r="R36" s="54"/>
      <c r="S36" s="12"/>
    </row>
    <row r="37" spans="1:19">
      <c r="A37" s="14">
        <v>35</v>
      </c>
      <c r="B37" s="120">
        <f t="shared" si="10"/>
        <v>35</v>
      </c>
      <c r="C37" s="12" t="s">
        <v>24</v>
      </c>
      <c r="D37" s="12" t="s">
        <v>44</v>
      </c>
      <c r="E37" s="14" t="s">
        <v>55</v>
      </c>
      <c r="F37" s="12" t="s">
        <v>2047</v>
      </c>
      <c r="G37" s="12" t="s">
        <v>103</v>
      </c>
      <c r="H37" s="12" t="s">
        <v>103</v>
      </c>
      <c r="I37" s="12" t="s">
        <v>80</v>
      </c>
      <c r="J37" s="12" t="s">
        <v>52</v>
      </c>
      <c r="K37" s="12" t="s">
        <v>52</v>
      </c>
      <c r="L37" s="12" t="s">
        <v>53</v>
      </c>
      <c r="M37" s="12"/>
      <c r="N37" s="14">
        <v>30</v>
      </c>
      <c r="O37" s="12" t="s">
        <v>2322</v>
      </c>
      <c r="P37" s="12"/>
      <c r="Q37" s="87" t="s">
        <v>1936</v>
      </c>
      <c r="R37" s="54"/>
      <c r="S37" s="12"/>
    </row>
    <row r="38" spans="1:19">
      <c r="A38" s="14">
        <v>36</v>
      </c>
      <c r="B38" s="119">
        <f t="shared" si="10"/>
        <v>36</v>
      </c>
      <c r="C38" s="12" t="s">
        <v>24</v>
      </c>
      <c r="D38" s="12" t="s">
        <v>44</v>
      </c>
      <c r="E38" s="14" t="s">
        <v>55</v>
      </c>
      <c r="F38" s="12" t="s">
        <v>2048</v>
      </c>
      <c r="G38" s="12" t="s">
        <v>104</v>
      </c>
      <c r="H38" s="12" t="s">
        <v>104</v>
      </c>
      <c r="I38" s="12" t="s">
        <v>88</v>
      </c>
      <c r="J38" s="12" t="s">
        <v>52</v>
      </c>
      <c r="K38" s="12" t="s">
        <v>52</v>
      </c>
      <c r="L38" s="12" t="s">
        <v>53</v>
      </c>
      <c r="M38" s="12"/>
      <c r="N38" s="14">
        <v>30</v>
      </c>
      <c r="O38" s="12" t="s">
        <v>2321</v>
      </c>
      <c r="P38" s="12"/>
      <c r="Q38" s="87" t="s">
        <v>1936</v>
      </c>
      <c r="R38" s="54"/>
      <c r="S38" s="12"/>
    </row>
    <row r="39" spans="1:19">
      <c r="A39" s="14">
        <v>37</v>
      </c>
      <c r="B39" s="119">
        <f t="shared" si="10"/>
        <v>37</v>
      </c>
      <c r="C39" s="12" t="s">
        <v>24</v>
      </c>
      <c r="D39" s="12" t="s">
        <v>44</v>
      </c>
      <c r="E39" s="14" t="s">
        <v>55</v>
      </c>
      <c r="F39" s="12" t="s">
        <v>2049</v>
      </c>
      <c r="G39" s="12" t="s">
        <v>105</v>
      </c>
      <c r="H39" s="12" t="s">
        <v>105</v>
      </c>
      <c r="I39" s="12" t="s">
        <v>83</v>
      </c>
      <c r="J39" s="12" t="s">
        <v>52</v>
      </c>
      <c r="K39" s="12" t="s">
        <v>52</v>
      </c>
      <c r="L39" s="12" t="s">
        <v>53</v>
      </c>
      <c r="M39" s="12"/>
      <c r="N39" s="14">
        <v>30</v>
      </c>
      <c r="O39" s="12" t="s">
        <v>81</v>
      </c>
      <c r="P39" s="12" t="s">
        <v>54</v>
      </c>
      <c r="Q39" s="87" t="s">
        <v>1936</v>
      </c>
      <c r="R39" s="54" t="s">
        <v>95</v>
      </c>
      <c r="S39" s="12"/>
    </row>
    <row r="40" spans="1:19">
      <c r="A40" s="14">
        <v>38</v>
      </c>
      <c r="B40" s="119">
        <f t="shared" si="10"/>
        <v>38</v>
      </c>
      <c r="C40" s="12" t="s">
        <v>24</v>
      </c>
      <c r="D40" s="12" t="s">
        <v>44</v>
      </c>
      <c r="E40" s="14" t="s">
        <v>2583</v>
      </c>
      <c r="F40" s="12" t="s">
        <v>2465</v>
      </c>
      <c r="G40" s="12" t="s">
        <v>2467</v>
      </c>
      <c r="H40" s="12" t="s">
        <v>2467</v>
      </c>
      <c r="I40" s="12" t="s">
        <v>2468</v>
      </c>
      <c r="J40" s="12" t="s">
        <v>2469</v>
      </c>
      <c r="K40" s="12" t="s">
        <v>2469</v>
      </c>
      <c r="L40" s="12" t="s">
        <v>53</v>
      </c>
      <c r="M40" s="12"/>
      <c r="N40" s="14">
        <v>14</v>
      </c>
      <c r="O40" s="12" t="s">
        <v>2471</v>
      </c>
      <c r="P40" s="12" t="s">
        <v>54</v>
      </c>
      <c r="Q40" s="87" t="s">
        <v>1936</v>
      </c>
      <c r="R40" s="54"/>
      <c r="S40" s="12"/>
    </row>
  </sheetData>
  <autoFilter ref="A1:S40" xr:uid="{00000000-0001-0000-0100-000000000000}"/>
  <phoneticPr fontId="19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5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5.6"/>
  <cols>
    <col min="1" max="1" width="1.33203125" style="104" customWidth="1"/>
    <col min="2" max="2" width="19.88671875" style="104" customWidth="1"/>
    <col min="3" max="3" width="30.6640625" style="104" bestFit="1" customWidth="1"/>
    <col min="4" max="4" width="30.44140625" style="104" customWidth="1"/>
    <col min="5" max="5" width="12.5546875" style="104" customWidth="1"/>
    <col min="6" max="10" width="15.33203125" style="104" customWidth="1"/>
    <col min="11" max="13" width="12.88671875" style="104" customWidth="1"/>
    <col min="14" max="16384" width="9" style="105"/>
  </cols>
  <sheetData>
    <row r="1" spans="1:13" ht="17.399999999999999">
      <c r="B1" s="106" t="str">
        <f>HYPERLINK("#导航!a2","返回")</f>
        <v>返回</v>
      </c>
    </row>
    <row r="2" spans="1:13"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</row>
    <row r="3" spans="1:13" ht="17.399999999999999">
      <c r="B3" s="155" t="s">
        <v>106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</row>
    <row r="4" spans="1:13" s="101" customFormat="1">
      <c r="A4" s="108"/>
      <c r="B4" s="109" t="s">
        <v>9</v>
      </c>
      <c r="C4" s="109" t="s">
        <v>107</v>
      </c>
      <c r="D4" s="109" t="s">
        <v>108</v>
      </c>
      <c r="E4" s="109" t="s">
        <v>109</v>
      </c>
      <c r="F4" s="109" t="s">
        <v>110</v>
      </c>
      <c r="G4" s="109" t="s">
        <v>12</v>
      </c>
      <c r="H4" s="109" t="s">
        <v>111</v>
      </c>
      <c r="I4" s="109"/>
      <c r="J4" s="109"/>
      <c r="K4" s="109"/>
      <c r="L4" s="109"/>
      <c r="M4" s="109"/>
    </row>
    <row r="5" spans="1:13" s="101" customFormat="1" ht="15">
      <c r="A5" s="108"/>
      <c r="B5" s="11" t="s">
        <v>26</v>
      </c>
      <c r="C5" s="12" t="s">
        <v>27</v>
      </c>
      <c r="D5" s="15" t="s">
        <v>28</v>
      </c>
      <c r="E5" s="14" t="s">
        <v>112</v>
      </c>
      <c r="F5" s="15"/>
      <c r="G5" s="15"/>
      <c r="H5" s="15"/>
      <c r="I5" s="15"/>
      <c r="J5" s="15"/>
      <c r="K5" s="15"/>
      <c r="L5" s="15"/>
      <c r="M5" s="15"/>
    </row>
    <row r="6" spans="1:13"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</row>
    <row r="7" spans="1:13" ht="17.399999999999999">
      <c r="B7" s="155" t="s">
        <v>113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</row>
    <row r="8" spans="1:13" s="101" customFormat="1">
      <c r="A8" s="108"/>
      <c r="B8" s="110" t="s">
        <v>114</v>
      </c>
      <c r="C8" s="110" t="s">
        <v>115</v>
      </c>
      <c r="D8" s="110" t="s">
        <v>116</v>
      </c>
      <c r="E8" s="110" t="s">
        <v>117</v>
      </c>
      <c r="F8" s="110" t="s">
        <v>118</v>
      </c>
      <c r="G8" s="110" t="s">
        <v>22</v>
      </c>
      <c r="H8" s="110" t="s">
        <v>119</v>
      </c>
      <c r="I8" s="110"/>
      <c r="J8" s="110"/>
      <c r="K8" s="110"/>
      <c r="L8" s="110"/>
      <c r="M8" s="110"/>
    </row>
    <row r="9" spans="1:13" s="3" customFormat="1" ht="13.2">
      <c r="A9" s="5"/>
      <c r="B9" s="14"/>
      <c r="C9" s="12"/>
      <c r="D9" s="12"/>
      <c r="E9" s="14"/>
      <c r="F9" s="14"/>
      <c r="G9" s="14"/>
      <c r="H9" s="14"/>
      <c r="I9" s="14"/>
      <c r="J9" s="14"/>
      <c r="K9" s="14"/>
      <c r="L9" s="14"/>
      <c r="M9" s="14"/>
    </row>
    <row r="10" spans="1:13" s="101" customFormat="1" ht="15">
      <c r="A10" s="108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</row>
    <row r="11" spans="1:13">
      <c r="B11" s="104" t="s">
        <v>120</v>
      </c>
    </row>
    <row r="12" spans="1:13" s="101" customFormat="1" ht="17.399999999999999">
      <c r="A12" s="108"/>
      <c r="B12" s="155" t="s">
        <v>120</v>
      </c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</row>
    <row r="13" spans="1:13" s="102" customFormat="1" ht="13.2">
      <c r="A13" s="48"/>
      <c r="B13" s="9" t="s">
        <v>121</v>
      </c>
      <c r="C13" s="9" t="s">
        <v>122</v>
      </c>
      <c r="D13" s="9" t="s">
        <v>123</v>
      </c>
      <c r="E13" s="9" t="s">
        <v>124</v>
      </c>
      <c r="F13" s="9" t="s">
        <v>124</v>
      </c>
      <c r="G13" s="9" t="s">
        <v>125</v>
      </c>
      <c r="H13" s="9" t="s">
        <v>126</v>
      </c>
      <c r="I13" s="9" t="s">
        <v>127</v>
      </c>
      <c r="J13" s="9" t="s">
        <v>22</v>
      </c>
      <c r="K13" s="9" t="s">
        <v>128</v>
      </c>
      <c r="L13" s="9" t="s">
        <v>129</v>
      </c>
      <c r="M13" s="9" t="s">
        <v>130</v>
      </c>
    </row>
    <row r="14" spans="1:13" s="2" customFormat="1" ht="13.2">
      <c r="B14" s="49" t="s">
        <v>131</v>
      </c>
      <c r="C14" s="49" t="s">
        <v>132</v>
      </c>
      <c r="D14" s="12" t="s">
        <v>133</v>
      </c>
      <c r="E14" s="32"/>
      <c r="F14" s="111"/>
      <c r="G14" s="111"/>
      <c r="H14" s="111"/>
      <c r="I14" s="111"/>
      <c r="J14" s="111"/>
      <c r="K14" s="34" t="s">
        <v>29</v>
      </c>
      <c r="L14" s="35" t="s">
        <v>134</v>
      </c>
      <c r="M14" s="35" t="s">
        <v>134</v>
      </c>
    </row>
    <row r="15" spans="1:13" s="103" customFormat="1" ht="15">
      <c r="A15" s="112"/>
      <c r="B15" s="49" t="s">
        <v>135</v>
      </c>
      <c r="C15" s="49" t="s">
        <v>136</v>
      </c>
      <c r="D15" s="12" t="s">
        <v>137</v>
      </c>
      <c r="E15" s="113"/>
      <c r="F15" s="111"/>
      <c r="G15" s="111"/>
      <c r="H15" s="111"/>
      <c r="I15" s="111"/>
      <c r="J15" s="111"/>
      <c r="K15" s="34" t="s">
        <v>29</v>
      </c>
      <c r="L15" s="35" t="s">
        <v>134</v>
      </c>
      <c r="M15" s="35" t="s">
        <v>134</v>
      </c>
    </row>
    <row r="16" spans="1:13" s="103" customFormat="1" ht="15">
      <c r="A16" s="112"/>
      <c r="B16" s="49" t="s">
        <v>138</v>
      </c>
      <c r="C16" s="49" t="s">
        <v>139</v>
      </c>
      <c r="D16" s="12" t="s">
        <v>140</v>
      </c>
      <c r="E16" s="113"/>
      <c r="F16" s="111"/>
      <c r="G16" s="111"/>
      <c r="H16" s="111"/>
      <c r="I16" s="111"/>
      <c r="J16" s="111"/>
      <c r="K16" s="34" t="s">
        <v>29</v>
      </c>
      <c r="L16" s="35" t="s">
        <v>134</v>
      </c>
      <c r="M16" s="35" t="s">
        <v>134</v>
      </c>
    </row>
    <row r="17" spans="1:14" s="103" customFormat="1" ht="15">
      <c r="A17" s="112"/>
      <c r="B17" s="49" t="s">
        <v>141</v>
      </c>
      <c r="C17" s="49" t="s">
        <v>142</v>
      </c>
      <c r="D17" s="12" t="s">
        <v>143</v>
      </c>
      <c r="E17" s="113"/>
      <c r="F17" s="111"/>
      <c r="G17" s="111"/>
      <c r="H17" s="111"/>
      <c r="I17" s="111"/>
      <c r="J17" s="111"/>
      <c r="K17" s="34" t="s">
        <v>29</v>
      </c>
      <c r="L17" s="35" t="s">
        <v>134</v>
      </c>
      <c r="M17" s="35" t="s">
        <v>134</v>
      </c>
    </row>
    <row r="18" spans="1:14" s="103" customFormat="1" ht="15">
      <c r="A18" s="112"/>
      <c r="B18" s="49" t="s">
        <v>144</v>
      </c>
      <c r="C18" s="49" t="s">
        <v>142</v>
      </c>
      <c r="D18" s="12" t="s">
        <v>145</v>
      </c>
      <c r="E18" s="113"/>
      <c r="F18" s="111"/>
      <c r="G18" s="111"/>
      <c r="H18" s="111"/>
      <c r="I18" s="111"/>
      <c r="J18" s="111"/>
      <c r="K18" s="34" t="s">
        <v>29</v>
      </c>
      <c r="L18" s="35" t="s">
        <v>134</v>
      </c>
      <c r="M18" s="35" t="s">
        <v>134</v>
      </c>
    </row>
    <row r="19" spans="1:14" s="2" customFormat="1" ht="15">
      <c r="B19" s="49" t="s">
        <v>146</v>
      </c>
      <c r="C19" s="49" t="s">
        <v>142</v>
      </c>
      <c r="D19" s="12" t="s">
        <v>147</v>
      </c>
      <c r="E19" s="30"/>
      <c r="F19" s="111"/>
      <c r="G19" s="111"/>
      <c r="H19" s="111"/>
      <c r="I19" s="111"/>
      <c r="J19" s="111"/>
      <c r="K19" s="34" t="s">
        <v>29</v>
      </c>
      <c r="L19" s="35" t="s">
        <v>134</v>
      </c>
      <c r="M19" s="35" t="s">
        <v>134</v>
      </c>
      <c r="N19" s="103"/>
    </row>
    <row r="20" spans="1:14" s="2" customFormat="1" ht="15">
      <c r="B20" s="49" t="s">
        <v>148</v>
      </c>
      <c r="C20" s="49" t="s">
        <v>142</v>
      </c>
      <c r="D20" s="12" t="s">
        <v>149</v>
      </c>
      <c r="E20" s="30"/>
      <c r="F20" s="111"/>
      <c r="G20" s="111"/>
      <c r="H20" s="111"/>
      <c r="I20" s="111"/>
      <c r="J20" s="111"/>
      <c r="K20" s="34" t="s">
        <v>29</v>
      </c>
      <c r="L20" s="35" t="s">
        <v>134</v>
      </c>
      <c r="M20" s="35" t="s">
        <v>134</v>
      </c>
      <c r="N20" s="103"/>
    </row>
    <row r="21" spans="1:14" s="2" customFormat="1" ht="15">
      <c r="A21" s="29"/>
      <c r="B21" s="49" t="s">
        <v>150</v>
      </c>
      <c r="C21" s="49" t="s">
        <v>142</v>
      </c>
      <c r="D21" s="12" t="s">
        <v>151</v>
      </c>
      <c r="E21" s="49"/>
      <c r="F21" s="111"/>
      <c r="G21" s="111"/>
      <c r="H21" s="111"/>
      <c r="I21" s="111"/>
      <c r="J21" s="111"/>
      <c r="K21" s="34" t="s">
        <v>29</v>
      </c>
      <c r="L21" s="35" t="s">
        <v>134</v>
      </c>
      <c r="M21" s="35" t="s">
        <v>134</v>
      </c>
      <c r="N21" s="103"/>
    </row>
    <row r="22" spans="1:14" s="2" customFormat="1" ht="15">
      <c r="A22" s="29"/>
      <c r="B22" s="49" t="s">
        <v>152</v>
      </c>
      <c r="C22" s="49" t="s">
        <v>142</v>
      </c>
      <c r="D22" s="12" t="s">
        <v>153</v>
      </c>
      <c r="E22" s="49"/>
      <c r="F22" s="111"/>
      <c r="G22" s="111"/>
      <c r="H22" s="111"/>
      <c r="I22" s="111"/>
      <c r="J22" s="111"/>
      <c r="K22" s="34" t="s">
        <v>29</v>
      </c>
      <c r="L22" s="35" t="s">
        <v>134</v>
      </c>
      <c r="M22" s="35" t="s">
        <v>134</v>
      </c>
      <c r="N22" s="103"/>
    </row>
    <row r="23" spans="1:14" s="2" customFormat="1" ht="15">
      <c r="A23" s="29"/>
      <c r="B23" s="49" t="s">
        <v>154</v>
      </c>
      <c r="C23" s="49" t="s">
        <v>142</v>
      </c>
      <c r="D23" s="12" t="s">
        <v>155</v>
      </c>
      <c r="E23" s="49"/>
      <c r="F23" s="111"/>
      <c r="G23" s="111"/>
      <c r="H23" s="111"/>
      <c r="I23" s="111"/>
      <c r="J23" s="111"/>
      <c r="K23" s="34" t="s">
        <v>29</v>
      </c>
      <c r="L23" s="35" t="s">
        <v>134</v>
      </c>
      <c r="M23" s="35" t="s">
        <v>134</v>
      </c>
      <c r="N23" s="103"/>
    </row>
    <row r="24" spans="1:14" s="2" customFormat="1" ht="15">
      <c r="A24" s="29"/>
      <c r="B24" s="49" t="s">
        <v>156</v>
      </c>
      <c r="C24" s="49" t="s">
        <v>142</v>
      </c>
      <c r="D24" s="12" t="s">
        <v>157</v>
      </c>
      <c r="E24" s="49"/>
      <c r="F24" s="111"/>
      <c r="G24" s="111"/>
      <c r="H24" s="111"/>
      <c r="I24" s="111"/>
      <c r="J24" s="111"/>
      <c r="K24" s="34" t="s">
        <v>29</v>
      </c>
      <c r="L24" s="35" t="s">
        <v>134</v>
      </c>
      <c r="M24" s="35" t="s">
        <v>134</v>
      </c>
      <c r="N24" s="103"/>
    </row>
    <row r="25" spans="1:14" s="2" customFormat="1" ht="15">
      <c r="A25" s="29"/>
      <c r="B25" s="49" t="s">
        <v>158</v>
      </c>
      <c r="C25" s="49" t="s">
        <v>159</v>
      </c>
      <c r="D25" s="12" t="s">
        <v>160</v>
      </c>
      <c r="E25" s="49"/>
      <c r="F25" s="111"/>
      <c r="G25" s="111"/>
      <c r="H25" s="111"/>
      <c r="I25" s="111"/>
      <c r="J25" s="111"/>
      <c r="K25" s="34" t="s">
        <v>29</v>
      </c>
      <c r="L25" s="35" t="s">
        <v>134</v>
      </c>
      <c r="M25" s="35" t="s">
        <v>134</v>
      </c>
      <c r="N25" s="103"/>
    </row>
    <row r="26" spans="1:14" s="2" customFormat="1" ht="15">
      <c r="A26" s="29"/>
      <c r="B26" s="49" t="s">
        <v>161</v>
      </c>
      <c r="C26" s="49" t="s">
        <v>142</v>
      </c>
      <c r="D26" s="12" t="s">
        <v>162</v>
      </c>
      <c r="E26" s="49"/>
      <c r="F26" s="111"/>
      <c r="G26" s="111"/>
      <c r="H26" s="111"/>
      <c r="I26" s="111"/>
      <c r="J26" s="111"/>
      <c r="K26" s="34" t="s">
        <v>29</v>
      </c>
      <c r="L26" s="35" t="s">
        <v>134</v>
      </c>
      <c r="M26" s="35" t="s">
        <v>134</v>
      </c>
      <c r="N26" s="103"/>
    </row>
    <row r="27" spans="1:14" s="2" customFormat="1" ht="15">
      <c r="A27" s="29"/>
      <c r="B27" s="49" t="s">
        <v>163</v>
      </c>
      <c r="C27" s="49" t="s">
        <v>142</v>
      </c>
      <c r="D27" s="12" t="s">
        <v>164</v>
      </c>
      <c r="E27" s="49"/>
      <c r="F27" s="111"/>
      <c r="G27" s="111"/>
      <c r="H27" s="111"/>
      <c r="I27" s="111"/>
      <c r="J27" s="111"/>
      <c r="K27" s="34" t="s">
        <v>29</v>
      </c>
      <c r="L27" s="35" t="s">
        <v>134</v>
      </c>
      <c r="M27" s="35" t="s">
        <v>134</v>
      </c>
      <c r="N27" s="103"/>
    </row>
    <row r="28" spans="1:14" s="103" customFormat="1" ht="15">
      <c r="A28" s="112"/>
      <c r="B28" s="49" t="s">
        <v>165</v>
      </c>
      <c r="C28" s="49" t="s">
        <v>142</v>
      </c>
      <c r="D28" s="12" t="s">
        <v>166</v>
      </c>
      <c r="E28" s="49"/>
      <c r="F28" s="111"/>
      <c r="G28" s="111"/>
      <c r="H28" s="111"/>
      <c r="I28" s="111"/>
      <c r="J28" s="111"/>
      <c r="K28" s="34" t="s">
        <v>29</v>
      </c>
      <c r="L28" s="35" t="s">
        <v>134</v>
      </c>
      <c r="M28" s="35" t="s">
        <v>134</v>
      </c>
    </row>
    <row r="29" spans="1:14" s="3" customFormat="1" ht="15">
      <c r="B29" s="49" t="s">
        <v>167</v>
      </c>
      <c r="C29" s="55" t="s">
        <v>142</v>
      </c>
      <c r="D29" s="12" t="s">
        <v>168</v>
      </c>
      <c r="E29" s="30"/>
      <c r="F29" s="111"/>
      <c r="G29" s="111"/>
      <c r="H29" s="111"/>
      <c r="I29" s="111"/>
      <c r="J29" s="111"/>
      <c r="K29" s="34" t="s">
        <v>29</v>
      </c>
      <c r="L29" s="35" t="s">
        <v>134</v>
      </c>
      <c r="M29" s="35" t="s">
        <v>134</v>
      </c>
      <c r="N29" s="103"/>
    </row>
    <row r="30" spans="1:14" s="3" customFormat="1" ht="15">
      <c r="B30" s="49" t="s">
        <v>169</v>
      </c>
      <c r="C30" s="55" t="s">
        <v>142</v>
      </c>
      <c r="D30" s="12" t="s">
        <v>170</v>
      </c>
      <c r="E30" s="30"/>
      <c r="F30" s="111"/>
      <c r="G30" s="111"/>
      <c r="H30" s="111"/>
      <c r="I30" s="111"/>
      <c r="J30" s="111"/>
      <c r="K30" s="34" t="s">
        <v>29</v>
      </c>
      <c r="L30" s="35" t="s">
        <v>134</v>
      </c>
      <c r="M30" s="35" t="s">
        <v>134</v>
      </c>
      <c r="N30" s="103"/>
    </row>
    <row r="31" spans="1:14" s="3" customFormat="1" ht="15">
      <c r="B31" s="49" t="s">
        <v>171</v>
      </c>
      <c r="C31" s="55" t="s">
        <v>142</v>
      </c>
      <c r="D31" s="12" t="s">
        <v>172</v>
      </c>
      <c r="E31" s="30"/>
      <c r="F31" s="111"/>
      <c r="G31" s="111"/>
      <c r="H31" s="111"/>
      <c r="I31" s="111"/>
      <c r="J31" s="111"/>
      <c r="K31" s="34" t="s">
        <v>29</v>
      </c>
      <c r="L31" s="35" t="s">
        <v>134</v>
      </c>
      <c r="M31" s="35" t="s">
        <v>134</v>
      </c>
      <c r="N31" s="103"/>
    </row>
    <row r="32" spans="1:14" s="3" customFormat="1" ht="15">
      <c r="B32" s="49" t="s">
        <v>173</v>
      </c>
      <c r="C32" s="55" t="s">
        <v>159</v>
      </c>
      <c r="D32" s="12" t="s">
        <v>174</v>
      </c>
      <c r="E32" s="30"/>
      <c r="F32" s="111"/>
      <c r="G32" s="111"/>
      <c r="H32" s="111"/>
      <c r="I32" s="111"/>
      <c r="J32" s="111"/>
      <c r="K32" s="34" t="s">
        <v>29</v>
      </c>
      <c r="L32" s="35" t="s">
        <v>134</v>
      </c>
      <c r="M32" s="35" t="s">
        <v>134</v>
      </c>
      <c r="N32" s="103"/>
    </row>
    <row r="33" spans="1:14" s="3" customFormat="1" ht="15">
      <c r="B33" s="49" t="s">
        <v>175</v>
      </c>
      <c r="C33" s="55" t="s">
        <v>142</v>
      </c>
      <c r="D33" s="12" t="s">
        <v>176</v>
      </c>
      <c r="E33" s="30"/>
      <c r="F33" s="111"/>
      <c r="G33" s="111"/>
      <c r="H33" s="111"/>
      <c r="I33" s="111"/>
      <c r="J33" s="111"/>
      <c r="K33" s="34" t="s">
        <v>29</v>
      </c>
      <c r="L33" s="35" t="s">
        <v>134</v>
      </c>
      <c r="M33" s="35" t="s">
        <v>134</v>
      </c>
      <c r="N33" s="103"/>
    </row>
    <row r="34" spans="1:14" s="3" customFormat="1" ht="15">
      <c r="B34" s="49" t="s">
        <v>177</v>
      </c>
      <c r="C34" s="55" t="s">
        <v>142</v>
      </c>
      <c r="D34" s="12" t="s">
        <v>178</v>
      </c>
      <c r="E34" s="30"/>
      <c r="F34" s="111"/>
      <c r="G34" s="111"/>
      <c r="H34" s="111"/>
      <c r="I34" s="111"/>
      <c r="J34" s="111"/>
      <c r="K34" s="34" t="s">
        <v>29</v>
      </c>
      <c r="L34" s="35" t="s">
        <v>134</v>
      </c>
      <c r="M34" s="35" t="s">
        <v>134</v>
      </c>
      <c r="N34" s="103"/>
    </row>
    <row r="35" spans="1:14" s="3" customFormat="1" ht="15">
      <c r="B35" s="49" t="s">
        <v>179</v>
      </c>
      <c r="C35" s="55" t="s">
        <v>142</v>
      </c>
      <c r="D35" s="12" t="s">
        <v>180</v>
      </c>
      <c r="E35" s="30"/>
      <c r="F35" s="111"/>
      <c r="G35" s="111"/>
      <c r="H35" s="111"/>
      <c r="I35" s="111"/>
      <c r="J35" s="111"/>
      <c r="K35" s="34" t="s">
        <v>29</v>
      </c>
      <c r="L35" s="35" t="s">
        <v>134</v>
      </c>
      <c r="M35" s="35" t="s">
        <v>134</v>
      </c>
      <c r="N35" s="103"/>
    </row>
    <row r="36" spans="1:14" s="3" customFormat="1" ht="15">
      <c r="B36" s="49" t="s">
        <v>181</v>
      </c>
      <c r="C36" s="55" t="s">
        <v>142</v>
      </c>
      <c r="D36" s="12" t="s">
        <v>182</v>
      </c>
      <c r="E36" s="30"/>
      <c r="F36" s="111"/>
      <c r="G36" s="111"/>
      <c r="H36" s="111"/>
      <c r="I36" s="111"/>
      <c r="J36" s="111"/>
      <c r="K36" s="34" t="s">
        <v>29</v>
      </c>
      <c r="L36" s="35" t="s">
        <v>134</v>
      </c>
      <c r="M36" s="35" t="s">
        <v>134</v>
      </c>
      <c r="N36" s="103"/>
    </row>
    <row r="37" spans="1:14" s="3" customFormat="1" ht="15">
      <c r="B37" s="49" t="s">
        <v>183</v>
      </c>
      <c r="C37" s="55" t="s">
        <v>136</v>
      </c>
      <c r="D37" s="12" t="s">
        <v>184</v>
      </c>
      <c r="E37" s="30"/>
      <c r="F37" s="111"/>
      <c r="G37" s="111"/>
      <c r="H37" s="111"/>
      <c r="I37" s="111"/>
      <c r="J37" s="111"/>
      <c r="K37" s="34" t="s">
        <v>29</v>
      </c>
      <c r="L37" s="35" t="s">
        <v>134</v>
      </c>
      <c r="M37" s="35" t="s">
        <v>134</v>
      </c>
      <c r="N37" s="103"/>
    </row>
    <row r="38" spans="1:14" s="3" customFormat="1" ht="15">
      <c r="B38" s="49" t="s">
        <v>185</v>
      </c>
      <c r="C38" s="55" t="s">
        <v>139</v>
      </c>
      <c r="D38" s="12" t="s">
        <v>186</v>
      </c>
      <c r="E38" s="30"/>
      <c r="F38" s="111"/>
      <c r="G38" s="111"/>
      <c r="H38" s="111"/>
      <c r="I38" s="111"/>
      <c r="J38" s="111"/>
      <c r="K38" s="34" t="s">
        <v>29</v>
      </c>
      <c r="L38" s="35" t="s">
        <v>134</v>
      </c>
      <c r="M38" s="35" t="s">
        <v>134</v>
      </c>
      <c r="N38" s="103"/>
    </row>
    <row r="39" spans="1:14" s="103" customFormat="1" ht="15">
      <c r="A39" s="112"/>
      <c r="B39" s="49" t="s">
        <v>187</v>
      </c>
      <c r="C39" s="49" t="s">
        <v>139</v>
      </c>
      <c r="D39" s="12" t="s">
        <v>188</v>
      </c>
      <c r="E39" s="113"/>
      <c r="F39" s="114"/>
      <c r="G39" s="114"/>
      <c r="H39" s="114"/>
      <c r="I39" s="114"/>
      <c r="J39" s="111"/>
      <c r="K39" s="34" t="s">
        <v>29</v>
      </c>
      <c r="L39" s="35" t="s">
        <v>134</v>
      </c>
      <c r="M39" s="35" t="s">
        <v>134</v>
      </c>
    </row>
    <row r="40" spans="1:14" s="103" customFormat="1" ht="15">
      <c r="A40" s="112"/>
      <c r="B40" s="49" t="s">
        <v>189</v>
      </c>
      <c r="C40" s="49" t="s">
        <v>139</v>
      </c>
      <c r="D40" s="12" t="s">
        <v>190</v>
      </c>
      <c r="E40" s="113"/>
      <c r="F40" s="114"/>
      <c r="G40" s="114"/>
      <c r="H40" s="114"/>
      <c r="I40" s="114"/>
      <c r="J40" s="111"/>
      <c r="K40" s="34" t="s">
        <v>29</v>
      </c>
      <c r="L40" s="35" t="s">
        <v>134</v>
      </c>
      <c r="M40" s="35" t="s">
        <v>134</v>
      </c>
    </row>
    <row r="41" spans="1:14" s="103" customFormat="1" ht="15">
      <c r="A41" s="112"/>
      <c r="B41" s="49" t="s">
        <v>191</v>
      </c>
      <c r="C41" s="49" t="s">
        <v>159</v>
      </c>
      <c r="D41" s="12" t="s">
        <v>192</v>
      </c>
      <c r="E41" s="113"/>
      <c r="F41" s="114"/>
      <c r="G41" s="114"/>
      <c r="H41" s="114"/>
      <c r="I41" s="114"/>
      <c r="J41" s="111"/>
      <c r="K41" s="34" t="s">
        <v>29</v>
      </c>
      <c r="L41" s="35" t="s">
        <v>134</v>
      </c>
      <c r="M41" s="35" t="s">
        <v>134</v>
      </c>
    </row>
    <row r="42" spans="1:14" s="103" customFormat="1" ht="15">
      <c r="A42" s="112"/>
      <c r="B42" s="49" t="s">
        <v>193</v>
      </c>
      <c r="C42" s="49" t="s">
        <v>194</v>
      </c>
      <c r="D42" s="12" t="s">
        <v>195</v>
      </c>
      <c r="E42" s="113"/>
      <c r="F42" s="114"/>
      <c r="G42" s="114"/>
      <c r="H42" s="114"/>
      <c r="I42" s="114"/>
      <c r="J42" s="111"/>
      <c r="K42" s="34" t="s">
        <v>29</v>
      </c>
      <c r="L42" s="35" t="s">
        <v>134</v>
      </c>
      <c r="M42" s="35" t="s">
        <v>134</v>
      </c>
    </row>
    <row r="43" spans="1:14" s="103" customFormat="1" ht="15">
      <c r="A43" s="112"/>
      <c r="B43" s="49" t="s">
        <v>196</v>
      </c>
      <c r="C43" s="49" t="s">
        <v>142</v>
      </c>
      <c r="D43" s="12" t="s">
        <v>197</v>
      </c>
      <c r="E43" s="113"/>
      <c r="F43" s="114"/>
      <c r="G43" s="114"/>
      <c r="H43" s="114"/>
      <c r="I43" s="114"/>
      <c r="J43" s="111"/>
      <c r="K43" s="34" t="s">
        <v>29</v>
      </c>
      <c r="L43" s="35" t="s">
        <v>134</v>
      </c>
      <c r="M43" s="35" t="s">
        <v>134</v>
      </c>
    </row>
    <row r="44" spans="1:14" s="103" customFormat="1" ht="15">
      <c r="A44" s="112"/>
      <c r="B44" s="49" t="s">
        <v>198</v>
      </c>
      <c r="C44" s="49" t="s">
        <v>142</v>
      </c>
      <c r="D44" s="12" t="s">
        <v>199</v>
      </c>
      <c r="E44" s="113"/>
      <c r="F44" s="114"/>
      <c r="G44" s="114"/>
      <c r="H44" s="114"/>
      <c r="I44" s="114"/>
      <c r="J44" s="111"/>
      <c r="K44" s="34" t="s">
        <v>29</v>
      </c>
      <c r="L44" s="35" t="s">
        <v>134</v>
      </c>
      <c r="M44" s="35" t="s">
        <v>134</v>
      </c>
    </row>
    <row r="45" spans="1:14" s="103" customFormat="1" ht="15">
      <c r="A45" s="112"/>
      <c r="B45" s="49" t="s">
        <v>200</v>
      </c>
      <c r="C45" s="49" t="s">
        <v>142</v>
      </c>
      <c r="D45" s="12" t="s">
        <v>201</v>
      </c>
      <c r="E45" s="113"/>
      <c r="F45" s="114"/>
      <c r="G45" s="114"/>
      <c r="H45" s="114"/>
      <c r="I45" s="114"/>
      <c r="J45" s="111"/>
      <c r="K45" s="34" t="s">
        <v>29</v>
      </c>
      <c r="L45" s="35" t="s">
        <v>134</v>
      </c>
      <c r="M45" s="35" t="s">
        <v>134</v>
      </c>
    </row>
    <row r="46" spans="1:14" s="103" customFormat="1" ht="15">
      <c r="A46" s="112"/>
      <c r="B46" s="49" t="s">
        <v>202</v>
      </c>
      <c r="C46" s="49" t="s">
        <v>203</v>
      </c>
      <c r="D46" s="12" t="s">
        <v>204</v>
      </c>
      <c r="E46" s="113"/>
      <c r="F46" s="114"/>
      <c r="G46" s="114"/>
      <c r="H46" s="114"/>
      <c r="I46" s="114"/>
      <c r="J46" s="111"/>
      <c r="K46" s="34" t="s">
        <v>29</v>
      </c>
      <c r="L46" s="35" t="s">
        <v>134</v>
      </c>
      <c r="M46" s="35" t="s">
        <v>134</v>
      </c>
    </row>
    <row r="47" spans="1:14" s="103" customFormat="1" ht="15">
      <c r="A47" s="112"/>
      <c r="B47" s="49" t="s">
        <v>205</v>
      </c>
      <c r="C47" s="49" t="s">
        <v>203</v>
      </c>
      <c r="D47" s="12" t="s">
        <v>206</v>
      </c>
      <c r="E47" s="113"/>
      <c r="F47" s="114"/>
      <c r="G47" s="114"/>
      <c r="H47" s="114"/>
      <c r="I47" s="114"/>
      <c r="J47" s="111"/>
      <c r="K47" s="34" t="s">
        <v>29</v>
      </c>
      <c r="L47" s="35" t="s">
        <v>134</v>
      </c>
      <c r="M47" s="35" t="s">
        <v>134</v>
      </c>
    </row>
    <row r="48" spans="1:14" s="103" customFormat="1" ht="15">
      <c r="A48" s="112"/>
      <c r="B48" s="49" t="s">
        <v>207</v>
      </c>
      <c r="C48" s="49" t="s">
        <v>142</v>
      </c>
      <c r="D48" s="12" t="s">
        <v>208</v>
      </c>
      <c r="E48" s="113"/>
      <c r="F48" s="114"/>
      <c r="G48" s="114"/>
      <c r="H48" s="114"/>
      <c r="I48" s="114"/>
      <c r="J48" s="111"/>
      <c r="K48" s="34" t="s">
        <v>29</v>
      </c>
      <c r="L48" s="35" t="s">
        <v>134</v>
      </c>
      <c r="M48" s="35" t="s">
        <v>134</v>
      </c>
    </row>
    <row r="49" spans="1:15" s="103" customFormat="1" ht="15">
      <c r="A49" s="112"/>
      <c r="B49" s="49" t="s">
        <v>209</v>
      </c>
      <c r="C49" s="49" t="s">
        <v>142</v>
      </c>
      <c r="D49" s="12" t="s">
        <v>210</v>
      </c>
      <c r="E49" s="113"/>
      <c r="F49" s="114"/>
      <c r="G49" s="114"/>
      <c r="H49" s="114"/>
      <c r="I49" s="114"/>
      <c r="J49" s="111"/>
      <c r="K49" s="34" t="s">
        <v>29</v>
      </c>
      <c r="L49" s="35" t="s">
        <v>134</v>
      </c>
      <c r="M49" s="35" t="s">
        <v>134</v>
      </c>
    </row>
    <row r="50" spans="1:15" s="103" customFormat="1" ht="15">
      <c r="A50" s="112"/>
      <c r="B50" s="49" t="s">
        <v>211</v>
      </c>
      <c r="C50" s="49" t="s">
        <v>203</v>
      </c>
      <c r="D50" s="12" t="s">
        <v>212</v>
      </c>
      <c r="E50" s="113"/>
      <c r="F50" s="114"/>
      <c r="G50" s="114"/>
      <c r="H50" s="114"/>
      <c r="I50" s="114"/>
      <c r="J50" s="111"/>
      <c r="K50" s="34" t="s">
        <v>29</v>
      </c>
      <c r="L50" s="35" t="s">
        <v>134</v>
      </c>
      <c r="M50" s="35" t="s">
        <v>134</v>
      </c>
    </row>
    <row r="51" spans="1:15" s="103" customFormat="1" ht="15">
      <c r="A51" s="112"/>
      <c r="B51" s="49" t="s">
        <v>213</v>
      </c>
      <c r="C51" s="49" t="s">
        <v>139</v>
      </c>
      <c r="D51" s="12" t="s">
        <v>214</v>
      </c>
      <c r="E51" s="113"/>
      <c r="F51" s="114"/>
      <c r="G51" s="114"/>
      <c r="H51" s="114"/>
      <c r="I51" s="114"/>
      <c r="J51" s="111"/>
      <c r="K51" s="34" t="s">
        <v>29</v>
      </c>
      <c r="L51" s="35" t="s">
        <v>134</v>
      </c>
      <c r="M51" s="35" t="s">
        <v>134</v>
      </c>
    </row>
    <row r="52" spans="1:15" s="103" customFormat="1" ht="15">
      <c r="A52" s="112"/>
      <c r="B52" s="49" t="s">
        <v>215</v>
      </c>
      <c r="C52" s="49" t="s">
        <v>139</v>
      </c>
      <c r="D52" s="12" t="s">
        <v>216</v>
      </c>
      <c r="E52" s="113"/>
      <c r="F52" s="114"/>
      <c r="G52" s="114"/>
      <c r="H52" s="114"/>
      <c r="I52" s="114"/>
      <c r="J52" s="111"/>
      <c r="K52" s="34" t="s">
        <v>29</v>
      </c>
      <c r="L52" s="35" t="s">
        <v>134</v>
      </c>
      <c r="M52" s="35" t="s">
        <v>134</v>
      </c>
    </row>
    <row r="53" spans="1:15" s="103" customFormat="1" ht="15">
      <c r="A53" s="112"/>
      <c r="B53" s="49" t="s">
        <v>217</v>
      </c>
      <c r="C53" s="49" t="s">
        <v>159</v>
      </c>
      <c r="D53" s="12" t="s">
        <v>218</v>
      </c>
      <c r="E53" s="113"/>
      <c r="F53" s="114"/>
      <c r="G53" s="114"/>
      <c r="H53" s="114"/>
      <c r="I53" s="114"/>
      <c r="J53" s="111"/>
      <c r="K53" s="34" t="s">
        <v>29</v>
      </c>
      <c r="L53" s="35" t="s">
        <v>134</v>
      </c>
      <c r="M53" s="35" t="s">
        <v>134</v>
      </c>
    </row>
    <row r="54" spans="1:15" s="103" customFormat="1" ht="15">
      <c r="A54" s="112"/>
      <c r="B54" s="49" t="s">
        <v>219</v>
      </c>
      <c r="C54" s="49" t="s">
        <v>132</v>
      </c>
      <c r="D54" s="12" t="s">
        <v>220</v>
      </c>
      <c r="E54" s="113"/>
      <c r="F54" s="114"/>
      <c r="G54" s="114"/>
      <c r="H54" s="114"/>
      <c r="I54" s="114"/>
      <c r="J54" s="111"/>
      <c r="K54" s="34" t="s">
        <v>29</v>
      </c>
      <c r="L54" s="35" t="s">
        <v>134</v>
      </c>
      <c r="M54" s="35" t="s">
        <v>134</v>
      </c>
    </row>
    <row r="55" spans="1:15" s="103" customFormat="1" ht="15">
      <c r="A55" s="112"/>
      <c r="B55" s="49" t="s">
        <v>221</v>
      </c>
      <c r="C55" s="49" t="s">
        <v>139</v>
      </c>
      <c r="D55" s="12" t="s">
        <v>222</v>
      </c>
      <c r="E55" s="113"/>
      <c r="F55" s="114"/>
      <c r="G55" s="114"/>
      <c r="H55" s="114"/>
      <c r="I55" s="114"/>
      <c r="J55" s="111"/>
      <c r="K55" s="34" t="s">
        <v>29</v>
      </c>
      <c r="L55" s="35" t="s">
        <v>134</v>
      </c>
      <c r="M55" s="35" t="s">
        <v>134</v>
      </c>
    </row>
    <row r="56" spans="1:15" s="103" customFormat="1" ht="15">
      <c r="A56" s="112"/>
      <c r="B56" s="49" t="s">
        <v>223</v>
      </c>
      <c r="C56" s="49" t="s">
        <v>139</v>
      </c>
      <c r="D56" s="12" t="s">
        <v>224</v>
      </c>
      <c r="E56" s="113"/>
      <c r="F56" s="114"/>
      <c r="G56" s="114"/>
      <c r="H56" s="114"/>
      <c r="I56" s="114"/>
      <c r="J56" s="111"/>
      <c r="K56" s="34" t="s">
        <v>29</v>
      </c>
      <c r="L56" s="35" t="s">
        <v>134</v>
      </c>
      <c r="M56" s="35" t="s">
        <v>134</v>
      </c>
    </row>
    <row r="57" spans="1:15" s="103" customFormat="1" ht="15">
      <c r="A57" s="112"/>
      <c r="B57" s="49" t="s">
        <v>225</v>
      </c>
      <c r="C57" s="49" t="s">
        <v>132</v>
      </c>
      <c r="D57" s="12" t="s">
        <v>226</v>
      </c>
      <c r="E57" s="113"/>
      <c r="F57" s="114"/>
      <c r="G57" s="114"/>
      <c r="H57" s="114"/>
      <c r="I57" s="114"/>
      <c r="J57" s="111"/>
      <c r="K57" s="34" t="s">
        <v>29</v>
      </c>
      <c r="L57" s="35" t="s">
        <v>134</v>
      </c>
      <c r="M57" s="35" t="s">
        <v>134</v>
      </c>
    </row>
    <row r="58" spans="1:15" s="103" customFormat="1" ht="79.2">
      <c r="A58" s="112"/>
      <c r="B58" s="49" t="s">
        <v>227</v>
      </c>
      <c r="C58" s="49" t="s">
        <v>139</v>
      </c>
      <c r="D58" s="20" t="s">
        <v>228</v>
      </c>
      <c r="E58" s="113"/>
      <c r="F58" s="114"/>
      <c r="G58" s="114"/>
      <c r="H58" s="114"/>
      <c r="I58" s="114"/>
      <c r="J58" s="111"/>
      <c r="K58" s="34" t="s">
        <v>29</v>
      </c>
      <c r="L58" s="35" t="s">
        <v>134</v>
      </c>
      <c r="M58" s="35" t="s">
        <v>134</v>
      </c>
    </row>
    <row r="59" spans="1:15" s="103" customFormat="1" ht="15">
      <c r="A59" s="112"/>
      <c r="B59" s="49" t="s">
        <v>229</v>
      </c>
      <c r="C59" s="49" t="s">
        <v>142</v>
      </c>
      <c r="D59" s="12" t="s">
        <v>230</v>
      </c>
      <c r="E59" s="113"/>
      <c r="F59" s="114"/>
      <c r="G59" s="114"/>
      <c r="H59" s="114"/>
      <c r="I59" s="114"/>
      <c r="J59" s="111"/>
      <c r="K59" s="34" t="s">
        <v>29</v>
      </c>
      <c r="L59" s="35" t="s">
        <v>134</v>
      </c>
      <c r="M59" s="35" t="s">
        <v>134</v>
      </c>
    </row>
    <row r="60" spans="1:15" s="103" customFormat="1" ht="15">
      <c r="A60" s="112"/>
      <c r="B60" s="49" t="s">
        <v>231</v>
      </c>
      <c r="C60" s="49" t="s">
        <v>142</v>
      </c>
      <c r="D60" s="12" t="s">
        <v>232</v>
      </c>
      <c r="E60" s="113"/>
      <c r="F60" s="114"/>
      <c r="G60" s="114"/>
      <c r="H60" s="114"/>
      <c r="I60" s="114"/>
      <c r="J60" s="111"/>
      <c r="K60" s="34" t="s">
        <v>29</v>
      </c>
      <c r="L60" s="35" t="s">
        <v>134</v>
      </c>
      <c r="M60" s="35" t="s">
        <v>134</v>
      </c>
    </row>
    <row r="61" spans="1:15" s="4" customFormat="1" ht="13.2">
      <c r="B61" s="50" t="s">
        <v>233</v>
      </c>
      <c r="C61" s="51" t="s">
        <v>139</v>
      </c>
      <c r="D61" s="100" t="s">
        <v>234</v>
      </c>
      <c r="E61" s="10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1:15" s="4" customFormat="1" ht="13.2">
      <c r="B62" s="50" t="s">
        <v>235</v>
      </c>
      <c r="C62" s="51" t="s">
        <v>132</v>
      </c>
      <c r="D62" s="100" t="s">
        <v>236</v>
      </c>
      <c r="E62" s="100"/>
      <c r="F62" s="50"/>
      <c r="G62" s="50"/>
      <c r="H62" s="50"/>
      <c r="I62" s="50"/>
      <c r="J62" s="50"/>
      <c r="K62" s="50"/>
      <c r="L62" s="50"/>
      <c r="M62" s="50"/>
      <c r="N62" s="50"/>
      <c r="O62" s="50"/>
    </row>
    <row r="63" spans="1:15" s="4" customFormat="1" ht="13.2">
      <c r="B63" s="50" t="s">
        <v>237</v>
      </c>
      <c r="C63" s="51" t="s">
        <v>139</v>
      </c>
      <c r="D63" s="100" t="s">
        <v>238</v>
      </c>
      <c r="E63" s="100"/>
      <c r="F63" s="50"/>
      <c r="G63" s="50"/>
      <c r="H63" s="50"/>
      <c r="I63" s="50"/>
      <c r="J63" s="50"/>
      <c r="K63" s="50"/>
      <c r="L63" s="50"/>
      <c r="M63" s="50"/>
      <c r="N63" s="50"/>
      <c r="O63" s="50"/>
    </row>
    <row r="64" spans="1:15" s="4" customFormat="1" ht="13.2">
      <c r="B64" s="50" t="s">
        <v>239</v>
      </c>
      <c r="C64" s="51" t="s">
        <v>139</v>
      </c>
      <c r="D64" s="37" t="s">
        <v>240</v>
      </c>
      <c r="E64" s="100"/>
      <c r="F64" s="50"/>
      <c r="G64" s="50"/>
      <c r="H64" s="50"/>
      <c r="I64" s="50"/>
      <c r="J64" s="50"/>
      <c r="K64" s="50"/>
      <c r="L64" s="50"/>
      <c r="M64" s="50"/>
      <c r="N64" s="50"/>
      <c r="O64" s="50"/>
    </row>
    <row r="65" spans="1:15" s="4" customFormat="1" ht="13.2">
      <c r="B65" s="50" t="s">
        <v>241</v>
      </c>
      <c r="C65" s="51" t="s">
        <v>139</v>
      </c>
      <c r="D65" s="100" t="s">
        <v>242</v>
      </c>
      <c r="E65" s="100"/>
      <c r="F65" s="50"/>
      <c r="G65" s="50"/>
      <c r="H65" s="50"/>
      <c r="I65" s="50"/>
      <c r="J65" s="50"/>
      <c r="K65" s="50"/>
      <c r="L65" s="50"/>
      <c r="M65" s="50"/>
      <c r="N65" s="50"/>
      <c r="O65" s="50"/>
    </row>
    <row r="66" spans="1:15" s="103" customFormat="1" ht="15">
      <c r="A66" s="112"/>
      <c r="B66" s="115"/>
      <c r="C66" s="115"/>
      <c r="D66" s="115"/>
      <c r="E66" s="115"/>
      <c r="F66" s="116"/>
      <c r="G66" s="116"/>
      <c r="H66" s="116"/>
      <c r="I66" s="116"/>
      <c r="J66" s="116"/>
      <c r="K66" s="116"/>
      <c r="L66" s="116"/>
      <c r="M66" s="116"/>
    </row>
    <row r="67" spans="1:15" s="103" customFormat="1" ht="15">
      <c r="A67" s="112"/>
      <c r="B67" s="115"/>
      <c r="C67" s="115"/>
      <c r="D67" s="115"/>
      <c r="E67" s="115"/>
      <c r="F67" s="116"/>
      <c r="G67" s="116"/>
      <c r="H67" s="116"/>
      <c r="I67" s="116"/>
      <c r="J67" s="116"/>
      <c r="K67" s="116"/>
      <c r="L67" s="116"/>
      <c r="M67" s="116"/>
    </row>
    <row r="68" spans="1:15" s="103" customFormat="1" ht="15">
      <c r="A68" s="112"/>
      <c r="B68" s="115"/>
      <c r="C68" s="115"/>
      <c r="D68" s="115"/>
      <c r="E68" s="115"/>
      <c r="F68" s="116"/>
      <c r="G68" s="116"/>
      <c r="H68" s="116"/>
      <c r="I68" s="116"/>
      <c r="J68" s="116"/>
      <c r="K68" s="116"/>
      <c r="L68" s="116"/>
      <c r="M68" s="116"/>
    </row>
    <row r="69" spans="1:15" s="103" customFormat="1" ht="15">
      <c r="A69" s="112"/>
      <c r="B69" s="115"/>
      <c r="C69" s="115"/>
      <c r="D69" s="115"/>
      <c r="E69" s="115"/>
      <c r="F69" s="116"/>
      <c r="G69" s="116"/>
      <c r="H69" s="116"/>
      <c r="I69" s="116"/>
      <c r="J69" s="116"/>
      <c r="K69" s="116"/>
      <c r="L69" s="116"/>
      <c r="M69" s="116"/>
    </row>
    <row r="70" spans="1:15" s="103" customFormat="1" ht="15">
      <c r="A70" s="112"/>
      <c r="B70" s="115"/>
      <c r="C70" s="115"/>
      <c r="D70" s="115"/>
      <c r="E70" s="115"/>
      <c r="F70" s="116"/>
      <c r="G70" s="116"/>
      <c r="H70" s="116"/>
      <c r="I70" s="116"/>
      <c r="J70" s="116"/>
      <c r="K70" s="116"/>
      <c r="L70" s="116"/>
      <c r="M70" s="116"/>
    </row>
    <row r="71" spans="1:15" s="103" customFormat="1" ht="15">
      <c r="A71" s="112"/>
      <c r="B71" s="115"/>
      <c r="C71" s="115"/>
      <c r="D71" s="115"/>
      <c r="E71" s="115"/>
      <c r="F71" s="116"/>
      <c r="G71" s="116"/>
      <c r="H71" s="116"/>
      <c r="I71" s="116"/>
      <c r="J71" s="116"/>
      <c r="K71" s="116"/>
      <c r="L71" s="116"/>
      <c r="M71" s="116"/>
    </row>
    <row r="72" spans="1:15" s="103" customFormat="1" ht="15">
      <c r="A72" s="112"/>
      <c r="B72" s="115"/>
      <c r="C72" s="115"/>
      <c r="D72" s="115"/>
      <c r="E72" s="115"/>
      <c r="F72" s="116"/>
      <c r="G72" s="116"/>
      <c r="H72" s="116"/>
      <c r="I72" s="116"/>
      <c r="J72" s="116"/>
      <c r="K72" s="116"/>
      <c r="L72" s="116"/>
      <c r="M72" s="116"/>
    </row>
    <row r="73" spans="1:15" s="103" customFormat="1" ht="15">
      <c r="A73" s="112"/>
      <c r="B73" s="115"/>
      <c r="C73" s="115"/>
      <c r="D73" s="115"/>
      <c r="E73" s="115"/>
      <c r="F73" s="116"/>
      <c r="G73" s="116"/>
      <c r="H73" s="116"/>
      <c r="I73" s="116"/>
      <c r="J73" s="116"/>
      <c r="K73" s="116"/>
      <c r="L73" s="116"/>
      <c r="M73" s="116"/>
    </row>
    <row r="74" spans="1:15" s="103" customFormat="1" ht="15">
      <c r="A74" s="112"/>
      <c r="B74" s="115"/>
      <c r="C74" s="115"/>
      <c r="D74" s="115"/>
      <c r="E74" s="115"/>
      <c r="F74" s="116"/>
      <c r="G74" s="116"/>
      <c r="H74" s="116"/>
      <c r="I74" s="116"/>
      <c r="J74" s="116"/>
      <c r="K74" s="116"/>
      <c r="L74" s="116"/>
      <c r="M74" s="116"/>
    </row>
    <row r="75" spans="1:15" s="103" customFormat="1" ht="15">
      <c r="A75" s="112"/>
      <c r="B75" s="115"/>
      <c r="C75" s="115"/>
      <c r="D75" s="115"/>
      <c r="E75" s="115"/>
      <c r="F75" s="116"/>
      <c r="G75" s="116"/>
      <c r="H75" s="116"/>
      <c r="I75" s="116"/>
      <c r="J75" s="116"/>
      <c r="K75" s="116"/>
      <c r="L75" s="116"/>
      <c r="M75" s="116"/>
    </row>
    <row r="76" spans="1:15" s="103" customFormat="1" ht="15">
      <c r="A76" s="112"/>
      <c r="B76" s="115"/>
      <c r="C76" s="115"/>
      <c r="D76" s="115"/>
      <c r="E76" s="115"/>
      <c r="F76" s="116"/>
      <c r="G76" s="116"/>
      <c r="H76" s="116"/>
      <c r="I76" s="116"/>
      <c r="J76" s="116"/>
      <c r="K76" s="116"/>
      <c r="L76" s="116"/>
      <c r="M76" s="116"/>
    </row>
    <row r="77" spans="1:15" s="103" customFormat="1" ht="15">
      <c r="A77" s="112"/>
      <c r="B77" s="115"/>
      <c r="C77" s="115"/>
      <c r="D77" s="115"/>
      <c r="E77" s="115"/>
      <c r="F77" s="116"/>
      <c r="G77" s="116"/>
      <c r="H77" s="116"/>
      <c r="I77" s="116"/>
      <c r="J77" s="116"/>
      <c r="K77" s="116"/>
      <c r="L77" s="116"/>
      <c r="M77" s="116"/>
    </row>
    <row r="78" spans="1:15" s="103" customFormat="1" ht="15">
      <c r="A78" s="112"/>
      <c r="B78" s="115"/>
      <c r="C78" s="115"/>
      <c r="D78" s="115"/>
      <c r="E78" s="115"/>
      <c r="F78" s="116"/>
      <c r="G78" s="116"/>
      <c r="H78" s="116"/>
      <c r="I78" s="116"/>
      <c r="J78" s="116"/>
      <c r="K78" s="116"/>
      <c r="L78" s="116"/>
      <c r="M78" s="116"/>
    </row>
    <row r="79" spans="1:15" s="103" customFormat="1" ht="15">
      <c r="A79" s="112"/>
      <c r="B79" s="115"/>
      <c r="C79" s="115"/>
      <c r="D79" s="113"/>
      <c r="E79" s="115"/>
      <c r="F79" s="116"/>
      <c r="G79" s="116"/>
      <c r="H79" s="116"/>
      <c r="I79" s="116"/>
      <c r="J79" s="116"/>
      <c r="K79" s="116"/>
      <c r="L79" s="116"/>
      <c r="M79" s="116"/>
    </row>
    <row r="80" spans="1:15" s="103" customFormat="1" ht="15">
      <c r="A80" s="112"/>
      <c r="B80" s="115"/>
      <c r="C80" s="115"/>
      <c r="D80" s="113"/>
      <c r="E80" s="115"/>
      <c r="F80" s="116"/>
      <c r="G80" s="116"/>
      <c r="H80" s="116"/>
      <c r="I80" s="116"/>
      <c r="J80" s="116"/>
      <c r="K80" s="116"/>
      <c r="L80" s="116"/>
      <c r="M80" s="116"/>
    </row>
    <row r="81" spans="1:13" s="103" customFormat="1" ht="15">
      <c r="A81" s="112"/>
      <c r="B81" s="115"/>
      <c r="C81" s="115"/>
      <c r="D81" s="113"/>
      <c r="E81" s="115"/>
      <c r="F81" s="116"/>
      <c r="G81" s="116"/>
      <c r="H81" s="116"/>
      <c r="I81" s="116"/>
      <c r="J81" s="116"/>
      <c r="K81" s="116"/>
      <c r="L81" s="116"/>
      <c r="M81" s="116"/>
    </row>
    <row r="82" spans="1:13" s="103" customFormat="1" ht="15">
      <c r="A82" s="112"/>
      <c r="B82" s="115"/>
      <c r="C82" s="115"/>
      <c r="D82" s="113"/>
      <c r="E82" s="115"/>
      <c r="F82" s="116"/>
      <c r="G82" s="116"/>
      <c r="H82" s="116"/>
      <c r="I82" s="116"/>
      <c r="J82" s="116"/>
      <c r="K82" s="116"/>
      <c r="L82" s="116"/>
      <c r="M82" s="116"/>
    </row>
    <row r="83" spans="1:13" s="103" customFormat="1" ht="15">
      <c r="A83" s="112"/>
      <c r="B83" s="115"/>
      <c r="C83" s="115"/>
      <c r="D83" s="113"/>
      <c r="E83" s="115"/>
      <c r="F83" s="116"/>
      <c r="G83" s="116"/>
      <c r="H83" s="116"/>
      <c r="I83" s="116"/>
      <c r="J83" s="116"/>
      <c r="K83" s="116"/>
      <c r="L83" s="116"/>
      <c r="M83" s="116"/>
    </row>
    <row r="84" spans="1:13" s="103" customFormat="1" ht="15">
      <c r="A84" s="112"/>
      <c r="B84" s="115"/>
      <c r="C84" s="115"/>
      <c r="D84" s="115"/>
      <c r="E84" s="115"/>
      <c r="F84" s="116"/>
      <c r="G84" s="116"/>
      <c r="H84" s="116"/>
      <c r="I84" s="116"/>
      <c r="J84" s="116"/>
      <c r="K84" s="116"/>
      <c r="L84" s="116"/>
      <c r="M84" s="116"/>
    </row>
    <row r="85" spans="1:13" s="103" customFormat="1" ht="15">
      <c r="A85" s="112"/>
      <c r="B85" s="115"/>
      <c r="C85" s="115"/>
      <c r="D85" s="115"/>
      <c r="E85" s="115"/>
      <c r="F85" s="116"/>
      <c r="G85" s="116"/>
      <c r="H85" s="116"/>
      <c r="I85" s="116"/>
      <c r="J85" s="116"/>
      <c r="K85" s="116"/>
      <c r="L85" s="116"/>
      <c r="M85" s="116"/>
    </row>
    <row r="86" spans="1:13" s="103" customFormat="1" ht="15">
      <c r="A86" s="112"/>
      <c r="B86" s="115"/>
      <c r="C86" s="115"/>
      <c r="D86" s="115"/>
      <c r="E86" s="115"/>
      <c r="F86" s="116"/>
      <c r="G86" s="116"/>
      <c r="H86" s="116"/>
      <c r="I86" s="116"/>
      <c r="J86" s="116"/>
      <c r="K86" s="116"/>
      <c r="L86" s="116"/>
      <c r="M86" s="116"/>
    </row>
    <row r="87" spans="1:13" s="103" customFormat="1" ht="15">
      <c r="A87" s="112"/>
      <c r="B87" s="115"/>
      <c r="C87" s="115"/>
      <c r="D87" s="115"/>
      <c r="E87" s="115"/>
      <c r="F87" s="116"/>
      <c r="G87" s="116"/>
      <c r="H87" s="116"/>
      <c r="I87" s="116"/>
      <c r="J87" s="116"/>
      <c r="K87" s="116"/>
      <c r="L87" s="116"/>
      <c r="M87" s="116"/>
    </row>
    <row r="88" spans="1:13" s="103" customFormat="1" ht="15">
      <c r="A88" s="112"/>
      <c r="B88" s="115"/>
      <c r="C88" s="115"/>
      <c r="D88" s="115"/>
      <c r="E88" s="115"/>
      <c r="F88" s="116"/>
      <c r="G88" s="116"/>
      <c r="H88" s="116"/>
      <c r="I88" s="116"/>
      <c r="J88" s="116"/>
      <c r="K88" s="116"/>
      <c r="L88" s="116"/>
      <c r="M88" s="116"/>
    </row>
    <row r="89" spans="1:13" s="103" customFormat="1" ht="15">
      <c r="A89" s="112"/>
      <c r="B89" s="115"/>
      <c r="C89" s="115"/>
      <c r="D89" s="115"/>
      <c r="E89" s="115"/>
      <c r="F89" s="116"/>
      <c r="G89" s="116"/>
      <c r="H89" s="116"/>
      <c r="I89" s="116"/>
      <c r="J89" s="116"/>
      <c r="K89" s="116"/>
      <c r="L89" s="116"/>
      <c r="M89" s="116"/>
    </row>
    <row r="90" spans="1:13" s="103" customFormat="1" ht="15">
      <c r="A90" s="112"/>
      <c r="B90" s="115"/>
      <c r="C90" s="115"/>
      <c r="D90" s="115"/>
      <c r="E90" s="115"/>
      <c r="F90" s="116"/>
      <c r="G90" s="116"/>
      <c r="H90" s="116"/>
      <c r="I90" s="116"/>
      <c r="J90" s="116"/>
      <c r="K90" s="116"/>
      <c r="L90" s="116"/>
      <c r="M90" s="116"/>
    </row>
    <row r="91" spans="1:13" s="103" customFormat="1" ht="15">
      <c r="A91" s="112"/>
      <c r="B91" s="115"/>
      <c r="C91" s="115"/>
      <c r="D91" s="115"/>
      <c r="E91" s="115"/>
      <c r="F91" s="116"/>
      <c r="G91" s="116"/>
      <c r="H91" s="116"/>
      <c r="I91" s="116"/>
      <c r="J91" s="116"/>
      <c r="K91" s="116"/>
      <c r="L91" s="116"/>
      <c r="M91" s="116"/>
    </row>
    <row r="92" spans="1:13" s="103" customFormat="1" ht="15">
      <c r="A92" s="112"/>
      <c r="B92" s="115"/>
      <c r="C92" s="115"/>
      <c r="D92" s="115"/>
      <c r="E92" s="115"/>
      <c r="F92" s="116"/>
      <c r="G92" s="116"/>
      <c r="H92" s="116"/>
      <c r="I92" s="116"/>
      <c r="J92" s="116"/>
      <c r="K92" s="116"/>
      <c r="L92" s="116"/>
      <c r="M92" s="116"/>
    </row>
    <row r="93" spans="1:13" s="103" customFormat="1" ht="15">
      <c r="A93" s="112"/>
      <c r="B93" s="115"/>
      <c r="C93" s="115"/>
      <c r="D93" s="115"/>
      <c r="E93" s="115"/>
      <c r="F93" s="116"/>
      <c r="G93" s="116"/>
      <c r="H93" s="116"/>
      <c r="I93" s="116"/>
      <c r="J93" s="116"/>
      <c r="K93" s="116"/>
      <c r="L93" s="116"/>
      <c r="M93" s="116"/>
    </row>
    <row r="94" spans="1:13" s="103" customFormat="1" ht="15">
      <c r="A94" s="112"/>
      <c r="B94" s="115"/>
      <c r="C94" s="115"/>
      <c r="D94" s="115"/>
      <c r="E94" s="115"/>
      <c r="F94" s="116"/>
      <c r="G94" s="116"/>
      <c r="H94" s="116"/>
      <c r="I94" s="116"/>
      <c r="J94" s="116"/>
      <c r="K94" s="116"/>
      <c r="L94" s="116"/>
      <c r="M94" s="116"/>
    </row>
    <row r="95" spans="1:13" s="103" customFormat="1" ht="15">
      <c r="A95" s="112"/>
      <c r="B95" s="115"/>
      <c r="C95" s="115"/>
      <c r="D95" s="115"/>
      <c r="E95" s="115"/>
      <c r="F95" s="116"/>
      <c r="G95" s="116"/>
      <c r="H95" s="116"/>
      <c r="I95" s="116"/>
      <c r="J95" s="116"/>
      <c r="K95" s="116"/>
      <c r="L95" s="116"/>
      <c r="M95" s="116"/>
    </row>
  </sheetData>
  <autoFilter ref="A13:M65" xr:uid="{00000000-0009-0000-0000-000002000000}"/>
  <mergeCells count="4">
    <mergeCell ref="B2:M2"/>
    <mergeCell ref="B3:M3"/>
    <mergeCell ref="B7:M7"/>
    <mergeCell ref="B12:M12"/>
  </mergeCells>
  <phoneticPr fontId="1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2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5" customWidth="1"/>
    <col min="2" max="2" width="29.21875" style="5" customWidth="1"/>
    <col min="3" max="3" width="30.6640625" style="5" bestFit="1" customWidth="1"/>
    <col min="4" max="4" width="30.44140625" style="5" customWidth="1"/>
    <col min="5" max="5" width="16.21875" style="5" customWidth="1"/>
    <col min="6" max="6" width="24.88671875" style="5" customWidth="1"/>
    <col min="7" max="7" width="34.44140625" style="5" customWidth="1"/>
    <col min="8" max="8" width="14.44140625" style="5" customWidth="1"/>
    <col min="9" max="9" width="9.21875" style="5" customWidth="1"/>
    <col min="10" max="10" width="10" style="5" customWidth="1"/>
    <col min="11" max="11" width="9.6640625" style="5" customWidth="1"/>
    <col min="12" max="12" width="10.77734375" style="3" customWidth="1"/>
    <col min="13" max="16384" width="9" style="3"/>
  </cols>
  <sheetData>
    <row r="1" spans="1:14">
      <c r="B1" s="7" t="str">
        <f>HYPERLINK("#导航!a2","返回")</f>
        <v>返回</v>
      </c>
    </row>
    <row r="2" spans="1:14">
      <c r="B2" s="156"/>
      <c r="C2" s="156"/>
      <c r="D2" s="156"/>
      <c r="E2" s="156"/>
      <c r="F2" s="156"/>
      <c r="G2" s="156"/>
      <c r="H2" s="156"/>
    </row>
    <row r="3" spans="1:14">
      <c r="B3" s="157" t="s">
        <v>106</v>
      </c>
      <c r="C3" s="157"/>
      <c r="D3" s="157"/>
      <c r="E3" s="157"/>
      <c r="F3" s="157"/>
      <c r="G3" s="157"/>
      <c r="H3" s="157"/>
    </row>
    <row r="4" spans="1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1:14">
      <c r="B5" s="11" t="s">
        <v>26</v>
      </c>
      <c r="C5" s="12" t="s">
        <v>35</v>
      </c>
      <c r="D5" s="15" t="s">
        <v>36</v>
      </c>
      <c r="E5" s="14" t="s">
        <v>112</v>
      </c>
      <c r="F5" s="15"/>
      <c r="G5" s="14"/>
      <c r="H5" s="14"/>
      <c r="N5" s="5"/>
    </row>
    <row r="6" spans="1:14">
      <c r="B6" s="8"/>
      <c r="C6" s="8"/>
      <c r="D6" s="8"/>
      <c r="E6" s="8"/>
      <c r="F6" s="8"/>
      <c r="G6" s="8"/>
      <c r="H6" s="8"/>
    </row>
    <row r="7" spans="1:14">
      <c r="B7" s="157" t="s">
        <v>113</v>
      </c>
      <c r="C7" s="157"/>
      <c r="D7" s="157"/>
      <c r="E7" s="157"/>
      <c r="F7" s="157"/>
      <c r="G7" s="157"/>
      <c r="H7" s="157"/>
    </row>
    <row r="8" spans="1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1:14">
      <c r="B9" s="14"/>
      <c r="C9" s="12" t="s">
        <v>27</v>
      </c>
      <c r="D9" s="12" t="s">
        <v>28</v>
      </c>
      <c r="E9" s="14" t="s">
        <v>243</v>
      </c>
      <c r="F9" s="14"/>
      <c r="G9" s="19"/>
      <c r="H9" s="21"/>
    </row>
    <row r="10" spans="1:14">
      <c r="B10" s="14"/>
      <c r="C10" s="12"/>
      <c r="D10" s="12"/>
      <c r="E10" s="14"/>
      <c r="F10" s="80"/>
      <c r="G10" s="19"/>
      <c r="H10" s="14"/>
    </row>
    <row r="11" spans="1:14">
      <c r="G11" s="48"/>
    </row>
    <row r="12" spans="1:14">
      <c r="B12" s="5" t="s">
        <v>120</v>
      </c>
    </row>
    <row r="13" spans="1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1:14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1:14" s="2" customFormat="1">
      <c r="B15" s="14" t="s">
        <v>131</v>
      </c>
      <c r="C15" s="14" t="s">
        <v>132</v>
      </c>
      <c r="D15" s="12" t="s">
        <v>133</v>
      </c>
      <c r="E15" s="32"/>
      <c r="F15" s="19"/>
      <c r="G15" s="19"/>
      <c r="H15" s="32"/>
      <c r="I15" s="34"/>
      <c r="J15" s="34" t="s">
        <v>29</v>
      </c>
      <c r="K15" s="35" t="s">
        <v>134</v>
      </c>
      <c r="L15" s="35" t="s">
        <v>134</v>
      </c>
    </row>
    <row r="16" spans="1:14" s="2" customFormat="1">
      <c r="A16" s="29"/>
      <c r="B16" s="14" t="s">
        <v>135</v>
      </c>
      <c r="C16" s="14" t="s">
        <v>136</v>
      </c>
      <c r="D16" s="12" t="s">
        <v>137</v>
      </c>
      <c r="E16" s="30"/>
      <c r="F16" s="19"/>
      <c r="G16" s="19"/>
      <c r="H16" s="49"/>
      <c r="I16" s="35"/>
      <c r="J16" s="34" t="s">
        <v>29</v>
      </c>
      <c r="K16" s="35" t="s">
        <v>134</v>
      </c>
      <c r="L16" s="35" t="s">
        <v>134</v>
      </c>
    </row>
    <row r="17" spans="1:12" s="2" customFormat="1">
      <c r="A17" s="29"/>
      <c r="B17" s="14" t="s">
        <v>138</v>
      </c>
      <c r="C17" s="14" t="s">
        <v>139</v>
      </c>
      <c r="D17" s="12" t="s">
        <v>140</v>
      </c>
      <c r="E17" s="30"/>
      <c r="F17" s="19"/>
      <c r="G17" s="19"/>
      <c r="H17" s="49"/>
      <c r="I17" s="35"/>
      <c r="J17" s="34" t="s">
        <v>29</v>
      </c>
      <c r="K17" s="35" t="s">
        <v>134</v>
      </c>
      <c r="L17" s="35" t="s">
        <v>134</v>
      </c>
    </row>
    <row r="18" spans="1:12" s="2" customFormat="1">
      <c r="A18" s="29"/>
      <c r="B18" s="14" t="s">
        <v>141</v>
      </c>
      <c r="C18" s="14" t="s">
        <v>132</v>
      </c>
      <c r="D18" s="12" t="s">
        <v>143</v>
      </c>
      <c r="E18" s="30"/>
      <c r="F18" s="19"/>
      <c r="G18" s="19"/>
      <c r="H18" s="49"/>
      <c r="I18" s="35"/>
      <c r="J18" s="34" t="s">
        <v>29</v>
      </c>
      <c r="K18" s="35" t="s">
        <v>134</v>
      </c>
      <c r="L18" s="35" t="s">
        <v>134</v>
      </c>
    </row>
    <row r="19" spans="1:12" s="2" customFormat="1">
      <c r="A19" s="29"/>
      <c r="B19" s="14" t="s">
        <v>144</v>
      </c>
      <c r="C19" s="14" t="s">
        <v>203</v>
      </c>
      <c r="D19" s="12" t="s">
        <v>145</v>
      </c>
      <c r="E19" s="30"/>
      <c r="F19" s="19"/>
      <c r="G19" s="19"/>
      <c r="H19" s="49"/>
      <c r="I19" s="35"/>
      <c r="J19" s="34" t="s">
        <v>29</v>
      </c>
      <c r="K19" s="35" t="s">
        <v>134</v>
      </c>
      <c r="L19" s="35" t="s">
        <v>134</v>
      </c>
    </row>
    <row r="20" spans="1:12" s="2" customFormat="1">
      <c r="A20" s="29"/>
      <c r="B20" s="14" t="s">
        <v>146</v>
      </c>
      <c r="C20" s="14" t="s">
        <v>203</v>
      </c>
      <c r="D20" s="12" t="s">
        <v>147</v>
      </c>
      <c r="E20" s="30"/>
      <c r="F20" s="19"/>
      <c r="G20" s="19"/>
      <c r="H20" s="49"/>
      <c r="I20" s="35"/>
      <c r="J20" s="34" t="s">
        <v>29</v>
      </c>
      <c r="K20" s="35" t="s">
        <v>134</v>
      </c>
      <c r="L20" s="35" t="s">
        <v>134</v>
      </c>
    </row>
    <row r="21" spans="1:12" s="2" customFormat="1">
      <c r="A21" s="29"/>
      <c r="B21" s="14" t="s">
        <v>148</v>
      </c>
      <c r="C21" s="14" t="s">
        <v>203</v>
      </c>
      <c r="D21" s="12" t="s">
        <v>149</v>
      </c>
      <c r="E21" s="30"/>
      <c r="F21" s="19"/>
      <c r="G21" s="19"/>
      <c r="H21" s="49"/>
      <c r="I21" s="35"/>
      <c r="J21" s="34" t="s">
        <v>29</v>
      </c>
      <c r="K21" s="35" t="s">
        <v>134</v>
      </c>
      <c r="L21" s="35" t="s">
        <v>134</v>
      </c>
    </row>
    <row r="22" spans="1:12" s="2" customFormat="1">
      <c r="A22" s="29"/>
      <c r="B22" s="14" t="s">
        <v>150</v>
      </c>
      <c r="C22" s="14" t="s">
        <v>203</v>
      </c>
      <c r="D22" s="12" t="s">
        <v>151</v>
      </c>
      <c r="E22" s="30"/>
      <c r="F22" s="19"/>
      <c r="G22" s="19"/>
      <c r="H22" s="49"/>
      <c r="I22" s="35"/>
      <c r="J22" s="34" t="s">
        <v>29</v>
      </c>
      <c r="K22" s="35" t="s">
        <v>134</v>
      </c>
      <c r="L22" s="35" t="s">
        <v>134</v>
      </c>
    </row>
    <row r="23" spans="1:12" s="2" customFormat="1">
      <c r="A23" s="29"/>
      <c r="B23" s="14" t="s">
        <v>152</v>
      </c>
      <c r="C23" s="14" t="s">
        <v>136</v>
      </c>
      <c r="D23" s="12" t="s">
        <v>153</v>
      </c>
      <c r="E23" s="30"/>
      <c r="F23" s="19"/>
      <c r="G23" s="19"/>
      <c r="H23" s="49"/>
      <c r="I23" s="35"/>
      <c r="J23" s="34" t="s">
        <v>29</v>
      </c>
      <c r="K23" s="35" t="s">
        <v>134</v>
      </c>
      <c r="L23" s="35" t="s">
        <v>134</v>
      </c>
    </row>
    <row r="24" spans="1:12" s="2" customFormat="1">
      <c r="A24" s="29"/>
      <c r="B24" s="14" t="s">
        <v>154</v>
      </c>
      <c r="C24" s="14" t="s">
        <v>203</v>
      </c>
      <c r="D24" s="12" t="s">
        <v>155</v>
      </c>
      <c r="E24" s="30"/>
      <c r="F24" s="19"/>
      <c r="G24" s="19"/>
      <c r="H24" s="49"/>
      <c r="I24" s="35"/>
      <c r="J24" s="34" t="s">
        <v>29</v>
      </c>
      <c r="K24" s="35" t="s">
        <v>134</v>
      </c>
      <c r="L24" s="35" t="s">
        <v>134</v>
      </c>
    </row>
    <row r="25" spans="1:12" s="2" customFormat="1">
      <c r="A25" s="29"/>
      <c r="B25" s="14" t="s">
        <v>156</v>
      </c>
      <c r="C25" s="14" t="s">
        <v>139</v>
      </c>
      <c r="D25" s="12" t="s">
        <v>157</v>
      </c>
      <c r="E25" s="30"/>
      <c r="F25" s="19"/>
      <c r="G25" s="19"/>
      <c r="H25" s="49"/>
      <c r="I25" s="35"/>
      <c r="J25" s="34" t="s">
        <v>29</v>
      </c>
      <c r="K25" s="35" t="s">
        <v>134</v>
      </c>
      <c r="L25" s="35" t="s">
        <v>134</v>
      </c>
    </row>
    <row r="26" spans="1:12" s="2" customFormat="1">
      <c r="A26" s="29"/>
      <c r="B26" s="14" t="s">
        <v>158</v>
      </c>
      <c r="C26" s="14" t="s">
        <v>159</v>
      </c>
      <c r="D26" s="12" t="s">
        <v>160</v>
      </c>
      <c r="E26" s="30"/>
      <c r="F26" s="19"/>
      <c r="G26" s="19"/>
      <c r="H26" s="49"/>
      <c r="I26" s="35"/>
      <c r="J26" s="34" t="s">
        <v>29</v>
      </c>
      <c r="K26" s="35" t="s">
        <v>134</v>
      </c>
      <c r="L26" s="35" t="s">
        <v>134</v>
      </c>
    </row>
    <row r="27" spans="1:12" s="2" customFormat="1">
      <c r="A27" s="29"/>
      <c r="B27" s="14" t="s">
        <v>161</v>
      </c>
      <c r="C27" s="14" t="s">
        <v>244</v>
      </c>
      <c r="D27" s="12" t="s">
        <v>162</v>
      </c>
      <c r="E27" s="30"/>
      <c r="F27" s="19"/>
      <c r="G27" s="19"/>
      <c r="H27" s="49"/>
      <c r="I27" s="35"/>
      <c r="J27" s="34" t="s">
        <v>29</v>
      </c>
      <c r="K27" s="35" t="s">
        <v>134</v>
      </c>
      <c r="L27" s="35" t="s">
        <v>134</v>
      </c>
    </row>
    <row r="28" spans="1:12" s="2" customFormat="1">
      <c r="A28" s="29"/>
      <c r="B28" s="14" t="s">
        <v>163</v>
      </c>
      <c r="C28" s="14" t="s">
        <v>244</v>
      </c>
      <c r="D28" s="12" t="s">
        <v>164</v>
      </c>
      <c r="E28" s="30"/>
      <c r="F28" s="19"/>
      <c r="G28" s="19"/>
      <c r="H28" s="49"/>
      <c r="I28" s="35"/>
      <c r="J28" s="34" t="s">
        <v>29</v>
      </c>
      <c r="K28" s="35" t="s">
        <v>134</v>
      </c>
      <c r="L28" s="35" t="s">
        <v>134</v>
      </c>
    </row>
    <row r="29" spans="1:12" s="2" customFormat="1">
      <c r="A29" s="29"/>
      <c r="B29" s="14" t="s">
        <v>165</v>
      </c>
      <c r="C29" s="14" t="s">
        <v>244</v>
      </c>
      <c r="D29" s="12" t="s">
        <v>166</v>
      </c>
      <c r="E29" s="30"/>
      <c r="F29" s="19"/>
      <c r="G29" s="19"/>
      <c r="H29" s="49"/>
      <c r="I29" s="35"/>
      <c r="J29" s="34" t="s">
        <v>29</v>
      </c>
      <c r="K29" s="35" t="s">
        <v>134</v>
      </c>
      <c r="L29" s="35" t="s">
        <v>134</v>
      </c>
    </row>
    <row r="30" spans="1:12" s="2" customFormat="1">
      <c r="A30" s="29"/>
      <c r="B30" s="14" t="s">
        <v>167</v>
      </c>
      <c r="C30" s="14" t="s">
        <v>244</v>
      </c>
      <c r="D30" s="12" t="s">
        <v>168</v>
      </c>
      <c r="E30" s="30"/>
      <c r="F30" s="19"/>
      <c r="G30" s="19"/>
      <c r="H30" s="49"/>
      <c r="I30" s="35"/>
      <c r="J30" s="34" t="s">
        <v>29</v>
      </c>
      <c r="K30" s="35" t="s">
        <v>134</v>
      </c>
      <c r="L30" s="35" t="s">
        <v>134</v>
      </c>
    </row>
    <row r="31" spans="1:12" s="2" customFormat="1">
      <c r="A31" s="29"/>
      <c r="B31" s="14" t="s">
        <v>169</v>
      </c>
      <c r="C31" s="14" t="s">
        <v>194</v>
      </c>
      <c r="D31" s="12" t="s">
        <v>170</v>
      </c>
      <c r="E31" s="49"/>
      <c r="F31" s="40"/>
      <c r="G31" s="40"/>
      <c r="H31" s="49"/>
      <c r="I31" s="35"/>
      <c r="J31" s="34" t="s">
        <v>29</v>
      </c>
      <c r="K31" s="35" t="s">
        <v>134</v>
      </c>
      <c r="L31" s="35" t="s">
        <v>134</v>
      </c>
    </row>
    <row r="32" spans="1:12" s="2" customFormat="1">
      <c r="A32" s="29"/>
      <c r="B32" s="14" t="s">
        <v>171</v>
      </c>
      <c r="C32" s="14" t="s">
        <v>244</v>
      </c>
      <c r="D32" s="12" t="s">
        <v>172</v>
      </c>
      <c r="E32" s="49"/>
      <c r="F32" s="40"/>
      <c r="G32" s="40"/>
      <c r="H32" s="49"/>
      <c r="I32" s="35"/>
      <c r="J32" s="34" t="s">
        <v>29</v>
      </c>
      <c r="K32" s="35" t="s">
        <v>134</v>
      </c>
      <c r="L32" s="35" t="s">
        <v>134</v>
      </c>
    </row>
    <row r="33" spans="1:12" s="2" customFormat="1">
      <c r="A33" s="29"/>
      <c r="B33" s="14" t="s">
        <v>173</v>
      </c>
      <c r="C33" s="14" t="s">
        <v>159</v>
      </c>
      <c r="D33" s="12" t="s">
        <v>174</v>
      </c>
      <c r="E33" s="49"/>
      <c r="F33" s="40"/>
      <c r="G33" s="40"/>
      <c r="H33" s="49"/>
      <c r="I33" s="35"/>
      <c r="J33" s="34" t="s">
        <v>29</v>
      </c>
      <c r="K33" s="35" t="s">
        <v>134</v>
      </c>
      <c r="L33" s="35" t="s">
        <v>134</v>
      </c>
    </row>
    <row r="34" spans="1:12" s="2" customFormat="1">
      <c r="A34" s="29"/>
      <c r="B34" s="14" t="s">
        <v>175</v>
      </c>
      <c r="C34" s="14" t="s">
        <v>244</v>
      </c>
      <c r="D34" s="12" t="s">
        <v>176</v>
      </c>
      <c r="E34" s="49"/>
      <c r="F34" s="40"/>
      <c r="G34" s="40"/>
      <c r="H34" s="49"/>
      <c r="I34" s="35"/>
      <c r="J34" s="34" t="s">
        <v>29</v>
      </c>
      <c r="K34" s="35" t="s">
        <v>134</v>
      </c>
      <c r="L34" s="35" t="s">
        <v>134</v>
      </c>
    </row>
    <row r="35" spans="1:12" s="2" customFormat="1">
      <c r="A35" s="29"/>
      <c r="B35" s="14" t="s">
        <v>177</v>
      </c>
      <c r="C35" s="14" t="s">
        <v>244</v>
      </c>
      <c r="D35" s="12" t="s">
        <v>178</v>
      </c>
      <c r="E35" s="49"/>
      <c r="F35" s="40"/>
      <c r="G35" s="40"/>
      <c r="H35" s="49"/>
      <c r="I35" s="35"/>
      <c r="J35" s="34" t="s">
        <v>29</v>
      </c>
      <c r="K35" s="35" t="s">
        <v>134</v>
      </c>
      <c r="L35" s="35" t="s">
        <v>134</v>
      </c>
    </row>
    <row r="36" spans="1:12" s="2" customFormat="1">
      <c r="A36" s="29"/>
      <c r="B36" s="14" t="s">
        <v>179</v>
      </c>
      <c r="C36" s="14" t="s">
        <v>194</v>
      </c>
      <c r="D36" s="12" t="s">
        <v>180</v>
      </c>
      <c r="E36" s="49"/>
      <c r="F36" s="40"/>
      <c r="G36" s="40"/>
      <c r="H36" s="49"/>
      <c r="I36" s="35"/>
      <c r="J36" s="34" t="s">
        <v>29</v>
      </c>
      <c r="K36" s="35" t="s">
        <v>134</v>
      </c>
      <c r="L36" s="35" t="s">
        <v>134</v>
      </c>
    </row>
    <row r="37" spans="1:12" s="2" customFormat="1">
      <c r="A37" s="29"/>
      <c r="B37" s="14" t="s">
        <v>181</v>
      </c>
      <c r="C37" s="14" t="s">
        <v>244</v>
      </c>
      <c r="D37" s="12" t="s">
        <v>182</v>
      </c>
      <c r="E37" s="49"/>
      <c r="F37" s="40"/>
      <c r="G37" s="40"/>
      <c r="H37" s="49"/>
      <c r="I37" s="35"/>
      <c r="J37" s="34" t="s">
        <v>29</v>
      </c>
      <c r="K37" s="35" t="s">
        <v>134</v>
      </c>
      <c r="L37" s="35" t="s">
        <v>134</v>
      </c>
    </row>
    <row r="38" spans="1:12" s="2" customFormat="1">
      <c r="A38" s="29"/>
      <c r="B38" s="14" t="s">
        <v>183</v>
      </c>
      <c r="C38" s="14" t="s">
        <v>136</v>
      </c>
      <c r="D38" s="12" t="s">
        <v>184</v>
      </c>
      <c r="E38" s="49"/>
      <c r="F38" s="40"/>
      <c r="G38" s="40"/>
      <c r="H38" s="49"/>
      <c r="I38" s="35"/>
      <c r="J38" s="34" t="s">
        <v>29</v>
      </c>
      <c r="K38" s="35" t="s">
        <v>134</v>
      </c>
      <c r="L38" s="35" t="s">
        <v>134</v>
      </c>
    </row>
    <row r="39" spans="1:12" s="2" customFormat="1">
      <c r="A39" s="29"/>
      <c r="B39" s="14" t="s">
        <v>185</v>
      </c>
      <c r="C39" s="14" t="s">
        <v>139</v>
      </c>
      <c r="D39" s="12" t="s">
        <v>186</v>
      </c>
      <c r="E39" s="49"/>
      <c r="F39" s="40"/>
      <c r="G39" s="40"/>
      <c r="H39" s="49"/>
      <c r="I39" s="35"/>
      <c r="J39" s="34" t="s">
        <v>29</v>
      </c>
      <c r="K39" s="35" t="s">
        <v>134</v>
      </c>
      <c r="L39" s="35" t="s">
        <v>134</v>
      </c>
    </row>
    <row r="40" spans="1:12" s="2" customFormat="1">
      <c r="A40" s="29"/>
      <c r="B40" s="14" t="s">
        <v>187</v>
      </c>
      <c r="C40" s="14" t="s">
        <v>139</v>
      </c>
      <c r="D40" s="12" t="s">
        <v>188</v>
      </c>
      <c r="E40" s="49"/>
      <c r="F40" s="40"/>
      <c r="G40" s="40"/>
      <c r="H40" s="49"/>
      <c r="I40" s="35"/>
      <c r="J40" s="34" t="s">
        <v>29</v>
      </c>
      <c r="K40" s="35" t="s">
        <v>134</v>
      </c>
      <c r="L40" s="35" t="s">
        <v>134</v>
      </c>
    </row>
    <row r="41" spans="1:12" s="2" customFormat="1">
      <c r="A41" s="29"/>
      <c r="B41" s="14" t="s">
        <v>189</v>
      </c>
      <c r="C41" s="14" t="s">
        <v>139</v>
      </c>
      <c r="D41" s="12" t="s">
        <v>190</v>
      </c>
      <c r="E41" s="49"/>
      <c r="F41" s="40"/>
      <c r="G41" s="40"/>
      <c r="H41" s="49"/>
      <c r="I41" s="35"/>
      <c r="J41" s="34" t="s">
        <v>29</v>
      </c>
      <c r="K41" s="35" t="s">
        <v>134</v>
      </c>
      <c r="L41" s="35" t="s">
        <v>134</v>
      </c>
    </row>
    <row r="42" spans="1:12" s="2" customFormat="1">
      <c r="A42" s="29"/>
      <c r="B42" s="14" t="s">
        <v>191</v>
      </c>
      <c r="C42" s="14" t="s">
        <v>159</v>
      </c>
      <c r="D42" s="12" t="s">
        <v>192</v>
      </c>
      <c r="E42" s="49"/>
      <c r="F42" s="40"/>
      <c r="G42" s="40"/>
      <c r="H42" s="49"/>
      <c r="I42" s="35"/>
      <c r="J42" s="34" t="s">
        <v>29</v>
      </c>
      <c r="K42" s="35" t="s">
        <v>134</v>
      </c>
      <c r="L42" s="35" t="s">
        <v>134</v>
      </c>
    </row>
    <row r="43" spans="1:12" s="2" customFormat="1">
      <c r="A43" s="29"/>
      <c r="B43" s="14" t="s">
        <v>193</v>
      </c>
      <c r="C43" s="14" t="s">
        <v>194</v>
      </c>
      <c r="D43" s="12" t="s">
        <v>195</v>
      </c>
      <c r="E43" s="49"/>
      <c r="F43" s="40"/>
      <c r="G43" s="40"/>
      <c r="H43" s="49"/>
      <c r="I43" s="35"/>
      <c r="J43" s="34" t="s">
        <v>29</v>
      </c>
      <c r="K43" s="35" t="s">
        <v>134</v>
      </c>
      <c r="L43" s="35" t="s">
        <v>134</v>
      </c>
    </row>
    <row r="44" spans="1:12" s="2" customFormat="1">
      <c r="A44" s="29"/>
      <c r="B44" s="14" t="s">
        <v>196</v>
      </c>
      <c r="C44" s="14" t="s">
        <v>142</v>
      </c>
      <c r="D44" s="12" t="s">
        <v>197</v>
      </c>
      <c r="E44" s="49"/>
      <c r="F44" s="40"/>
      <c r="G44" s="40"/>
      <c r="H44" s="49"/>
      <c r="I44" s="35"/>
      <c r="J44" s="34" t="s">
        <v>29</v>
      </c>
      <c r="K44" s="35" t="s">
        <v>134</v>
      </c>
      <c r="L44" s="35" t="s">
        <v>134</v>
      </c>
    </row>
    <row r="45" spans="1:12" s="2" customFormat="1">
      <c r="A45" s="29"/>
      <c r="B45" s="14" t="s">
        <v>198</v>
      </c>
      <c r="C45" s="14" t="s">
        <v>142</v>
      </c>
      <c r="D45" s="12" t="s">
        <v>199</v>
      </c>
      <c r="E45" s="49"/>
      <c r="F45" s="40"/>
      <c r="G45" s="40"/>
      <c r="H45" s="49"/>
      <c r="I45" s="35"/>
      <c r="J45" s="34" t="s">
        <v>29</v>
      </c>
      <c r="K45" s="35" t="s">
        <v>134</v>
      </c>
      <c r="L45" s="35" t="s">
        <v>134</v>
      </c>
    </row>
    <row r="46" spans="1:12" s="2" customFormat="1">
      <c r="A46" s="29"/>
      <c r="B46" s="14" t="s">
        <v>200</v>
      </c>
      <c r="C46" s="14" t="s">
        <v>142</v>
      </c>
      <c r="D46" s="12" t="s">
        <v>201</v>
      </c>
      <c r="E46" s="49"/>
      <c r="F46" s="40"/>
      <c r="G46" s="40"/>
      <c r="H46" s="49"/>
      <c r="I46" s="35"/>
      <c r="J46" s="34" t="s">
        <v>29</v>
      </c>
      <c r="K46" s="35" t="s">
        <v>134</v>
      </c>
      <c r="L46" s="35" t="s">
        <v>134</v>
      </c>
    </row>
    <row r="47" spans="1:12" s="2" customFormat="1">
      <c r="A47" s="29"/>
      <c r="B47" s="14" t="s">
        <v>202</v>
      </c>
      <c r="C47" s="14" t="s">
        <v>203</v>
      </c>
      <c r="D47" s="12" t="s">
        <v>204</v>
      </c>
      <c r="E47" s="49"/>
      <c r="F47" s="40"/>
      <c r="G47" s="40"/>
      <c r="H47" s="49"/>
      <c r="I47" s="35"/>
      <c r="J47" s="34" t="s">
        <v>29</v>
      </c>
      <c r="K47" s="35" t="s">
        <v>134</v>
      </c>
      <c r="L47" s="35" t="s">
        <v>134</v>
      </c>
    </row>
    <row r="48" spans="1:12" s="2" customFormat="1">
      <c r="A48" s="29"/>
      <c r="B48" s="14" t="s">
        <v>205</v>
      </c>
      <c r="C48" s="14" t="s">
        <v>203</v>
      </c>
      <c r="D48" s="12" t="s">
        <v>206</v>
      </c>
      <c r="E48" s="49"/>
      <c r="F48" s="40"/>
      <c r="G48" s="40"/>
      <c r="H48" s="49"/>
      <c r="I48" s="35"/>
      <c r="J48" s="34" t="s">
        <v>29</v>
      </c>
      <c r="K48" s="35" t="s">
        <v>134</v>
      </c>
      <c r="L48" s="35" t="s">
        <v>134</v>
      </c>
    </row>
    <row r="49" spans="1:17" s="2" customFormat="1">
      <c r="A49" s="29"/>
      <c r="B49" s="14" t="s">
        <v>207</v>
      </c>
      <c r="C49" s="14" t="s">
        <v>245</v>
      </c>
      <c r="D49" s="12" t="s">
        <v>208</v>
      </c>
      <c r="E49" s="49"/>
      <c r="F49" s="40"/>
      <c r="G49" s="40"/>
      <c r="H49" s="49"/>
      <c r="I49" s="35"/>
      <c r="J49" s="34" t="s">
        <v>29</v>
      </c>
      <c r="K49" s="35" t="s">
        <v>134</v>
      </c>
      <c r="L49" s="35" t="s">
        <v>134</v>
      </c>
    </row>
    <row r="50" spans="1:17" s="2" customFormat="1">
      <c r="A50" s="29"/>
      <c r="B50" s="14" t="s">
        <v>209</v>
      </c>
      <c r="C50" s="14" t="s">
        <v>245</v>
      </c>
      <c r="D50" s="12" t="s">
        <v>210</v>
      </c>
      <c r="E50" s="49"/>
      <c r="F50" s="40"/>
      <c r="G50" s="40"/>
      <c r="H50" s="49"/>
      <c r="I50" s="35"/>
      <c r="J50" s="34" t="s">
        <v>29</v>
      </c>
      <c r="K50" s="35" t="s">
        <v>134</v>
      </c>
      <c r="L50" s="35" t="s">
        <v>134</v>
      </c>
    </row>
    <row r="51" spans="1:17" s="2" customFormat="1">
      <c r="A51" s="29"/>
      <c r="B51" s="14" t="s">
        <v>211</v>
      </c>
      <c r="C51" s="14" t="s">
        <v>203</v>
      </c>
      <c r="D51" s="12" t="s">
        <v>212</v>
      </c>
      <c r="E51" s="49"/>
      <c r="F51" s="40"/>
      <c r="G51" s="40"/>
      <c r="H51" s="49"/>
      <c r="I51" s="35"/>
      <c r="J51" s="34" t="s">
        <v>29</v>
      </c>
      <c r="K51" s="35" t="s">
        <v>134</v>
      </c>
      <c r="L51" s="35" t="s">
        <v>134</v>
      </c>
    </row>
    <row r="52" spans="1:17" s="2" customFormat="1">
      <c r="A52" s="29"/>
      <c r="B52" s="14" t="s">
        <v>213</v>
      </c>
      <c r="C52" s="14" t="s">
        <v>139</v>
      </c>
      <c r="D52" s="12" t="s">
        <v>214</v>
      </c>
      <c r="E52" s="49"/>
      <c r="F52" s="40"/>
      <c r="G52" s="40"/>
      <c r="H52" s="49"/>
      <c r="I52" s="35"/>
      <c r="J52" s="34" t="s">
        <v>29</v>
      </c>
      <c r="K52" s="35" t="s">
        <v>134</v>
      </c>
      <c r="L52" s="35" t="s">
        <v>134</v>
      </c>
    </row>
    <row r="53" spans="1:17" s="2" customFormat="1">
      <c r="A53" s="29"/>
      <c r="B53" s="14" t="s">
        <v>215</v>
      </c>
      <c r="C53" s="14" t="s">
        <v>139</v>
      </c>
      <c r="D53" s="12" t="s">
        <v>216</v>
      </c>
      <c r="E53" s="49"/>
      <c r="F53" s="40"/>
      <c r="G53" s="40"/>
      <c r="H53" s="49"/>
      <c r="I53" s="35"/>
      <c r="J53" s="34" t="s">
        <v>29</v>
      </c>
      <c r="K53" s="35" t="s">
        <v>134</v>
      </c>
      <c r="L53" s="35" t="s">
        <v>134</v>
      </c>
    </row>
    <row r="54" spans="1:17" s="2" customFormat="1">
      <c r="A54" s="29"/>
      <c r="B54" s="14" t="s">
        <v>217</v>
      </c>
      <c r="C54" s="74" t="s">
        <v>159</v>
      </c>
      <c r="D54" s="12" t="s">
        <v>218</v>
      </c>
      <c r="E54" s="49"/>
      <c r="F54" s="40"/>
      <c r="G54" s="40"/>
      <c r="H54" s="49"/>
      <c r="I54" s="35"/>
      <c r="J54" s="34" t="s">
        <v>29</v>
      </c>
      <c r="K54" s="35" t="s">
        <v>134</v>
      </c>
      <c r="L54" s="35" t="s">
        <v>134</v>
      </c>
    </row>
    <row r="55" spans="1:17" s="2" customFormat="1">
      <c r="A55" s="29"/>
      <c r="B55" s="14" t="s">
        <v>219</v>
      </c>
      <c r="C55" s="74" t="s">
        <v>132</v>
      </c>
      <c r="D55" s="12" t="s">
        <v>220</v>
      </c>
      <c r="E55" s="49"/>
      <c r="F55" s="40"/>
      <c r="G55" s="40"/>
      <c r="H55" s="49"/>
      <c r="I55" s="35"/>
      <c r="J55" s="34" t="s">
        <v>29</v>
      </c>
      <c r="K55" s="35" t="s">
        <v>134</v>
      </c>
      <c r="L55" s="35" t="s">
        <v>134</v>
      </c>
    </row>
    <row r="56" spans="1:17" s="2" customFormat="1">
      <c r="A56" s="29"/>
      <c r="B56" s="14" t="s">
        <v>221</v>
      </c>
      <c r="C56" s="74" t="s">
        <v>139</v>
      </c>
      <c r="D56" s="12" t="s">
        <v>222</v>
      </c>
      <c r="E56" s="49"/>
      <c r="F56" s="40"/>
      <c r="G56" s="40"/>
      <c r="H56" s="49"/>
      <c r="I56" s="35"/>
      <c r="J56" s="34" t="s">
        <v>29</v>
      </c>
      <c r="K56" s="35" t="s">
        <v>134</v>
      </c>
      <c r="L56" s="35" t="s">
        <v>134</v>
      </c>
    </row>
    <row r="57" spans="1:17" s="2" customFormat="1">
      <c r="A57" s="29"/>
      <c r="B57" s="14" t="s">
        <v>223</v>
      </c>
      <c r="C57" s="74" t="s">
        <v>139</v>
      </c>
      <c r="D57" s="12" t="s">
        <v>224</v>
      </c>
      <c r="E57" s="49"/>
      <c r="F57" s="40"/>
      <c r="G57" s="40"/>
      <c r="H57" s="49"/>
      <c r="I57" s="35"/>
      <c r="J57" s="34" t="s">
        <v>29</v>
      </c>
      <c r="K57" s="35" t="s">
        <v>134</v>
      </c>
      <c r="L57" s="35" t="s">
        <v>134</v>
      </c>
    </row>
    <row r="58" spans="1:17" s="2" customFormat="1">
      <c r="A58" s="29"/>
      <c r="B58" s="14" t="s">
        <v>225</v>
      </c>
      <c r="C58" s="74" t="s">
        <v>132</v>
      </c>
      <c r="D58" s="12" t="s">
        <v>226</v>
      </c>
      <c r="E58" s="49"/>
      <c r="F58" s="40"/>
      <c r="G58" s="40"/>
      <c r="H58" s="49"/>
      <c r="I58" s="35"/>
      <c r="J58" s="34" t="s">
        <v>29</v>
      </c>
      <c r="K58" s="35" t="s">
        <v>134</v>
      </c>
      <c r="L58" s="35" t="s">
        <v>134</v>
      </c>
    </row>
    <row r="59" spans="1:17" s="2" customFormat="1" ht="79.2">
      <c r="A59" s="29"/>
      <c r="B59" s="14" t="s">
        <v>227</v>
      </c>
      <c r="C59" s="74" t="s">
        <v>139</v>
      </c>
      <c r="D59" s="20" t="s">
        <v>228</v>
      </c>
      <c r="E59" s="49"/>
      <c r="F59" s="40"/>
      <c r="G59" s="40"/>
      <c r="H59" s="49"/>
      <c r="I59" s="35"/>
      <c r="J59" s="34" t="s">
        <v>29</v>
      </c>
      <c r="K59" s="35" t="s">
        <v>134</v>
      </c>
      <c r="L59" s="35" t="s">
        <v>134</v>
      </c>
    </row>
    <row r="60" spans="1:17" s="2" customFormat="1">
      <c r="A60" s="29"/>
      <c r="B60" s="14" t="s">
        <v>229</v>
      </c>
      <c r="C60" s="74" t="s">
        <v>139</v>
      </c>
      <c r="D60" s="12" t="s">
        <v>230</v>
      </c>
      <c r="E60" s="49"/>
      <c r="F60" s="40"/>
      <c r="G60" s="40"/>
      <c r="H60" s="49"/>
      <c r="I60" s="35"/>
      <c r="J60" s="34" t="s">
        <v>29</v>
      </c>
      <c r="K60" s="35" t="s">
        <v>134</v>
      </c>
      <c r="L60" s="35" t="s">
        <v>134</v>
      </c>
    </row>
    <row r="61" spans="1:17" s="2" customFormat="1">
      <c r="A61" s="29"/>
      <c r="B61" s="14" t="s">
        <v>231</v>
      </c>
      <c r="C61" s="74" t="s">
        <v>139</v>
      </c>
      <c r="D61" s="12" t="s">
        <v>232</v>
      </c>
      <c r="E61" s="49"/>
      <c r="F61" s="40"/>
      <c r="G61" s="40"/>
      <c r="H61" s="49"/>
      <c r="I61" s="35"/>
      <c r="J61" s="34" t="s">
        <v>29</v>
      </c>
      <c r="K61" s="35" t="s">
        <v>134</v>
      </c>
      <c r="L61" s="35" t="s">
        <v>134</v>
      </c>
    </row>
    <row r="62" spans="1:17" s="2" customFormat="1">
      <c r="A62" s="29"/>
      <c r="B62" s="14" t="s">
        <v>246</v>
      </c>
      <c r="C62" s="74" t="s">
        <v>136</v>
      </c>
      <c r="D62" s="12" t="s">
        <v>247</v>
      </c>
      <c r="E62" s="49"/>
      <c r="F62" s="40"/>
      <c r="G62" s="40"/>
      <c r="H62" s="49"/>
      <c r="I62" s="35"/>
      <c r="J62" s="34" t="s">
        <v>29</v>
      </c>
      <c r="K62" s="35" t="s">
        <v>134</v>
      </c>
      <c r="L62" s="35" t="s">
        <v>134</v>
      </c>
    </row>
    <row r="63" spans="1:17" s="4" customFormat="1">
      <c r="B63" s="50" t="s">
        <v>233</v>
      </c>
      <c r="C63" s="51" t="s">
        <v>139</v>
      </c>
      <c r="D63" s="37" t="s">
        <v>234</v>
      </c>
      <c r="E63" s="10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</row>
    <row r="64" spans="1:17" s="4" customFormat="1">
      <c r="B64" s="50" t="s">
        <v>235</v>
      </c>
      <c r="C64" s="51" t="s">
        <v>132</v>
      </c>
      <c r="D64" s="37" t="s">
        <v>236</v>
      </c>
      <c r="E64" s="10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</row>
    <row r="65" spans="1:17" s="4" customFormat="1">
      <c r="B65" s="50" t="s">
        <v>237</v>
      </c>
      <c r="C65" s="51" t="s">
        <v>139</v>
      </c>
      <c r="D65" s="37" t="s">
        <v>238</v>
      </c>
      <c r="E65" s="10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</row>
    <row r="66" spans="1:17" s="4" customFormat="1">
      <c r="B66" s="50" t="s">
        <v>239</v>
      </c>
      <c r="C66" s="51" t="s">
        <v>139</v>
      </c>
      <c r="D66" s="37" t="s">
        <v>240</v>
      </c>
      <c r="E66" s="10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</row>
    <row r="67" spans="1:17" s="4" customFormat="1">
      <c r="B67" s="50" t="s">
        <v>241</v>
      </c>
      <c r="C67" s="51" t="s">
        <v>139</v>
      </c>
      <c r="D67" s="37" t="s">
        <v>242</v>
      </c>
      <c r="E67" s="10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</row>
    <row r="68" spans="1:17" s="2" customFormat="1">
      <c r="A68" s="29"/>
      <c r="B68" s="49"/>
      <c r="C68" s="49"/>
      <c r="D68" s="49"/>
      <c r="E68" s="49"/>
      <c r="F68" s="40"/>
      <c r="G68" s="40"/>
      <c r="H68" s="49"/>
      <c r="I68" s="35"/>
      <c r="J68" s="35"/>
      <c r="K68" s="35"/>
      <c r="L68" s="35"/>
    </row>
    <row r="69" spans="1:17" s="2" customFormat="1">
      <c r="A69" s="29"/>
      <c r="B69" s="49"/>
      <c r="C69" s="49"/>
      <c r="D69" s="49"/>
      <c r="E69" s="49"/>
      <c r="F69" s="40"/>
      <c r="G69" s="40"/>
      <c r="H69" s="49"/>
      <c r="I69" s="35"/>
      <c r="J69" s="35"/>
      <c r="K69" s="35"/>
      <c r="L69" s="35"/>
    </row>
    <row r="70" spans="1:17" s="2" customFormat="1">
      <c r="A70" s="29"/>
      <c r="B70" s="49"/>
      <c r="C70" s="49"/>
      <c r="D70" s="49"/>
      <c r="E70" s="49"/>
      <c r="F70" s="40"/>
      <c r="G70" s="40"/>
      <c r="H70" s="49"/>
      <c r="I70" s="35"/>
      <c r="J70" s="35"/>
      <c r="K70" s="35"/>
      <c r="L70" s="35"/>
    </row>
    <row r="71" spans="1:17" s="2" customFormat="1">
      <c r="A71" s="29"/>
      <c r="B71" s="49"/>
      <c r="C71" s="49"/>
      <c r="D71" s="49"/>
      <c r="E71" s="49"/>
      <c r="F71" s="40"/>
      <c r="G71" s="40"/>
      <c r="H71" s="49"/>
      <c r="I71" s="35"/>
      <c r="J71" s="35"/>
      <c r="K71" s="35"/>
      <c r="L71" s="35"/>
    </row>
    <row r="72" spans="1:17" s="2" customFormat="1">
      <c r="A72" s="29"/>
      <c r="B72" s="49"/>
      <c r="C72" s="49"/>
      <c r="D72" s="49"/>
      <c r="E72" s="49"/>
      <c r="F72" s="40"/>
      <c r="G72" s="40"/>
      <c r="H72" s="49"/>
      <c r="I72" s="35"/>
      <c r="J72" s="35"/>
      <c r="K72" s="35"/>
      <c r="L72" s="35"/>
    </row>
    <row r="73" spans="1:17" s="2" customFormat="1">
      <c r="A73" s="29"/>
      <c r="B73" s="49"/>
      <c r="C73" s="49"/>
      <c r="D73" s="49"/>
      <c r="E73" s="49"/>
      <c r="F73" s="40"/>
      <c r="G73" s="40"/>
      <c r="H73" s="49"/>
      <c r="I73" s="35"/>
      <c r="J73" s="35"/>
      <c r="K73" s="35"/>
      <c r="L73" s="35"/>
    </row>
    <row r="74" spans="1:17" s="2" customFormat="1">
      <c r="A74" s="29"/>
      <c r="B74" s="49"/>
      <c r="C74" s="49"/>
      <c r="D74" s="49"/>
      <c r="E74" s="49"/>
      <c r="F74" s="40"/>
      <c r="G74" s="40"/>
      <c r="H74" s="49"/>
      <c r="I74" s="35"/>
      <c r="J74" s="35"/>
      <c r="K74" s="35"/>
      <c r="L74" s="35"/>
    </row>
    <row r="75" spans="1:17" s="2" customFormat="1">
      <c r="A75" s="29"/>
      <c r="B75" s="49"/>
      <c r="C75" s="49"/>
      <c r="D75" s="49"/>
      <c r="E75" s="49"/>
      <c r="F75" s="40"/>
      <c r="G75" s="40"/>
      <c r="H75" s="49"/>
      <c r="I75" s="35"/>
      <c r="J75" s="35"/>
      <c r="K75" s="35"/>
      <c r="L75" s="35"/>
    </row>
    <row r="76" spans="1:17" s="2" customFormat="1">
      <c r="A76" s="29"/>
      <c r="B76" s="49"/>
      <c r="C76" s="49"/>
      <c r="D76" s="14"/>
      <c r="E76" s="49"/>
      <c r="F76" s="40"/>
      <c r="G76" s="40"/>
      <c r="H76" s="49"/>
      <c r="I76" s="35"/>
      <c r="J76" s="35"/>
      <c r="K76" s="35"/>
      <c r="L76" s="35"/>
    </row>
    <row r="77" spans="1:17" s="2" customFormat="1">
      <c r="A77" s="29"/>
      <c r="B77" s="49"/>
      <c r="C77" s="49"/>
      <c r="D77" s="14"/>
      <c r="E77" s="49"/>
      <c r="F77" s="40"/>
      <c r="G77" s="40"/>
      <c r="H77" s="49"/>
      <c r="I77" s="35"/>
      <c r="J77" s="35"/>
      <c r="K77" s="35"/>
      <c r="L77" s="35"/>
    </row>
    <row r="78" spans="1:17" s="2" customFormat="1">
      <c r="A78" s="29"/>
      <c r="B78" s="49"/>
      <c r="C78" s="49"/>
      <c r="D78" s="14"/>
      <c r="E78" s="49"/>
      <c r="F78" s="40"/>
      <c r="G78" s="40"/>
      <c r="H78" s="49"/>
      <c r="I78" s="35"/>
      <c r="J78" s="35"/>
      <c r="K78" s="35"/>
      <c r="L78" s="35"/>
    </row>
    <row r="79" spans="1:17" s="2" customFormat="1">
      <c r="A79" s="29"/>
      <c r="B79" s="49"/>
      <c r="C79" s="49"/>
      <c r="D79" s="14"/>
      <c r="E79" s="49"/>
      <c r="F79" s="40"/>
      <c r="G79" s="40"/>
      <c r="H79" s="49"/>
      <c r="I79" s="35"/>
      <c r="J79" s="35"/>
      <c r="K79" s="35"/>
      <c r="L79" s="35"/>
    </row>
    <row r="80" spans="1:17" s="2" customFormat="1">
      <c r="A80" s="29"/>
      <c r="B80" s="49"/>
      <c r="C80" s="49"/>
      <c r="D80" s="14"/>
      <c r="E80" s="49"/>
      <c r="F80" s="40"/>
      <c r="G80" s="40"/>
      <c r="H80" s="49"/>
      <c r="I80" s="35"/>
      <c r="J80" s="35"/>
      <c r="K80" s="35"/>
      <c r="L80" s="35"/>
    </row>
    <row r="81" spans="1:12" s="2" customFormat="1">
      <c r="A81" s="29"/>
      <c r="B81" s="49"/>
      <c r="C81" s="49"/>
      <c r="D81" s="49"/>
      <c r="E81" s="49"/>
      <c r="F81" s="40"/>
      <c r="G81" s="40"/>
      <c r="H81" s="49"/>
      <c r="I81" s="35"/>
      <c r="J81" s="35"/>
      <c r="K81" s="35"/>
      <c r="L81" s="35"/>
    </row>
    <row r="82" spans="1:12" s="2" customFormat="1">
      <c r="A82" s="29"/>
      <c r="B82" s="49"/>
      <c r="C82" s="49"/>
      <c r="D82" s="49"/>
      <c r="E82" s="49"/>
      <c r="F82" s="40"/>
      <c r="G82" s="40"/>
      <c r="H82" s="49"/>
      <c r="I82" s="35"/>
      <c r="J82" s="35"/>
      <c r="K82" s="35"/>
      <c r="L82" s="35"/>
    </row>
    <row r="83" spans="1:12" s="2" customFormat="1">
      <c r="A83" s="29"/>
      <c r="B83" s="49"/>
      <c r="C83" s="49"/>
      <c r="D83" s="49"/>
      <c r="E83" s="49"/>
      <c r="F83" s="40"/>
      <c r="G83" s="40"/>
      <c r="H83" s="49"/>
      <c r="I83" s="35"/>
      <c r="J83" s="35"/>
      <c r="K83" s="35"/>
      <c r="L83" s="35"/>
    </row>
    <row r="84" spans="1:12" s="2" customFormat="1">
      <c r="A84" s="29"/>
      <c r="B84" s="49"/>
      <c r="C84" s="49"/>
      <c r="D84" s="49"/>
      <c r="E84" s="49"/>
      <c r="F84" s="40"/>
      <c r="G84" s="40"/>
      <c r="H84" s="49"/>
      <c r="I84" s="35"/>
      <c r="J84" s="35"/>
      <c r="K84" s="35"/>
      <c r="L84" s="35"/>
    </row>
    <row r="85" spans="1:12" s="2" customFormat="1">
      <c r="A85" s="29"/>
      <c r="B85" s="49"/>
      <c r="C85" s="49"/>
      <c r="D85" s="49"/>
      <c r="E85" s="49"/>
      <c r="F85" s="40"/>
      <c r="G85" s="40"/>
      <c r="H85" s="49"/>
      <c r="I85" s="35"/>
      <c r="J85" s="35"/>
      <c r="K85" s="35"/>
      <c r="L85" s="35"/>
    </row>
    <row r="86" spans="1:12" s="2" customFormat="1">
      <c r="A86" s="29"/>
      <c r="B86" s="49"/>
      <c r="C86" s="49"/>
      <c r="D86" s="49"/>
      <c r="E86" s="49"/>
      <c r="F86" s="40"/>
      <c r="G86" s="40"/>
      <c r="H86" s="49"/>
      <c r="I86" s="35"/>
      <c r="J86" s="35"/>
      <c r="K86" s="35"/>
      <c r="L86" s="35"/>
    </row>
    <row r="87" spans="1:12" s="2" customFormat="1">
      <c r="A87" s="29"/>
      <c r="B87" s="49"/>
      <c r="C87" s="49"/>
      <c r="D87" s="49"/>
      <c r="E87" s="49"/>
      <c r="F87" s="40"/>
      <c r="G87" s="40"/>
      <c r="H87" s="49"/>
      <c r="I87" s="35"/>
      <c r="J87" s="35"/>
      <c r="K87" s="35"/>
      <c r="L87" s="35"/>
    </row>
    <row r="88" spans="1:12" s="2" customFormat="1">
      <c r="A88" s="29"/>
      <c r="B88" s="49"/>
      <c r="C88" s="49"/>
      <c r="D88" s="49"/>
      <c r="E88" s="49"/>
      <c r="F88" s="40"/>
      <c r="G88" s="40"/>
      <c r="H88" s="49"/>
      <c r="I88" s="35"/>
      <c r="J88" s="35"/>
      <c r="K88" s="35"/>
      <c r="L88" s="35"/>
    </row>
    <row r="89" spans="1:12" s="2" customFormat="1">
      <c r="A89" s="29"/>
      <c r="B89" s="49"/>
      <c r="C89" s="49"/>
      <c r="D89" s="49"/>
      <c r="E89" s="49"/>
      <c r="F89" s="40"/>
      <c r="G89" s="40"/>
      <c r="H89" s="49"/>
      <c r="I89" s="35"/>
      <c r="J89" s="35"/>
      <c r="K89" s="35"/>
      <c r="L89" s="35"/>
    </row>
    <row r="90" spans="1:12" s="2" customFormat="1">
      <c r="A90" s="29"/>
      <c r="B90" s="49"/>
      <c r="C90" s="49"/>
      <c r="D90" s="49"/>
      <c r="E90" s="49"/>
      <c r="F90" s="40"/>
      <c r="G90" s="40"/>
      <c r="H90" s="49"/>
      <c r="I90" s="35"/>
      <c r="J90" s="35"/>
      <c r="K90" s="35"/>
      <c r="L90" s="35"/>
    </row>
    <row r="91" spans="1:12" s="2" customFormat="1">
      <c r="A91" s="29"/>
      <c r="B91" s="49"/>
      <c r="C91" s="49"/>
      <c r="D91" s="49"/>
      <c r="E91" s="49"/>
      <c r="F91" s="40"/>
      <c r="G91" s="40"/>
      <c r="H91" s="49"/>
      <c r="I91" s="35"/>
      <c r="J91" s="35"/>
      <c r="K91" s="35"/>
      <c r="L91" s="35"/>
    </row>
    <row r="92" spans="1:12" s="2" customFormat="1">
      <c r="A92" s="29"/>
      <c r="B92" s="49"/>
      <c r="C92" s="49"/>
      <c r="D92" s="49"/>
      <c r="E92" s="49"/>
      <c r="F92" s="40"/>
      <c r="G92" s="40"/>
      <c r="H92" s="49"/>
      <c r="I92" s="35"/>
      <c r="J92" s="35"/>
      <c r="K92" s="35"/>
      <c r="L92" s="35"/>
    </row>
  </sheetData>
  <autoFilter ref="A14:N67" xr:uid="{00000000-0009-0000-0000-000003000000}"/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"/>
  <sheetViews>
    <sheetView zoomScale="85" zoomScaleNormal="85" workbookViewId="0">
      <pane ySplit="5" topLeftCell="A6" activePane="bottomLeft" state="frozen"/>
      <selection pane="bottomLeft" activeCell="D11" sqref="D11"/>
    </sheetView>
  </sheetViews>
  <sheetFormatPr defaultColWidth="9" defaultRowHeight="13.2"/>
  <cols>
    <col min="1" max="1" width="1.33203125" style="5" customWidth="1"/>
    <col min="2" max="2" width="29.21875" style="5" customWidth="1"/>
    <col min="3" max="3" width="30.21875" style="5" customWidth="1"/>
    <col min="4" max="4" width="30.44140625" style="5" customWidth="1"/>
    <col min="5" max="5" width="16.21875" style="5" customWidth="1"/>
    <col min="6" max="6" width="24.88671875" style="5" customWidth="1"/>
    <col min="7" max="7" width="41.33203125" style="5" customWidth="1"/>
    <col min="8" max="8" width="21.5546875" style="5" customWidth="1"/>
    <col min="9" max="9" width="9.21875" style="5" customWidth="1"/>
    <col min="10" max="10" width="10" style="5" customWidth="1"/>
    <col min="11" max="11" width="9.6640625" style="5" customWidth="1"/>
    <col min="12" max="12" width="10.77734375" style="3" customWidth="1"/>
    <col min="13" max="16384" width="9" style="3"/>
  </cols>
  <sheetData>
    <row r="1" spans="1:14">
      <c r="B1" s="7" t="str">
        <f>HYPERLINK("#导航!a2","返回")</f>
        <v>返回</v>
      </c>
    </row>
    <row r="2" spans="1:14">
      <c r="B2" s="156"/>
      <c r="C2" s="156"/>
      <c r="D2" s="156"/>
      <c r="E2" s="156"/>
      <c r="F2" s="156"/>
      <c r="G2" s="156"/>
      <c r="H2" s="156"/>
    </row>
    <row r="3" spans="1:14">
      <c r="B3" s="157" t="s">
        <v>106</v>
      </c>
      <c r="C3" s="157"/>
      <c r="D3" s="157"/>
      <c r="E3" s="157"/>
      <c r="F3" s="157"/>
      <c r="G3" s="157"/>
      <c r="H3" s="157"/>
    </row>
    <row r="4" spans="1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1:14" ht="26.4">
      <c r="B5" s="11" t="s">
        <v>26</v>
      </c>
      <c r="C5" s="12" t="s">
        <v>2584</v>
      </c>
      <c r="D5" s="15" t="s">
        <v>37</v>
      </c>
      <c r="E5" s="14" t="s">
        <v>112</v>
      </c>
      <c r="F5" s="15"/>
      <c r="G5" s="49" t="s">
        <v>2100</v>
      </c>
      <c r="H5" s="14"/>
      <c r="N5" s="5"/>
    </row>
    <row r="6" spans="1:14">
      <c r="B6" s="8"/>
      <c r="C6" s="8"/>
      <c r="D6" s="8"/>
      <c r="E6" s="8"/>
      <c r="F6" s="8"/>
      <c r="G6" s="8"/>
      <c r="H6" s="8"/>
    </row>
    <row r="7" spans="1:14">
      <c r="B7" s="157" t="s">
        <v>113</v>
      </c>
      <c r="C7" s="157"/>
      <c r="D7" s="157"/>
      <c r="E7" s="157"/>
      <c r="F7" s="157"/>
      <c r="G7" s="157"/>
      <c r="H7" s="157"/>
    </row>
    <row r="8" spans="1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1:14" ht="13.8" customHeight="1">
      <c r="B9" s="14"/>
      <c r="C9" s="12" t="s">
        <v>35</v>
      </c>
      <c r="D9" s="12" t="s">
        <v>36</v>
      </c>
      <c r="E9" s="14" t="s">
        <v>243</v>
      </c>
      <c r="F9" s="158" t="s">
        <v>1943</v>
      </c>
      <c r="G9" s="159"/>
      <c r="H9" s="21" t="s">
        <v>38</v>
      </c>
    </row>
    <row r="10" spans="1:14">
      <c r="B10" s="14"/>
      <c r="C10" s="12" t="s">
        <v>2607</v>
      </c>
      <c r="D10" s="12" t="s">
        <v>2608</v>
      </c>
      <c r="E10" s="14" t="s">
        <v>248</v>
      </c>
      <c r="F10" s="160"/>
      <c r="G10" s="161"/>
      <c r="H10" s="14"/>
    </row>
    <row r="11" spans="1:14">
      <c r="G11" s="48"/>
    </row>
    <row r="12" spans="1:14">
      <c r="B12" s="5" t="s">
        <v>120</v>
      </c>
    </row>
    <row r="13" spans="1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1:14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1:14" s="2" customFormat="1">
      <c r="B15" s="14" t="s">
        <v>2050</v>
      </c>
      <c r="C15" s="14" t="s">
        <v>132</v>
      </c>
      <c r="D15" s="12" t="s">
        <v>133</v>
      </c>
      <c r="E15" s="30" t="s">
        <v>243</v>
      </c>
      <c r="F15" s="19"/>
      <c r="G15" s="19" t="s">
        <v>249</v>
      </c>
      <c r="H15" s="32"/>
      <c r="I15" s="34"/>
      <c r="J15" s="34" t="s">
        <v>29</v>
      </c>
      <c r="K15" s="35" t="s">
        <v>134</v>
      </c>
      <c r="L15" s="35" t="s">
        <v>134</v>
      </c>
    </row>
    <row r="16" spans="1:14" s="2" customFormat="1">
      <c r="A16" s="2">
        <f t="shared" ref="A16" si="0">ROW()-1</f>
        <v>15</v>
      </c>
      <c r="B16" s="14" t="s">
        <v>2330</v>
      </c>
      <c r="C16" s="14" t="s">
        <v>136</v>
      </c>
      <c r="D16" s="12" t="s">
        <v>137</v>
      </c>
      <c r="E16" s="30" t="s">
        <v>243</v>
      </c>
      <c r="F16" s="19" t="s">
        <v>135</v>
      </c>
      <c r="G16" s="19" t="s">
        <v>250</v>
      </c>
      <c r="H16" s="32"/>
      <c r="I16" s="34"/>
      <c r="J16" s="34" t="s">
        <v>29</v>
      </c>
      <c r="K16" s="35" t="s">
        <v>134</v>
      </c>
      <c r="L16" s="35" t="s">
        <v>134</v>
      </c>
    </row>
    <row r="17" spans="1:12" s="2" customFormat="1">
      <c r="A17" s="29"/>
      <c r="B17" s="14" t="s">
        <v>2331</v>
      </c>
      <c r="C17" s="14" t="s">
        <v>139</v>
      </c>
      <c r="D17" s="12" t="s">
        <v>140</v>
      </c>
      <c r="E17" s="30" t="s">
        <v>243</v>
      </c>
      <c r="F17" s="19" t="s">
        <v>138</v>
      </c>
      <c r="G17" s="19" t="s">
        <v>250</v>
      </c>
      <c r="H17" s="49"/>
      <c r="I17" s="35"/>
      <c r="J17" s="34" t="s">
        <v>29</v>
      </c>
      <c r="K17" s="35" t="s">
        <v>134</v>
      </c>
      <c r="L17" s="35" t="s">
        <v>134</v>
      </c>
    </row>
    <row r="18" spans="1:12" s="2" customFormat="1">
      <c r="A18" s="29"/>
      <c r="B18" s="14" t="s">
        <v>141</v>
      </c>
      <c r="C18" s="14" t="s">
        <v>132</v>
      </c>
      <c r="D18" s="12" t="s">
        <v>143</v>
      </c>
      <c r="E18" s="30" t="s">
        <v>243</v>
      </c>
      <c r="F18" s="19" t="s">
        <v>141</v>
      </c>
      <c r="G18" s="19" t="s">
        <v>250</v>
      </c>
      <c r="H18" s="49"/>
      <c r="I18" s="35"/>
      <c r="J18" s="34" t="s">
        <v>29</v>
      </c>
      <c r="K18" s="35" t="s">
        <v>134</v>
      </c>
      <c r="L18" s="35" t="s">
        <v>134</v>
      </c>
    </row>
    <row r="19" spans="1:12" s="2" customFormat="1">
      <c r="A19" s="29"/>
      <c r="B19" s="14" t="s">
        <v>251</v>
      </c>
      <c r="C19" s="14" t="s">
        <v>132</v>
      </c>
      <c r="D19" s="12" t="s">
        <v>252</v>
      </c>
      <c r="E19" s="30" t="s">
        <v>248</v>
      </c>
      <c r="F19" s="19"/>
      <c r="G19" s="19" t="s">
        <v>253</v>
      </c>
      <c r="H19" s="49"/>
      <c r="I19" s="35"/>
      <c r="J19" s="34" t="s">
        <v>29</v>
      </c>
      <c r="K19" s="35" t="s">
        <v>134</v>
      </c>
      <c r="L19" s="35" t="s">
        <v>134</v>
      </c>
    </row>
    <row r="20" spans="1:12" s="2" customFormat="1">
      <c r="A20" s="29"/>
      <c r="B20" s="14" t="s">
        <v>254</v>
      </c>
      <c r="C20" s="14" t="s">
        <v>132</v>
      </c>
      <c r="D20" s="12" t="s">
        <v>255</v>
      </c>
      <c r="E20" s="30" t="s">
        <v>248</v>
      </c>
      <c r="F20" s="19"/>
      <c r="G20" s="19" t="s">
        <v>256</v>
      </c>
      <c r="H20" s="49"/>
      <c r="I20" s="35"/>
      <c r="J20" s="34" t="s">
        <v>29</v>
      </c>
      <c r="K20" s="35" t="s">
        <v>134</v>
      </c>
      <c r="L20" s="35" t="s">
        <v>134</v>
      </c>
    </row>
    <row r="21" spans="1:12" s="2" customFormat="1">
      <c r="A21" s="29"/>
      <c r="B21" s="14" t="s">
        <v>257</v>
      </c>
      <c r="C21" s="14" t="s">
        <v>132</v>
      </c>
      <c r="D21" s="12" t="s">
        <v>258</v>
      </c>
      <c r="E21" s="30" t="s">
        <v>248</v>
      </c>
      <c r="F21" s="19"/>
      <c r="G21" s="19" t="s">
        <v>1942</v>
      </c>
      <c r="H21" s="99"/>
      <c r="I21" s="35"/>
      <c r="J21" s="34" t="s">
        <v>29</v>
      </c>
      <c r="K21" s="35" t="s">
        <v>134</v>
      </c>
      <c r="L21" s="35" t="s">
        <v>134</v>
      </c>
    </row>
    <row r="22" spans="1:12" s="2" customFormat="1">
      <c r="A22" s="29"/>
      <c r="B22" s="14" t="s">
        <v>259</v>
      </c>
      <c r="C22" s="14" t="s">
        <v>132</v>
      </c>
      <c r="D22" s="12" t="s">
        <v>260</v>
      </c>
      <c r="E22" s="30" t="s">
        <v>248</v>
      </c>
      <c r="F22" s="19"/>
      <c r="G22" s="19" t="s">
        <v>261</v>
      </c>
      <c r="H22" s="99"/>
      <c r="I22" s="35"/>
      <c r="J22" s="34" t="s">
        <v>29</v>
      </c>
      <c r="K22" s="35" t="s">
        <v>134</v>
      </c>
      <c r="L22" s="35" t="s">
        <v>134</v>
      </c>
    </row>
    <row r="23" spans="1:12" s="2" customFormat="1">
      <c r="A23" s="29"/>
      <c r="B23" s="14" t="s">
        <v>262</v>
      </c>
      <c r="C23" s="14" t="s">
        <v>132</v>
      </c>
      <c r="D23" s="12" t="s">
        <v>263</v>
      </c>
      <c r="E23" s="30" t="s">
        <v>248</v>
      </c>
      <c r="F23" s="19"/>
      <c r="G23" s="19" t="s">
        <v>264</v>
      </c>
      <c r="H23" s="99"/>
      <c r="I23" s="35"/>
      <c r="J23" s="34" t="s">
        <v>29</v>
      </c>
      <c r="K23" s="35" t="s">
        <v>134</v>
      </c>
      <c r="L23" s="35" t="s">
        <v>134</v>
      </c>
    </row>
    <row r="24" spans="1:12" s="2" customFormat="1">
      <c r="A24" s="29"/>
      <c r="B24" s="14" t="s">
        <v>2058</v>
      </c>
      <c r="C24" s="14" t="s">
        <v>139</v>
      </c>
      <c r="D24" s="12" t="s">
        <v>145</v>
      </c>
      <c r="E24" s="30" t="s">
        <v>243</v>
      </c>
      <c r="F24" s="19" t="s">
        <v>2095</v>
      </c>
      <c r="G24" s="19" t="s">
        <v>250</v>
      </c>
      <c r="H24" s="99"/>
      <c r="I24" s="35"/>
      <c r="J24" s="34" t="s">
        <v>29</v>
      </c>
      <c r="K24" s="35" t="s">
        <v>134</v>
      </c>
      <c r="L24" s="35" t="s">
        <v>134</v>
      </c>
    </row>
    <row r="25" spans="1:12" s="2" customFormat="1">
      <c r="A25" s="29"/>
      <c r="B25" s="14" t="s">
        <v>146</v>
      </c>
      <c r="C25" s="14" t="s">
        <v>139</v>
      </c>
      <c r="D25" s="12" t="s">
        <v>147</v>
      </c>
      <c r="E25" s="30" t="s">
        <v>243</v>
      </c>
      <c r="F25" s="19" t="s">
        <v>2097</v>
      </c>
      <c r="G25" s="19" t="s">
        <v>250</v>
      </c>
      <c r="H25" s="99"/>
      <c r="I25" s="35"/>
      <c r="J25" s="34" t="s">
        <v>29</v>
      </c>
      <c r="K25" s="35" t="s">
        <v>134</v>
      </c>
      <c r="L25" s="35" t="s">
        <v>134</v>
      </c>
    </row>
    <row r="26" spans="1:12" s="2" customFormat="1">
      <c r="A26" s="29"/>
      <c r="B26" s="14" t="s">
        <v>2059</v>
      </c>
      <c r="C26" s="14" t="s">
        <v>139</v>
      </c>
      <c r="D26" s="12" t="s">
        <v>149</v>
      </c>
      <c r="E26" s="30" t="s">
        <v>243</v>
      </c>
      <c r="F26" s="19" t="s">
        <v>2099</v>
      </c>
      <c r="G26" s="19" t="s">
        <v>250</v>
      </c>
      <c r="H26" s="99"/>
      <c r="I26" s="35"/>
      <c r="J26" s="34" t="s">
        <v>29</v>
      </c>
      <c r="K26" s="35" t="s">
        <v>134</v>
      </c>
      <c r="L26" s="35" t="s">
        <v>134</v>
      </c>
    </row>
    <row r="27" spans="1:12" s="2" customFormat="1">
      <c r="A27" s="29"/>
      <c r="B27" s="14" t="s">
        <v>150</v>
      </c>
      <c r="C27" s="14" t="s">
        <v>139</v>
      </c>
      <c r="D27" s="12" t="s">
        <v>151</v>
      </c>
      <c r="E27" s="30" t="s">
        <v>243</v>
      </c>
      <c r="F27" s="19" t="s">
        <v>150</v>
      </c>
      <c r="G27" s="19" t="s">
        <v>250</v>
      </c>
      <c r="H27" s="49"/>
      <c r="I27" s="35"/>
      <c r="J27" s="34" t="s">
        <v>29</v>
      </c>
      <c r="K27" s="35" t="s">
        <v>134</v>
      </c>
      <c r="L27" s="35" t="s">
        <v>134</v>
      </c>
    </row>
    <row r="28" spans="1:12" s="2" customFormat="1">
      <c r="A28" s="29"/>
      <c r="B28" s="14" t="s">
        <v>152</v>
      </c>
      <c r="C28" s="14" t="s">
        <v>136</v>
      </c>
      <c r="D28" s="12" t="s">
        <v>153</v>
      </c>
      <c r="E28" s="30" t="s">
        <v>243</v>
      </c>
      <c r="F28" s="19" t="s">
        <v>152</v>
      </c>
      <c r="G28" s="19" t="s">
        <v>250</v>
      </c>
      <c r="H28" s="49"/>
      <c r="I28" s="35"/>
      <c r="J28" s="34" t="s">
        <v>29</v>
      </c>
      <c r="K28" s="35" t="s">
        <v>134</v>
      </c>
      <c r="L28" s="35" t="s">
        <v>134</v>
      </c>
    </row>
    <row r="29" spans="1:12" s="2" customFormat="1">
      <c r="A29" s="29"/>
      <c r="B29" s="14" t="s">
        <v>154</v>
      </c>
      <c r="C29" s="14" t="s">
        <v>139</v>
      </c>
      <c r="D29" s="12" t="s">
        <v>155</v>
      </c>
      <c r="E29" s="30" t="s">
        <v>243</v>
      </c>
      <c r="F29" s="19" t="s">
        <v>154</v>
      </c>
      <c r="G29" s="19" t="s">
        <v>250</v>
      </c>
      <c r="H29" s="49"/>
      <c r="I29" s="35"/>
      <c r="J29" s="34" t="s">
        <v>29</v>
      </c>
      <c r="K29" s="35" t="s">
        <v>134</v>
      </c>
      <c r="L29" s="35" t="s">
        <v>134</v>
      </c>
    </row>
    <row r="30" spans="1:12" s="2" customFormat="1">
      <c r="A30" s="29"/>
      <c r="B30" s="14" t="s">
        <v>156</v>
      </c>
      <c r="C30" s="14" t="s">
        <v>139</v>
      </c>
      <c r="D30" s="12" t="s">
        <v>157</v>
      </c>
      <c r="E30" s="30" t="s">
        <v>243</v>
      </c>
      <c r="F30" s="19" t="s">
        <v>156</v>
      </c>
      <c r="G30" s="19" t="s">
        <v>250</v>
      </c>
      <c r="H30" s="49"/>
      <c r="I30" s="35"/>
      <c r="J30" s="34" t="s">
        <v>29</v>
      </c>
      <c r="K30" s="35" t="s">
        <v>134</v>
      </c>
      <c r="L30" s="35" t="s">
        <v>134</v>
      </c>
    </row>
    <row r="31" spans="1:12" s="2" customFormat="1">
      <c r="A31" s="29"/>
      <c r="B31" s="14" t="s">
        <v>158</v>
      </c>
      <c r="C31" s="14" t="s">
        <v>139</v>
      </c>
      <c r="D31" s="12" t="s">
        <v>160</v>
      </c>
      <c r="E31" s="30" t="s">
        <v>243</v>
      </c>
      <c r="F31" s="19" t="s">
        <v>158</v>
      </c>
      <c r="G31" s="19" t="s">
        <v>250</v>
      </c>
      <c r="H31" s="49"/>
      <c r="I31" s="35"/>
      <c r="J31" s="34" t="s">
        <v>29</v>
      </c>
      <c r="K31" s="35" t="s">
        <v>134</v>
      </c>
      <c r="L31" s="35" t="s">
        <v>134</v>
      </c>
    </row>
    <row r="32" spans="1:12" s="2" customFormat="1">
      <c r="A32" s="29"/>
      <c r="B32" s="14" t="s">
        <v>161</v>
      </c>
      <c r="C32" s="14" t="s">
        <v>142</v>
      </c>
      <c r="D32" s="12" t="s">
        <v>162</v>
      </c>
      <c r="E32" s="30" t="s">
        <v>243</v>
      </c>
      <c r="F32" s="19" t="s">
        <v>161</v>
      </c>
      <c r="G32" s="19" t="s">
        <v>250</v>
      </c>
      <c r="H32" s="49"/>
      <c r="I32" s="35"/>
      <c r="J32" s="34" t="s">
        <v>29</v>
      </c>
      <c r="K32" s="35" t="s">
        <v>134</v>
      </c>
      <c r="L32" s="35" t="s">
        <v>134</v>
      </c>
    </row>
    <row r="33" spans="1:12" s="2" customFormat="1">
      <c r="A33" s="29"/>
      <c r="B33" s="14" t="s">
        <v>163</v>
      </c>
      <c r="C33" s="14" t="s">
        <v>142</v>
      </c>
      <c r="D33" s="12" t="s">
        <v>164</v>
      </c>
      <c r="E33" s="30" t="s">
        <v>243</v>
      </c>
      <c r="F33" s="19" t="s">
        <v>163</v>
      </c>
      <c r="G33" s="19" t="s">
        <v>250</v>
      </c>
      <c r="H33" s="49"/>
      <c r="I33" s="35"/>
      <c r="J33" s="34" t="s">
        <v>29</v>
      </c>
      <c r="K33" s="35" t="s">
        <v>134</v>
      </c>
      <c r="L33" s="35" t="s">
        <v>134</v>
      </c>
    </row>
    <row r="34" spans="1:12" s="2" customFormat="1">
      <c r="A34" s="29"/>
      <c r="B34" s="14" t="s">
        <v>165</v>
      </c>
      <c r="C34" s="14" t="s">
        <v>142</v>
      </c>
      <c r="D34" s="12" t="s">
        <v>166</v>
      </c>
      <c r="E34" s="30" t="s">
        <v>243</v>
      </c>
      <c r="F34" s="19" t="s">
        <v>165</v>
      </c>
      <c r="G34" s="19" t="s">
        <v>250</v>
      </c>
      <c r="H34" s="49"/>
      <c r="I34" s="35"/>
      <c r="J34" s="34" t="s">
        <v>29</v>
      </c>
      <c r="K34" s="35" t="s">
        <v>134</v>
      </c>
      <c r="L34" s="35" t="s">
        <v>134</v>
      </c>
    </row>
    <row r="35" spans="1:12" s="2" customFormat="1">
      <c r="A35" s="29"/>
      <c r="B35" s="14" t="s">
        <v>167</v>
      </c>
      <c r="C35" s="14" t="s">
        <v>142</v>
      </c>
      <c r="D35" s="12" t="s">
        <v>168</v>
      </c>
      <c r="E35" s="30" t="s">
        <v>243</v>
      </c>
      <c r="F35" s="19" t="s">
        <v>167</v>
      </c>
      <c r="G35" s="19" t="s">
        <v>250</v>
      </c>
      <c r="H35" s="49"/>
      <c r="I35" s="35"/>
      <c r="J35" s="34" t="s">
        <v>29</v>
      </c>
      <c r="K35" s="35" t="s">
        <v>134</v>
      </c>
      <c r="L35" s="35" t="s">
        <v>134</v>
      </c>
    </row>
    <row r="36" spans="1:12" s="2" customFormat="1">
      <c r="A36" s="29"/>
      <c r="B36" s="14" t="s">
        <v>169</v>
      </c>
      <c r="C36" s="14" t="s">
        <v>194</v>
      </c>
      <c r="D36" s="12" t="s">
        <v>170</v>
      </c>
      <c r="E36" s="30" t="s">
        <v>243</v>
      </c>
      <c r="F36" s="19" t="s">
        <v>169</v>
      </c>
      <c r="G36" s="19" t="s">
        <v>250</v>
      </c>
      <c r="H36" s="49"/>
      <c r="I36" s="35"/>
      <c r="J36" s="34" t="s">
        <v>29</v>
      </c>
      <c r="K36" s="35" t="s">
        <v>134</v>
      </c>
      <c r="L36" s="35" t="s">
        <v>134</v>
      </c>
    </row>
    <row r="37" spans="1:12" s="2" customFormat="1">
      <c r="A37" s="29"/>
      <c r="B37" s="14" t="s">
        <v>171</v>
      </c>
      <c r="C37" s="14" t="s">
        <v>142</v>
      </c>
      <c r="D37" s="12" t="s">
        <v>172</v>
      </c>
      <c r="E37" s="30" t="s">
        <v>243</v>
      </c>
      <c r="F37" s="19" t="s">
        <v>171</v>
      </c>
      <c r="G37" s="19" t="s">
        <v>250</v>
      </c>
      <c r="H37" s="49"/>
      <c r="I37" s="35"/>
      <c r="J37" s="34" t="s">
        <v>29</v>
      </c>
      <c r="K37" s="35" t="s">
        <v>134</v>
      </c>
      <c r="L37" s="35" t="s">
        <v>134</v>
      </c>
    </row>
    <row r="38" spans="1:12" s="2" customFormat="1">
      <c r="A38" s="29"/>
      <c r="B38" s="14" t="s">
        <v>173</v>
      </c>
      <c r="C38" s="14" t="s">
        <v>139</v>
      </c>
      <c r="D38" s="12" t="s">
        <v>174</v>
      </c>
      <c r="E38" s="30" t="s">
        <v>243</v>
      </c>
      <c r="F38" s="19" t="s">
        <v>173</v>
      </c>
      <c r="G38" s="19" t="s">
        <v>250</v>
      </c>
      <c r="H38" s="49"/>
      <c r="I38" s="35"/>
      <c r="J38" s="34" t="s">
        <v>29</v>
      </c>
      <c r="K38" s="35" t="s">
        <v>134</v>
      </c>
      <c r="L38" s="35" t="s">
        <v>134</v>
      </c>
    </row>
    <row r="39" spans="1:12" s="2" customFormat="1">
      <c r="A39" s="29"/>
      <c r="B39" s="14" t="s">
        <v>175</v>
      </c>
      <c r="C39" s="14" t="s">
        <v>142</v>
      </c>
      <c r="D39" s="12" t="s">
        <v>176</v>
      </c>
      <c r="E39" s="30" t="s">
        <v>243</v>
      </c>
      <c r="F39" s="19" t="s">
        <v>175</v>
      </c>
      <c r="G39" s="19" t="s">
        <v>250</v>
      </c>
      <c r="H39" s="49"/>
      <c r="I39" s="35"/>
      <c r="J39" s="34" t="s">
        <v>29</v>
      </c>
      <c r="K39" s="35" t="s">
        <v>134</v>
      </c>
      <c r="L39" s="35" t="s">
        <v>134</v>
      </c>
    </row>
    <row r="40" spans="1:12" s="2" customFormat="1">
      <c r="A40" s="29"/>
      <c r="B40" s="14" t="s">
        <v>177</v>
      </c>
      <c r="C40" s="14" t="s">
        <v>142</v>
      </c>
      <c r="D40" s="12" t="s">
        <v>178</v>
      </c>
      <c r="E40" s="30" t="s">
        <v>243</v>
      </c>
      <c r="F40" s="19" t="s">
        <v>177</v>
      </c>
      <c r="G40" s="19" t="s">
        <v>250</v>
      </c>
      <c r="H40" s="49"/>
      <c r="I40" s="35"/>
      <c r="J40" s="34" t="s">
        <v>29</v>
      </c>
      <c r="K40" s="35" t="s">
        <v>134</v>
      </c>
      <c r="L40" s="35" t="s">
        <v>134</v>
      </c>
    </row>
    <row r="41" spans="1:12" s="2" customFormat="1">
      <c r="A41" s="29"/>
      <c r="B41" s="14" t="s">
        <v>179</v>
      </c>
      <c r="C41" s="14" t="s">
        <v>142</v>
      </c>
      <c r="D41" s="12" t="s">
        <v>180</v>
      </c>
      <c r="E41" s="30" t="s">
        <v>243</v>
      </c>
      <c r="F41" s="19" t="s">
        <v>179</v>
      </c>
      <c r="G41" s="19" t="s">
        <v>250</v>
      </c>
      <c r="H41" s="49"/>
      <c r="I41" s="35"/>
      <c r="J41" s="34" t="s">
        <v>29</v>
      </c>
      <c r="K41" s="35" t="s">
        <v>134</v>
      </c>
      <c r="L41" s="35" t="s">
        <v>134</v>
      </c>
    </row>
    <row r="42" spans="1:12" s="2" customFormat="1">
      <c r="A42" s="29"/>
      <c r="B42" s="14" t="s">
        <v>181</v>
      </c>
      <c r="C42" s="14" t="s">
        <v>142</v>
      </c>
      <c r="D42" s="12" t="s">
        <v>182</v>
      </c>
      <c r="E42" s="30" t="s">
        <v>243</v>
      </c>
      <c r="F42" s="19" t="s">
        <v>181</v>
      </c>
      <c r="G42" s="19" t="s">
        <v>250</v>
      </c>
      <c r="H42" s="49"/>
      <c r="I42" s="35"/>
      <c r="J42" s="34" t="s">
        <v>29</v>
      </c>
      <c r="K42" s="35" t="s">
        <v>134</v>
      </c>
      <c r="L42" s="35" t="s">
        <v>134</v>
      </c>
    </row>
    <row r="43" spans="1:12" s="2" customFormat="1">
      <c r="A43" s="29"/>
      <c r="B43" s="14" t="s">
        <v>183</v>
      </c>
      <c r="C43" s="14" t="s">
        <v>136</v>
      </c>
      <c r="D43" s="12" t="s">
        <v>184</v>
      </c>
      <c r="E43" s="30" t="s">
        <v>243</v>
      </c>
      <c r="F43" s="19" t="s">
        <v>183</v>
      </c>
      <c r="G43" s="19" t="s">
        <v>250</v>
      </c>
      <c r="H43" s="49"/>
      <c r="I43" s="35"/>
      <c r="J43" s="34" t="s">
        <v>29</v>
      </c>
      <c r="K43" s="35" t="s">
        <v>134</v>
      </c>
      <c r="L43" s="35" t="s">
        <v>134</v>
      </c>
    </row>
    <row r="44" spans="1:12" s="2" customFormat="1">
      <c r="A44" s="29"/>
      <c r="B44" s="14" t="s">
        <v>185</v>
      </c>
      <c r="C44" s="14" t="s">
        <v>139</v>
      </c>
      <c r="D44" s="12" t="s">
        <v>186</v>
      </c>
      <c r="E44" s="30" t="s">
        <v>243</v>
      </c>
      <c r="F44" s="19" t="s">
        <v>185</v>
      </c>
      <c r="G44" s="19" t="s">
        <v>250</v>
      </c>
      <c r="H44" s="49"/>
      <c r="I44" s="35"/>
      <c r="J44" s="34" t="s">
        <v>29</v>
      </c>
      <c r="K44" s="35" t="s">
        <v>134</v>
      </c>
      <c r="L44" s="35" t="s">
        <v>134</v>
      </c>
    </row>
    <row r="45" spans="1:12" s="2" customFormat="1">
      <c r="A45" s="29"/>
      <c r="B45" s="14" t="s">
        <v>187</v>
      </c>
      <c r="C45" s="14" t="s">
        <v>139</v>
      </c>
      <c r="D45" s="12" t="s">
        <v>188</v>
      </c>
      <c r="E45" s="30" t="s">
        <v>243</v>
      </c>
      <c r="F45" s="19" t="s">
        <v>187</v>
      </c>
      <c r="G45" s="19" t="s">
        <v>250</v>
      </c>
      <c r="H45" s="49"/>
      <c r="I45" s="35"/>
      <c r="J45" s="34" t="s">
        <v>29</v>
      </c>
      <c r="K45" s="35" t="s">
        <v>134</v>
      </c>
      <c r="L45" s="35" t="s">
        <v>134</v>
      </c>
    </row>
    <row r="46" spans="1:12" s="2" customFormat="1">
      <c r="A46" s="29"/>
      <c r="B46" s="14" t="s">
        <v>189</v>
      </c>
      <c r="C46" s="14" t="s">
        <v>139</v>
      </c>
      <c r="D46" s="12" t="s">
        <v>190</v>
      </c>
      <c r="E46" s="30" t="s">
        <v>243</v>
      </c>
      <c r="F46" s="19" t="s">
        <v>189</v>
      </c>
      <c r="G46" s="19" t="s">
        <v>250</v>
      </c>
      <c r="H46" s="49"/>
      <c r="I46" s="35"/>
      <c r="J46" s="34" t="s">
        <v>29</v>
      </c>
      <c r="K46" s="35" t="s">
        <v>134</v>
      </c>
      <c r="L46" s="35" t="s">
        <v>134</v>
      </c>
    </row>
    <row r="47" spans="1:12" s="2" customFormat="1">
      <c r="A47" s="29"/>
      <c r="B47" s="14" t="s">
        <v>191</v>
      </c>
      <c r="C47" s="14" t="s">
        <v>139</v>
      </c>
      <c r="D47" s="12" t="s">
        <v>192</v>
      </c>
      <c r="E47" s="30" t="s">
        <v>243</v>
      </c>
      <c r="F47" s="19" t="s">
        <v>191</v>
      </c>
      <c r="G47" s="19" t="s">
        <v>250</v>
      </c>
      <c r="H47" s="49"/>
      <c r="I47" s="35"/>
      <c r="J47" s="34" t="s">
        <v>29</v>
      </c>
      <c r="K47" s="35" t="s">
        <v>134</v>
      </c>
      <c r="L47" s="35" t="s">
        <v>134</v>
      </c>
    </row>
    <row r="48" spans="1:12" s="2" customFormat="1">
      <c r="A48" s="29"/>
      <c r="B48" s="14" t="s">
        <v>193</v>
      </c>
      <c r="C48" s="14" t="s">
        <v>194</v>
      </c>
      <c r="D48" s="12" t="s">
        <v>195</v>
      </c>
      <c r="E48" s="30" t="s">
        <v>243</v>
      </c>
      <c r="F48" s="19" t="s">
        <v>193</v>
      </c>
      <c r="G48" s="19" t="s">
        <v>250</v>
      </c>
      <c r="H48" s="49"/>
      <c r="I48" s="35"/>
      <c r="J48" s="34" t="s">
        <v>29</v>
      </c>
      <c r="K48" s="35" t="s">
        <v>134</v>
      </c>
      <c r="L48" s="35" t="s">
        <v>134</v>
      </c>
    </row>
    <row r="49" spans="1:12" s="2" customFormat="1">
      <c r="A49" s="29"/>
      <c r="B49" s="14" t="s">
        <v>196</v>
      </c>
      <c r="C49" s="14" t="s">
        <v>142</v>
      </c>
      <c r="D49" s="12" t="s">
        <v>197</v>
      </c>
      <c r="E49" s="30" t="s">
        <v>243</v>
      </c>
      <c r="F49" s="19" t="s">
        <v>196</v>
      </c>
      <c r="G49" s="19" t="s">
        <v>250</v>
      </c>
      <c r="H49" s="49"/>
      <c r="I49" s="35"/>
      <c r="J49" s="34" t="s">
        <v>29</v>
      </c>
      <c r="K49" s="35" t="s">
        <v>134</v>
      </c>
      <c r="L49" s="35" t="s">
        <v>134</v>
      </c>
    </row>
    <row r="50" spans="1:12" s="2" customFormat="1">
      <c r="A50" s="29"/>
      <c r="B50" s="14" t="s">
        <v>198</v>
      </c>
      <c r="C50" s="14" t="s">
        <v>142</v>
      </c>
      <c r="D50" s="12" t="s">
        <v>199</v>
      </c>
      <c r="E50" s="30" t="s">
        <v>243</v>
      </c>
      <c r="F50" s="19" t="s">
        <v>198</v>
      </c>
      <c r="G50" s="19" t="s">
        <v>250</v>
      </c>
      <c r="H50" s="49"/>
      <c r="I50" s="35"/>
      <c r="J50" s="34" t="s">
        <v>29</v>
      </c>
      <c r="K50" s="35" t="s">
        <v>134</v>
      </c>
      <c r="L50" s="35" t="s">
        <v>134</v>
      </c>
    </row>
    <row r="51" spans="1:12" s="2" customFormat="1">
      <c r="A51" s="29"/>
      <c r="B51" s="14" t="s">
        <v>200</v>
      </c>
      <c r="C51" s="14" t="s">
        <v>142</v>
      </c>
      <c r="D51" s="12" t="s">
        <v>201</v>
      </c>
      <c r="E51" s="30" t="s">
        <v>243</v>
      </c>
      <c r="F51" s="19" t="s">
        <v>200</v>
      </c>
      <c r="G51" s="19" t="s">
        <v>250</v>
      </c>
      <c r="H51" s="49"/>
      <c r="I51" s="35"/>
      <c r="J51" s="34" t="s">
        <v>29</v>
      </c>
      <c r="K51" s="35" t="s">
        <v>134</v>
      </c>
      <c r="L51" s="35" t="s">
        <v>134</v>
      </c>
    </row>
    <row r="52" spans="1:12" s="2" customFormat="1">
      <c r="A52" s="29"/>
      <c r="B52" s="14" t="s">
        <v>202</v>
      </c>
      <c r="C52" s="14" t="s">
        <v>139</v>
      </c>
      <c r="D52" s="12" t="s">
        <v>204</v>
      </c>
      <c r="E52" s="30" t="s">
        <v>243</v>
      </c>
      <c r="F52" s="19" t="s">
        <v>202</v>
      </c>
      <c r="G52" s="19" t="s">
        <v>250</v>
      </c>
      <c r="H52" s="49"/>
      <c r="I52" s="35"/>
      <c r="J52" s="34" t="s">
        <v>29</v>
      </c>
      <c r="K52" s="35" t="s">
        <v>134</v>
      </c>
      <c r="L52" s="35" t="s">
        <v>134</v>
      </c>
    </row>
    <row r="53" spans="1:12" s="2" customFormat="1">
      <c r="A53" s="29"/>
      <c r="B53" s="14" t="s">
        <v>205</v>
      </c>
      <c r="C53" s="14" t="s">
        <v>139</v>
      </c>
      <c r="D53" s="12" t="s">
        <v>206</v>
      </c>
      <c r="E53" s="30" t="s">
        <v>243</v>
      </c>
      <c r="F53" s="19" t="s">
        <v>205</v>
      </c>
      <c r="G53" s="19" t="s">
        <v>250</v>
      </c>
      <c r="H53" s="49"/>
      <c r="I53" s="35"/>
      <c r="J53" s="34" t="s">
        <v>29</v>
      </c>
      <c r="K53" s="35" t="s">
        <v>134</v>
      </c>
      <c r="L53" s="35" t="s">
        <v>134</v>
      </c>
    </row>
    <row r="54" spans="1:12" s="2" customFormat="1">
      <c r="A54" s="29"/>
      <c r="B54" s="14" t="s">
        <v>207</v>
      </c>
      <c r="C54" s="14" t="s">
        <v>245</v>
      </c>
      <c r="D54" s="12" t="s">
        <v>208</v>
      </c>
      <c r="E54" s="30" t="s">
        <v>243</v>
      </c>
      <c r="F54" s="19" t="s">
        <v>207</v>
      </c>
      <c r="G54" s="19" t="s">
        <v>250</v>
      </c>
      <c r="H54" s="49"/>
      <c r="I54" s="35"/>
      <c r="J54" s="34" t="s">
        <v>29</v>
      </c>
      <c r="K54" s="35" t="s">
        <v>134</v>
      </c>
      <c r="L54" s="35" t="s">
        <v>134</v>
      </c>
    </row>
    <row r="55" spans="1:12" s="2" customFormat="1">
      <c r="A55" s="29"/>
      <c r="B55" s="14" t="s">
        <v>209</v>
      </c>
      <c r="C55" s="14" t="s">
        <v>245</v>
      </c>
      <c r="D55" s="12" t="s">
        <v>210</v>
      </c>
      <c r="E55" s="30" t="s">
        <v>243</v>
      </c>
      <c r="F55" s="19" t="s">
        <v>209</v>
      </c>
      <c r="G55" s="19" t="s">
        <v>250</v>
      </c>
      <c r="H55" s="49"/>
      <c r="I55" s="35"/>
      <c r="J55" s="34" t="s">
        <v>29</v>
      </c>
      <c r="K55" s="35" t="s">
        <v>134</v>
      </c>
      <c r="L55" s="35" t="s">
        <v>134</v>
      </c>
    </row>
    <row r="56" spans="1:12" s="2" customFormat="1">
      <c r="A56" s="29"/>
      <c r="B56" s="14" t="s">
        <v>211</v>
      </c>
      <c r="C56" s="14" t="s">
        <v>139</v>
      </c>
      <c r="D56" s="12" t="s">
        <v>212</v>
      </c>
      <c r="E56" s="30" t="s">
        <v>243</v>
      </c>
      <c r="F56" s="19" t="s">
        <v>211</v>
      </c>
      <c r="G56" s="19" t="s">
        <v>250</v>
      </c>
      <c r="H56" s="49"/>
      <c r="I56" s="35"/>
      <c r="J56" s="34" t="s">
        <v>29</v>
      </c>
      <c r="K56" s="35" t="s">
        <v>134</v>
      </c>
      <c r="L56" s="35" t="s">
        <v>134</v>
      </c>
    </row>
    <row r="57" spans="1:12" s="2" customFormat="1">
      <c r="A57" s="29"/>
      <c r="B57" s="14" t="s">
        <v>213</v>
      </c>
      <c r="C57" s="14" t="s">
        <v>139</v>
      </c>
      <c r="D57" s="12" t="s">
        <v>214</v>
      </c>
      <c r="E57" s="30" t="s">
        <v>243</v>
      </c>
      <c r="F57" s="19" t="s">
        <v>213</v>
      </c>
      <c r="G57" s="19" t="s">
        <v>250</v>
      </c>
      <c r="H57" s="49"/>
      <c r="I57" s="35"/>
      <c r="J57" s="34" t="s">
        <v>29</v>
      </c>
      <c r="K57" s="35" t="s">
        <v>134</v>
      </c>
      <c r="L57" s="35" t="s">
        <v>134</v>
      </c>
    </row>
    <row r="58" spans="1:12" s="2" customFormat="1">
      <c r="A58" s="29"/>
      <c r="B58" s="14" t="s">
        <v>215</v>
      </c>
      <c r="C58" s="14" t="s">
        <v>139</v>
      </c>
      <c r="D58" s="12" t="s">
        <v>216</v>
      </c>
      <c r="E58" s="30" t="s">
        <v>243</v>
      </c>
      <c r="F58" s="19" t="s">
        <v>215</v>
      </c>
      <c r="G58" s="19" t="s">
        <v>250</v>
      </c>
      <c r="H58" s="49"/>
      <c r="I58" s="35"/>
      <c r="J58" s="34" t="s">
        <v>29</v>
      </c>
      <c r="K58" s="35" t="s">
        <v>134</v>
      </c>
      <c r="L58" s="35" t="s">
        <v>134</v>
      </c>
    </row>
    <row r="59" spans="1:12" s="2" customFormat="1">
      <c r="A59" s="29"/>
      <c r="B59" s="14" t="s">
        <v>217</v>
      </c>
      <c r="C59" s="74" t="s">
        <v>139</v>
      </c>
      <c r="D59" s="12" t="s">
        <v>218</v>
      </c>
      <c r="E59" s="30" t="s">
        <v>243</v>
      </c>
      <c r="F59" s="19" t="s">
        <v>217</v>
      </c>
      <c r="G59" s="19" t="s">
        <v>250</v>
      </c>
      <c r="H59" s="49"/>
      <c r="I59" s="35"/>
      <c r="J59" s="34" t="s">
        <v>29</v>
      </c>
      <c r="K59" s="35" t="s">
        <v>134</v>
      </c>
      <c r="L59" s="35" t="s">
        <v>134</v>
      </c>
    </row>
    <row r="60" spans="1:12" s="2" customFormat="1">
      <c r="A60" s="29"/>
      <c r="B60" s="14" t="s">
        <v>219</v>
      </c>
      <c r="C60" s="74" t="s">
        <v>132</v>
      </c>
      <c r="D60" s="12" t="s">
        <v>220</v>
      </c>
      <c r="E60" s="30" t="s">
        <v>243</v>
      </c>
      <c r="F60" s="19" t="s">
        <v>219</v>
      </c>
      <c r="G60" s="19" t="s">
        <v>250</v>
      </c>
      <c r="H60" s="49"/>
      <c r="I60" s="35"/>
      <c r="J60" s="34" t="s">
        <v>29</v>
      </c>
      <c r="K60" s="35" t="s">
        <v>134</v>
      </c>
      <c r="L60" s="35" t="s">
        <v>134</v>
      </c>
    </row>
    <row r="61" spans="1:12" s="2" customFormat="1">
      <c r="A61" s="29"/>
      <c r="B61" s="14" t="s">
        <v>221</v>
      </c>
      <c r="C61" s="74" t="s">
        <v>139</v>
      </c>
      <c r="D61" s="12" t="s">
        <v>222</v>
      </c>
      <c r="E61" s="30" t="s">
        <v>243</v>
      </c>
      <c r="F61" s="19" t="s">
        <v>221</v>
      </c>
      <c r="G61" s="19" t="s">
        <v>250</v>
      </c>
      <c r="H61" s="49"/>
      <c r="I61" s="35"/>
      <c r="J61" s="34" t="s">
        <v>29</v>
      </c>
      <c r="K61" s="35" t="s">
        <v>134</v>
      </c>
      <c r="L61" s="35" t="s">
        <v>134</v>
      </c>
    </row>
    <row r="62" spans="1:12" s="2" customFormat="1">
      <c r="A62" s="29"/>
      <c r="B62" s="14" t="s">
        <v>223</v>
      </c>
      <c r="C62" s="74" t="s">
        <v>139</v>
      </c>
      <c r="D62" s="12" t="s">
        <v>224</v>
      </c>
      <c r="E62" s="30" t="s">
        <v>243</v>
      </c>
      <c r="F62" s="19" t="s">
        <v>223</v>
      </c>
      <c r="G62" s="19" t="s">
        <v>250</v>
      </c>
      <c r="H62" s="49"/>
      <c r="I62" s="35"/>
      <c r="J62" s="34" t="s">
        <v>29</v>
      </c>
      <c r="K62" s="35" t="s">
        <v>134</v>
      </c>
      <c r="L62" s="35" t="s">
        <v>134</v>
      </c>
    </row>
    <row r="63" spans="1:12" s="2" customFormat="1">
      <c r="A63" s="29"/>
      <c r="B63" s="14" t="s">
        <v>225</v>
      </c>
      <c r="C63" s="74" t="s">
        <v>132</v>
      </c>
      <c r="D63" s="12" t="s">
        <v>226</v>
      </c>
      <c r="E63" s="30" t="s">
        <v>243</v>
      </c>
      <c r="F63" s="19" t="s">
        <v>225</v>
      </c>
      <c r="G63" s="19" t="s">
        <v>250</v>
      </c>
      <c r="H63" s="49"/>
      <c r="I63" s="35"/>
      <c r="J63" s="34" t="s">
        <v>29</v>
      </c>
      <c r="K63" s="35" t="s">
        <v>134</v>
      </c>
      <c r="L63" s="35" t="s">
        <v>134</v>
      </c>
    </row>
    <row r="64" spans="1:12" s="2" customFormat="1" ht="79.2">
      <c r="A64" s="29"/>
      <c r="B64" s="14" t="s">
        <v>227</v>
      </c>
      <c r="C64" s="74" t="s">
        <v>139</v>
      </c>
      <c r="D64" s="20" t="s">
        <v>228</v>
      </c>
      <c r="E64" s="30" t="s">
        <v>243</v>
      </c>
      <c r="F64" s="19" t="s">
        <v>227</v>
      </c>
      <c r="G64" s="19" t="s">
        <v>250</v>
      </c>
      <c r="H64" s="49"/>
      <c r="I64" s="35"/>
      <c r="J64" s="34" t="s">
        <v>29</v>
      </c>
      <c r="K64" s="35" t="s">
        <v>134</v>
      </c>
      <c r="L64" s="35" t="s">
        <v>134</v>
      </c>
    </row>
    <row r="65" spans="1:17" s="2" customFormat="1">
      <c r="A65" s="29"/>
      <c r="B65" s="14" t="s">
        <v>229</v>
      </c>
      <c r="C65" s="74" t="s">
        <v>139</v>
      </c>
      <c r="D65" s="12" t="s">
        <v>230</v>
      </c>
      <c r="E65" s="30" t="s">
        <v>243</v>
      </c>
      <c r="F65" s="19" t="s">
        <v>229</v>
      </c>
      <c r="G65" s="19" t="s">
        <v>250</v>
      </c>
      <c r="H65" s="49"/>
      <c r="I65" s="35"/>
      <c r="J65" s="34" t="s">
        <v>29</v>
      </c>
      <c r="K65" s="35" t="s">
        <v>134</v>
      </c>
      <c r="L65" s="35" t="s">
        <v>134</v>
      </c>
    </row>
    <row r="66" spans="1:17" s="2" customFormat="1">
      <c r="A66" s="29"/>
      <c r="B66" s="14" t="s">
        <v>231</v>
      </c>
      <c r="C66" s="74" t="s">
        <v>139</v>
      </c>
      <c r="D66" s="12" t="s">
        <v>232</v>
      </c>
      <c r="E66" s="30" t="s">
        <v>243</v>
      </c>
      <c r="F66" s="19" t="s">
        <v>231</v>
      </c>
      <c r="G66" s="19" t="s">
        <v>250</v>
      </c>
      <c r="H66" s="49"/>
      <c r="I66" s="35"/>
      <c r="J66" s="34" t="s">
        <v>29</v>
      </c>
      <c r="K66" s="35" t="s">
        <v>134</v>
      </c>
      <c r="L66" s="35" t="s">
        <v>134</v>
      </c>
    </row>
    <row r="67" spans="1:17" s="131" customFormat="1">
      <c r="A67" s="129"/>
      <c r="B67" s="41" t="s">
        <v>2073</v>
      </c>
      <c r="C67" s="138" t="s">
        <v>136</v>
      </c>
      <c r="D67" s="42" t="s">
        <v>265</v>
      </c>
      <c r="E67" s="44" t="s">
        <v>243</v>
      </c>
      <c r="F67" s="70"/>
      <c r="G67" s="46" t="s">
        <v>2074</v>
      </c>
      <c r="H67" s="45"/>
      <c r="I67" s="130" t="s">
        <v>2075</v>
      </c>
      <c r="J67" s="47" t="s">
        <v>29</v>
      </c>
      <c r="K67" s="130" t="s">
        <v>134</v>
      </c>
      <c r="L67" s="130" t="s">
        <v>134</v>
      </c>
    </row>
    <row r="68" spans="1:17" s="131" customFormat="1">
      <c r="A68" s="129"/>
      <c r="B68" s="41" t="s">
        <v>266</v>
      </c>
      <c r="C68" s="138" t="s">
        <v>136</v>
      </c>
      <c r="D68" s="42" t="s">
        <v>267</v>
      </c>
      <c r="E68" s="44" t="s">
        <v>243</v>
      </c>
      <c r="F68" s="70"/>
      <c r="G68" s="46" t="s">
        <v>268</v>
      </c>
      <c r="H68" s="45"/>
      <c r="I68" s="130" t="s">
        <v>2075</v>
      </c>
      <c r="J68" s="47" t="s">
        <v>29</v>
      </c>
      <c r="K68" s="130" t="s">
        <v>134</v>
      </c>
      <c r="L68" s="130" t="s">
        <v>134</v>
      </c>
    </row>
    <row r="69" spans="1:17" s="131" customFormat="1">
      <c r="A69" s="129"/>
      <c r="B69" s="41" t="s">
        <v>371</v>
      </c>
      <c r="C69" s="138" t="s">
        <v>139</v>
      </c>
      <c r="D69" s="42" t="s">
        <v>2193</v>
      </c>
      <c r="E69" s="44" t="s">
        <v>243</v>
      </c>
      <c r="F69" s="70"/>
      <c r="G69" s="46" t="s">
        <v>2195</v>
      </c>
      <c r="H69" s="45"/>
      <c r="I69" s="130"/>
      <c r="J69" s="47" t="s">
        <v>29</v>
      </c>
      <c r="K69" s="130" t="s">
        <v>134</v>
      </c>
      <c r="L69" s="130" t="s">
        <v>134</v>
      </c>
    </row>
    <row r="70" spans="1:17" s="131" customFormat="1">
      <c r="A70" s="129"/>
      <c r="B70" s="41" t="s">
        <v>373</v>
      </c>
      <c r="C70" s="138" t="s">
        <v>139</v>
      </c>
      <c r="D70" s="42" t="s">
        <v>2194</v>
      </c>
      <c r="E70" s="44" t="s">
        <v>243</v>
      </c>
      <c r="F70" s="70"/>
      <c r="G70" s="46" t="s">
        <v>2195</v>
      </c>
      <c r="H70" s="45"/>
      <c r="I70" s="130"/>
      <c r="J70" s="47" t="s">
        <v>29</v>
      </c>
      <c r="K70" s="130" t="s">
        <v>134</v>
      </c>
      <c r="L70" s="130" t="s">
        <v>134</v>
      </c>
    </row>
    <row r="71" spans="1:17" s="4" customFormat="1">
      <c r="B71" s="50" t="s">
        <v>233</v>
      </c>
      <c r="C71" s="51" t="s">
        <v>139</v>
      </c>
      <c r="D71" s="37" t="s">
        <v>234</v>
      </c>
      <c r="E71" s="52"/>
      <c r="F71" s="52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</row>
    <row r="72" spans="1:17" s="4" customFormat="1">
      <c r="B72" s="50" t="s">
        <v>235</v>
      </c>
      <c r="C72" s="51" t="s">
        <v>132</v>
      </c>
      <c r="D72" s="37" t="s">
        <v>236</v>
      </c>
      <c r="E72" s="52"/>
      <c r="F72" s="52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</row>
    <row r="73" spans="1:17" s="4" customFormat="1">
      <c r="B73" s="50" t="s">
        <v>237</v>
      </c>
      <c r="C73" s="51" t="s">
        <v>139</v>
      </c>
      <c r="D73" s="37" t="s">
        <v>238</v>
      </c>
      <c r="E73" s="52"/>
      <c r="F73" s="52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</row>
    <row r="74" spans="1:17" s="4" customFormat="1">
      <c r="B74" s="50" t="s">
        <v>239</v>
      </c>
      <c r="C74" s="51" t="s">
        <v>139</v>
      </c>
      <c r="D74" s="37" t="s">
        <v>240</v>
      </c>
      <c r="E74" s="100"/>
      <c r="F74" s="52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</row>
    <row r="75" spans="1:17" s="4" customFormat="1">
      <c r="B75" s="50" t="s">
        <v>241</v>
      </c>
      <c r="C75" s="51" t="s">
        <v>139</v>
      </c>
      <c r="D75" s="37" t="s">
        <v>242</v>
      </c>
      <c r="E75" s="52"/>
      <c r="F75" s="52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</row>
    <row r="76" spans="1:17" s="2" customFormat="1">
      <c r="A76" s="29"/>
      <c r="B76" s="49"/>
      <c r="C76" s="49"/>
      <c r="D76" s="49"/>
      <c r="E76" s="49"/>
      <c r="F76" s="40"/>
      <c r="G76" s="40"/>
      <c r="H76" s="49"/>
      <c r="I76" s="35"/>
      <c r="J76" s="35"/>
      <c r="K76" s="35"/>
      <c r="L76" s="35"/>
    </row>
    <row r="77" spans="1:17" s="2" customFormat="1">
      <c r="A77" s="29"/>
      <c r="B77" s="49"/>
      <c r="C77" s="49"/>
      <c r="D77" s="49"/>
      <c r="E77" s="49"/>
      <c r="F77" s="40"/>
      <c r="G77" s="40"/>
      <c r="H77" s="49"/>
      <c r="I77" s="35"/>
      <c r="J77" s="35"/>
      <c r="K77" s="35"/>
      <c r="L77" s="35"/>
    </row>
    <row r="78" spans="1:17" s="2" customFormat="1">
      <c r="A78" s="29"/>
      <c r="B78" s="49"/>
      <c r="C78" s="49"/>
      <c r="D78" s="49"/>
      <c r="E78" s="49"/>
      <c r="F78" s="40"/>
      <c r="G78" s="40"/>
      <c r="H78" s="49"/>
      <c r="I78" s="35"/>
      <c r="J78" s="35"/>
      <c r="K78" s="35"/>
      <c r="L78" s="35"/>
    </row>
    <row r="79" spans="1:17" s="2" customFormat="1">
      <c r="A79" s="29"/>
      <c r="B79" s="49"/>
      <c r="C79" s="49"/>
      <c r="D79" s="49"/>
      <c r="E79" s="49"/>
      <c r="F79" s="40"/>
      <c r="G79" s="40"/>
      <c r="H79" s="49"/>
      <c r="I79" s="35"/>
      <c r="J79" s="35"/>
      <c r="K79" s="35"/>
      <c r="L79" s="35"/>
    </row>
    <row r="80" spans="1:17" s="2" customFormat="1">
      <c r="A80" s="29"/>
      <c r="B80" s="49"/>
      <c r="C80" s="49"/>
      <c r="D80" s="49"/>
      <c r="E80" s="49"/>
      <c r="F80" s="40"/>
      <c r="G80" s="40"/>
      <c r="H80" s="49"/>
      <c r="I80" s="35"/>
      <c r="J80" s="35"/>
      <c r="K80" s="35"/>
      <c r="L80" s="35"/>
    </row>
    <row r="81" spans="1:12" s="2" customFormat="1">
      <c r="A81" s="29"/>
      <c r="B81" s="49"/>
      <c r="C81" s="49"/>
      <c r="D81" s="49"/>
      <c r="E81" s="49"/>
      <c r="F81" s="40"/>
      <c r="G81" s="40"/>
      <c r="H81" s="49"/>
      <c r="I81" s="35"/>
      <c r="J81" s="35"/>
      <c r="K81" s="35"/>
      <c r="L81" s="35"/>
    </row>
    <row r="82" spans="1:12" s="2" customFormat="1">
      <c r="A82" s="29"/>
      <c r="B82" s="49"/>
      <c r="C82" s="49"/>
      <c r="D82" s="49"/>
      <c r="E82" s="49"/>
      <c r="F82" s="40"/>
      <c r="G82" s="40"/>
      <c r="H82" s="49"/>
      <c r="I82" s="35"/>
      <c r="J82" s="35"/>
      <c r="K82" s="35"/>
      <c r="L82" s="35"/>
    </row>
    <row r="83" spans="1:12" s="2" customFormat="1">
      <c r="A83" s="29"/>
      <c r="B83" s="49"/>
      <c r="C83" s="49"/>
      <c r="D83" s="49"/>
      <c r="E83" s="49"/>
      <c r="F83" s="40"/>
      <c r="G83" s="40"/>
      <c r="H83" s="49"/>
      <c r="I83" s="35"/>
      <c r="J83" s="35"/>
      <c r="K83" s="35"/>
      <c r="L83" s="35"/>
    </row>
    <row r="84" spans="1:12" s="2" customFormat="1">
      <c r="A84" s="29"/>
      <c r="B84" s="49"/>
      <c r="C84" s="49"/>
      <c r="D84" s="14"/>
      <c r="E84" s="49"/>
      <c r="F84" s="40"/>
      <c r="G84" s="40"/>
      <c r="H84" s="49"/>
      <c r="I84" s="35"/>
      <c r="J84" s="35"/>
      <c r="K84" s="35"/>
      <c r="L84" s="35"/>
    </row>
    <row r="85" spans="1:12" s="2" customFormat="1">
      <c r="A85" s="29"/>
      <c r="B85" s="49"/>
      <c r="C85" s="49"/>
      <c r="D85" s="14"/>
      <c r="E85" s="49"/>
      <c r="F85" s="40"/>
      <c r="G85" s="40"/>
      <c r="H85" s="49"/>
      <c r="I85" s="35"/>
      <c r="J85" s="35"/>
      <c r="K85" s="35"/>
      <c r="L85" s="35"/>
    </row>
    <row r="86" spans="1:12" s="2" customFormat="1">
      <c r="A86" s="29"/>
      <c r="B86" s="49"/>
      <c r="C86" s="49"/>
      <c r="D86" s="14"/>
      <c r="E86" s="49"/>
      <c r="F86" s="40"/>
      <c r="G86" s="40"/>
      <c r="H86" s="49"/>
      <c r="I86" s="35"/>
      <c r="J86" s="35"/>
      <c r="K86" s="35"/>
      <c r="L86" s="35"/>
    </row>
    <row r="87" spans="1:12" s="2" customFormat="1">
      <c r="A87" s="29"/>
      <c r="B87" s="49"/>
      <c r="C87" s="49"/>
      <c r="D87" s="14"/>
      <c r="E87" s="49"/>
      <c r="F87" s="40"/>
      <c r="G87" s="40"/>
      <c r="H87" s="49"/>
      <c r="I87" s="35"/>
      <c r="J87" s="35"/>
      <c r="K87" s="35"/>
      <c r="L87" s="35"/>
    </row>
    <row r="88" spans="1:12" s="2" customFormat="1">
      <c r="A88" s="29"/>
      <c r="B88" s="49"/>
      <c r="C88" s="49"/>
      <c r="D88" s="14"/>
      <c r="E88" s="49"/>
      <c r="F88" s="40"/>
      <c r="G88" s="40"/>
      <c r="H88" s="49"/>
      <c r="I88" s="35"/>
      <c r="J88" s="35"/>
      <c r="K88" s="35"/>
      <c r="L88" s="35"/>
    </row>
    <row r="89" spans="1:12" s="2" customFormat="1">
      <c r="A89" s="29"/>
      <c r="B89" s="49"/>
      <c r="C89" s="49"/>
      <c r="D89" s="49"/>
      <c r="E89" s="49"/>
      <c r="F89" s="40"/>
      <c r="G89" s="40"/>
      <c r="H89" s="49"/>
      <c r="I89" s="35"/>
      <c r="J89" s="35"/>
      <c r="K89" s="35"/>
      <c r="L89" s="35"/>
    </row>
    <row r="90" spans="1:12" s="2" customFormat="1">
      <c r="A90" s="29"/>
      <c r="B90" s="49"/>
      <c r="C90" s="49"/>
      <c r="D90" s="49"/>
      <c r="E90" s="49"/>
      <c r="F90" s="40"/>
      <c r="G90" s="40"/>
      <c r="H90" s="49"/>
      <c r="I90" s="35"/>
      <c r="J90" s="35"/>
      <c r="K90" s="35"/>
      <c r="L90" s="35"/>
    </row>
    <row r="91" spans="1:12" s="2" customFormat="1">
      <c r="A91" s="29"/>
      <c r="B91" s="49"/>
      <c r="C91" s="49"/>
      <c r="D91" s="49"/>
      <c r="E91" s="49"/>
      <c r="F91" s="40"/>
      <c r="G91" s="40"/>
      <c r="H91" s="49"/>
      <c r="I91" s="35"/>
      <c r="J91" s="35"/>
      <c r="K91" s="35"/>
      <c r="L91" s="35"/>
    </row>
    <row r="92" spans="1:12" s="2" customFormat="1">
      <c r="A92" s="29"/>
      <c r="B92" s="49"/>
      <c r="C92" s="49"/>
      <c r="D92" s="49"/>
      <c r="E92" s="49"/>
      <c r="F92" s="40"/>
      <c r="G92" s="40"/>
      <c r="H92" s="49"/>
      <c r="I92" s="35"/>
      <c r="J92" s="35"/>
      <c r="K92" s="35"/>
      <c r="L92" s="35"/>
    </row>
    <row r="93" spans="1:12" s="2" customFormat="1">
      <c r="A93" s="29"/>
      <c r="B93" s="49"/>
      <c r="C93" s="49"/>
      <c r="D93" s="49"/>
      <c r="E93" s="49"/>
      <c r="F93" s="40"/>
      <c r="G93" s="40"/>
      <c r="H93" s="49"/>
      <c r="I93" s="35"/>
      <c r="J93" s="35"/>
      <c r="K93" s="35"/>
      <c r="L93" s="35"/>
    </row>
    <row r="94" spans="1:12" s="2" customFormat="1">
      <c r="A94" s="29"/>
      <c r="B94" s="49"/>
      <c r="C94" s="49"/>
      <c r="D94" s="49"/>
      <c r="E94" s="49"/>
      <c r="F94" s="40"/>
      <c r="G94" s="40"/>
      <c r="H94" s="49"/>
      <c r="I94" s="35"/>
      <c r="J94" s="35"/>
      <c r="K94" s="35"/>
      <c r="L94" s="35"/>
    </row>
    <row r="95" spans="1:12" s="2" customFormat="1">
      <c r="A95" s="29"/>
      <c r="B95" s="49"/>
      <c r="C95" s="49"/>
      <c r="D95" s="49"/>
      <c r="E95" s="49"/>
      <c r="F95" s="40"/>
      <c r="G95" s="40"/>
      <c r="H95" s="49"/>
      <c r="I95" s="35"/>
      <c r="J95" s="35"/>
      <c r="K95" s="35"/>
      <c r="L95" s="35"/>
    </row>
    <row r="96" spans="1:12" s="2" customFormat="1">
      <c r="A96" s="29"/>
      <c r="B96" s="49"/>
      <c r="C96" s="49"/>
      <c r="D96" s="49"/>
      <c r="E96" s="49"/>
      <c r="F96" s="40"/>
      <c r="G96" s="40"/>
      <c r="H96" s="49"/>
      <c r="I96" s="35"/>
      <c r="J96" s="35"/>
      <c r="K96" s="35"/>
      <c r="L96" s="35"/>
    </row>
    <row r="97" spans="1:12" s="2" customFormat="1">
      <c r="A97" s="29"/>
      <c r="B97" s="49"/>
      <c r="C97" s="49"/>
      <c r="D97" s="49"/>
      <c r="E97" s="49"/>
      <c r="F97" s="40"/>
      <c r="G97" s="40"/>
      <c r="H97" s="49"/>
      <c r="I97" s="35"/>
      <c r="J97" s="35"/>
      <c r="K97" s="35"/>
      <c r="L97" s="35"/>
    </row>
    <row r="98" spans="1:12" s="2" customFormat="1">
      <c r="A98" s="29"/>
      <c r="B98" s="49"/>
      <c r="C98" s="49"/>
      <c r="D98" s="49"/>
      <c r="E98" s="49"/>
      <c r="F98" s="40"/>
      <c r="G98" s="40"/>
      <c r="H98" s="49"/>
      <c r="I98" s="35"/>
      <c r="J98" s="35"/>
      <c r="K98" s="35"/>
      <c r="L98" s="35"/>
    </row>
    <row r="99" spans="1:12" s="2" customFormat="1">
      <c r="A99" s="29"/>
      <c r="B99" s="49"/>
      <c r="C99" s="49"/>
      <c r="D99" s="49"/>
      <c r="E99" s="49"/>
      <c r="F99" s="40"/>
      <c r="G99" s="40"/>
      <c r="H99" s="49"/>
      <c r="I99" s="35"/>
      <c r="J99" s="35"/>
      <c r="K99" s="35"/>
      <c r="L99" s="35"/>
    </row>
    <row r="100" spans="1:12" s="2" customFormat="1">
      <c r="A100" s="29"/>
      <c r="B100" s="49"/>
      <c r="C100" s="49"/>
      <c r="D100" s="49"/>
      <c r="E100" s="49"/>
      <c r="F100" s="40"/>
      <c r="G100" s="40"/>
      <c r="H100" s="49"/>
      <c r="I100" s="35"/>
      <c r="J100" s="35"/>
      <c r="K100" s="35"/>
      <c r="L100" s="35"/>
    </row>
  </sheetData>
  <autoFilter ref="A14:N75" xr:uid="{00000000-0009-0000-0000-000004000000}"/>
  <mergeCells count="5">
    <mergeCell ref="B2:H2"/>
    <mergeCell ref="B3:H3"/>
    <mergeCell ref="B7:H7"/>
    <mergeCell ref="B13:L13"/>
    <mergeCell ref="F9:G10"/>
  </mergeCells>
  <phoneticPr fontId="19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3"/>
  <sheetViews>
    <sheetView zoomScale="85" zoomScaleNormal="85" workbookViewId="0">
      <pane ySplit="5" topLeftCell="A6" activePane="bottomLeft" state="frozen"/>
      <selection pane="bottomLeft" activeCell="D9" sqref="D9"/>
    </sheetView>
  </sheetViews>
  <sheetFormatPr defaultColWidth="9" defaultRowHeight="13.2"/>
  <cols>
    <col min="1" max="1" width="1.33203125" style="5" customWidth="1"/>
    <col min="2" max="2" width="29.21875" style="5" customWidth="1"/>
    <col min="3" max="3" width="30.21875" style="5" customWidth="1"/>
    <col min="4" max="4" width="30.44140625" style="5" customWidth="1"/>
    <col min="5" max="5" width="16.21875" style="5" customWidth="1"/>
    <col min="6" max="6" width="24.88671875" style="5" customWidth="1"/>
    <col min="7" max="7" width="41.33203125" style="5" customWidth="1"/>
    <col min="8" max="8" width="21.5546875" style="5" customWidth="1"/>
    <col min="9" max="9" width="9.21875" style="5" customWidth="1"/>
    <col min="10" max="10" width="10" style="5" customWidth="1"/>
    <col min="11" max="11" width="9.6640625" style="5" customWidth="1"/>
    <col min="12" max="12" width="10.77734375" style="3" customWidth="1"/>
    <col min="13" max="16384" width="9" style="3"/>
  </cols>
  <sheetData>
    <row r="1" spans="1:14">
      <c r="B1" s="7" t="str">
        <f>HYPERLINK("#导航!a2","返回")</f>
        <v>返回</v>
      </c>
    </row>
    <row r="2" spans="1:14">
      <c r="B2" s="156"/>
      <c r="C2" s="156"/>
      <c r="D2" s="156"/>
      <c r="E2" s="156"/>
      <c r="F2" s="156"/>
      <c r="G2" s="156"/>
      <c r="H2" s="156"/>
    </row>
    <row r="3" spans="1:14">
      <c r="B3" s="157" t="s">
        <v>106</v>
      </c>
      <c r="C3" s="157"/>
      <c r="D3" s="157"/>
      <c r="E3" s="157"/>
      <c r="F3" s="157"/>
      <c r="G3" s="157"/>
      <c r="H3" s="157"/>
    </row>
    <row r="4" spans="1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1:14">
      <c r="B5" s="11" t="s">
        <v>26</v>
      </c>
      <c r="C5" s="12" t="s">
        <v>2093</v>
      </c>
      <c r="D5" s="15" t="s">
        <v>37</v>
      </c>
      <c r="E5" s="14" t="s">
        <v>112</v>
      </c>
      <c r="F5" s="15"/>
      <c r="G5" s="49"/>
      <c r="H5" s="14"/>
      <c r="N5" s="5"/>
    </row>
    <row r="6" spans="1:14">
      <c r="B6" s="8"/>
      <c r="C6" s="8"/>
      <c r="D6" s="8"/>
      <c r="E6" s="8"/>
      <c r="F6" s="8"/>
      <c r="G6" s="8"/>
      <c r="H6" s="8"/>
    </row>
    <row r="7" spans="1:14">
      <c r="B7" s="157" t="s">
        <v>113</v>
      </c>
      <c r="C7" s="157"/>
      <c r="D7" s="157"/>
      <c r="E7" s="157"/>
      <c r="F7" s="157"/>
      <c r="G7" s="157"/>
      <c r="H7" s="157"/>
    </row>
    <row r="8" spans="1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1:14" ht="13.8" customHeight="1">
      <c r="B9" s="14"/>
      <c r="C9" s="12" t="s">
        <v>2609</v>
      </c>
      <c r="D9" s="12" t="s">
        <v>37</v>
      </c>
      <c r="E9" s="14" t="s">
        <v>243</v>
      </c>
      <c r="F9" s="19"/>
      <c r="G9" s="19"/>
      <c r="H9" s="21" t="s">
        <v>38</v>
      </c>
    </row>
    <row r="10" spans="1:14">
      <c r="G10" s="48"/>
    </row>
    <row r="11" spans="1:14">
      <c r="B11" s="5" t="s">
        <v>120</v>
      </c>
    </row>
    <row r="12" spans="1:14">
      <c r="B12" s="157" t="s">
        <v>120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</row>
    <row r="13" spans="1:14">
      <c r="B13" s="9" t="s">
        <v>121</v>
      </c>
      <c r="C13" s="9" t="s">
        <v>122</v>
      </c>
      <c r="D13" s="9" t="s">
        <v>123</v>
      </c>
      <c r="E13" s="9" t="s">
        <v>124</v>
      </c>
      <c r="F13" s="9" t="s">
        <v>125</v>
      </c>
      <c r="G13" s="9" t="s">
        <v>126</v>
      </c>
      <c r="H13" s="9" t="s">
        <v>127</v>
      </c>
      <c r="I13" s="9" t="s">
        <v>22</v>
      </c>
      <c r="J13" s="9" t="s">
        <v>128</v>
      </c>
      <c r="K13" s="9" t="s">
        <v>129</v>
      </c>
      <c r="L13" s="9" t="s">
        <v>130</v>
      </c>
    </row>
    <row r="14" spans="1:14" s="2" customFormat="1">
      <c r="B14" s="49" t="s">
        <v>131</v>
      </c>
      <c r="C14" s="14" t="s">
        <v>132</v>
      </c>
      <c r="D14" s="12" t="s">
        <v>269</v>
      </c>
      <c r="E14" s="30" t="s">
        <v>243</v>
      </c>
      <c r="F14" s="19" t="s">
        <v>131</v>
      </c>
      <c r="G14" s="19" t="s">
        <v>250</v>
      </c>
      <c r="H14" s="32"/>
      <c r="I14" s="34"/>
      <c r="J14" s="34" t="s">
        <v>29</v>
      </c>
      <c r="K14" s="35" t="s">
        <v>134</v>
      </c>
      <c r="L14" s="35" t="s">
        <v>134</v>
      </c>
    </row>
    <row r="15" spans="1:14" s="2" customFormat="1">
      <c r="A15" s="2">
        <f t="shared" ref="A15" si="0">ROW()-1</f>
        <v>14</v>
      </c>
      <c r="B15" s="49" t="s">
        <v>251</v>
      </c>
      <c r="C15" s="14" t="s">
        <v>132</v>
      </c>
      <c r="D15" s="12" t="s">
        <v>252</v>
      </c>
      <c r="E15" s="30" t="s">
        <v>243</v>
      </c>
      <c r="F15" s="19" t="s">
        <v>251</v>
      </c>
      <c r="G15" s="19" t="s">
        <v>250</v>
      </c>
      <c r="H15" s="32"/>
      <c r="I15" s="34"/>
      <c r="J15" s="34" t="s">
        <v>29</v>
      </c>
      <c r="K15" s="35" t="s">
        <v>134</v>
      </c>
      <c r="L15" s="35" t="s">
        <v>134</v>
      </c>
    </row>
    <row r="16" spans="1:14" s="2" customFormat="1">
      <c r="A16" s="29"/>
      <c r="B16" s="49" t="s">
        <v>257</v>
      </c>
      <c r="C16" s="14" t="s">
        <v>132</v>
      </c>
      <c r="D16" s="12" t="s">
        <v>270</v>
      </c>
      <c r="E16" s="30" t="s">
        <v>243</v>
      </c>
      <c r="F16" s="19" t="s">
        <v>257</v>
      </c>
      <c r="G16" s="19" t="s">
        <v>250</v>
      </c>
      <c r="H16" s="49"/>
      <c r="I16" s="35"/>
      <c r="J16" s="34" t="s">
        <v>29</v>
      </c>
      <c r="K16" s="35" t="s">
        <v>134</v>
      </c>
      <c r="L16" s="35" t="s">
        <v>134</v>
      </c>
    </row>
    <row r="17" spans="1:17" s="2" customFormat="1">
      <c r="A17" s="29"/>
      <c r="B17" s="49" t="s">
        <v>254</v>
      </c>
      <c r="C17" s="14" t="s">
        <v>132</v>
      </c>
      <c r="D17" s="12" t="s">
        <v>255</v>
      </c>
      <c r="E17" s="30" t="s">
        <v>243</v>
      </c>
      <c r="F17" s="19" t="s">
        <v>254</v>
      </c>
      <c r="G17" s="19" t="s">
        <v>250</v>
      </c>
      <c r="H17" s="49"/>
      <c r="I17" s="35"/>
      <c r="J17" s="34" t="s">
        <v>29</v>
      </c>
      <c r="K17" s="35" t="s">
        <v>134</v>
      </c>
      <c r="L17" s="35" t="s">
        <v>134</v>
      </c>
    </row>
    <row r="18" spans="1:17" s="2" customFormat="1">
      <c r="A18" s="29"/>
      <c r="B18" s="49" t="s">
        <v>135</v>
      </c>
      <c r="C18" s="14" t="s">
        <v>136</v>
      </c>
      <c r="D18" s="12" t="s">
        <v>271</v>
      </c>
      <c r="E18" s="30" t="s">
        <v>243</v>
      </c>
      <c r="F18" s="19" t="s">
        <v>135</v>
      </c>
      <c r="G18" s="19" t="s">
        <v>250</v>
      </c>
      <c r="H18" s="49"/>
      <c r="I18" s="35"/>
      <c r="J18" s="34" t="s">
        <v>29</v>
      </c>
      <c r="K18" s="35" t="s">
        <v>134</v>
      </c>
      <c r="L18" s="35" t="s">
        <v>134</v>
      </c>
    </row>
    <row r="19" spans="1:17" s="2" customFormat="1">
      <c r="A19" s="29"/>
      <c r="B19" s="49" t="s">
        <v>138</v>
      </c>
      <c r="C19" s="14" t="s">
        <v>139</v>
      </c>
      <c r="D19" s="12" t="s">
        <v>272</v>
      </c>
      <c r="E19" s="30" t="s">
        <v>243</v>
      </c>
      <c r="F19" s="19" t="s">
        <v>138</v>
      </c>
      <c r="G19" s="19" t="s">
        <v>250</v>
      </c>
      <c r="H19" s="49"/>
      <c r="I19" s="35"/>
      <c r="J19" s="34" t="s">
        <v>29</v>
      </c>
      <c r="K19" s="35" t="s">
        <v>134</v>
      </c>
      <c r="L19" s="35" t="s">
        <v>134</v>
      </c>
    </row>
    <row r="20" spans="1:17" s="2" customFormat="1">
      <c r="A20" s="29"/>
      <c r="B20" s="49" t="s">
        <v>273</v>
      </c>
      <c r="C20" s="14" t="s">
        <v>139</v>
      </c>
      <c r="D20" s="12" t="s">
        <v>274</v>
      </c>
      <c r="E20" s="30" t="s">
        <v>243</v>
      </c>
      <c r="F20" s="19" t="s">
        <v>233</v>
      </c>
      <c r="G20" s="19" t="s">
        <v>250</v>
      </c>
      <c r="H20" s="99"/>
      <c r="I20" s="35"/>
      <c r="J20" s="34" t="s">
        <v>29</v>
      </c>
      <c r="K20" s="35" t="s">
        <v>134</v>
      </c>
      <c r="L20" s="35" t="s">
        <v>134</v>
      </c>
    </row>
    <row r="21" spans="1:17" s="2" customFormat="1">
      <c r="A21" s="29"/>
      <c r="B21" s="49" t="s">
        <v>207</v>
      </c>
      <c r="C21" s="14" t="s">
        <v>245</v>
      </c>
      <c r="D21" s="12" t="s">
        <v>208</v>
      </c>
      <c r="E21" s="30" t="s">
        <v>243</v>
      </c>
      <c r="F21" s="19" t="s">
        <v>207</v>
      </c>
      <c r="G21" s="19" t="s">
        <v>250</v>
      </c>
      <c r="H21" s="99"/>
      <c r="I21" s="35"/>
      <c r="J21" s="34" t="s">
        <v>29</v>
      </c>
      <c r="K21" s="35" t="s">
        <v>134</v>
      </c>
      <c r="L21" s="35" t="s">
        <v>134</v>
      </c>
    </row>
    <row r="22" spans="1:17" s="2" customFormat="1">
      <c r="A22" s="29"/>
      <c r="B22" s="49" t="s">
        <v>209</v>
      </c>
      <c r="C22" s="14" t="s">
        <v>245</v>
      </c>
      <c r="D22" s="12" t="s">
        <v>210</v>
      </c>
      <c r="E22" s="30" t="s">
        <v>243</v>
      </c>
      <c r="F22" s="19" t="s">
        <v>209</v>
      </c>
      <c r="G22" s="19" t="s">
        <v>250</v>
      </c>
      <c r="H22" s="99"/>
      <c r="I22" s="35"/>
      <c r="J22" s="34" t="s">
        <v>29</v>
      </c>
      <c r="K22" s="35" t="s">
        <v>134</v>
      </c>
      <c r="L22" s="35" t="s">
        <v>134</v>
      </c>
    </row>
    <row r="23" spans="1:17" s="2" customFormat="1">
      <c r="A23" s="29"/>
      <c r="B23" s="49" t="s">
        <v>202</v>
      </c>
      <c r="C23" s="74" t="s">
        <v>139</v>
      </c>
      <c r="D23" s="12" t="s">
        <v>204</v>
      </c>
      <c r="E23" s="30" t="s">
        <v>243</v>
      </c>
      <c r="F23" s="19" t="s">
        <v>202</v>
      </c>
      <c r="G23" s="19" t="s">
        <v>250</v>
      </c>
      <c r="H23" s="99"/>
      <c r="I23" s="35"/>
      <c r="J23" s="34" t="s">
        <v>29</v>
      </c>
      <c r="K23" s="35" t="s">
        <v>134</v>
      </c>
      <c r="L23" s="35" t="s">
        <v>134</v>
      </c>
    </row>
    <row r="24" spans="1:17" s="4" customFormat="1">
      <c r="B24" s="50" t="s">
        <v>233</v>
      </c>
      <c r="C24" s="51" t="s">
        <v>139</v>
      </c>
      <c r="D24" s="37" t="s">
        <v>234</v>
      </c>
      <c r="E24" s="52"/>
      <c r="F24" s="52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</row>
    <row r="25" spans="1:17" s="4" customFormat="1">
      <c r="B25" s="50" t="s">
        <v>235</v>
      </c>
      <c r="C25" s="51" t="s">
        <v>132</v>
      </c>
      <c r="D25" s="37" t="s">
        <v>236</v>
      </c>
      <c r="E25" s="52"/>
      <c r="F25" s="52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</row>
    <row r="26" spans="1:17" s="4" customFormat="1">
      <c r="B26" s="50" t="s">
        <v>237</v>
      </c>
      <c r="C26" s="51" t="s">
        <v>139</v>
      </c>
      <c r="D26" s="37" t="s">
        <v>238</v>
      </c>
      <c r="E26" s="52"/>
      <c r="F26" s="52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</row>
    <row r="27" spans="1:17" s="4" customFormat="1">
      <c r="B27" s="50" t="s">
        <v>239</v>
      </c>
      <c r="C27" s="51" t="s">
        <v>139</v>
      </c>
      <c r="D27" s="37" t="s">
        <v>240</v>
      </c>
      <c r="E27" s="100"/>
      <c r="F27" s="52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</row>
    <row r="28" spans="1:17" s="4" customFormat="1">
      <c r="B28" s="50" t="s">
        <v>241</v>
      </c>
      <c r="C28" s="51" t="s">
        <v>139</v>
      </c>
      <c r="D28" s="37" t="s">
        <v>242</v>
      </c>
      <c r="E28" s="52"/>
      <c r="F28" s="52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</row>
    <row r="29" spans="1:17" s="2" customFormat="1">
      <c r="A29" s="29"/>
      <c r="B29" s="49"/>
      <c r="C29" s="49"/>
      <c r="D29" s="49"/>
      <c r="E29" s="49"/>
      <c r="F29" s="40"/>
      <c r="G29" s="40"/>
      <c r="H29" s="49"/>
      <c r="I29" s="35"/>
      <c r="J29" s="35"/>
      <c r="K29" s="35"/>
      <c r="L29" s="35"/>
    </row>
    <row r="30" spans="1:17" s="2" customFormat="1">
      <c r="A30" s="29"/>
      <c r="B30" s="49"/>
      <c r="C30" s="49"/>
      <c r="D30" s="49"/>
      <c r="E30" s="49"/>
      <c r="F30" s="40"/>
      <c r="G30" s="40"/>
      <c r="H30" s="49"/>
      <c r="I30" s="35"/>
      <c r="J30" s="35"/>
      <c r="K30" s="35"/>
      <c r="L30" s="35"/>
    </row>
    <row r="31" spans="1:17" s="2" customFormat="1">
      <c r="A31" s="29"/>
      <c r="B31" s="49"/>
      <c r="C31" s="49"/>
      <c r="D31" s="49"/>
      <c r="E31" s="49"/>
      <c r="F31" s="40"/>
      <c r="G31" s="40"/>
      <c r="H31" s="49"/>
      <c r="I31" s="35"/>
      <c r="J31" s="35"/>
      <c r="K31" s="35"/>
      <c r="L31" s="35"/>
    </row>
    <row r="32" spans="1:17" s="2" customFormat="1">
      <c r="A32" s="29"/>
      <c r="B32" s="49"/>
      <c r="C32" s="49"/>
      <c r="D32" s="49"/>
      <c r="E32" s="49"/>
      <c r="F32" s="40"/>
      <c r="G32" s="40"/>
      <c r="H32" s="49"/>
      <c r="I32" s="35"/>
      <c r="J32" s="35"/>
      <c r="K32" s="35"/>
      <c r="L32" s="35"/>
    </row>
    <row r="33" spans="1:12" s="2" customFormat="1">
      <c r="A33" s="29"/>
      <c r="B33" s="49"/>
      <c r="C33" s="49"/>
      <c r="D33" s="49"/>
      <c r="E33" s="49"/>
      <c r="F33" s="40"/>
      <c r="G33" s="40"/>
      <c r="H33" s="49"/>
      <c r="I33" s="35"/>
      <c r="J33" s="35"/>
      <c r="K33" s="35"/>
      <c r="L33" s="35"/>
    </row>
    <row r="34" spans="1:12" s="2" customFormat="1">
      <c r="A34" s="29"/>
      <c r="B34" s="49"/>
      <c r="C34" s="49"/>
      <c r="D34" s="49"/>
      <c r="E34" s="49"/>
      <c r="F34" s="40"/>
      <c r="G34" s="40"/>
      <c r="H34" s="49"/>
      <c r="I34" s="35"/>
      <c r="J34" s="35"/>
      <c r="K34" s="35"/>
      <c r="L34" s="35"/>
    </row>
    <row r="35" spans="1:12" s="2" customFormat="1">
      <c r="A35" s="29"/>
      <c r="B35" s="49"/>
      <c r="C35" s="49"/>
      <c r="D35" s="49"/>
      <c r="E35" s="49"/>
      <c r="F35" s="40"/>
      <c r="G35" s="40"/>
      <c r="H35" s="49"/>
      <c r="I35" s="35"/>
      <c r="J35" s="35"/>
      <c r="K35" s="35"/>
      <c r="L35" s="35"/>
    </row>
    <row r="36" spans="1:12" s="2" customFormat="1">
      <c r="A36" s="29"/>
      <c r="B36" s="49"/>
      <c r="C36" s="49"/>
      <c r="D36" s="49"/>
      <c r="E36" s="49"/>
      <c r="F36" s="40"/>
      <c r="G36" s="40"/>
      <c r="H36" s="49"/>
      <c r="I36" s="35"/>
      <c r="J36" s="35"/>
      <c r="K36" s="35"/>
      <c r="L36" s="35"/>
    </row>
    <row r="37" spans="1:12" s="2" customFormat="1">
      <c r="A37" s="29"/>
      <c r="B37" s="49"/>
      <c r="C37" s="49"/>
      <c r="D37" s="14"/>
      <c r="E37" s="49"/>
      <c r="F37" s="40"/>
      <c r="G37" s="40"/>
      <c r="H37" s="49"/>
      <c r="I37" s="35"/>
      <c r="J37" s="35"/>
      <c r="K37" s="35"/>
      <c r="L37" s="35"/>
    </row>
    <row r="38" spans="1:12" s="2" customFormat="1">
      <c r="A38" s="29"/>
      <c r="B38" s="49"/>
      <c r="C38" s="49"/>
      <c r="D38" s="14"/>
      <c r="E38" s="49"/>
      <c r="F38" s="40"/>
      <c r="G38" s="40"/>
      <c r="H38" s="49"/>
      <c r="I38" s="35"/>
      <c r="J38" s="35"/>
      <c r="K38" s="35"/>
      <c r="L38" s="35"/>
    </row>
    <row r="39" spans="1:12" s="2" customFormat="1">
      <c r="A39" s="29"/>
      <c r="B39" s="49"/>
      <c r="C39" s="49"/>
      <c r="D39" s="14"/>
      <c r="E39" s="49"/>
      <c r="F39" s="40"/>
      <c r="G39" s="40"/>
      <c r="H39" s="49"/>
      <c r="I39" s="35"/>
      <c r="J39" s="35"/>
      <c r="K39" s="35"/>
      <c r="L39" s="35"/>
    </row>
    <row r="40" spans="1:12" s="2" customFormat="1">
      <c r="A40" s="29"/>
      <c r="B40" s="49"/>
      <c r="C40" s="49"/>
      <c r="D40" s="14"/>
      <c r="E40" s="49"/>
      <c r="F40" s="40"/>
      <c r="G40" s="40"/>
      <c r="H40" s="49"/>
      <c r="I40" s="35"/>
      <c r="J40" s="35"/>
      <c r="K40" s="35"/>
      <c r="L40" s="35"/>
    </row>
    <row r="41" spans="1:12" s="2" customFormat="1">
      <c r="A41" s="29"/>
      <c r="B41" s="49"/>
      <c r="C41" s="49"/>
      <c r="D41" s="14"/>
      <c r="E41" s="49"/>
      <c r="F41" s="40"/>
      <c r="G41" s="40"/>
      <c r="H41" s="49"/>
      <c r="I41" s="35"/>
      <c r="J41" s="35"/>
      <c r="K41" s="35"/>
      <c r="L41" s="35"/>
    </row>
    <row r="42" spans="1:12" s="2" customFormat="1">
      <c r="A42" s="29"/>
      <c r="B42" s="49"/>
      <c r="C42" s="49"/>
      <c r="D42" s="49"/>
      <c r="E42" s="49"/>
      <c r="F42" s="40"/>
      <c r="G42" s="40"/>
      <c r="H42" s="49"/>
      <c r="I42" s="35"/>
      <c r="J42" s="35"/>
      <c r="K42" s="35"/>
      <c r="L42" s="35"/>
    </row>
    <row r="43" spans="1:12" s="2" customFormat="1">
      <c r="A43" s="29"/>
      <c r="B43" s="49"/>
      <c r="C43" s="49"/>
      <c r="D43" s="49"/>
      <c r="E43" s="49"/>
      <c r="F43" s="40"/>
      <c r="G43" s="40"/>
      <c r="H43" s="49"/>
      <c r="I43" s="35"/>
      <c r="J43" s="35"/>
      <c r="K43" s="35"/>
      <c r="L43" s="35"/>
    </row>
    <row r="44" spans="1:12" s="2" customFormat="1">
      <c r="A44" s="29"/>
      <c r="B44" s="49"/>
      <c r="C44" s="49"/>
      <c r="D44" s="49"/>
      <c r="E44" s="49"/>
      <c r="F44" s="40"/>
      <c r="G44" s="40"/>
      <c r="H44" s="49"/>
      <c r="I44" s="35"/>
      <c r="J44" s="35"/>
      <c r="K44" s="35"/>
      <c r="L44" s="35"/>
    </row>
    <row r="45" spans="1:12" s="2" customFormat="1">
      <c r="A45" s="29"/>
      <c r="B45" s="49"/>
      <c r="C45" s="49"/>
      <c r="D45" s="49"/>
      <c r="E45" s="49"/>
      <c r="F45" s="40"/>
      <c r="G45" s="40"/>
      <c r="H45" s="49"/>
      <c r="I45" s="35"/>
      <c r="J45" s="35"/>
      <c r="K45" s="35"/>
      <c r="L45" s="35"/>
    </row>
    <row r="46" spans="1:12" s="2" customFormat="1">
      <c r="A46" s="29"/>
      <c r="B46" s="49"/>
      <c r="C46" s="49"/>
      <c r="D46" s="49"/>
      <c r="E46" s="49"/>
      <c r="F46" s="40"/>
      <c r="G46" s="40"/>
      <c r="H46" s="49"/>
      <c r="I46" s="35"/>
      <c r="J46" s="35"/>
      <c r="K46" s="35"/>
      <c r="L46" s="35"/>
    </row>
    <row r="47" spans="1:12" s="2" customFormat="1">
      <c r="A47" s="29"/>
      <c r="B47" s="49"/>
      <c r="C47" s="49"/>
      <c r="D47" s="49"/>
      <c r="E47" s="49"/>
      <c r="F47" s="40"/>
      <c r="G47" s="40"/>
      <c r="H47" s="49"/>
      <c r="I47" s="35"/>
      <c r="J47" s="35"/>
      <c r="K47" s="35"/>
      <c r="L47" s="35"/>
    </row>
    <row r="48" spans="1:12" s="2" customFormat="1">
      <c r="A48" s="29"/>
      <c r="B48" s="49"/>
      <c r="C48" s="49"/>
      <c r="D48" s="49"/>
      <c r="E48" s="49"/>
      <c r="F48" s="40"/>
      <c r="G48" s="40"/>
      <c r="H48" s="49"/>
      <c r="I48" s="35"/>
      <c r="J48" s="35"/>
      <c r="K48" s="35"/>
      <c r="L48" s="35"/>
    </row>
    <row r="49" spans="1:12" s="2" customFormat="1">
      <c r="A49" s="29"/>
      <c r="B49" s="49"/>
      <c r="C49" s="49"/>
      <c r="D49" s="49"/>
      <c r="E49" s="49"/>
      <c r="F49" s="40"/>
      <c r="G49" s="40"/>
      <c r="H49" s="49"/>
      <c r="I49" s="35"/>
      <c r="J49" s="35"/>
      <c r="K49" s="35"/>
      <c r="L49" s="35"/>
    </row>
    <row r="50" spans="1:12" s="2" customFormat="1">
      <c r="A50" s="29"/>
      <c r="B50" s="49"/>
      <c r="C50" s="49"/>
      <c r="D50" s="49"/>
      <c r="E50" s="49"/>
      <c r="F50" s="40"/>
      <c r="G50" s="40"/>
      <c r="H50" s="49"/>
      <c r="I50" s="35"/>
      <c r="J50" s="35"/>
      <c r="K50" s="35"/>
      <c r="L50" s="35"/>
    </row>
    <row r="51" spans="1:12" s="2" customFormat="1">
      <c r="A51" s="29"/>
      <c r="B51" s="49"/>
      <c r="C51" s="49"/>
      <c r="D51" s="49"/>
      <c r="E51" s="49"/>
      <c r="F51" s="40"/>
      <c r="G51" s="40"/>
      <c r="H51" s="49"/>
      <c r="I51" s="35"/>
      <c r="J51" s="35"/>
      <c r="K51" s="35"/>
      <c r="L51" s="35"/>
    </row>
    <row r="52" spans="1:12" s="2" customFormat="1">
      <c r="A52" s="29"/>
      <c r="B52" s="49"/>
      <c r="C52" s="49"/>
      <c r="D52" s="49"/>
      <c r="E52" s="49"/>
      <c r="F52" s="40"/>
      <c r="G52" s="40"/>
      <c r="H52" s="49"/>
      <c r="I52" s="35"/>
      <c r="J52" s="35"/>
      <c r="K52" s="35"/>
      <c r="L52" s="35"/>
    </row>
    <row r="53" spans="1:12" s="2" customFormat="1">
      <c r="A53" s="29"/>
      <c r="B53" s="49"/>
      <c r="C53" s="49"/>
      <c r="D53" s="49"/>
      <c r="E53" s="49"/>
      <c r="F53" s="40"/>
      <c r="G53" s="40"/>
      <c r="H53" s="49"/>
      <c r="I53" s="35"/>
      <c r="J53" s="35"/>
      <c r="K53" s="35"/>
      <c r="L53" s="35"/>
    </row>
  </sheetData>
  <autoFilter ref="A13:N28" xr:uid="{00000000-0009-0000-0000-000005000000}"/>
  <mergeCells count="4">
    <mergeCell ref="B2:H2"/>
    <mergeCell ref="B3:H3"/>
    <mergeCell ref="B7:H7"/>
    <mergeCell ref="B12:L12"/>
  </mergeCells>
  <phoneticPr fontId="19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83"/>
  <sheetViews>
    <sheetView zoomScale="85" zoomScaleNormal="85" workbookViewId="0">
      <pane ySplit="5" topLeftCell="A6" activePane="bottomLeft" state="frozen"/>
      <selection activeCell="F6" sqref="F6"/>
      <selection pane="bottomLeft" activeCell="C10" sqref="C10"/>
    </sheetView>
  </sheetViews>
  <sheetFormatPr defaultColWidth="9" defaultRowHeight="13.2"/>
  <cols>
    <col min="1" max="1" width="1.33203125" style="5" customWidth="1"/>
    <col min="2" max="2" width="29.21875" style="5" customWidth="1"/>
    <col min="3" max="3" width="30.21875" style="5" customWidth="1"/>
    <col min="4" max="4" width="30.44140625" style="5" customWidth="1"/>
    <col min="5" max="5" width="16.21875" style="5" customWidth="1"/>
    <col min="6" max="6" width="17.109375" style="5" customWidth="1"/>
    <col min="7" max="7" width="61.88671875" style="5" customWidth="1"/>
    <col min="8" max="8" width="14.44140625" style="5" customWidth="1"/>
    <col min="9" max="9" width="9.21875" style="5" customWidth="1"/>
    <col min="10" max="10" width="10.109375" style="5" customWidth="1"/>
    <col min="11" max="11" width="7.6640625" style="5" customWidth="1"/>
    <col min="12" max="12" width="9" style="3" customWidth="1"/>
    <col min="13" max="16384" width="9" style="3"/>
  </cols>
  <sheetData>
    <row r="1" spans="1:14">
      <c r="B1" s="7" t="str">
        <f>HYPERLINK("#导航!a2","返回")</f>
        <v>返回</v>
      </c>
    </row>
    <row r="2" spans="1:14">
      <c r="B2" s="156"/>
      <c r="C2" s="156"/>
      <c r="D2" s="156"/>
      <c r="E2" s="156"/>
      <c r="F2" s="156"/>
      <c r="G2" s="156"/>
      <c r="H2" s="156"/>
    </row>
    <row r="3" spans="1:14">
      <c r="B3" s="157" t="s">
        <v>106</v>
      </c>
      <c r="C3" s="157"/>
      <c r="D3" s="157"/>
      <c r="E3" s="157"/>
      <c r="F3" s="157"/>
      <c r="G3" s="157"/>
      <c r="H3" s="157"/>
    </row>
    <row r="4" spans="1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1:14">
      <c r="B5" s="11" t="s">
        <v>26</v>
      </c>
      <c r="C5" s="12" t="s">
        <v>42</v>
      </c>
      <c r="D5" s="15" t="s">
        <v>43</v>
      </c>
      <c r="E5" s="14" t="s">
        <v>112</v>
      </c>
      <c r="F5" s="15"/>
      <c r="G5" s="14"/>
      <c r="H5" s="14"/>
      <c r="N5" s="5"/>
    </row>
    <row r="6" spans="1:14">
      <c r="B6" s="8"/>
      <c r="C6" s="8"/>
      <c r="D6" s="8"/>
      <c r="E6" s="8"/>
      <c r="F6" s="8"/>
      <c r="G6" s="8"/>
      <c r="H6" s="8"/>
    </row>
    <row r="7" spans="1:14">
      <c r="B7" s="157" t="s">
        <v>113</v>
      </c>
      <c r="C7" s="157"/>
      <c r="D7" s="157"/>
      <c r="E7" s="157"/>
      <c r="F7" s="157"/>
      <c r="G7" s="157"/>
      <c r="H7" s="157"/>
    </row>
    <row r="8" spans="1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1:14" ht="13.8" customHeight="1">
      <c r="B9" s="14"/>
      <c r="C9" s="12" t="s">
        <v>2609</v>
      </c>
      <c r="D9" s="12" t="s">
        <v>37</v>
      </c>
      <c r="E9" s="14" t="s">
        <v>243</v>
      </c>
      <c r="F9" s="19"/>
      <c r="G9" s="19"/>
      <c r="H9" s="21" t="s">
        <v>38</v>
      </c>
    </row>
    <row r="10" spans="1:14">
      <c r="B10" s="14"/>
      <c r="C10" s="12" t="s">
        <v>275</v>
      </c>
      <c r="D10" s="12" t="s">
        <v>276</v>
      </c>
      <c r="E10" s="14" t="s">
        <v>248</v>
      </c>
      <c r="F10" s="19"/>
      <c r="G10" s="49" t="s">
        <v>277</v>
      </c>
      <c r="H10" s="14"/>
    </row>
    <row r="11" spans="1:14">
      <c r="G11" s="48"/>
    </row>
    <row r="12" spans="1:14">
      <c r="B12" s="5" t="s">
        <v>120</v>
      </c>
    </row>
    <row r="13" spans="1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1:14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1:14" s="2" customFormat="1">
      <c r="B15" s="14" t="s">
        <v>266</v>
      </c>
      <c r="C15" s="14" t="s">
        <v>136</v>
      </c>
      <c r="D15" s="12" t="s">
        <v>278</v>
      </c>
      <c r="E15" s="30" t="s">
        <v>243</v>
      </c>
      <c r="F15" s="19" t="s">
        <v>266</v>
      </c>
      <c r="G15" s="31" t="s">
        <v>250</v>
      </c>
      <c r="H15" s="32"/>
      <c r="I15" s="34"/>
      <c r="J15" s="34" t="s">
        <v>29</v>
      </c>
      <c r="K15" s="35" t="s">
        <v>134</v>
      </c>
      <c r="L15" s="35" t="s">
        <v>134</v>
      </c>
    </row>
    <row r="16" spans="1:14" s="2" customFormat="1">
      <c r="A16" s="2">
        <f t="shared" ref="A16" si="0">ROW()-1</f>
        <v>15</v>
      </c>
      <c r="B16" s="14" t="s">
        <v>141</v>
      </c>
      <c r="C16" s="14" t="s">
        <v>132</v>
      </c>
      <c r="D16" s="12" t="s">
        <v>143</v>
      </c>
      <c r="E16" s="30" t="s">
        <v>243</v>
      </c>
      <c r="F16" s="19" t="s">
        <v>141</v>
      </c>
      <c r="G16" s="31" t="s">
        <v>250</v>
      </c>
      <c r="H16" s="32"/>
      <c r="I16" s="34"/>
      <c r="J16" s="34" t="s">
        <v>29</v>
      </c>
      <c r="K16" s="35" t="s">
        <v>134</v>
      </c>
      <c r="L16" s="35" t="s">
        <v>134</v>
      </c>
    </row>
    <row r="17" spans="1:12" s="2" customFormat="1" ht="79.2">
      <c r="A17" s="29"/>
      <c r="B17" s="14" t="s">
        <v>2329</v>
      </c>
      <c r="C17" s="14" t="s">
        <v>139</v>
      </c>
      <c r="D17" s="20" t="s">
        <v>228</v>
      </c>
      <c r="E17" s="30" t="s">
        <v>243</v>
      </c>
      <c r="F17" s="19" t="s">
        <v>227</v>
      </c>
      <c r="G17" s="31" t="s">
        <v>250</v>
      </c>
      <c r="H17" s="32"/>
      <c r="I17" s="35"/>
      <c r="J17" s="34" t="s">
        <v>29</v>
      </c>
      <c r="K17" s="35" t="s">
        <v>134</v>
      </c>
      <c r="L17" s="35" t="s">
        <v>134</v>
      </c>
    </row>
    <row r="18" spans="1:12" s="2" customFormat="1">
      <c r="A18" s="29"/>
      <c r="B18" s="14" t="s">
        <v>251</v>
      </c>
      <c r="C18" s="14" t="s">
        <v>132</v>
      </c>
      <c r="D18" s="12" t="s">
        <v>279</v>
      </c>
      <c r="E18" s="30" t="s">
        <v>243</v>
      </c>
      <c r="F18" s="19" t="s">
        <v>251</v>
      </c>
      <c r="G18" s="31" t="s">
        <v>250</v>
      </c>
      <c r="H18" s="32"/>
      <c r="I18" s="35"/>
      <c r="J18" s="34" t="s">
        <v>29</v>
      </c>
      <c r="K18" s="35" t="s">
        <v>134</v>
      </c>
      <c r="L18" s="35" t="s">
        <v>134</v>
      </c>
    </row>
    <row r="19" spans="1:12" s="2" customFormat="1">
      <c r="A19" s="29"/>
      <c r="B19" s="14" t="s">
        <v>257</v>
      </c>
      <c r="C19" s="14" t="s">
        <v>132</v>
      </c>
      <c r="D19" s="12" t="s">
        <v>280</v>
      </c>
      <c r="E19" s="30" t="s">
        <v>243</v>
      </c>
      <c r="F19" s="19" t="s">
        <v>257</v>
      </c>
      <c r="G19" s="31" t="s">
        <v>250</v>
      </c>
      <c r="H19" s="32"/>
      <c r="I19" s="35"/>
      <c r="J19" s="34" t="s">
        <v>29</v>
      </c>
      <c r="K19" s="35" t="s">
        <v>134</v>
      </c>
      <c r="L19" s="35" t="s">
        <v>134</v>
      </c>
    </row>
    <row r="20" spans="1:12" s="2" customFormat="1">
      <c r="A20" s="29"/>
      <c r="B20" s="14" t="s">
        <v>254</v>
      </c>
      <c r="C20" s="14" t="s">
        <v>132</v>
      </c>
      <c r="D20" s="12" t="s">
        <v>281</v>
      </c>
      <c r="E20" s="30" t="s">
        <v>243</v>
      </c>
      <c r="F20" s="19" t="s">
        <v>254</v>
      </c>
      <c r="G20" s="31" t="s">
        <v>250</v>
      </c>
      <c r="H20" s="32"/>
      <c r="I20" s="35"/>
      <c r="J20" s="34" t="s">
        <v>29</v>
      </c>
      <c r="K20" s="35" t="s">
        <v>134</v>
      </c>
      <c r="L20" s="35" t="s">
        <v>134</v>
      </c>
    </row>
    <row r="21" spans="1:12" s="2" customFormat="1">
      <c r="A21" s="29"/>
      <c r="B21" s="14" t="s">
        <v>2330</v>
      </c>
      <c r="C21" s="14" t="s">
        <v>139</v>
      </c>
      <c r="D21" s="12" t="s">
        <v>282</v>
      </c>
      <c r="E21" s="30" t="s">
        <v>243</v>
      </c>
      <c r="F21" s="19" t="str">
        <f t="shared" ref="F21:F22" si="1">B21</f>
        <v>gnbid</v>
      </c>
      <c r="G21" s="31" t="s">
        <v>250</v>
      </c>
      <c r="H21" s="32"/>
      <c r="I21" s="35"/>
      <c r="J21" s="34" t="s">
        <v>29</v>
      </c>
      <c r="K21" s="35" t="s">
        <v>134</v>
      </c>
      <c r="L21" s="35" t="s">
        <v>134</v>
      </c>
    </row>
    <row r="22" spans="1:12" s="2" customFormat="1">
      <c r="A22" s="29"/>
      <c r="B22" s="14" t="s">
        <v>2331</v>
      </c>
      <c r="C22" s="14" t="s">
        <v>139</v>
      </c>
      <c r="D22" s="12" t="s">
        <v>283</v>
      </c>
      <c r="E22" s="30" t="s">
        <v>243</v>
      </c>
      <c r="F22" s="19" t="str">
        <f t="shared" si="1"/>
        <v>cellid</v>
      </c>
      <c r="G22" s="31" t="s">
        <v>250</v>
      </c>
      <c r="H22" s="32"/>
      <c r="I22" s="35"/>
      <c r="J22" s="34" t="s">
        <v>29</v>
      </c>
      <c r="K22" s="35" t="s">
        <v>134</v>
      </c>
      <c r="L22" s="35" t="s">
        <v>134</v>
      </c>
    </row>
    <row r="23" spans="1:12" s="2" customFormat="1">
      <c r="A23" s="29"/>
      <c r="B23" s="14" t="s">
        <v>2338</v>
      </c>
      <c r="C23" s="14" t="s">
        <v>132</v>
      </c>
      <c r="D23" s="12" t="s">
        <v>285</v>
      </c>
      <c r="E23" s="30" t="s">
        <v>243</v>
      </c>
      <c r="F23" s="19"/>
      <c r="G23" s="31" t="s">
        <v>286</v>
      </c>
      <c r="H23" s="32"/>
      <c r="I23" s="35"/>
      <c r="J23" s="34" t="s">
        <v>29</v>
      </c>
      <c r="K23" s="35" t="s">
        <v>134</v>
      </c>
      <c r="L23" s="35" t="s">
        <v>134</v>
      </c>
    </row>
    <row r="24" spans="1:12" s="2" customFormat="1">
      <c r="A24" s="29"/>
      <c r="B24" s="14" t="s">
        <v>287</v>
      </c>
      <c r="C24" s="14" t="s">
        <v>139</v>
      </c>
      <c r="D24" s="12" t="s">
        <v>288</v>
      </c>
      <c r="E24" s="30" t="s">
        <v>243</v>
      </c>
      <c r="F24" s="19" t="s">
        <v>152</v>
      </c>
      <c r="G24" s="31" t="s">
        <v>250</v>
      </c>
      <c r="H24" s="32"/>
      <c r="I24" s="35"/>
      <c r="J24" s="34" t="s">
        <v>29</v>
      </c>
      <c r="K24" s="35" t="s">
        <v>134</v>
      </c>
      <c r="L24" s="35" t="s">
        <v>134</v>
      </c>
    </row>
    <row r="25" spans="1:12" s="2" customFormat="1">
      <c r="A25" s="29"/>
      <c r="B25" s="14" t="s">
        <v>2333</v>
      </c>
      <c r="C25" s="14" t="s">
        <v>139</v>
      </c>
      <c r="D25" s="12" t="s">
        <v>290</v>
      </c>
      <c r="E25" s="30" t="s">
        <v>243</v>
      </c>
      <c r="F25" s="19" t="s">
        <v>154</v>
      </c>
      <c r="G25" s="31" t="s">
        <v>250</v>
      </c>
      <c r="H25" s="32"/>
      <c r="I25" s="35"/>
      <c r="J25" s="34" t="s">
        <v>29</v>
      </c>
      <c r="K25" s="35" t="s">
        <v>134</v>
      </c>
      <c r="L25" s="35" t="s">
        <v>134</v>
      </c>
    </row>
    <row r="26" spans="1:12" s="2" customFormat="1">
      <c r="A26" s="29"/>
      <c r="B26" s="14" t="s">
        <v>291</v>
      </c>
      <c r="C26" s="14" t="s">
        <v>139</v>
      </c>
      <c r="D26" s="12" t="s">
        <v>292</v>
      </c>
      <c r="E26" s="30" t="s">
        <v>243</v>
      </c>
      <c r="F26" s="19" t="s">
        <v>150</v>
      </c>
      <c r="G26" s="31" t="s">
        <v>250</v>
      </c>
      <c r="H26" s="32"/>
      <c r="I26" s="35"/>
      <c r="J26" s="34" t="s">
        <v>29</v>
      </c>
      <c r="K26" s="35" t="s">
        <v>134</v>
      </c>
      <c r="L26" s="35" t="s">
        <v>134</v>
      </c>
    </row>
    <row r="27" spans="1:12" s="2" customFormat="1">
      <c r="A27" s="29"/>
      <c r="B27" s="14" t="s">
        <v>2332</v>
      </c>
      <c r="C27" s="14" t="s">
        <v>139</v>
      </c>
      <c r="D27" s="12" t="s">
        <v>293</v>
      </c>
      <c r="E27" s="30" t="s">
        <v>243</v>
      </c>
      <c r="F27" s="19"/>
      <c r="G27" s="31" t="s">
        <v>2094</v>
      </c>
      <c r="H27" s="32"/>
      <c r="I27" s="35"/>
      <c r="J27" s="34" t="s">
        <v>29</v>
      </c>
      <c r="K27" s="35" t="s">
        <v>134</v>
      </c>
      <c r="L27" s="35" t="s">
        <v>134</v>
      </c>
    </row>
    <row r="28" spans="1:12" s="2" customFormat="1">
      <c r="A28" s="29"/>
      <c r="B28" s="14" t="s">
        <v>2335</v>
      </c>
      <c r="C28" s="14" t="s">
        <v>245</v>
      </c>
      <c r="D28" s="12" t="s">
        <v>294</v>
      </c>
      <c r="E28" s="30" t="s">
        <v>243</v>
      </c>
      <c r="F28" s="19"/>
      <c r="G28" s="31" t="s">
        <v>2096</v>
      </c>
      <c r="H28" s="32"/>
      <c r="I28" s="35"/>
      <c r="J28" s="34" t="s">
        <v>29</v>
      </c>
      <c r="K28" s="35" t="s">
        <v>134</v>
      </c>
      <c r="L28" s="35" t="s">
        <v>134</v>
      </c>
    </row>
    <row r="29" spans="1:12" s="2" customFormat="1">
      <c r="A29" s="29"/>
      <c r="B29" s="14" t="s">
        <v>2334</v>
      </c>
      <c r="C29" s="14" t="s">
        <v>245</v>
      </c>
      <c r="D29" s="12" t="s">
        <v>295</v>
      </c>
      <c r="E29" s="30"/>
      <c r="F29" s="19"/>
      <c r="G29" s="31" t="s">
        <v>2098</v>
      </c>
      <c r="H29" s="32"/>
      <c r="I29" s="35"/>
      <c r="J29" s="34" t="s">
        <v>29</v>
      </c>
      <c r="K29" s="35" t="s">
        <v>134</v>
      </c>
      <c r="L29" s="35" t="s">
        <v>134</v>
      </c>
    </row>
    <row r="30" spans="1:12" s="2" customFormat="1">
      <c r="A30" s="29"/>
      <c r="B30" s="14" t="s">
        <v>296</v>
      </c>
      <c r="C30" s="14" t="s">
        <v>139</v>
      </c>
      <c r="D30" s="12" t="s">
        <v>297</v>
      </c>
      <c r="E30" s="30" t="s">
        <v>243</v>
      </c>
      <c r="F30" s="19" t="s">
        <v>169</v>
      </c>
      <c r="G30" s="31" t="s">
        <v>250</v>
      </c>
      <c r="H30" s="32"/>
      <c r="I30" s="35"/>
      <c r="J30" s="34" t="s">
        <v>29</v>
      </c>
      <c r="K30" s="35" t="s">
        <v>134</v>
      </c>
      <c r="L30" s="35" t="s">
        <v>134</v>
      </c>
    </row>
    <row r="31" spans="1:12" s="2" customFormat="1">
      <c r="A31" s="29"/>
      <c r="B31" s="14" t="s">
        <v>298</v>
      </c>
      <c r="C31" s="14" t="s">
        <v>139</v>
      </c>
      <c r="D31" s="12" t="s">
        <v>299</v>
      </c>
      <c r="E31" s="30" t="s">
        <v>243</v>
      </c>
      <c r="F31" s="19" t="s">
        <v>171</v>
      </c>
      <c r="G31" s="31" t="s">
        <v>250</v>
      </c>
      <c r="H31" s="32"/>
      <c r="I31" s="35"/>
      <c r="J31" s="34" t="s">
        <v>29</v>
      </c>
      <c r="K31" s="35" t="s">
        <v>134</v>
      </c>
      <c r="L31" s="35" t="s">
        <v>134</v>
      </c>
    </row>
    <row r="32" spans="1:12" s="2" customFormat="1">
      <c r="A32" s="29"/>
      <c r="B32" s="14" t="s">
        <v>300</v>
      </c>
      <c r="C32" s="14" t="s">
        <v>139</v>
      </c>
      <c r="D32" s="12" t="s">
        <v>301</v>
      </c>
      <c r="E32" s="30" t="s">
        <v>243</v>
      </c>
      <c r="F32" s="19" t="s">
        <v>167</v>
      </c>
      <c r="G32" s="31" t="s">
        <v>250</v>
      </c>
      <c r="H32" s="32"/>
      <c r="I32" s="35"/>
      <c r="J32" s="34" t="s">
        <v>29</v>
      </c>
      <c r="K32" s="35" t="s">
        <v>134</v>
      </c>
      <c r="L32" s="35" t="s">
        <v>134</v>
      </c>
    </row>
    <row r="33" spans="1:12" s="2" customFormat="1">
      <c r="A33" s="29"/>
      <c r="B33" s="14" t="s">
        <v>302</v>
      </c>
      <c r="C33" s="14" t="s">
        <v>139</v>
      </c>
      <c r="D33" s="12" t="s">
        <v>303</v>
      </c>
      <c r="E33" s="30" t="s">
        <v>243</v>
      </c>
      <c r="F33" s="19"/>
      <c r="G33" s="31" t="s">
        <v>2102</v>
      </c>
      <c r="H33" s="32"/>
      <c r="I33" s="35"/>
      <c r="J33" s="34" t="s">
        <v>29</v>
      </c>
      <c r="K33" s="35" t="s">
        <v>134</v>
      </c>
      <c r="L33" s="35" t="s">
        <v>134</v>
      </c>
    </row>
    <row r="34" spans="1:12" s="2" customFormat="1">
      <c r="A34" s="29"/>
      <c r="B34" s="14" t="s">
        <v>304</v>
      </c>
      <c r="C34" s="14" t="s">
        <v>245</v>
      </c>
      <c r="D34" s="12" t="s">
        <v>305</v>
      </c>
      <c r="E34" s="30" t="s">
        <v>243</v>
      </c>
      <c r="F34" s="19"/>
      <c r="G34" s="31" t="s">
        <v>306</v>
      </c>
      <c r="H34" s="32"/>
      <c r="I34" s="35"/>
      <c r="J34" s="34" t="s">
        <v>29</v>
      </c>
      <c r="K34" s="35" t="s">
        <v>134</v>
      </c>
      <c r="L34" s="35" t="s">
        <v>134</v>
      </c>
    </row>
    <row r="35" spans="1:12" s="2" customFormat="1">
      <c r="A35" s="29"/>
      <c r="B35" s="14" t="s">
        <v>307</v>
      </c>
      <c r="C35" s="14" t="s">
        <v>245</v>
      </c>
      <c r="D35" s="12" t="s">
        <v>308</v>
      </c>
      <c r="E35" s="30" t="s">
        <v>243</v>
      </c>
      <c r="F35" s="19"/>
      <c r="G35" s="31" t="s">
        <v>2101</v>
      </c>
      <c r="H35" s="32"/>
      <c r="I35" s="35"/>
      <c r="J35" s="34" t="s">
        <v>29</v>
      </c>
      <c r="K35" s="35" t="s">
        <v>134</v>
      </c>
      <c r="L35" s="35" t="s">
        <v>134</v>
      </c>
    </row>
    <row r="36" spans="1:12" s="2" customFormat="1">
      <c r="A36" s="29"/>
      <c r="B36" s="14" t="s">
        <v>309</v>
      </c>
      <c r="C36" s="14" t="s">
        <v>132</v>
      </c>
      <c r="D36" s="12" t="s">
        <v>310</v>
      </c>
      <c r="E36" s="30" t="s">
        <v>243</v>
      </c>
      <c r="F36" s="19"/>
      <c r="G36" s="31" t="s">
        <v>311</v>
      </c>
      <c r="H36" s="32"/>
      <c r="I36" s="35"/>
      <c r="J36" s="34" t="s">
        <v>29</v>
      </c>
      <c r="K36" s="35" t="s">
        <v>134</v>
      </c>
      <c r="L36" s="35" t="s">
        <v>134</v>
      </c>
    </row>
    <row r="37" spans="1:12" s="2" customFormat="1">
      <c r="A37" s="29"/>
      <c r="B37" s="14" t="s">
        <v>312</v>
      </c>
      <c r="C37" s="14" t="s">
        <v>245</v>
      </c>
      <c r="D37" s="12" t="s">
        <v>313</v>
      </c>
      <c r="E37" s="30" t="s">
        <v>248</v>
      </c>
      <c r="F37" s="19"/>
      <c r="G37" s="31" t="s">
        <v>314</v>
      </c>
      <c r="H37" s="32"/>
      <c r="I37" s="35"/>
      <c r="J37" s="34" t="s">
        <v>29</v>
      </c>
      <c r="K37" s="35" t="s">
        <v>134</v>
      </c>
      <c r="L37" s="35" t="s">
        <v>134</v>
      </c>
    </row>
    <row r="38" spans="1:12" s="2" customFormat="1">
      <c r="A38" s="29"/>
      <c r="B38" s="14" t="s">
        <v>315</v>
      </c>
      <c r="C38" s="14" t="s">
        <v>245</v>
      </c>
      <c r="D38" s="12" t="s">
        <v>316</v>
      </c>
      <c r="E38" s="30" t="s">
        <v>248</v>
      </c>
      <c r="F38" s="19"/>
      <c r="G38" s="31" t="s">
        <v>314</v>
      </c>
      <c r="H38" s="32"/>
      <c r="I38" s="35"/>
      <c r="J38" s="34" t="s">
        <v>29</v>
      </c>
      <c r="K38" s="35" t="s">
        <v>134</v>
      </c>
      <c r="L38" s="35" t="s">
        <v>134</v>
      </c>
    </row>
    <row r="39" spans="1:12" s="2" customFormat="1">
      <c r="A39" s="29"/>
      <c r="B39" s="14" t="s">
        <v>317</v>
      </c>
      <c r="C39" s="14" t="s">
        <v>245</v>
      </c>
      <c r="D39" s="12" t="s">
        <v>318</v>
      </c>
      <c r="E39" s="30" t="s">
        <v>248</v>
      </c>
      <c r="F39" s="19"/>
      <c r="G39" s="31" t="s">
        <v>319</v>
      </c>
      <c r="H39" s="32"/>
      <c r="I39" s="35"/>
      <c r="J39" s="34" t="s">
        <v>29</v>
      </c>
      <c r="K39" s="35" t="s">
        <v>134</v>
      </c>
      <c r="L39" s="35" t="s">
        <v>134</v>
      </c>
    </row>
    <row r="40" spans="1:12" s="2" customFormat="1">
      <c r="A40" s="29"/>
      <c r="B40" s="14" t="s">
        <v>320</v>
      </c>
      <c r="C40" s="14" t="s">
        <v>245</v>
      </c>
      <c r="D40" s="12" t="s">
        <v>321</v>
      </c>
      <c r="E40" s="30" t="s">
        <v>248</v>
      </c>
      <c r="F40" s="19"/>
      <c r="G40" s="31" t="s">
        <v>319</v>
      </c>
      <c r="H40" s="32"/>
      <c r="I40" s="35"/>
      <c r="J40" s="34" t="s">
        <v>29</v>
      </c>
      <c r="K40" s="35" t="s">
        <v>134</v>
      </c>
      <c r="L40" s="35" t="s">
        <v>134</v>
      </c>
    </row>
    <row r="41" spans="1:12" s="2" customFormat="1">
      <c r="A41" s="29"/>
      <c r="B41" s="14" t="s">
        <v>207</v>
      </c>
      <c r="C41" s="14" t="s">
        <v>245</v>
      </c>
      <c r="D41" s="12" t="s">
        <v>322</v>
      </c>
      <c r="E41" s="30" t="s">
        <v>243</v>
      </c>
      <c r="F41" s="19" t="s">
        <v>207</v>
      </c>
      <c r="G41" s="31" t="s">
        <v>250</v>
      </c>
      <c r="H41" s="32"/>
      <c r="I41" s="35"/>
      <c r="J41" s="34" t="s">
        <v>29</v>
      </c>
      <c r="K41" s="35" t="s">
        <v>134</v>
      </c>
      <c r="L41" s="35" t="s">
        <v>134</v>
      </c>
    </row>
    <row r="42" spans="1:12" s="2" customFormat="1">
      <c r="A42" s="29"/>
      <c r="B42" s="14" t="s">
        <v>209</v>
      </c>
      <c r="C42" s="14" t="s">
        <v>245</v>
      </c>
      <c r="D42" s="12" t="s">
        <v>323</v>
      </c>
      <c r="E42" s="30" t="s">
        <v>243</v>
      </c>
      <c r="F42" s="19" t="s">
        <v>209</v>
      </c>
      <c r="G42" s="31" t="s">
        <v>250</v>
      </c>
      <c r="H42" s="32"/>
      <c r="I42" s="35"/>
      <c r="J42" s="34" t="s">
        <v>29</v>
      </c>
      <c r="K42" s="35" t="s">
        <v>134</v>
      </c>
      <c r="L42" s="35" t="s">
        <v>134</v>
      </c>
    </row>
    <row r="43" spans="1:12" s="2" customFormat="1">
      <c r="A43" s="29"/>
      <c r="B43" s="97" t="s">
        <v>324</v>
      </c>
      <c r="C43" s="14" t="s">
        <v>139</v>
      </c>
      <c r="D43" s="12" t="s">
        <v>325</v>
      </c>
      <c r="E43" s="30" t="s">
        <v>243</v>
      </c>
      <c r="F43" s="19"/>
      <c r="G43" s="31" t="s">
        <v>2103</v>
      </c>
      <c r="H43" s="32"/>
      <c r="I43" s="35"/>
      <c r="J43" s="34" t="s">
        <v>29</v>
      </c>
      <c r="K43" s="35" t="s">
        <v>134</v>
      </c>
      <c r="L43" s="35" t="s">
        <v>134</v>
      </c>
    </row>
    <row r="44" spans="1:12" s="2" customFormat="1">
      <c r="A44" s="29"/>
      <c r="B44" s="14" t="s">
        <v>326</v>
      </c>
      <c r="C44" s="14" t="s">
        <v>139</v>
      </c>
      <c r="D44" s="12" t="s">
        <v>327</v>
      </c>
      <c r="E44" s="30" t="s">
        <v>243</v>
      </c>
      <c r="F44" s="19"/>
      <c r="G44" s="31" t="s">
        <v>328</v>
      </c>
      <c r="H44" s="32"/>
      <c r="I44" s="35"/>
      <c r="J44" s="34" t="s">
        <v>29</v>
      </c>
      <c r="K44" s="35" t="s">
        <v>134</v>
      </c>
      <c r="L44" s="35" t="s">
        <v>134</v>
      </c>
    </row>
    <row r="45" spans="1:12" s="2" customFormat="1">
      <c r="A45" s="29"/>
      <c r="B45" s="14" t="s">
        <v>329</v>
      </c>
      <c r="C45" s="14" t="s">
        <v>139</v>
      </c>
      <c r="D45" s="12" t="s">
        <v>330</v>
      </c>
      <c r="E45" s="30" t="s">
        <v>243</v>
      </c>
      <c r="F45" s="19"/>
      <c r="G45" s="31" t="s">
        <v>2104</v>
      </c>
      <c r="H45" s="32"/>
      <c r="I45" s="35"/>
      <c r="J45" s="34" t="s">
        <v>29</v>
      </c>
      <c r="K45" s="35" t="s">
        <v>134</v>
      </c>
      <c r="L45" s="35" t="s">
        <v>134</v>
      </c>
    </row>
    <row r="46" spans="1:12" s="2" customFormat="1">
      <c r="A46" s="29"/>
      <c r="B46" s="14" t="s">
        <v>331</v>
      </c>
      <c r="C46" s="14" t="s">
        <v>139</v>
      </c>
      <c r="D46" s="12" t="s">
        <v>2562</v>
      </c>
      <c r="E46" s="30" t="s">
        <v>243</v>
      </c>
      <c r="F46" s="19"/>
      <c r="G46" s="46" t="s">
        <v>2563</v>
      </c>
      <c r="H46" s="32"/>
      <c r="I46" s="35"/>
      <c r="J46" s="34" t="s">
        <v>29</v>
      </c>
      <c r="K46" s="35" t="s">
        <v>134</v>
      </c>
      <c r="L46" s="35" t="s">
        <v>134</v>
      </c>
    </row>
    <row r="47" spans="1:12" s="2" customFormat="1">
      <c r="A47" s="29"/>
      <c r="B47" s="14" t="s">
        <v>332</v>
      </c>
      <c r="C47" s="14" t="s">
        <v>139</v>
      </c>
      <c r="D47" s="12" t="s">
        <v>333</v>
      </c>
      <c r="E47" s="30" t="s">
        <v>243</v>
      </c>
      <c r="F47" s="19"/>
      <c r="G47" s="46" t="s">
        <v>2564</v>
      </c>
      <c r="H47" s="32"/>
      <c r="I47" s="35"/>
      <c r="J47" s="34" t="s">
        <v>29</v>
      </c>
      <c r="K47" s="35" t="s">
        <v>134</v>
      </c>
      <c r="L47" s="35" t="s">
        <v>134</v>
      </c>
    </row>
    <row r="48" spans="1:12" s="2" customFormat="1" ht="52.8">
      <c r="A48" s="29"/>
      <c r="B48" s="97" t="s">
        <v>2336</v>
      </c>
      <c r="C48" s="14" t="s">
        <v>139</v>
      </c>
      <c r="D48" s="12" t="s">
        <v>334</v>
      </c>
      <c r="E48" s="30" t="s">
        <v>243</v>
      </c>
      <c r="F48" s="19"/>
      <c r="G48" s="19" t="s">
        <v>335</v>
      </c>
      <c r="H48" s="32"/>
      <c r="I48" s="35"/>
      <c r="J48" s="34" t="s">
        <v>29</v>
      </c>
      <c r="K48" s="35" t="s">
        <v>134</v>
      </c>
      <c r="L48" s="35" t="s">
        <v>134</v>
      </c>
    </row>
    <row r="49" spans="1:12" s="2" customFormat="1">
      <c r="A49" s="29"/>
      <c r="B49" s="14" t="s">
        <v>2557</v>
      </c>
      <c r="C49" s="14" t="s">
        <v>139</v>
      </c>
      <c r="D49" s="12" t="s">
        <v>2561</v>
      </c>
      <c r="E49" s="30" t="s">
        <v>243</v>
      </c>
      <c r="F49" s="19"/>
      <c r="G49" s="31" t="s">
        <v>2105</v>
      </c>
      <c r="H49" s="32"/>
      <c r="I49" s="35"/>
      <c r="J49" s="34" t="s">
        <v>29</v>
      </c>
      <c r="K49" s="35" t="s">
        <v>134</v>
      </c>
      <c r="L49" s="35" t="s">
        <v>134</v>
      </c>
    </row>
    <row r="50" spans="1:12" s="2" customFormat="1">
      <c r="A50" s="29"/>
      <c r="B50" s="14" t="s">
        <v>2558</v>
      </c>
      <c r="C50" s="14" t="s">
        <v>139</v>
      </c>
      <c r="D50" s="12" t="s">
        <v>336</v>
      </c>
      <c r="E50" s="30" t="s">
        <v>243</v>
      </c>
      <c r="F50" s="19"/>
      <c r="G50" s="46" t="s">
        <v>2560</v>
      </c>
      <c r="H50" s="32"/>
      <c r="I50" s="35"/>
      <c r="J50" s="34" t="s">
        <v>29</v>
      </c>
      <c r="K50" s="35" t="s">
        <v>134</v>
      </c>
      <c r="L50" s="35" t="s">
        <v>134</v>
      </c>
    </row>
    <row r="51" spans="1:12" s="2" customFormat="1">
      <c r="A51" s="29"/>
      <c r="B51" s="14" t="s">
        <v>2559</v>
      </c>
      <c r="C51" s="14" t="s">
        <v>139</v>
      </c>
      <c r="D51" s="12" t="s">
        <v>337</v>
      </c>
      <c r="E51" s="30" t="s">
        <v>243</v>
      </c>
      <c r="F51" s="19"/>
      <c r="G51" s="31" t="s">
        <v>338</v>
      </c>
      <c r="H51" s="32"/>
      <c r="I51" s="35"/>
      <c r="J51" s="34" t="s">
        <v>29</v>
      </c>
      <c r="K51" s="35" t="s">
        <v>134</v>
      </c>
      <c r="L51" s="35" t="s">
        <v>134</v>
      </c>
    </row>
    <row r="52" spans="1:12" s="2" customFormat="1" ht="52.8">
      <c r="A52" s="29"/>
      <c r="B52" s="97" t="s">
        <v>2337</v>
      </c>
      <c r="C52" s="14" t="s">
        <v>139</v>
      </c>
      <c r="D52" s="12" t="s">
        <v>339</v>
      </c>
      <c r="E52" s="30" t="s">
        <v>243</v>
      </c>
      <c r="F52" s="19"/>
      <c r="G52" s="19" t="s">
        <v>2434</v>
      </c>
      <c r="H52" s="32"/>
      <c r="I52" s="35"/>
      <c r="J52" s="34" t="s">
        <v>29</v>
      </c>
      <c r="K52" s="35" t="s">
        <v>134</v>
      </c>
      <c r="L52" s="35" t="s">
        <v>134</v>
      </c>
    </row>
    <row r="53" spans="1:12" s="2" customFormat="1">
      <c r="A53" s="29"/>
      <c r="B53" s="14" t="s">
        <v>340</v>
      </c>
      <c r="C53" s="14" t="s">
        <v>139</v>
      </c>
      <c r="D53" s="12" t="s">
        <v>341</v>
      </c>
      <c r="E53" s="30" t="s">
        <v>342</v>
      </c>
      <c r="F53" s="19"/>
      <c r="G53" s="31" t="s">
        <v>343</v>
      </c>
      <c r="H53" s="32"/>
      <c r="I53" s="35"/>
      <c r="J53" s="34" t="s">
        <v>29</v>
      </c>
      <c r="K53" s="35" t="s">
        <v>134</v>
      </c>
      <c r="L53" s="35" t="s">
        <v>134</v>
      </c>
    </row>
    <row r="54" spans="1:12" s="2" customFormat="1">
      <c r="A54" s="29"/>
      <c r="B54" s="14" t="s">
        <v>344</v>
      </c>
      <c r="C54" s="14" t="s">
        <v>139</v>
      </c>
      <c r="D54" s="12" t="s">
        <v>345</v>
      </c>
      <c r="E54" s="30" t="s">
        <v>342</v>
      </c>
      <c r="F54" s="19"/>
      <c r="G54" s="31" t="s">
        <v>346</v>
      </c>
      <c r="H54" s="32"/>
      <c r="I54" s="35"/>
      <c r="J54" s="34" t="s">
        <v>29</v>
      </c>
      <c r="K54" s="35" t="s">
        <v>134</v>
      </c>
      <c r="L54" s="35" t="s">
        <v>134</v>
      </c>
    </row>
    <row r="55" spans="1:12" s="2" customFormat="1">
      <c r="A55" s="29"/>
      <c r="B55" s="14" t="s">
        <v>347</v>
      </c>
      <c r="C55" s="14" t="s">
        <v>139</v>
      </c>
      <c r="D55" s="12" t="s">
        <v>348</v>
      </c>
      <c r="E55" s="30" t="s">
        <v>342</v>
      </c>
      <c r="F55" s="19"/>
      <c r="G55" s="31" t="s">
        <v>349</v>
      </c>
      <c r="H55" s="32"/>
      <c r="I55" s="35"/>
      <c r="J55" s="34" t="s">
        <v>29</v>
      </c>
      <c r="K55" s="35" t="s">
        <v>134</v>
      </c>
      <c r="L55" s="35" t="s">
        <v>134</v>
      </c>
    </row>
    <row r="56" spans="1:12" s="2" customFormat="1">
      <c r="A56" s="29"/>
      <c r="B56" s="14" t="s">
        <v>350</v>
      </c>
      <c r="C56" s="14" t="s">
        <v>245</v>
      </c>
      <c r="D56" s="12" t="s">
        <v>351</v>
      </c>
      <c r="E56" s="30" t="s">
        <v>342</v>
      </c>
      <c r="F56" s="19"/>
      <c r="G56" s="31" t="s">
        <v>352</v>
      </c>
      <c r="H56" s="32"/>
      <c r="I56" s="35"/>
      <c r="J56" s="34" t="s">
        <v>29</v>
      </c>
      <c r="K56" s="35" t="s">
        <v>134</v>
      </c>
      <c r="L56" s="35" t="s">
        <v>134</v>
      </c>
    </row>
    <row r="57" spans="1:12" s="2" customFormat="1" ht="26.4">
      <c r="A57" s="29"/>
      <c r="B57" s="14" t="s">
        <v>353</v>
      </c>
      <c r="C57" s="14" t="s">
        <v>139</v>
      </c>
      <c r="D57" s="12" t="s">
        <v>354</v>
      </c>
      <c r="E57" s="30" t="s">
        <v>243</v>
      </c>
      <c r="F57" s="19"/>
      <c r="G57" s="19" t="s">
        <v>355</v>
      </c>
      <c r="H57" s="32"/>
      <c r="I57" s="35"/>
      <c r="J57" s="34" t="s">
        <v>29</v>
      </c>
      <c r="K57" s="35" t="s">
        <v>134</v>
      </c>
      <c r="L57" s="35" t="s">
        <v>134</v>
      </c>
    </row>
    <row r="58" spans="1:12" s="2" customFormat="1">
      <c r="A58" s="29"/>
      <c r="B58" s="14" t="s">
        <v>356</v>
      </c>
      <c r="C58" s="14" t="s">
        <v>139</v>
      </c>
      <c r="D58" s="12" t="s">
        <v>357</v>
      </c>
      <c r="E58" s="30" t="s">
        <v>243</v>
      </c>
      <c r="F58" s="19"/>
      <c r="G58" s="31" t="s">
        <v>2106</v>
      </c>
      <c r="H58" s="32"/>
      <c r="I58" s="35"/>
      <c r="J58" s="34" t="s">
        <v>29</v>
      </c>
      <c r="K58" s="35" t="s">
        <v>134</v>
      </c>
      <c r="L58" s="35" t="s">
        <v>134</v>
      </c>
    </row>
    <row r="59" spans="1:12" s="2" customFormat="1">
      <c r="A59" s="29"/>
      <c r="B59" s="14" t="s">
        <v>358</v>
      </c>
      <c r="C59" s="14" t="s">
        <v>139</v>
      </c>
      <c r="D59" s="12" t="s">
        <v>359</v>
      </c>
      <c r="E59" s="30" t="s">
        <v>243</v>
      </c>
      <c r="F59" s="19"/>
      <c r="G59" s="31" t="s">
        <v>2107</v>
      </c>
      <c r="H59" s="32"/>
      <c r="I59" s="35"/>
      <c r="J59" s="34" t="s">
        <v>29</v>
      </c>
      <c r="K59" s="35" t="s">
        <v>134</v>
      </c>
      <c r="L59" s="35" t="s">
        <v>134</v>
      </c>
    </row>
    <row r="60" spans="1:12" s="2" customFormat="1" ht="26.4">
      <c r="A60" s="29"/>
      <c r="B60" s="14" t="s">
        <v>360</v>
      </c>
      <c r="C60" s="14" t="s">
        <v>139</v>
      </c>
      <c r="D60" s="12" t="s">
        <v>361</v>
      </c>
      <c r="E60" s="30" t="s">
        <v>243</v>
      </c>
      <c r="F60" s="19"/>
      <c r="G60" s="19" t="s">
        <v>362</v>
      </c>
      <c r="H60" s="32"/>
      <c r="I60" s="35"/>
      <c r="J60" s="34" t="s">
        <v>29</v>
      </c>
      <c r="K60" s="35" t="s">
        <v>134</v>
      </c>
      <c r="L60" s="35" t="s">
        <v>134</v>
      </c>
    </row>
    <row r="61" spans="1:12" s="2" customFormat="1" ht="26.4">
      <c r="A61" s="29"/>
      <c r="B61" s="14" t="s">
        <v>363</v>
      </c>
      <c r="C61" s="14" t="s">
        <v>139</v>
      </c>
      <c r="D61" s="12" t="s">
        <v>364</v>
      </c>
      <c r="E61" s="30" t="s">
        <v>243</v>
      </c>
      <c r="F61" s="19"/>
      <c r="G61" s="19" t="s">
        <v>365</v>
      </c>
      <c r="H61" s="32"/>
      <c r="I61" s="35"/>
      <c r="J61" s="34" t="s">
        <v>29</v>
      </c>
      <c r="K61" s="35" t="s">
        <v>134</v>
      </c>
      <c r="L61" s="35" t="s">
        <v>134</v>
      </c>
    </row>
    <row r="62" spans="1:12" s="2" customFormat="1">
      <c r="A62" s="29"/>
      <c r="B62" s="14" t="s">
        <v>366</v>
      </c>
      <c r="C62" s="14" t="s">
        <v>245</v>
      </c>
      <c r="D62" s="31" t="s">
        <v>367</v>
      </c>
      <c r="E62" s="30" t="s">
        <v>243</v>
      </c>
      <c r="F62" s="19"/>
      <c r="G62" s="31" t="s">
        <v>2187</v>
      </c>
      <c r="H62" s="32"/>
      <c r="I62" s="35"/>
      <c r="J62" s="34" t="s">
        <v>29</v>
      </c>
      <c r="K62" s="35" t="s">
        <v>134</v>
      </c>
      <c r="L62" s="35" t="s">
        <v>134</v>
      </c>
    </row>
    <row r="63" spans="1:12" s="2" customFormat="1" ht="79.2">
      <c r="A63" s="29"/>
      <c r="B63" s="98" t="s">
        <v>368</v>
      </c>
      <c r="C63" s="14" t="s">
        <v>139</v>
      </c>
      <c r="D63" s="12" t="s">
        <v>369</v>
      </c>
      <c r="E63" s="30" t="s">
        <v>243</v>
      </c>
      <c r="F63" s="19"/>
      <c r="G63" s="19" t="s">
        <v>2188</v>
      </c>
      <c r="H63" s="32"/>
      <c r="I63" s="35"/>
      <c r="J63" s="34" t="s">
        <v>29</v>
      </c>
      <c r="K63" s="35" t="s">
        <v>134</v>
      </c>
      <c r="L63" s="35" t="s">
        <v>134</v>
      </c>
    </row>
    <row r="64" spans="1:12" s="2" customFormat="1">
      <c r="A64" s="29"/>
      <c r="B64" s="14" t="s">
        <v>211</v>
      </c>
      <c r="C64" s="14" t="s">
        <v>139</v>
      </c>
      <c r="D64" s="12" t="s">
        <v>370</v>
      </c>
      <c r="E64" s="30" t="s">
        <v>243</v>
      </c>
      <c r="F64" s="19" t="s">
        <v>211</v>
      </c>
      <c r="G64" s="31" t="s">
        <v>250</v>
      </c>
      <c r="H64" s="32"/>
      <c r="I64" s="35"/>
      <c r="J64" s="34" t="s">
        <v>29</v>
      </c>
      <c r="K64" s="35" t="s">
        <v>134</v>
      </c>
      <c r="L64" s="35" t="s">
        <v>134</v>
      </c>
    </row>
    <row r="65" spans="1:17" s="2" customFormat="1">
      <c r="A65" s="29"/>
      <c r="B65" s="14" t="s">
        <v>371</v>
      </c>
      <c r="C65" s="14" t="s">
        <v>139</v>
      </c>
      <c r="D65" s="12" t="s">
        <v>372</v>
      </c>
      <c r="E65" s="30" t="s">
        <v>243</v>
      </c>
      <c r="F65" s="19"/>
      <c r="G65" s="31" t="s">
        <v>2108</v>
      </c>
      <c r="H65" s="32"/>
      <c r="I65" s="35"/>
      <c r="J65" s="34" t="s">
        <v>29</v>
      </c>
      <c r="K65" s="35" t="s">
        <v>134</v>
      </c>
      <c r="L65" s="35" t="s">
        <v>134</v>
      </c>
    </row>
    <row r="66" spans="1:17" s="2" customFormat="1">
      <c r="A66" s="29"/>
      <c r="B66" s="14" t="s">
        <v>373</v>
      </c>
      <c r="C66" s="14" t="s">
        <v>139</v>
      </c>
      <c r="D66" s="12" t="s">
        <v>374</v>
      </c>
      <c r="E66" s="30" t="s">
        <v>243</v>
      </c>
      <c r="F66" s="19"/>
      <c r="G66" s="31" t="s">
        <v>2108</v>
      </c>
      <c r="H66" s="32"/>
      <c r="I66" s="35"/>
      <c r="J66" s="34" t="s">
        <v>29</v>
      </c>
      <c r="K66" s="35" t="s">
        <v>134</v>
      </c>
      <c r="L66" s="35" t="s">
        <v>134</v>
      </c>
    </row>
    <row r="67" spans="1:17" s="2" customFormat="1">
      <c r="A67" s="29"/>
      <c r="B67" s="14" t="s">
        <v>213</v>
      </c>
      <c r="C67" s="14" t="s">
        <v>139</v>
      </c>
      <c r="D67" s="12" t="s">
        <v>375</v>
      </c>
      <c r="E67" s="30" t="s">
        <v>243</v>
      </c>
      <c r="F67" s="19" t="s">
        <v>213</v>
      </c>
      <c r="G67" s="31" t="s">
        <v>250</v>
      </c>
      <c r="H67" s="32"/>
      <c r="I67" s="35"/>
      <c r="J67" s="34" t="s">
        <v>29</v>
      </c>
      <c r="K67" s="35" t="s">
        <v>134</v>
      </c>
      <c r="L67" s="35" t="s">
        <v>134</v>
      </c>
    </row>
    <row r="68" spans="1:17" s="2" customFormat="1">
      <c r="A68" s="29"/>
      <c r="B68" s="14" t="s">
        <v>215</v>
      </c>
      <c r="C68" s="14" t="s">
        <v>139</v>
      </c>
      <c r="D68" s="12" t="s">
        <v>376</v>
      </c>
      <c r="E68" s="30" t="s">
        <v>243</v>
      </c>
      <c r="F68" s="19" t="s">
        <v>215</v>
      </c>
      <c r="G68" s="31" t="s">
        <v>250</v>
      </c>
      <c r="H68" s="32"/>
      <c r="I68" s="35"/>
      <c r="J68" s="34" t="s">
        <v>29</v>
      </c>
      <c r="K68" s="35" t="s">
        <v>134</v>
      </c>
      <c r="L68" s="35" t="s">
        <v>134</v>
      </c>
    </row>
    <row r="69" spans="1:17" s="2" customFormat="1">
      <c r="A69" s="29"/>
      <c r="B69" s="14" t="s">
        <v>202</v>
      </c>
      <c r="C69" s="14" t="s">
        <v>139</v>
      </c>
      <c r="D69" s="12" t="s">
        <v>204</v>
      </c>
      <c r="E69" s="30" t="s">
        <v>243</v>
      </c>
      <c r="F69" s="19" t="s">
        <v>202</v>
      </c>
      <c r="G69" s="31" t="s">
        <v>250</v>
      </c>
      <c r="H69" s="32"/>
      <c r="I69" s="35"/>
      <c r="J69" s="34" t="s">
        <v>29</v>
      </c>
      <c r="K69" s="35" t="s">
        <v>134</v>
      </c>
      <c r="L69" s="35" t="s">
        <v>134</v>
      </c>
    </row>
    <row r="70" spans="1:17" s="2" customFormat="1">
      <c r="A70" s="29"/>
      <c r="B70" s="14" t="s">
        <v>377</v>
      </c>
      <c r="C70" s="74" t="s">
        <v>139</v>
      </c>
      <c r="D70" s="12" t="s">
        <v>378</v>
      </c>
      <c r="E70" s="30" t="s">
        <v>243</v>
      </c>
      <c r="F70" s="19" t="s">
        <v>239</v>
      </c>
      <c r="G70" s="31" t="s">
        <v>250</v>
      </c>
      <c r="H70" s="32"/>
      <c r="I70" s="35"/>
      <c r="J70" s="34" t="s">
        <v>29</v>
      </c>
      <c r="K70" s="35" t="s">
        <v>134</v>
      </c>
      <c r="L70" s="35" t="s">
        <v>134</v>
      </c>
    </row>
    <row r="71" spans="1:17" s="131" customFormat="1" ht="26.4">
      <c r="A71" s="129"/>
      <c r="B71" s="41" t="s">
        <v>2586</v>
      </c>
      <c r="C71" s="138" t="s">
        <v>2587</v>
      </c>
      <c r="D71" s="42" t="s">
        <v>2588</v>
      </c>
      <c r="E71" s="44" t="s">
        <v>243</v>
      </c>
      <c r="F71" s="70"/>
      <c r="G71" s="70" t="s">
        <v>2589</v>
      </c>
      <c r="H71" s="143"/>
      <c r="I71" s="130" t="s">
        <v>2590</v>
      </c>
      <c r="J71" s="47" t="s">
        <v>29</v>
      </c>
      <c r="K71" s="130" t="s">
        <v>134</v>
      </c>
      <c r="L71" s="130" t="s">
        <v>134</v>
      </c>
    </row>
    <row r="72" spans="1:17" s="4" customFormat="1">
      <c r="B72" s="50" t="s">
        <v>233</v>
      </c>
      <c r="C72" s="51" t="s">
        <v>139</v>
      </c>
      <c r="D72" s="37" t="s">
        <v>234</v>
      </c>
      <c r="E72" s="52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</row>
    <row r="73" spans="1:17" s="4" customFormat="1">
      <c r="B73" s="50" t="s">
        <v>235</v>
      </c>
      <c r="C73" s="51" t="s">
        <v>132</v>
      </c>
      <c r="D73" s="37" t="s">
        <v>236</v>
      </c>
      <c r="E73" s="52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</row>
    <row r="74" spans="1:17" s="4" customFormat="1">
      <c r="B74" s="50" t="s">
        <v>237</v>
      </c>
      <c r="C74" s="51" t="s">
        <v>139</v>
      </c>
      <c r="D74" s="37" t="s">
        <v>238</v>
      </c>
      <c r="E74" s="52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</row>
    <row r="75" spans="1:17" s="4" customFormat="1">
      <c r="B75" s="50" t="s">
        <v>241</v>
      </c>
      <c r="C75" s="51" t="s">
        <v>139</v>
      </c>
      <c r="D75" s="37" t="s">
        <v>242</v>
      </c>
      <c r="E75" s="52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</row>
    <row r="76" spans="1:17" s="2" customFormat="1">
      <c r="A76" s="29"/>
      <c r="B76" s="49"/>
      <c r="C76" s="49"/>
      <c r="D76" s="49"/>
      <c r="E76" s="49"/>
      <c r="F76" s="40"/>
      <c r="G76" s="40"/>
      <c r="H76" s="49"/>
      <c r="I76" s="35"/>
      <c r="J76" s="35"/>
      <c r="K76" s="35"/>
      <c r="L76" s="35"/>
    </row>
    <row r="77" spans="1:17" s="2" customFormat="1">
      <c r="A77" s="29"/>
      <c r="B77" s="49"/>
      <c r="C77" s="49"/>
      <c r="D77" s="49"/>
      <c r="E77" s="49"/>
      <c r="F77" s="40"/>
      <c r="G77" s="40"/>
      <c r="H77" s="49"/>
      <c r="I77" s="35"/>
      <c r="J77" s="35"/>
      <c r="K77" s="35"/>
      <c r="L77" s="35"/>
    </row>
    <row r="78" spans="1:17" s="2" customFormat="1">
      <c r="A78" s="29"/>
      <c r="B78" s="49"/>
      <c r="C78" s="49"/>
      <c r="D78" s="49"/>
      <c r="E78" s="49"/>
      <c r="F78" s="40"/>
      <c r="G78" s="40"/>
      <c r="H78" s="49"/>
      <c r="I78" s="35"/>
      <c r="J78" s="35"/>
      <c r="K78" s="35"/>
      <c r="L78" s="35"/>
    </row>
    <row r="79" spans="1:17" s="2" customFormat="1">
      <c r="A79" s="29"/>
      <c r="B79" s="49"/>
      <c r="C79" s="49"/>
      <c r="D79" s="49"/>
      <c r="E79" s="49"/>
      <c r="F79" s="40"/>
      <c r="G79" s="40"/>
      <c r="H79" s="49"/>
      <c r="I79" s="35"/>
      <c r="J79" s="35"/>
      <c r="K79" s="35"/>
      <c r="L79" s="35"/>
    </row>
    <row r="80" spans="1:17" s="2" customFormat="1">
      <c r="A80" s="29"/>
      <c r="B80" s="49"/>
      <c r="C80" s="49"/>
      <c r="D80" s="49"/>
      <c r="E80" s="49"/>
      <c r="F80" s="40"/>
      <c r="G80" s="40"/>
      <c r="H80" s="49"/>
      <c r="I80" s="35"/>
      <c r="J80" s="35"/>
      <c r="K80" s="35"/>
      <c r="L80" s="35"/>
    </row>
    <row r="81" spans="1:12" s="2" customFormat="1">
      <c r="A81" s="29"/>
      <c r="B81" s="49"/>
      <c r="C81" s="49"/>
      <c r="D81" s="49"/>
      <c r="E81" s="49"/>
      <c r="F81" s="40"/>
      <c r="G81" s="40"/>
      <c r="H81" s="49"/>
      <c r="I81" s="35"/>
      <c r="J81" s="35"/>
      <c r="K81" s="35"/>
      <c r="L81" s="35"/>
    </row>
    <row r="82" spans="1:12" s="2" customFormat="1">
      <c r="A82" s="29"/>
      <c r="B82" s="49"/>
      <c r="C82" s="49"/>
      <c r="D82" s="49"/>
      <c r="E82" s="49"/>
      <c r="F82" s="40"/>
      <c r="G82" s="40"/>
      <c r="H82" s="49"/>
      <c r="I82" s="35"/>
      <c r="J82" s="35"/>
      <c r="K82" s="35"/>
      <c r="L82" s="35"/>
    </row>
    <row r="83" spans="1:12" s="2" customFormat="1">
      <c r="A83" s="29"/>
      <c r="B83" s="49"/>
      <c r="C83" s="49"/>
      <c r="D83" s="49"/>
      <c r="E83" s="49"/>
      <c r="F83" s="40"/>
      <c r="G83" s="40"/>
      <c r="H83" s="49"/>
      <c r="I83" s="35"/>
      <c r="J83" s="35"/>
      <c r="K83" s="35"/>
      <c r="L83" s="35"/>
    </row>
  </sheetData>
  <autoFilter ref="A14:N75" xr:uid="{00000000-0009-0000-0000-000006000000}"/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9"/>
  <sheetViews>
    <sheetView zoomScale="85" zoomScaleNormal="85" workbookViewId="0">
      <pane ySplit="5" topLeftCell="A6" activePane="bottomLeft" state="frozen"/>
      <selection activeCell="G31" sqref="G31"/>
      <selection pane="bottomLeft" activeCell="C9" sqref="C9:C10"/>
    </sheetView>
  </sheetViews>
  <sheetFormatPr defaultColWidth="9" defaultRowHeight="13.2"/>
  <cols>
    <col min="1" max="1" width="1.109375" style="83" customWidth="1"/>
    <col min="2" max="2" width="18.21875" style="83" customWidth="1"/>
    <col min="3" max="3" width="29.88671875" style="83" customWidth="1"/>
    <col min="4" max="4" width="27.109375" style="83" customWidth="1"/>
    <col min="5" max="5" width="8.33203125" style="83" customWidth="1"/>
    <col min="6" max="6" width="40.109375" style="84" customWidth="1"/>
    <col min="7" max="7" width="54.77734375" style="84" customWidth="1"/>
    <col min="8" max="8" width="13.6640625" style="83" customWidth="1"/>
    <col min="9" max="16384" width="9" style="83"/>
  </cols>
  <sheetData>
    <row r="1" spans="1:14" s="3" customFormat="1">
      <c r="A1" s="5"/>
      <c r="B1" s="7" t="str">
        <f>HYPERLINK("#导航!a2","返回")</f>
        <v>返回</v>
      </c>
      <c r="C1" s="5"/>
      <c r="D1" s="5"/>
      <c r="E1" s="5"/>
      <c r="F1" s="5"/>
      <c r="G1" s="5"/>
      <c r="H1" s="5"/>
      <c r="I1" s="5"/>
      <c r="J1" s="5"/>
      <c r="K1" s="5"/>
    </row>
    <row r="2" spans="1:14" s="3" customFormat="1">
      <c r="A2" s="5"/>
      <c r="B2" s="156"/>
      <c r="C2" s="156"/>
      <c r="D2" s="156"/>
      <c r="E2" s="156"/>
      <c r="F2" s="156"/>
      <c r="G2" s="156"/>
      <c r="H2" s="156"/>
      <c r="I2" s="5"/>
      <c r="J2" s="5"/>
      <c r="K2" s="5"/>
    </row>
    <row r="3" spans="1:14" s="3" customFormat="1">
      <c r="A3" s="5"/>
      <c r="B3" s="157" t="s">
        <v>106</v>
      </c>
      <c r="C3" s="157"/>
      <c r="D3" s="157"/>
      <c r="E3" s="157"/>
      <c r="F3" s="157"/>
      <c r="G3" s="157"/>
      <c r="H3" s="157"/>
      <c r="I3" s="5"/>
      <c r="J3" s="5"/>
      <c r="K3" s="5"/>
    </row>
    <row r="4" spans="1:14" s="3" customFormat="1">
      <c r="A4" s="5"/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  <c r="I4" s="5"/>
      <c r="J4" s="5"/>
      <c r="K4" s="5"/>
    </row>
    <row r="5" spans="1:14" s="3" customFormat="1" ht="26.4">
      <c r="A5" s="5"/>
      <c r="B5" s="11" t="s">
        <v>55</v>
      </c>
      <c r="C5" s="12" t="s">
        <v>2090</v>
      </c>
      <c r="D5" s="15" t="s">
        <v>46</v>
      </c>
      <c r="E5" s="14" t="s">
        <v>379</v>
      </c>
      <c r="F5" s="15"/>
      <c r="G5" s="14"/>
      <c r="H5" s="14"/>
      <c r="I5" s="5"/>
      <c r="J5" s="5"/>
      <c r="K5" s="5"/>
      <c r="N5" s="5"/>
    </row>
    <row r="6" spans="1:14" s="3" customFormat="1">
      <c r="A6" s="5"/>
      <c r="B6" s="8"/>
      <c r="C6" s="8"/>
      <c r="D6" s="8"/>
      <c r="E6" s="8"/>
      <c r="F6" s="8"/>
      <c r="G6" s="8"/>
      <c r="H6" s="8"/>
      <c r="I6" s="5"/>
      <c r="J6" s="5"/>
      <c r="K6" s="5"/>
    </row>
    <row r="7" spans="1:14" s="3" customFormat="1">
      <c r="A7" s="5"/>
      <c r="B7" s="157" t="s">
        <v>113</v>
      </c>
      <c r="C7" s="157"/>
      <c r="D7" s="157"/>
      <c r="E7" s="157"/>
      <c r="F7" s="157"/>
      <c r="G7" s="157"/>
      <c r="H7" s="157"/>
      <c r="I7" s="5"/>
      <c r="J7" s="5"/>
      <c r="K7" s="5"/>
    </row>
    <row r="8" spans="1:14" s="3" customFormat="1">
      <c r="A8" s="5"/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  <c r="I8" s="5"/>
      <c r="J8" s="5"/>
      <c r="K8" s="5"/>
    </row>
    <row r="9" spans="1:14" s="3" customFormat="1" ht="39.6">
      <c r="A9" s="5"/>
      <c r="B9" s="14"/>
      <c r="C9" s="12" t="s">
        <v>42</v>
      </c>
      <c r="D9" s="12" t="s">
        <v>43</v>
      </c>
      <c r="E9" s="14" t="s">
        <v>243</v>
      </c>
      <c r="F9" s="99" t="s">
        <v>2051</v>
      </c>
      <c r="G9" s="162" t="s">
        <v>380</v>
      </c>
      <c r="H9" s="21" t="s">
        <v>38</v>
      </c>
      <c r="I9" s="5"/>
      <c r="J9" s="5"/>
      <c r="K9" s="5"/>
    </row>
    <row r="10" spans="1:14" s="3" customFormat="1">
      <c r="A10" s="5"/>
      <c r="B10" s="14"/>
      <c r="C10" s="12" t="s">
        <v>275</v>
      </c>
      <c r="D10" s="12" t="s">
        <v>381</v>
      </c>
      <c r="E10" s="14" t="s">
        <v>382</v>
      </c>
      <c r="F10" s="19"/>
      <c r="G10" s="162"/>
      <c r="H10" s="21"/>
      <c r="I10" s="5"/>
      <c r="J10" s="5"/>
      <c r="K10" s="5"/>
    </row>
    <row r="11" spans="1:14">
      <c r="B11" s="82"/>
      <c r="F11" s="85"/>
      <c r="G11" s="85"/>
      <c r="H11" s="86"/>
    </row>
    <row r="13" spans="1:14" s="3" customFormat="1">
      <c r="A13" s="5"/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1:14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1:14">
      <c r="B15" s="87" t="s">
        <v>383</v>
      </c>
      <c r="C15" s="87" t="s">
        <v>132</v>
      </c>
      <c r="D15" s="87" t="s">
        <v>52</v>
      </c>
      <c r="E15" s="88" t="s">
        <v>243</v>
      </c>
      <c r="F15" s="89" t="s">
        <v>235</v>
      </c>
      <c r="G15" s="89"/>
      <c r="H15" s="88"/>
      <c r="I15" s="95"/>
      <c r="J15" s="95" t="s">
        <v>384</v>
      </c>
      <c r="K15" s="95" t="s">
        <v>134</v>
      </c>
      <c r="L15" s="95" t="s">
        <v>134</v>
      </c>
    </row>
    <row r="16" spans="1:14">
      <c r="B16" s="87" t="s">
        <v>379</v>
      </c>
      <c r="C16" s="87" t="s">
        <v>139</v>
      </c>
      <c r="D16" s="87" t="s">
        <v>238</v>
      </c>
      <c r="E16" s="88" t="s">
        <v>243</v>
      </c>
      <c r="F16" s="89" t="s">
        <v>237</v>
      </c>
      <c r="G16" s="89"/>
      <c r="H16" s="88"/>
      <c r="I16" s="95"/>
      <c r="J16" s="95" t="s">
        <v>384</v>
      </c>
      <c r="K16" s="95" t="s">
        <v>134</v>
      </c>
      <c r="L16" s="95" t="s">
        <v>134</v>
      </c>
    </row>
    <row r="17" spans="2:12">
      <c r="B17" s="90" t="s">
        <v>273</v>
      </c>
      <c r="C17" s="90" t="s">
        <v>139</v>
      </c>
      <c r="D17" s="90" t="s">
        <v>234</v>
      </c>
      <c r="E17" s="91" t="s">
        <v>243</v>
      </c>
      <c r="F17" s="54" t="s">
        <v>233</v>
      </c>
      <c r="G17" s="81" t="s">
        <v>250</v>
      </c>
      <c r="H17" s="88"/>
      <c r="I17" s="95"/>
      <c r="J17" s="95" t="s">
        <v>384</v>
      </c>
      <c r="K17" s="95" t="s">
        <v>134</v>
      </c>
      <c r="L17" s="95" t="s">
        <v>134</v>
      </c>
    </row>
    <row r="18" spans="2:12">
      <c r="B18" s="92" t="s">
        <v>385</v>
      </c>
      <c r="C18" s="92" t="s">
        <v>139</v>
      </c>
      <c r="D18" s="90" t="s">
        <v>386</v>
      </c>
      <c r="E18" s="90" t="s">
        <v>382</v>
      </c>
      <c r="F18" s="89" t="s">
        <v>385</v>
      </c>
      <c r="G18" s="81" t="s">
        <v>387</v>
      </c>
      <c r="H18" s="88"/>
      <c r="I18" s="96"/>
      <c r="J18" s="95" t="s">
        <v>384</v>
      </c>
      <c r="K18" s="95" t="s">
        <v>134</v>
      </c>
      <c r="L18" s="95" t="s">
        <v>134</v>
      </c>
    </row>
    <row r="19" spans="2:12">
      <c r="B19" s="92" t="s">
        <v>388</v>
      </c>
      <c r="C19" s="92" t="s">
        <v>139</v>
      </c>
      <c r="D19" s="90" t="s">
        <v>389</v>
      </c>
      <c r="E19" s="90" t="s">
        <v>382</v>
      </c>
      <c r="F19" s="89" t="s">
        <v>388</v>
      </c>
      <c r="G19" s="81" t="s">
        <v>387</v>
      </c>
      <c r="H19" s="88"/>
      <c r="I19" s="96"/>
      <c r="J19" s="95" t="s">
        <v>384</v>
      </c>
      <c r="K19" s="95" t="s">
        <v>134</v>
      </c>
      <c r="L19" s="95" t="s">
        <v>134</v>
      </c>
    </row>
    <row r="20" spans="2:12">
      <c r="B20" s="92" t="s">
        <v>390</v>
      </c>
      <c r="C20" s="92" t="s">
        <v>132</v>
      </c>
      <c r="D20" s="90" t="s">
        <v>391</v>
      </c>
      <c r="E20" s="90" t="s">
        <v>382</v>
      </c>
      <c r="F20" s="89" t="s">
        <v>392</v>
      </c>
      <c r="G20" s="81" t="s">
        <v>387</v>
      </c>
      <c r="H20" s="88"/>
      <c r="I20" s="96"/>
      <c r="J20" s="95" t="s">
        <v>384</v>
      </c>
      <c r="K20" s="95" t="s">
        <v>134</v>
      </c>
      <c r="L20" s="95" t="s">
        <v>134</v>
      </c>
    </row>
    <row r="21" spans="2:12">
      <c r="B21" s="92" t="s">
        <v>393</v>
      </c>
      <c r="C21" s="92" t="s">
        <v>132</v>
      </c>
      <c r="D21" s="90" t="s">
        <v>394</v>
      </c>
      <c r="E21" s="90" t="s">
        <v>382</v>
      </c>
      <c r="F21" s="89" t="s">
        <v>395</v>
      </c>
      <c r="G21" s="81" t="s">
        <v>387</v>
      </c>
      <c r="H21" s="88"/>
      <c r="I21" s="96"/>
      <c r="J21" s="95" t="s">
        <v>384</v>
      </c>
      <c r="K21" s="95" t="s">
        <v>134</v>
      </c>
      <c r="L21" s="95" t="s">
        <v>134</v>
      </c>
    </row>
    <row r="22" spans="2:12">
      <c r="B22" s="92" t="s">
        <v>396</v>
      </c>
      <c r="C22" s="92" t="s">
        <v>132</v>
      </c>
      <c r="D22" s="90" t="s">
        <v>397</v>
      </c>
      <c r="E22" s="90" t="s">
        <v>382</v>
      </c>
      <c r="F22" s="89" t="s">
        <v>398</v>
      </c>
      <c r="G22" s="81" t="s">
        <v>387</v>
      </c>
      <c r="H22" s="88"/>
      <c r="I22" s="96"/>
      <c r="J22" s="95" t="s">
        <v>384</v>
      </c>
      <c r="K22" s="95" t="s">
        <v>134</v>
      </c>
      <c r="L22" s="95" t="s">
        <v>134</v>
      </c>
    </row>
    <row r="23" spans="2:12" ht="13.95" customHeight="1">
      <c r="B23" s="90" t="s">
        <v>284</v>
      </c>
      <c r="C23" s="90" t="s">
        <v>132</v>
      </c>
      <c r="D23" s="90" t="s">
        <v>399</v>
      </c>
      <c r="E23" s="91" t="s">
        <v>243</v>
      </c>
      <c r="F23" s="89" t="s">
        <v>284</v>
      </c>
      <c r="G23" s="81" t="s">
        <v>250</v>
      </c>
      <c r="H23" s="88"/>
      <c r="I23" s="95"/>
      <c r="J23" s="95" t="s">
        <v>384</v>
      </c>
      <c r="K23" s="95" t="s">
        <v>134</v>
      </c>
      <c r="L23" s="95" t="s">
        <v>134</v>
      </c>
    </row>
    <row r="24" spans="2:12" ht="66">
      <c r="B24" s="90" t="s">
        <v>400</v>
      </c>
      <c r="C24" s="90" t="s">
        <v>132</v>
      </c>
      <c r="D24" s="90" t="s">
        <v>401</v>
      </c>
      <c r="E24" s="90" t="s">
        <v>243</v>
      </c>
      <c r="F24" s="89"/>
      <c r="G24" s="81" t="s">
        <v>402</v>
      </c>
      <c r="H24" s="88"/>
      <c r="I24" s="96"/>
      <c r="J24" s="95" t="s">
        <v>384</v>
      </c>
      <c r="K24" s="95" t="s">
        <v>134</v>
      </c>
      <c r="L24" s="95" t="s">
        <v>134</v>
      </c>
    </row>
    <row r="25" spans="2:12" s="82" customFormat="1">
      <c r="B25" s="90" t="s">
        <v>403</v>
      </c>
      <c r="C25" s="90" t="s">
        <v>132</v>
      </c>
      <c r="D25" s="90" t="s">
        <v>404</v>
      </c>
      <c r="E25" s="90" t="s">
        <v>382</v>
      </c>
      <c r="F25" s="89" t="s">
        <v>405</v>
      </c>
      <c r="G25" s="81" t="s">
        <v>387</v>
      </c>
      <c r="H25" s="88"/>
      <c r="I25" s="96"/>
      <c r="J25" s="95" t="s">
        <v>384</v>
      </c>
      <c r="K25" s="95" t="s">
        <v>134</v>
      </c>
      <c r="L25" s="95" t="s">
        <v>134</v>
      </c>
    </row>
    <row r="26" spans="2:12" s="82" customFormat="1">
      <c r="B26" s="90" t="s">
        <v>406</v>
      </c>
      <c r="C26" s="90" t="s">
        <v>245</v>
      </c>
      <c r="D26" s="90" t="s">
        <v>407</v>
      </c>
      <c r="E26" s="90" t="s">
        <v>382</v>
      </c>
      <c r="F26" s="89" t="s">
        <v>408</v>
      </c>
      <c r="G26" s="81" t="s">
        <v>387</v>
      </c>
      <c r="H26" s="88"/>
      <c r="I26" s="96"/>
      <c r="J26" s="95" t="s">
        <v>384</v>
      </c>
      <c r="K26" s="95" t="s">
        <v>134</v>
      </c>
      <c r="L26" s="95" t="s">
        <v>134</v>
      </c>
    </row>
    <row r="27" spans="2:12" s="82" customFormat="1">
      <c r="B27" s="90" t="s">
        <v>409</v>
      </c>
      <c r="C27" s="90" t="s">
        <v>245</v>
      </c>
      <c r="D27" s="90" t="s">
        <v>410</v>
      </c>
      <c r="E27" s="90" t="s">
        <v>382</v>
      </c>
      <c r="F27" s="89" t="s">
        <v>411</v>
      </c>
      <c r="G27" s="81" t="s">
        <v>387</v>
      </c>
      <c r="H27" s="88"/>
      <c r="I27" s="96"/>
      <c r="J27" s="95" t="s">
        <v>384</v>
      </c>
      <c r="K27" s="95" t="s">
        <v>134</v>
      </c>
      <c r="L27" s="95" t="s">
        <v>134</v>
      </c>
    </row>
    <row r="28" spans="2:12" s="82" customFormat="1">
      <c r="B28" s="90" t="s">
        <v>412</v>
      </c>
      <c r="C28" s="90" t="s">
        <v>139</v>
      </c>
      <c r="D28" s="90" t="s">
        <v>413</v>
      </c>
      <c r="E28" s="90" t="s">
        <v>382</v>
      </c>
      <c r="F28" s="89" t="s">
        <v>414</v>
      </c>
      <c r="G28" s="81" t="s">
        <v>387</v>
      </c>
      <c r="H28" s="88"/>
      <c r="I28" s="96"/>
      <c r="J28" s="95" t="s">
        <v>384</v>
      </c>
      <c r="K28" s="95" t="s">
        <v>134</v>
      </c>
      <c r="L28" s="95" t="s">
        <v>134</v>
      </c>
    </row>
    <row r="29" spans="2:12">
      <c r="B29" s="90" t="s">
        <v>309</v>
      </c>
      <c r="C29" s="90" t="s">
        <v>132</v>
      </c>
      <c r="D29" s="90" t="s">
        <v>310</v>
      </c>
      <c r="E29" s="91" t="s">
        <v>243</v>
      </c>
      <c r="F29" s="89" t="s">
        <v>309</v>
      </c>
      <c r="G29" s="81" t="s">
        <v>250</v>
      </c>
      <c r="H29" s="88"/>
      <c r="I29" s="95"/>
      <c r="J29" s="95" t="s">
        <v>384</v>
      </c>
      <c r="K29" s="95" t="s">
        <v>134</v>
      </c>
      <c r="L29" s="95" t="s">
        <v>134</v>
      </c>
    </row>
    <row r="30" spans="2:12" s="82" customFormat="1" ht="66">
      <c r="B30" s="90" t="s">
        <v>415</v>
      </c>
      <c r="C30" s="90" t="s">
        <v>132</v>
      </c>
      <c r="D30" s="90" t="s">
        <v>416</v>
      </c>
      <c r="E30" s="90" t="s">
        <v>243</v>
      </c>
      <c r="F30" s="89"/>
      <c r="G30" s="81" t="s">
        <v>417</v>
      </c>
      <c r="H30" s="88"/>
      <c r="I30" s="96"/>
      <c r="J30" s="95" t="s">
        <v>384</v>
      </c>
      <c r="K30" s="95" t="s">
        <v>134</v>
      </c>
      <c r="L30" s="95" t="s">
        <v>134</v>
      </c>
    </row>
    <row r="31" spans="2:12" s="82" customFormat="1">
      <c r="B31" s="90" t="s">
        <v>418</v>
      </c>
      <c r="C31" s="90" t="s">
        <v>132</v>
      </c>
      <c r="D31" s="90" t="s">
        <v>419</v>
      </c>
      <c r="E31" s="90" t="s">
        <v>382</v>
      </c>
      <c r="F31" s="89" t="s">
        <v>405</v>
      </c>
      <c r="G31" s="81" t="s">
        <v>420</v>
      </c>
      <c r="H31" s="88"/>
      <c r="I31" s="96"/>
      <c r="J31" s="95" t="s">
        <v>384</v>
      </c>
      <c r="K31" s="95" t="s">
        <v>134</v>
      </c>
      <c r="L31" s="95" t="s">
        <v>134</v>
      </c>
    </row>
    <row r="32" spans="2:12" s="82" customFormat="1">
      <c r="B32" s="90" t="s">
        <v>421</v>
      </c>
      <c r="C32" s="90" t="s">
        <v>245</v>
      </c>
      <c r="D32" s="90" t="s">
        <v>422</v>
      </c>
      <c r="E32" s="90" t="s">
        <v>382</v>
      </c>
      <c r="F32" s="89" t="s">
        <v>408</v>
      </c>
      <c r="G32" s="81" t="s">
        <v>420</v>
      </c>
      <c r="H32" s="88"/>
      <c r="I32" s="96"/>
      <c r="J32" s="95" t="s">
        <v>384</v>
      </c>
      <c r="K32" s="95" t="s">
        <v>134</v>
      </c>
      <c r="L32" s="95" t="s">
        <v>134</v>
      </c>
    </row>
    <row r="33" spans="2:12" s="82" customFormat="1">
      <c r="B33" s="90" t="s">
        <v>423</v>
      </c>
      <c r="C33" s="90" t="s">
        <v>245</v>
      </c>
      <c r="D33" s="90" t="s">
        <v>424</v>
      </c>
      <c r="E33" s="90" t="s">
        <v>382</v>
      </c>
      <c r="F33" s="89" t="s">
        <v>411</v>
      </c>
      <c r="G33" s="81" t="s">
        <v>420</v>
      </c>
      <c r="H33" s="88"/>
      <c r="I33" s="96"/>
      <c r="J33" s="95" t="s">
        <v>384</v>
      </c>
      <c r="K33" s="95" t="s">
        <v>134</v>
      </c>
      <c r="L33" s="95" t="s">
        <v>134</v>
      </c>
    </row>
    <row r="34" spans="2:12" s="82" customFormat="1">
      <c r="B34" s="90" t="s">
        <v>425</v>
      </c>
      <c r="C34" s="90" t="s">
        <v>139</v>
      </c>
      <c r="D34" s="90" t="s">
        <v>426</v>
      </c>
      <c r="E34" s="90" t="s">
        <v>382</v>
      </c>
      <c r="F34" s="89" t="s">
        <v>414</v>
      </c>
      <c r="G34" s="81" t="s">
        <v>420</v>
      </c>
      <c r="H34" s="88"/>
      <c r="I34" s="96"/>
      <c r="J34" s="95" t="s">
        <v>384</v>
      </c>
      <c r="K34" s="95" t="s">
        <v>134</v>
      </c>
      <c r="L34" s="95" t="s">
        <v>134</v>
      </c>
    </row>
    <row r="35" spans="2:12" s="144" customFormat="1" ht="158.4">
      <c r="B35" s="145" t="s">
        <v>427</v>
      </c>
      <c r="C35" s="145" t="s">
        <v>139</v>
      </c>
      <c r="D35" s="146" t="s">
        <v>2600</v>
      </c>
      <c r="E35" s="145" t="s">
        <v>243</v>
      </c>
      <c r="F35" s="147"/>
      <c r="G35" s="148" t="s">
        <v>2601</v>
      </c>
      <c r="H35" s="149"/>
      <c r="I35" s="149" t="s">
        <v>2602</v>
      </c>
      <c r="J35" s="150" t="s">
        <v>384</v>
      </c>
      <c r="K35" s="150" t="s">
        <v>134</v>
      </c>
      <c r="L35" s="150" t="s">
        <v>134</v>
      </c>
    </row>
    <row r="36" spans="2:12">
      <c r="B36" s="90" t="s">
        <v>428</v>
      </c>
      <c r="C36" s="90" t="s">
        <v>245</v>
      </c>
      <c r="D36" s="90" t="s">
        <v>429</v>
      </c>
      <c r="E36" s="91" t="s">
        <v>243</v>
      </c>
      <c r="F36" s="89"/>
      <c r="G36" s="81" t="s">
        <v>430</v>
      </c>
      <c r="H36" s="88"/>
      <c r="I36" s="95"/>
      <c r="J36" s="95" t="s">
        <v>431</v>
      </c>
      <c r="K36" s="95" t="s">
        <v>134</v>
      </c>
      <c r="L36" s="95" t="s">
        <v>432</v>
      </c>
    </row>
    <row r="37" spans="2:12">
      <c r="B37" s="90" t="s">
        <v>433</v>
      </c>
      <c r="C37" s="90" t="s">
        <v>245</v>
      </c>
      <c r="D37" s="90" t="s">
        <v>434</v>
      </c>
      <c r="E37" s="91" t="s">
        <v>243</v>
      </c>
      <c r="F37" s="89"/>
      <c r="G37" s="81" t="s">
        <v>435</v>
      </c>
      <c r="H37" s="88"/>
      <c r="I37" s="95"/>
      <c r="J37" s="95" t="s">
        <v>431</v>
      </c>
      <c r="K37" s="95" t="s">
        <v>134</v>
      </c>
      <c r="L37" s="95" t="s">
        <v>432</v>
      </c>
    </row>
    <row r="38" spans="2:12">
      <c r="B38" s="90" t="s">
        <v>436</v>
      </c>
      <c r="C38" s="90" t="s">
        <v>136</v>
      </c>
      <c r="D38" s="90" t="s">
        <v>437</v>
      </c>
      <c r="E38" s="91" t="s">
        <v>243</v>
      </c>
      <c r="F38" s="89"/>
      <c r="G38" s="81" t="s">
        <v>438</v>
      </c>
      <c r="H38" s="88"/>
      <c r="I38" s="95"/>
      <c r="J38" s="95" t="s">
        <v>431</v>
      </c>
      <c r="K38" s="95" t="s">
        <v>134</v>
      </c>
      <c r="L38" s="95" t="s">
        <v>439</v>
      </c>
    </row>
    <row r="39" spans="2:12">
      <c r="B39" s="90" t="s">
        <v>289</v>
      </c>
      <c r="C39" s="90" t="s">
        <v>139</v>
      </c>
      <c r="D39" s="90" t="s">
        <v>2566</v>
      </c>
      <c r="E39" s="91" t="s">
        <v>2575</v>
      </c>
      <c r="F39" s="89" t="s">
        <v>2333</v>
      </c>
      <c r="G39" s="81" t="s">
        <v>2576</v>
      </c>
      <c r="H39" s="88"/>
      <c r="I39" s="95"/>
      <c r="J39" s="95" t="s">
        <v>384</v>
      </c>
      <c r="K39" s="95" t="s">
        <v>134</v>
      </c>
      <c r="L39" s="95" t="s">
        <v>134</v>
      </c>
    </row>
    <row r="40" spans="2:12">
      <c r="B40" s="90" t="s">
        <v>377</v>
      </c>
      <c r="C40" s="90" t="s">
        <v>132</v>
      </c>
      <c r="D40" s="90" t="s">
        <v>2567</v>
      </c>
      <c r="E40" s="91" t="s">
        <v>2575</v>
      </c>
      <c r="F40" s="89" t="s">
        <v>2577</v>
      </c>
      <c r="G40" s="81" t="s">
        <v>2576</v>
      </c>
      <c r="H40" s="88"/>
      <c r="I40" s="95"/>
      <c r="J40" s="95" t="s">
        <v>384</v>
      </c>
      <c r="K40" s="95" t="s">
        <v>134</v>
      </c>
      <c r="L40" s="95" t="s">
        <v>134</v>
      </c>
    </row>
    <row r="41" spans="2:12">
      <c r="B41" s="90" t="s">
        <v>298</v>
      </c>
      <c r="C41" s="90" t="s">
        <v>139</v>
      </c>
      <c r="D41" s="90" t="s">
        <v>2568</v>
      </c>
      <c r="E41" s="91" t="s">
        <v>2575</v>
      </c>
      <c r="F41" s="89" t="s">
        <v>2333</v>
      </c>
      <c r="G41" s="81" t="s">
        <v>2579</v>
      </c>
      <c r="H41" s="88"/>
      <c r="I41" s="95"/>
      <c r="J41" s="95" t="s">
        <v>384</v>
      </c>
      <c r="K41" s="95" t="s">
        <v>134</v>
      </c>
      <c r="L41" s="95" t="s">
        <v>134</v>
      </c>
    </row>
    <row r="42" spans="2:12">
      <c r="B42" s="90" t="s">
        <v>2569</v>
      </c>
      <c r="C42" s="90" t="s">
        <v>132</v>
      </c>
      <c r="D42" s="90" t="s">
        <v>2570</v>
      </c>
      <c r="E42" s="91" t="s">
        <v>2575</v>
      </c>
      <c r="F42" s="89" t="s">
        <v>2577</v>
      </c>
      <c r="G42" s="81" t="s">
        <v>2579</v>
      </c>
      <c r="H42" s="88"/>
      <c r="I42" s="95"/>
      <c r="J42" s="95" t="s">
        <v>384</v>
      </c>
      <c r="K42" s="95" t="s">
        <v>134</v>
      </c>
      <c r="L42" s="95" t="s">
        <v>134</v>
      </c>
    </row>
    <row r="43" spans="2:12">
      <c r="B43" s="90" t="s">
        <v>2571</v>
      </c>
      <c r="C43" s="90" t="s">
        <v>139</v>
      </c>
      <c r="D43" s="90" t="s">
        <v>2572</v>
      </c>
      <c r="E43" s="91" t="s">
        <v>2575</v>
      </c>
      <c r="F43" s="89" t="s">
        <v>2578</v>
      </c>
      <c r="G43" s="81" t="s">
        <v>2576</v>
      </c>
      <c r="H43" s="88"/>
      <c r="I43" s="95"/>
      <c r="J43" s="95" t="s">
        <v>384</v>
      </c>
      <c r="K43" s="95" t="s">
        <v>134</v>
      </c>
      <c r="L43" s="95" t="s">
        <v>134</v>
      </c>
    </row>
    <row r="44" spans="2:12">
      <c r="B44" s="90" t="s">
        <v>2573</v>
      </c>
      <c r="C44" s="90" t="s">
        <v>139</v>
      </c>
      <c r="D44" s="90" t="s">
        <v>2574</v>
      </c>
      <c r="E44" s="91" t="s">
        <v>2575</v>
      </c>
      <c r="F44" s="89" t="s">
        <v>2578</v>
      </c>
      <c r="G44" s="81" t="s">
        <v>2579</v>
      </c>
      <c r="H44" s="88"/>
      <c r="I44" s="95"/>
      <c r="J44" s="95" t="s">
        <v>384</v>
      </c>
      <c r="K44" s="95" t="s">
        <v>134</v>
      </c>
      <c r="L44" s="95" t="s">
        <v>134</v>
      </c>
    </row>
    <row r="45" spans="2:12" s="151" customFormat="1" ht="79.2">
      <c r="B45" s="145" t="s">
        <v>227</v>
      </c>
      <c r="C45" s="145" t="s">
        <v>139</v>
      </c>
      <c r="D45" s="43" t="s">
        <v>228</v>
      </c>
      <c r="E45" s="44" t="s">
        <v>243</v>
      </c>
      <c r="F45" s="70" t="str">
        <f t="shared" ref="F45:F46" si="0">B45</f>
        <v>data_source</v>
      </c>
      <c r="G45" s="46" t="s">
        <v>250</v>
      </c>
      <c r="H45" s="152"/>
      <c r="I45" s="153" t="s">
        <v>1933</v>
      </c>
      <c r="J45" s="150" t="s">
        <v>384</v>
      </c>
      <c r="K45" s="150" t="s">
        <v>134</v>
      </c>
      <c r="L45" s="150" t="s">
        <v>134</v>
      </c>
    </row>
    <row r="46" spans="2:12" s="151" customFormat="1">
      <c r="B46" s="41" t="s">
        <v>141</v>
      </c>
      <c r="C46" s="41" t="s">
        <v>132</v>
      </c>
      <c r="D46" s="42" t="s">
        <v>2603</v>
      </c>
      <c r="E46" s="44" t="s">
        <v>243</v>
      </c>
      <c r="F46" s="70" t="str">
        <f t="shared" si="0"/>
        <v>plmn</v>
      </c>
      <c r="G46" s="46" t="s">
        <v>250</v>
      </c>
      <c r="H46" s="152"/>
      <c r="I46" s="153" t="s">
        <v>1933</v>
      </c>
      <c r="J46" s="150" t="s">
        <v>384</v>
      </c>
      <c r="K46" s="150" t="s">
        <v>134</v>
      </c>
      <c r="L46" s="150" t="s">
        <v>134</v>
      </c>
    </row>
    <row r="47" spans="2:12">
      <c r="B47" s="93" t="s">
        <v>233</v>
      </c>
      <c r="C47" s="93" t="s">
        <v>139</v>
      </c>
      <c r="D47" s="93" t="s">
        <v>234</v>
      </c>
      <c r="E47" s="93"/>
      <c r="F47" s="94"/>
      <c r="G47" s="94"/>
      <c r="H47" s="94"/>
      <c r="I47" s="94"/>
      <c r="J47" s="94"/>
      <c r="K47" s="94"/>
      <c r="L47" s="94"/>
    </row>
    <row r="48" spans="2:12">
      <c r="B48" s="93" t="s">
        <v>235</v>
      </c>
      <c r="C48" s="93" t="s">
        <v>132</v>
      </c>
      <c r="D48" s="93" t="s">
        <v>236</v>
      </c>
      <c r="E48" s="93"/>
      <c r="F48" s="94"/>
      <c r="G48" s="94"/>
      <c r="H48" s="94"/>
      <c r="I48" s="94"/>
      <c r="J48" s="94"/>
      <c r="K48" s="94"/>
      <c r="L48" s="94"/>
    </row>
    <row r="49" spans="2:12">
      <c r="B49" s="93" t="s">
        <v>237</v>
      </c>
      <c r="C49" s="93" t="s">
        <v>139</v>
      </c>
      <c r="D49" s="93" t="s">
        <v>238</v>
      </c>
      <c r="E49" s="93"/>
      <c r="F49" s="94"/>
      <c r="G49" s="94"/>
      <c r="H49" s="94"/>
      <c r="I49" s="94"/>
      <c r="J49" s="94"/>
      <c r="K49" s="94"/>
      <c r="L49" s="94"/>
    </row>
  </sheetData>
  <mergeCells count="5">
    <mergeCell ref="B2:H2"/>
    <mergeCell ref="B3:H3"/>
    <mergeCell ref="B7:H7"/>
    <mergeCell ref="B13:L13"/>
    <mergeCell ref="G9:G10"/>
  </mergeCells>
  <phoneticPr fontId="19" type="noConversion"/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8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109375" style="83" customWidth="1"/>
    <col min="2" max="2" width="18.21875" style="83" customWidth="1"/>
    <col min="3" max="3" width="29.88671875" style="83" customWidth="1"/>
    <col min="4" max="4" width="27.109375" style="83" customWidth="1"/>
    <col min="5" max="5" width="33.21875" style="83" customWidth="1"/>
    <col min="6" max="6" width="27.5546875" style="84" customWidth="1"/>
    <col min="7" max="7" width="38.21875" style="84" customWidth="1"/>
    <col min="8" max="8" width="13.6640625" style="83" customWidth="1"/>
    <col min="9" max="16384" width="9" style="83"/>
  </cols>
  <sheetData>
    <row r="1" spans="1:14" s="3" customFormat="1">
      <c r="A1" s="5"/>
      <c r="B1" s="7" t="str">
        <f>HYPERLINK("#导航!a2","返回")</f>
        <v>返回</v>
      </c>
      <c r="C1" s="5"/>
      <c r="D1" s="5"/>
      <c r="E1" s="5"/>
      <c r="F1" s="5"/>
      <c r="G1" s="5"/>
      <c r="H1" s="5"/>
      <c r="I1" s="5"/>
      <c r="J1" s="5"/>
      <c r="K1" s="5"/>
    </row>
    <row r="2" spans="1:14" s="3" customFormat="1">
      <c r="A2" s="5"/>
      <c r="B2" s="156"/>
      <c r="C2" s="156"/>
      <c r="D2" s="156"/>
      <c r="E2" s="156"/>
      <c r="F2" s="156"/>
      <c r="G2" s="156"/>
      <c r="H2" s="156"/>
      <c r="I2" s="5"/>
      <c r="J2" s="5"/>
      <c r="K2" s="5"/>
    </row>
    <row r="3" spans="1:14" s="3" customFormat="1">
      <c r="A3" s="5"/>
      <c r="B3" s="157" t="s">
        <v>106</v>
      </c>
      <c r="C3" s="157"/>
      <c r="D3" s="157"/>
      <c r="E3" s="157"/>
      <c r="F3" s="157"/>
      <c r="G3" s="157"/>
      <c r="H3" s="157"/>
      <c r="I3" s="5"/>
      <c r="J3" s="5"/>
      <c r="K3" s="5"/>
    </row>
    <row r="4" spans="1:14" s="3" customFormat="1">
      <c r="A4" s="5"/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  <c r="I4" s="5"/>
      <c r="J4" s="5"/>
      <c r="K4" s="5"/>
    </row>
    <row r="5" spans="1:14" s="3" customFormat="1" ht="26.4">
      <c r="A5" s="5"/>
      <c r="B5" s="11" t="s">
        <v>55</v>
      </c>
      <c r="C5" s="12" t="s">
        <v>2052</v>
      </c>
      <c r="D5" s="15" t="s">
        <v>51</v>
      </c>
      <c r="E5" s="14" t="s">
        <v>383</v>
      </c>
      <c r="F5" s="15"/>
      <c r="G5" s="14"/>
      <c r="H5" s="14"/>
      <c r="I5" s="5"/>
      <c r="J5" s="5"/>
      <c r="K5" s="5"/>
      <c r="N5" s="5"/>
    </row>
    <row r="6" spans="1:14" s="3" customFormat="1">
      <c r="A6" s="5"/>
      <c r="B6" s="8"/>
      <c r="C6" s="8"/>
      <c r="D6" s="8"/>
      <c r="E6" s="8"/>
      <c r="F6" s="8"/>
      <c r="G6" s="8"/>
      <c r="H6" s="8"/>
      <c r="I6" s="5"/>
      <c r="J6" s="5"/>
      <c r="K6" s="5"/>
    </row>
    <row r="7" spans="1:14" s="3" customFormat="1">
      <c r="A7" s="5"/>
      <c r="B7" s="157" t="s">
        <v>113</v>
      </c>
      <c r="C7" s="157"/>
      <c r="D7" s="157"/>
      <c r="E7" s="157"/>
      <c r="F7" s="157"/>
      <c r="G7" s="157"/>
      <c r="H7" s="157"/>
      <c r="I7" s="5"/>
      <c r="J7" s="5"/>
      <c r="K7" s="5"/>
    </row>
    <row r="8" spans="1:14" s="3" customFormat="1">
      <c r="A8" s="5"/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  <c r="I8" s="5"/>
      <c r="J8" s="5"/>
      <c r="K8" s="5"/>
    </row>
    <row r="9" spans="1:14" s="3" customFormat="1" ht="26.4">
      <c r="A9" s="5"/>
      <c r="B9" s="14"/>
      <c r="C9" s="12" t="s">
        <v>45</v>
      </c>
      <c r="D9" s="15" t="s">
        <v>46</v>
      </c>
      <c r="E9" s="14" t="s">
        <v>243</v>
      </c>
      <c r="F9" s="19"/>
      <c r="G9" s="19"/>
      <c r="H9" s="21" t="s">
        <v>38</v>
      </c>
      <c r="I9" s="5"/>
      <c r="J9" s="5"/>
      <c r="K9" s="5"/>
    </row>
    <row r="10" spans="1:14" s="3" customFormat="1">
      <c r="A10" s="5"/>
      <c r="B10" s="14"/>
      <c r="C10" s="12"/>
      <c r="D10" s="12"/>
      <c r="E10" s="14"/>
      <c r="F10" s="19"/>
      <c r="G10" s="19"/>
      <c r="H10" s="21"/>
      <c r="I10" s="5"/>
      <c r="J10" s="5"/>
      <c r="K10" s="5"/>
    </row>
    <row r="11" spans="1:14" s="3" customFormat="1">
      <c r="A11" s="5"/>
      <c r="B11" s="14"/>
      <c r="C11" s="12"/>
      <c r="D11" s="12"/>
      <c r="E11" s="14"/>
      <c r="F11" s="19"/>
      <c r="G11" s="19"/>
      <c r="H11" s="14"/>
      <c r="I11" s="5"/>
      <c r="J11" s="5"/>
      <c r="K11" s="5"/>
    </row>
    <row r="12" spans="1:14">
      <c r="B12" s="82"/>
      <c r="F12" s="85"/>
      <c r="G12" s="85"/>
      <c r="H12" s="86"/>
    </row>
    <row r="14" spans="1:14" s="3" customFormat="1">
      <c r="A14" s="5"/>
      <c r="B14" s="157" t="s">
        <v>120</v>
      </c>
      <c r="C14" s="157"/>
      <c r="D14" s="157"/>
      <c r="E14" s="157"/>
      <c r="F14" s="157"/>
      <c r="G14" s="157"/>
      <c r="H14" s="157"/>
      <c r="I14" s="157"/>
      <c r="J14" s="157"/>
      <c r="K14" s="157"/>
      <c r="L14" s="157"/>
    </row>
    <row r="15" spans="1:14">
      <c r="B15" s="9" t="s">
        <v>121</v>
      </c>
      <c r="C15" s="9" t="s">
        <v>122</v>
      </c>
      <c r="D15" s="9" t="s">
        <v>123</v>
      </c>
      <c r="E15" s="9" t="s">
        <v>124</v>
      </c>
      <c r="F15" s="9" t="s">
        <v>125</v>
      </c>
      <c r="G15" s="9" t="s">
        <v>126</v>
      </c>
      <c r="H15" s="9" t="s">
        <v>127</v>
      </c>
      <c r="I15" s="9" t="s">
        <v>22</v>
      </c>
      <c r="J15" s="9" t="s">
        <v>128</v>
      </c>
      <c r="K15" s="9" t="s">
        <v>129</v>
      </c>
      <c r="L15" s="9" t="s">
        <v>130</v>
      </c>
    </row>
    <row r="16" spans="1:14">
      <c r="B16" s="87" t="s">
        <v>383</v>
      </c>
      <c r="C16" s="87" t="s">
        <v>132</v>
      </c>
      <c r="D16" s="87" t="s">
        <v>52</v>
      </c>
      <c r="E16" s="88" t="s">
        <v>243</v>
      </c>
      <c r="F16" s="89" t="s">
        <v>235</v>
      </c>
      <c r="G16" s="89"/>
      <c r="H16" s="88"/>
      <c r="I16" s="95"/>
      <c r="J16" s="95" t="s">
        <v>384</v>
      </c>
      <c r="K16" s="95" t="s">
        <v>134</v>
      </c>
      <c r="L16" s="95" t="s">
        <v>134</v>
      </c>
    </row>
    <row r="17" spans="2:12">
      <c r="B17" s="90" t="s">
        <v>273</v>
      </c>
      <c r="C17" s="90" t="s">
        <v>139</v>
      </c>
      <c r="D17" s="90" t="s">
        <v>234</v>
      </c>
      <c r="E17" s="91" t="s">
        <v>243</v>
      </c>
      <c r="F17" s="54" t="s">
        <v>273</v>
      </c>
      <c r="G17" s="81" t="s">
        <v>250</v>
      </c>
      <c r="H17" s="88"/>
      <c r="I17" s="95"/>
      <c r="J17" s="95" t="s">
        <v>384</v>
      </c>
      <c r="K17" s="95" t="s">
        <v>134</v>
      </c>
      <c r="L17" s="95" t="s">
        <v>134</v>
      </c>
    </row>
    <row r="18" spans="2:12">
      <c r="B18" s="92" t="s">
        <v>385</v>
      </c>
      <c r="C18" s="92" t="s">
        <v>139</v>
      </c>
      <c r="D18" s="90" t="s">
        <v>386</v>
      </c>
      <c r="E18" s="91" t="s">
        <v>243</v>
      </c>
      <c r="F18" s="89" t="s">
        <v>385</v>
      </c>
      <c r="G18" s="81" t="s">
        <v>250</v>
      </c>
      <c r="H18" s="88"/>
      <c r="I18" s="96"/>
      <c r="J18" s="95" t="s">
        <v>384</v>
      </c>
      <c r="K18" s="95" t="s">
        <v>134</v>
      </c>
      <c r="L18" s="95" t="s">
        <v>134</v>
      </c>
    </row>
    <row r="19" spans="2:12">
      <c r="B19" s="92" t="s">
        <v>388</v>
      </c>
      <c r="C19" s="92" t="s">
        <v>139</v>
      </c>
      <c r="D19" s="90" t="s">
        <v>389</v>
      </c>
      <c r="E19" s="91" t="s">
        <v>243</v>
      </c>
      <c r="F19" s="89" t="s">
        <v>388</v>
      </c>
      <c r="G19" s="81" t="s">
        <v>250</v>
      </c>
      <c r="H19" s="88"/>
      <c r="I19" s="96"/>
      <c r="J19" s="95" t="s">
        <v>384</v>
      </c>
      <c r="K19" s="95" t="s">
        <v>134</v>
      </c>
      <c r="L19" s="95" t="s">
        <v>134</v>
      </c>
    </row>
    <row r="20" spans="2:12">
      <c r="B20" s="92" t="s">
        <v>390</v>
      </c>
      <c r="C20" s="92" t="s">
        <v>132</v>
      </c>
      <c r="D20" s="90" t="s">
        <v>391</v>
      </c>
      <c r="E20" s="91" t="s">
        <v>243</v>
      </c>
      <c r="F20" s="89" t="s">
        <v>390</v>
      </c>
      <c r="G20" s="81" t="s">
        <v>250</v>
      </c>
      <c r="H20" s="88"/>
      <c r="I20" s="96"/>
      <c r="J20" s="95" t="s">
        <v>384</v>
      </c>
      <c r="K20" s="95" t="s">
        <v>134</v>
      </c>
      <c r="L20" s="95" t="s">
        <v>134</v>
      </c>
    </row>
    <row r="21" spans="2:12">
      <c r="B21" s="92" t="s">
        <v>393</v>
      </c>
      <c r="C21" s="92" t="s">
        <v>132</v>
      </c>
      <c r="D21" s="90" t="s">
        <v>394</v>
      </c>
      <c r="E21" s="91" t="s">
        <v>243</v>
      </c>
      <c r="F21" s="89" t="s">
        <v>393</v>
      </c>
      <c r="G21" s="81" t="s">
        <v>250</v>
      </c>
      <c r="H21" s="88"/>
      <c r="I21" s="96"/>
      <c r="J21" s="95" t="s">
        <v>384</v>
      </c>
      <c r="K21" s="95" t="s">
        <v>134</v>
      </c>
      <c r="L21" s="95" t="s">
        <v>134</v>
      </c>
    </row>
    <row r="22" spans="2:12">
      <c r="B22" s="92" t="s">
        <v>396</v>
      </c>
      <c r="C22" s="92" t="s">
        <v>132</v>
      </c>
      <c r="D22" s="90" t="s">
        <v>397</v>
      </c>
      <c r="E22" s="91" t="s">
        <v>243</v>
      </c>
      <c r="F22" s="89" t="s">
        <v>396</v>
      </c>
      <c r="G22" s="81" t="s">
        <v>250</v>
      </c>
      <c r="H22" s="88"/>
      <c r="I22" s="96"/>
      <c r="J22" s="95" t="s">
        <v>384</v>
      </c>
      <c r="K22" s="95" t="s">
        <v>134</v>
      </c>
      <c r="L22" s="95" t="s">
        <v>134</v>
      </c>
    </row>
    <row r="23" spans="2:12" ht="13.95" customHeight="1">
      <c r="B23" s="90" t="s">
        <v>284</v>
      </c>
      <c r="C23" s="90" t="s">
        <v>132</v>
      </c>
      <c r="D23" s="90" t="s">
        <v>399</v>
      </c>
      <c r="E23" s="91" t="s">
        <v>243</v>
      </c>
      <c r="F23" s="89" t="s">
        <v>284</v>
      </c>
      <c r="G23" s="81" t="s">
        <v>250</v>
      </c>
      <c r="H23" s="88"/>
      <c r="I23" s="95"/>
      <c r="J23" s="95" t="s">
        <v>384</v>
      </c>
      <c r="K23" s="95" t="s">
        <v>134</v>
      </c>
      <c r="L23" s="95" t="s">
        <v>134</v>
      </c>
    </row>
    <row r="24" spans="2:12">
      <c r="B24" s="90" t="s">
        <v>400</v>
      </c>
      <c r="C24" s="90" t="s">
        <v>132</v>
      </c>
      <c r="D24" s="90" t="s">
        <v>401</v>
      </c>
      <c r="E24" s="91" t="s">
        <v>243</v>
      </c>
      <c r="F24" s="89" t="s">
        <v>400</v>
      </c>
      <c r="G24" s="81" t="s">
        <v>250</v>
      </c>
      <c r="H24" s="88"/>
      <c r="I24" s="96"/>
      <c r="J24" s="95" t="s">
        <v>384</v>
      </c>
      <c r="K24" s="95" t="s">
        <v>134</v>
      </c>
      <c r="L24" s="95" t="s">
        <v>134</v>
      </c>
    </row>
    <row r="25" spans="2:12" s="82" customFormat="1">
      <c r="B25" s="90" t="s">
        <v>403</v>
      </c>
      <c r="C25" s="90" t="s">
        <v>132</v>
      </c>
      <c r="D25" s="90" t="s">
        <v>404</v>
      </c>
      <c r="E25" s="91" t="s">
        <v>243</v>
      </c>
      <c r="F25" s="89" t="s">
        <v>403</v>
      </c>
      <c r="G25" s="81" t="s">
        <v>250</v>
      </c>
      <c r="H25" s="88"/>
      <c r="I25" s="96"/>
      <c r="J25" s="95" t="s">
        <v>384</v>
      </c>
      <c r="K25" s="95" t="s">
        <v>134</v>
      </c>
      <c r="L25" s="95" t="s">
        <v>134</v>
      </c>
    </row>
    <row r="26" spans="2:12" s="82" customFormat="1">
      <c r="B26" s="90" t="s">
        <v>406</v>
      </c>
      <c r="C26" s="90" t="s">
        <v>245</v>
      </c>
      <c r="D26" s="90" t="s">
        <v>407</v>
      </c>
      <c r="E26" s="91" t="s">
        <v>243</v>
      </c>
      <c r="F26" s="89" t="s">
        <v>406</v>
      </c>
      <c r="G26" s="81" t="s">
        <v>250</v>
      </c>
      <c r="H26" s="88"/>
      <c r="I26" s="96"/>
      <c r="J26" s="95" t="s">
        <v>384</v>
      </c>
      <c r="K26" s="95" t="s">
        <v>134</v>
      </c>
      <c r="L26" s="95" t="s">
        <v>134</v>
      </c>
    </row>
    <row r="27" spans="2:12" s="82" customFormat="1">
      <c r="B27" s="90" t="s">
        <v>409</v>
      </c>
      <c r="C27" s="90" t="s">
        <v>245</v>
      </c>
      <c r="D27" s="90" t="s">
        <v>410</v>
      </c>
      <c r="E27" s="91" t="s">
        <v>243</v>
      </c>
      <c r="F27" s="89" t="s">
        <v>409</v>
      </c>
      <c r="G27" s="81" t="s">
        <v>250</v>
      </c>
      <c r="H27" s="88"/>
      <c r="I27" s="96"/>
      <c r="J27" s="95" t="s">
        <v>384</v>
      </c>
      <c r="K27" s="95" t="s">
        <v>134</v>
      </c>
      <c r="L27" s="95" t="s">
        <v>134</v>
      </c>
    </row>
    <row r="28" spans="2:12" s="82" customFormat="1">
      <c r="B28" s="90" t="s">
        <v>412</v>
      </c>
      <c r="C28" s="90" t="s">
        <v>139</v>
      </c>
      <c r="D28" s="90" t="s">
        <v>413</v>
      </c>
      <c r="E28" s="91" t="s">
        <v>243</v>
      </c>
      <c r="F28" s="89" t="s">
        <v>412</v>
      </c>
      <c r="G28" s="81" t="s">
        <v>250</v>
      </c>
      <c r="H28" s="88"/>
      <c r="I28" s="96"/>
      <c r="J28" s="95" t="s">
        <v>384</v>
      </c>
      <c r="K28" s="95" t="s">
        <v>134</v>
      </c>
      <c r="L28" s="95" t="s">
        <v>134</v>
      </c>
    </row>
    <row r="29" spans="2:12">
      <c r="B29" s="90" t="s">
        <v>309</v>
      </c>
      <c r="C29" s="90" t="s">
        <v>132</v>
      </c>
      <c r="D29" s="90" t="s">
        <v>310</v>
      </c>
      <c r="E29" s="91" t="s">
        <v>243</v>
      </c>
      <c r="F29" s="89" t="s">
        <v>309</v>
      </c>
      <c r="G29" s="81" t="s">
        <v>250</v>
      </c>
      <c r="H29" s="88"/>
      <c r="I29" s="95"/>
      <c r="J29" s="95" t="s">
        <v>384</v>
      </c>
      <c r="K29" s="95" t="s">
        <v>134</v>
      </c>
      <c r="L29" s="95" t="s">
        <v>134</v>
      </c>
    </row>
    <row r="30" spans="2:12" s="82" customFormat="1">
      <c r="B30" s="90" t="s">
        <v>415</v>
      </c>
      <c r="C30" s="90" t="s">
        <v>132</v>
      </c>
      <c r="D30" s="90" t="s">
        <v>416</v>
      </c>
      <c r="E30" s="91" t="s">
        <v>243</v>
      </c>
      <c r="F30" s="89" t="s">
        <v>415</v>
      </c>
      <c r="G30" s="81" t="s">
        <v>250</v>
      </c>
      <c r="H30" s="88"/>
      <c r="I30" s="96"/>
      <c r="J30" s="95" t="s">
        <v>384</v>
      </c>
      <c r="K30" s="95" t="s">
        <v>134</v>
      </c>
      <c r="L30" s="95" t="s">
        <v>134</v>
      </c>
    </row>
    <row r="31" spans="2:12" s="82" customFormat="1">
      <c r="B31" s="90" t="s">
        <v>418</v>
      </c>
      <c r="C31" s="90" t="s">
        <v>132</v>
      </c>
      <c r="D31" s="90" t="s">
        <v>419</v>
      </c>
      <c r="E31" s="91" t="s">
        <v>243</v>
      </c>
      <c r="F31" s="89" t="s">
        <v>418</v>
      </c>
      <c r="G31" s="81" t="s">
        <v>250</v>
      </c>
      <c r="H31" s="88"/>
      <c r="I31" s="96"/>
      <c r="J31" s="95" t="s">
        <v>384</v>
      </c>
      <c r="K31" s="95" t="s">
        <v>134</v>
      </c>
      <c r="L31" s="95" t="s">
        <v>134</v>
      </c>
    </row>
    <row r="32" spans="2:12" s="82" customFormat="1">
      <c r="B32" s="90" t="s">
        <v>421</v>
      </c>
      <c r="C32" s="90" t="s">
        <v>245</v>
      </c>
      <c r="D32" s="90" t="s">
        <v>422</v>
      </c>
      <c r="E32" s="91" t="s">
        <v>243</v>
      </c>
      <c r="F32" s="89" t="s">
        <v>421</v>
      </c>
      <c r="G32" s="81" t="s">
        <v>250</v>
      </c>
      <c r="H32" s="88"/>
      <c r="I32" s="96"/>
      <c r="J32" s="95" t="s">
        <v>384</v>
      </c>
      <c r="K32" s="95" t="s">
        <v>134</v>
      </c>
      <c r="L32" s="95" t="s">
        <v>134</v>
      </c>
    </row>
    <row r="33" spans="2:12" s="82" customFormat="1">
      <c r="B33" s="90" t="s">
        <v>423</v>
      </c>
      <c r="C33" s="90" t="s">
        <v>245</v>
      </c>
      <c r="D33" s="90" t="s">
        <v>424</v>
      </c>
      <c r="E33" s="91" t="s">
        <v>243</v>
      </c>
      <c r="F33" s="89" t="s">
        <v>423</v>
      </c>
      <c r="G33" s="81" t="s">
        <v>250</v>
      </c>
      <c r="H33" s="88"/>
      <c r="I33" s="96"/>
      <c r="J33" s="95" t="s">
        <v>384</v>
      </c>
      <c r="K33" s="95" t="s">
        <v>134</v>
      </c>
      <c r="L33" s="95" t="s">
        <v>134</v>
      </c>
    </row>
    <row r="34" spans="2:12" s="82" customFormat="1">
      <c r="B34" s="90" t="s">
        <v>425</v>
      </c>
      <c r="C34" s="90" t="s">
        <v>139</v>
      </c>
      <c r="D34" s="90" t="s">
        <v>426</v>
      </c>
      <c r="E34" s="91" t="s">
        <v>243</v>
      </c>
      <c r="F34" s="89" t="s">
        <v>425</v>
      </c>
      <c r="G34" s="81" t="s">
        <v>250</v>
      </c>
      <c r="H34" s="88"/>
      <c r="I34" s="96"/>
      <c r="J34" s="95" t="s">
        <v>384</v>
      </c>
      <c r="K34" s="95" t="s">
        <v>134</v>
      </c>
      <c r="L34" s="95" t="s">
        <v>134</v>
      </c>
    </row>
    <row r="35" spans="2:12" ht="132">
      <c r="B35" s="90" t="s">
        <v>427</v>
      </c>
      <c r="C35" s="90" t="s">
        <v>139</v>
      </c>
      <c r="D35" s="146" t="s">
        <v>2600</v>
      </c>
      <c r="E35" s="145" t="s">
        <v>243</v>
      </c>
      <c r="F35" s="147" t="s">
        <v>427</v>
      </c>
      <c r="G35" s="81" t="s">
        <v>250</v>
      </c>
      <c r="H35" s="88"/>
      <c r="I35" s="95"/>
      <c r="J35" s="95" t="s">
        <v>384</v>
      </c>
      <c r="K35" s="95" t="s">
        <v>134</v>
      </c>
      <c r="L35" s="95" t="s">
        <v>134</v>
      </c>
    </row>
    <row r="36" spans="2:12" ht="26.4">
      <c r="B36" s="90" t="s">
        <v>428</v>
      </c>
      <c r="C36" s="90" t="s">
        <v>245</v>
      </c>
      <c r="D36" s="90" t="s">
        <v>429</v>
      </c>
      <c r="E36" s="91" t="s">
        <v>243</v>
      </c>
      <c r="F36" s="89"/>
      <c r="G36" s="81" t="s">
        <v>440</v>
      </c>
      <c r="H36" s="88"/>
      <c r="I36" s="95"/>
      <c r="J36" s="95" t="s">
        <v>431</v>
      </c>
      <c r="K36" s="95" t="s">
        <v>134</v>
      </c>
      <c r="L36" s="95" t="s">
        <v>432</v>
      </c>
    </row>
    <row r="37" spans="2:12" ht="26.4">
      <c r="B37" s="90" t="s">
        <v>433</v>
      </c>
      <c r="C37" s="90" t="s">
        <v>245</v>
      </c>
      <c r="D37" s="90" t="s">
        <v>434</v>
      </c>
      <c r="E37" s="91" t="s">
        <v>243</v>
      </c>
      <c r="F37" s="89"/>
      <c r="G37" s="81" t="s">
        <v>441</v>
      </c>
      <c r="H37" s="88"/>
      <c r="I37" s="95"/>
      <c r="J37" s="95" t="s">
        <v>431</v>
      </c>
      <c r="K37" s="95" t="s">
        <v>134</v>
      </c>
      <c r="L37" s="95" t="s">
        <v>432</v>
      </c>
    </row>
    <row r="38" spans="2:12">
      <c r="B38" s="90" t="s">
        <v>436</v>
      </c>
      <c r="C38" s="90" t="s">
        <v>136</v>
      </c>
      <c r="D38" s="90" t="s">
        <v>437</v>
      </c>
      <c r="E38" s="91" t="s">
        <v>243</v>
      </c>
      <c r="F38" s="89"/>
      <c r="G38" s="81" t="s">
        <v>442</v>
      </c>
      <c r="H38" s="88"/>
      <c r="I38" s="95"/>
      <c r="J38" s="95" t="s">
        <v>431</v>
      </c>
      <c r="K38" s="95" t="s">
        <v>134</v>
      </c>
      <c r="L38" s="95" t="s">
        <v>439</v>
      </c>
    </row>
    <row r="39" spans="2:12">
      <c r="B39" s="90" t="s">
        <v>289</v>
      </c>
      <c r="C39" s="90" t="s">
        <v>139</v>
      </c>
      <c r="D39" s="90" t="s">
        <v>2566</v>
      </c>
      <c r="E39" s="91" t="s">
        <v>243</v>
      </c>
      <c r="F39" s="142" t="s">
        <v>289</v>
      </c>
      <c r="G39" s="81" t="s">
        <v>250</v>
      </c>
      <c r="H39" s="88"/>
      <c r="I39" s="95"/>
      <c r="J39" s="95" t="s">
        <v>384</v>
      </c>
      <c r="K39" s="95" t="s">
        <v>134</v>
      </c>
      <c r="L39" s="95" t="s">
        <v>134</v>
      </c>
    </row>
    <row r="40" spans="2:12">
      <c r="B40" s="90" t="s">
        <v>377</v>
      </c>
      <c r="C40" s="90" t="s">
        <v>132</v>
      </c>
      <c r="D40" s="90" t="s">
        <v>2567</v>
      </c>
      <c r="E40" s="91" t="s">
        <v>243</v>
      </c>
      <c r="F40" s="142" t="s">
        <v>377</v>
      </c>
      <c r="G40" s="81" t="s">
        <v>250</v>
      </c>
      <c r="H40" s="88"/>
      <c r="I40" s="95"/>
      <c r="J40" s="95" t="s">
        <v>384</v>
      </c>
      <c r="K40" s="95" t="s">
        <v>134</v>
      </c>
      <c r="L40" s="95" t="s">
        <v>134</v>
      </c>
    </row>
    <row r="41" spans="2:12">
      <c r="B41" s="90" t="s">
        <v>298</v>
      </c>
      <c r="C41" s="90" t="s">
        <v>139</v>
      </c>
      <c r="D41" s="90" t="s">
        <v>2568</v>
      </c>
      <c r="E41" s="91" t="s">
        <v>243</v>
      </c>
      <c r="F41" s="142" t="s">
        <v>298</v>
      </c>
      <c r="G41" s="81" t="s">
        <v>250</v>
      </c>
      <c r="H41" s="88"/>
      <c r="I41" s="95"/>
      <c r="J41" s="95" t="s">
        <v>384</v>
      </c>
      <c r="K41" s="95" t="s">
        <v>134</v>
      </c>
      <c r="L41" s="95" t="s">
        <v>134</v>
      </c>
    </row>
    <row r="42" spans="2:12">
      <c r="B42" s="90" t="s">
        <v>2569</v>
      </c>
      <c r="C42" s="90" t="s">
        <v>132</v>
      </c>
      <c r="D42" s="90" t="s">
        <v>2570</v>
      </c>
      <c r="E42" s="91" t="s">
        <v>243</v>
      </c>
      <c r="F42" s="142" t="s">
        <v>2569</v>
      </c>
      <c r="G42" s="81" t="s">
        <v>250</v>
      </c>
      <c r="H42" s="88"/>
      <c r="I42" s="95"/>
      <c r="J42" s="95" t="s">
        <v>384</v>
      </c>
      <c r="K42" s="95" t="s">
        <v>134</v>
      </c>
      <c r="L42" s="95" t="s">
        <v>134</v>
      </c>
    </row>
    <row r="43" spans="2:12">
      <c r="B43" s="90" t="s">
        <v>2571</v>
      </c>
      <c r="C43" s="90" t="s">
        <v>139</v>
      </c>
      <c r="D43" s="90" t="s">
        <v>2572</v>
      </c>
      <c r="E43" s="91" t="s">
        <v>243</v>
      </c>
      <c r="F43" s="142" t="s">
        <v>2571</v>
      </c>
      <c r="G43" s="81" t="s">
        <v>250</v>
      </c>
      <c r="H43" s="88"/>
      <c r="I43" s="95"/>
      <c r="J43" s="95" t="s">
        <v>384</v>
      </c>
      <c r="K43" s="95" t="s">
        <v>134</v>
      </c>
      <c r="L43" s="95" t="s">
        <v>134</v>
      </c>
    </row>
    <row r="44" spans="2:12">
      <c r="B44" s="90" t="s">
        <v>2573</v>
      </c>
      <c r="C44" s="90" t="s">
        <v>139</v>
      </c>
      <c r="D44" s="90" t="s">
        <v>2574</v>
      </c>
      <c r="E44" s="91" t="s">
        <v>243</v>
      </c>
      <c r="F44" s="142" t="s">
        <v>2573</v>
      </c>
      <c r="G44" s="81" t="s">
        <v>250</v>
      </c>
      <c r="H44" s="88"/>
      <c r="I44" s="95"/>
      <c r="J44" s="95" t="s">
        <v>384</v>
      </c>
      <c r="K44" s="95" t="s">
        <v>134</v>
      </c>
      <c r="L44" s="95" t="s">
        <v>134</v>
      </c>
    </row>
    <row r="45" spans="2:12" s="151" customFormat="1" ht="79.2">
      <c r="B45" s="145" t="s">
        <v>227</v>
      </c>
      <c r="C45" s="145" t="s">
        <v>139</v>
      </c>
      <c r="D45" s="43" t="s">
        <v>2604</v>
      </c>
      <c r="E45" s="44" t="s">
        <v>243</v>
      </c>
      <c r="F45" s="70" t="str">
        <f t="shared" ref="F45:F46" si="0">B45</f>
        <v>data_source</v>
      </c>
      <c r="G45" s="46" t="s">
        <v>250</v>
      </c>
      <c r="H45" s="152"/>
      <c r="I45" s="153" t="s">
        <v>1933</v>
      </c>
      <c r="J45" s="150" t="s">
        <v>384</v>
      </c>
      <c r="K45" s="150" t="s">
        <v>134</v>
      </c>
      <c r="L45" s="150" t="s">
        <v>134</v>
      </c>
    </row>
    <row r="46" spans="2:12" s="151" customFormat="1">
      <c r="B46" s="41" t="s">
        <v>141</v>
      </c>
      <c r="C46" s="41" t="s">
        <v>132</v>
      </c>
      <c r="D46" s="42" t="s">
        <v>2603</v>
      </c>
      <c r="E46" s="44" t="s">
        <v>243</v>
      </c>
      <c r="F46" s="70" t="str">
        <f t="shared" si="0"/>
        <v>plmn</v>
      </c>
      <c r="G46" s="46" t="s">
        <v>250</v>
      </c>
      <c r="H46" s="152"/>
      <c r="I46" s="153" t="s">
        <v>1933</v>
      </c>
      <c r="J46" s="150" t="s">
        <v>384</v>
      </c>
      <c r="K46" s="150" t="s">
        <v>134</v>
      </c>
      <c r="L46" s="150" t="s">
        <v>134</v>
      </c>
    </row>
    <row r="47" spans="2:12">
      <c r="B47" s="93" t="s">
        <v>233</v>
      </c>
      <c r="C47" s="93" t="s">
        <v>139</v>
      </c>
      <c r="D47" s="93" t="s">
        <v>234</v>
      </c>
      <c r="E47" s="93"/>
      <c r="F47" s="94"/>
      <c r="G47" s="94"/>
      <c r="H47" s="94"/>
      <c r="I47" s="94"/>
      <c r="J47" s="94"/>
      <c r="K47" s="94"/>
      <c r="L47" s="94"/>
    </row>
    <row r="48" spans="2:12">
      <c r="B48" s="93" t="s">
        <v>235</v>
      </c>
      <c r="C48" s="93" t="s">
        <v>132</v>
      </c>
      <c r="D48" s="93" t="s">
        <v>236</v>
      </c>
      <c r="E48" s="93"/>
      <c r="F48" s="94"/>
      <c r="G48" s="94"/>
      <c r="H48" s="94"/>
      <c r="I48" s="94"/>
      <c r="J48" s="94"/>
      <c r="K48" s="94"/>
      <c r="L48" s="94"/>
    </row>
  </sheetData>
  <mergeCells count="4">
    <mergeCell ref="B2:H2"/>
    <mergeCell ref="B3:H3"/>
    <mergeCell ref="B7:H7"/>
    <mergeCell ref="B14:L14"/>
  </mergeCells>
  <phoneticPr fontId="19" type="noConversion"/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51"/>
  <sheetViews>
    <sheetView zoomScale="85" zoomScaleNormal="85" workbookViewId="0">
      <pane ySplit="5" topLeftCell="A6" activePane="bottomLeft" state="frozen"/>
      <selection activeCell="F6" sqref="F6"/>
      <selection pane="bottomLeft" activeCell="C9" sqref="C9"/>
    </sheetView>
  </sheetViews>
  <sheetFormatPr defaultColWidth="9" defaultRowHeight="13.2"/>
  <cols>
    <col min="1" max="1" width="1.33203125" style="5" customWidth="1"/>
    <col min="2" max="2" width="29.21875" style="5" customWidth="1"/>
    <col min="3" max="3" width="36.5546875" style="5" bestFit="1" customWidth="1"/>
    <col min="4" max="4" width="30.44140625" style="5" customWidth="1"/>
    <col min="5" max="5" width="16.21875" style="5" customWidth="1"/>
    <col min="6" max="6" width="24.88671875" style="5" customWidth="1"/>
    <col min="7" max="7" width="60.109375" style="5" customWidth="1"/>
    <col min="8" max="8" width="14.44140625" style="5" customWidth="1"/>
    <col min="9" max="9" width="9.21875" style="5" customWidth="1"/>
    <col min="10" max="10" width="10.109375" style="5" customWidth="1"/>
    <col min="11" max="11" width="7.6640625" style="5" customWidth="1"/>
    <col min="12" max="12" width="9" style="3" customWidth="1"/>
    <col min="13" max="16384" width="9" style="3"/>
  </cols>
  <sheetData>
    <row r="1" spans="1:14">
      <c r="B1" s="7" t="str">
        <f>HYPERLINK("#导航!a2","返回")</f>
        <v>返回</v>
      </c>
    </row>
    <row r="2" spans="1:14">
      <c r="B2" s="156"/>
      <c r="C2" s="156"/>
      <c r="D2" s="156"/>
      <c r="E2" s="156"/>
      <c r="F2" s="156"/>
      <c r="G2" s="156"/>
      <c r="H2" s="156"/>
    </row>
    <row r="3" spans="1:14">
      <c r="B3" s="157" t="s">
        <v>106</v>
      </c>
      <c r="C3" s="157"/>
      <c r="D3" s="157"/>
      <c r="E3" s="157"/>
      <c r="F3" s="157"/>
      <c r="G3" s="157"/>
      <c r="H3" s="157"/>
    </row>
    <row r="4" spans="1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1:14">
      <c r="B5" s="11" t="s">
        <v>55</v>
      </c>
      <c r="C5" s="12" t="s">
        <v>2339</v>
      </c>
      <c r="D5" s="13" t="s">
        <v>57</v>
      </c>
      <c r="E5" s="14" t="s">
        <v>112</v>
      </c>
      <c r="F5" s="15"/>
      <c r="G5" s="31"/>
      <c r="H5" s="14"/>
      <c r="N5" s="5"/>
    </row>
    <row r="6" spans="1:14">
      <c r="B6" s="8"/>
      <c r="C6" s="8"/>
      <c r="D6" s="8"/>
      <c r="E6" s="8"/>
      <c r="F6" s="8"/>
      <c r="G6" s="8"/>
      <c r="H6" s="8"/>
    </row>
    <row r="7" spans="1:14">
      <c r="B7" s="157" t="s">
        <v>113</v>
      </c>
      <c r="C7" s="157"/>
      <c r="D7" s="157"/>
      <c r="E7" s="157"/>
      <c r="F7" s="157"/>
      <c r="G7" s="157"/>
      <c r="H7" s="157"/>
    </row>
    <row r="8" spans="1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1:14" ht="13.8" customHeight="1">
      <c r="B9" s="14"/>
      <c r="C9" s="12" t="s">
        <v>42</v>
      </c>
      <c r="D9" s="12" t="s">
        <v>443</v>
      </c>
      <c r="E9" s="14" t="s">
        <v>243</v>
      </c>
      <c r="F9" s="19"/>
      <c r="G9" s="19"/>
      <c r="H9" s="21" t="s">
        <v>38</v>
      </c>
    </row>
    <row r="10" spans="1:14">
      <c r="G10" s="48"/>
    </row>
    <row r="11" spans="1:14">
      <c r="B11" s="5" t="s">
        <v>120</v>
      </c>
    </row>
    <row r="12" spans="1:14">
      <c r="B12" s="157" t="s">
        <v>120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</row>
    <row r="13" spans="1:14">
      <c r="B13" s="9" t="s">
        <v>121</v>
      </c>
      <c r="C13" s="9" t="s">
        <v>122</v>
      </c>
      <c r="D13" s="9" t="s">
        <v>123</v>
      </c>
      <c r="E13" s="9" t="s">
        <v>124</v>
      </c>
      <c r="F13" s="9" t="s">
        <v>125</v>
      </c>
      <c r="G13" s="9" t="s">
        <v>126</v>
      </c>
      <c r="H13" s="9" t="s">
        <v>127</v>
      </c>
      <c r="I13" s="9" t="s">
        <v>22</v>
      </c>
      <c r="J13" s="9" t="s">
        <v>128</v>
      </c>
      <c r="K13" s="9" t="s">
        <v>129</v>
      </c>
      <c r="L13" s="9" t="s">
        <v>130</v>
      </c>
    </row>
    <row r="14" spans="1:14" s="2" customFormat="1">
      <c r="A14" s="2">
        <f t="shared" ref="A14" si="0">ROW()-1</f>
        <v>13</v>
      </c>
      <c r="B14" s="14" t="s">
        <v>141</v>
      </c>
      <c r="C14" s="14" t="s">
        <v>132</v>
      </c>
      <c r="D14" s="12" t="s">
        <v>143</v>
      </c>
      <c r="E14" s="30" t="s">
        <v>243</v>
      </c>
      <c r="F14" s="19" t="s">
        <v>141</v>
      </c>
      <c r="G14" s="31" t="s">
        <v>250</v>
      </c>
      <c r="H14" s="32"/>
      <c r="I14" s="34"/>
      <c r="J14" s="34" t="s">
        <v>384</v>
      </c>
      <c r="K14" s="35" t="s">
        <v>134</v>
      </c>
      <c r="L14" s="35" t="s">
        <v>134</v>
      </c>
    </row>
    <row r="15" spans="1:14" s="2" customFormat="1" ht="79.2">
      <c r="A15" s="29"/>
      <c r="B15" s="14" t="s">
        <v>227</v>
      </c>
      <c r="C15" s="14" t="s">
        <v>139</v>
      </c>
      <c r="D15" s="20" t="s">
        <v>228</v>
      </c>
      <c r="E15" s="30" t="s">
        <v>243</v>
      </c>
      <c r="F15" s="19" t="s">
        <v>227</v>
      </c>
      <c r="G15" s="31" t="s">
        <v>250</v>
      </c>
      <c r="H15" s="32"/>
      <c r="I15" s="35"/>
      <c r="J15" s="34" t="s">
        <v>384</v>
      </c>
      <c r="K15" s="35" t="s">
        <v>134</v>
      </c>
      <c r="L15" s="35" t="s">
        <v>134</v>
      </c>
    </row>
    <row r="16" spans="1:14" s="2" customFormat="1">
      <c r="A16" s="29"/>
      <c r="B16" s="14" t="s">
        <v>251</v>
      </c>
      <c r="C16" s="14" t="s">
        <v>132</v>
      </c>
      <c r="D16" s="12" t="s">
        <v>279</v>
      </c>
      <c r="E16" s="30" t="s">
        <v>243</v>
      </c>
      <c r="F16" s="19" t="s">
        <v>251</v>
      </c>
      <c r="G16" s="31" t="s">
        <v>250</v>
      </c>
      <c r="H16" s="32"/>
      <c r="I16" s="35"/>
      <c r="J16" s="34" t="s">
        <v>384</v>
      </c>
      <c r="K16" s="35" t="s">
        <v>134</v>
      </c>
      <c r="L16" s="35" t="s">
        <v>134</v>
      </c>
    </row>
    <row r="17" spans="1:12" s="2" customFormat="1">
      <c r="A17" s="29"/>
      <c r="B17" s="14" t="s">
        <v>257</v>
      </c>
      <c r="C17" s="14" t="s">
        <v>132</v>
      </c>
      <c r="D17" s="12" t="s">
        <v>280</v>
      </c>
      <c r="E17" s="30" t="s">
        <v>243</v>
      </c>
      <c r="F17" s="19" t="s">
        <v>257</v>
      </c>
      <c r="G17" s="31" t="s">
        <v>250</v>
      </c>
      <c r="H17" s="32"/>
      <c r="I17" s="35"/>
      <c r="J17" s="34" t="s">
        <v>384</v>
      </c>
      <c r="K17" s="35" t="s">
        <v>134</v>
      </c>
      <c r="L17" s="35" t="s">
        <v>134</v>
      </c>
    </row>
    <row r="18" spans="1:12" s="2" customFormat="1">
      <c r="A18" s="29"/>
      <c r="B18" s="14" t="s">
        <v>254</v>
      </c>
      <c r="C18" s="14" t="s">
        <v>132</v>
      </c>
      <c r="D18" s="12" t="s">
        <v>281</v>
      </c>
      <c r="E18" s="30" t="s">
        <v>243</v>
      </c>
      <c r="F18" s="19" t="s">
        <v>254</v>
      </c>
      <c r="G18" s="31" t="s">
        <v>250</v>
      </c>
      <c r="H18" s="32"/>
      <c r="I18" s="35"/>
      <c r="J18" s="34" t="s">
        <v>384</v>
      </c>
      <c r="K18" s="35" t="s">
        <v>134</v>
      </c>
      <c r="L18" s="35" t="s">
        <v>134</v>
      </c>
    </row>
    <row r="19" spans="1:12" s="2" customFormat="1">
      <c r="A19" s="29"/>
      <c r="B19" s="14" t="s">
        <v>284</v>
      </c>
      <c r="C19" s="14" t="s">
        <v>132</v>
      </c>
      <c r="D19" s="12" t="s">
        <v>285</v>
      </c>
      <c r="E19" s="30" t="s">
        <v>243</v>
      </c>
      <c r="F19" s="12" t="s">
        <v>284</v>
      </c>
      <c r="G19" s="31" t="s">
        <v>250</v>
      </c>
      <c r="H19" s="32"/>
      <c r="I19" s="35"/>
      <c r="J19" s="34" t="s">
        <v>384</v>
      </c>
      <c r="K19" s="35" t="s">
        <v>134</v>
      </c>
      <c r="L19" s="35" t="s">
        <v>134</v>
      </c>
    </row>
    <row r="20" spans="1:12" s="2" customFormat="1">
      <c r="A20" s="29"/>
      <c r="B20" s="14" t="s">
        <v>211</v>
      </c>
      <c r="C20" s="14" t="s">
        <v>139</v>
      </c>
      <c r="D20" s="12" t="s">
        <v>370</v>
      </c>
      <c r="E20" s="30" t="s">
        <v>243</v>
      </c>
      <c r="F20" s="19" t="s">
        <v>211</v>
      </c>
      <c r="G20" s="31" t="s">
        <v>250</v>
      </c>
      <c r="H20" s="32"/>
      <c r="I20" s="35"/>
      <c r="J20" s="34" t="s">
        <v>384</v>
      </c>
      <c r="K20" s="35" t="s">
        <v>134</v>
      </c>
      <c r="L20" s="35" t="s">
        <v>134</v>
      </c>
    </row>
    <row r="21" spans="1:12" s="2" customFormat="1">
      <c r="A21" s="29"/>
      <c r="B21" s="14" t="s">
        <v>371</v>
      </c>
      <c r="C21" s="14" t="s">
        <v>139</v>
      </c>
      <c r="D21" s="12" t="s">
        <v>372</v>
      </c>
      <c r="E21" s="30" t="s">
        <v>243</v>
      </c>
      <c r="F21" s="19" t="s">
        <v>371</v>
      </c>
      <c r="G21" s="31" t="s">
        <v>250</v>
      </c>
      <c r="H21" s="32"/>
      <c r="I21" s="35"/>
      <c r="J21" s="34" t="s">
        <v>384</v>
      </c>
      <c r="K21" s="35" t="s">
        <v>134</v>
      </c>
      <c r="L21" s="35" t="s">
        <v>134</v>
      </c>
    </row>
    <row r="22" spans="1:12" s="2" customFormat="1">
      <c r="A22" s="29"/>
      <c r="B22" s="14" t="s">
        <v>373</v>
      </c>
      <c r="C22" s="14" t="s">
        <v>139</v>
      </c>
      <c r="D22" s="12" t="s">
        <v>374</v>
      </c>
      <c r="E22" s="30" t="s">
        <v>243</v>
      </c>
      <c r="F22" s="19" t="s">
        <v>373</v>
      </c>
      <c r="G22" s="31" t="s">
        <v>250</v>
      </c>
      <c r="H22" s="32"/>
      <c r="I22" s="35"/>
      <c r="J22" s="34" t="s">
        <v>384</v>
      </c>
      <c r="K22" s="35" t="s">
        <v>134</v>
      </c>
      <c r="L22" s="35" t="s">
        <v>134</v>
      </c>
    </row>
    <row r="23" spans="1:12" s="2" customFormat="1">
      <c r="A23" s="29"/>
      <c r="B23" s="14" t="s">
        <v>289</v>
      </c>
      <c r="C23" s="14" t="s">
        <v>139</v>
      </c>
      <c r="D23" s="12" t="s">
        <v>290</v>
      </c>
      <c r="E23" s="30" t="s">
        <v>243</v>
      </c>
      <c r="F23" s="19" t="s">
        <v>289</v>
      </c>
      <c r="G23" s="31" t="s">
        <v>250</v>
      </c>
      <c r="H23" s="32"/>
      <c r="I23" s="35"/>
      <c r="J23" s="34" t="s">
        <v>384</v>
      </c>
      <c r="K23" s="35" t="s">
        <v>134</v>
      </c>
      <c r="L23" s="35" t="s">
        <v>134</v>
      </c>
    </row>
    <row r="24" spans="1:12" s="2" customFormat="1">
      <c r="A24" s="29"/>
      <c r="B24" s="14" t="s">
        <v>287</v>
      </c>
      <c r="C24" s="14" t="s">
        <v>139</v>
      </c>
      <c r="D24" s="12" t="s">
        <v>288</v>
      </c>
      <c r="E24" s="30" t="s">
        <v>243</v>
      </c>
      <c r="F24" s="19" t="s">
        <v>287</v>
      </c>
      <c r="G24" s="31" t="s">
        <v>250</v>
      </c>
      <c r="H24" s="32"/>
      <c r="I24" s="35"/>
      <c r="J24" s="34" t="s">
        <v>384</v>
      </c>
      <c r="K24" s="35" t="s">
        <v>134</v>
      </c>
      <c r="L24" s="35" t="s">
        <v>134</v>
      </c>
    </row>
    <row r="25" spans="1:12" s="2" customFormat="1">
      <c r="A25" s="29"/>
      <c r="B25" s="14" t="s">
        <v>444</v>
      </c>
      <c r="C25" s="14" t="s">
        <v>136</v>
      </c>
      <c r="D25" s="12" t="s">
        <v>445</v>
      </c>
      <c r="E25" s="30" t="s">
        <v>243</v>
      </c>
      <c r="F25" s="19"/>
      <c r="G25" s="31" t="s">
        <v>446</v>
      </c>
      <c r="H25" s="32"/>
      <c r="I25" s="35"/>
      <c r="J25" s="34" t="s">
        <v>431</v>
      </c>
      <c r="K25" s="35" t="s">
        <v>134</v>
      </c>
      <c r="L25" s="35" t="s">
        <v>447</v>
      </c>
    </row>
    <row r="26" spans="1:12" s="2" customFormat="1">
      <c r="A26" s="29"/>
      <c r="B26" s="14" t="s">
        <v>448</v>
      </c>
      <c r="C26" s="74" t="s">
        <v>139</v>
      </c>
      <c r="D26" s="12" t="s">
        <v>449</v>
      </c>
      <c r="E26" s="30" t="s">
        <v>243</v>
      </c>
      <c r="F26" s="19"/>
      <c r="G26" s="31" t="s">
        <v>450</v>
      </c>
      <c r="H26" s="32"/>
      <c r="I26" s="35"/>
      <c r="J26" s="34" t="s">
        <v>431</v>
      </c>
      <c r="K26" s="35" t="s">
        <v>134</v>
      </c>
      <c r="L26" s="35" t="s">
        <v>439</v>
      </c>
    </row>
    <row r="27" spans="1:12" s="2" customFormat="1">
      <c r="A27" s="29"/>
      <c r="B27" s="14" t="s">
        <v>451</v>
      </c>
      <c r="C27" s="74" t="s">
        <v>139</v>
      </c>
      <c r="D27" s="12" t="s">
        <v>452</v>
      </c>
      <c r="E27" s="30" t="s">
        <v>243</v>
      </c>
      <c r="F27" s="19"/>
      <c r="G27" s="31" t="s">
        <v>453</v>
      </c>
      <c r="H27" s="32"/>
      <c r="I27" s="35"/>
      <c r="J27" s="34" t="s">
        <v>431</v>
      </c>
      <c r="K27" s="35" t="s">
        <v>134</v>
      </c>
      <c r="L27" s="35" t="s">
        <v>439</v>
      </c>
    </row>
    <row r="28" spans="1:12" s="2" customFormat="1">
      <c r="A28" s="29"/>
      <c r="B28" s="14" t="s">
        <v>2341</v>
      </c>
      <c r="C28" s="74" t="s">
        <v>139</v>
      </c>
      <c r="D28" s="12" t="s">
        <v>455</v>
      </c>
      <c r="E28" s="30" t="s">
        <v>243</v>
      </c>
      <c r="F28" s="19"/>
      <c r="G28" s="31" t="s">
        <v>456</v>
      </c>
      <c r="H28" s="32"/>
      <c r="I28" s="35"/>
      <c r="J28" s="34" t="s">
        <v>431</v>
      </c>
      <c r="K28" s="35" t="s">
        <v>134</v>
      </c>
      <c r="L28" s="35" t="s">
        <v>439</v>
      </c>
    </row>
    <row r="29" spans="1:12" s="2" customFormat="1">
      <c r="A29" s="29"/>
      <c r="B29" s="14" t="s">
        <v>2340</v>
      </c>
      <c r="C29" s="74" t="s">
        <v>139</v>
      </c>
      <c r="D29" s="12" t="s">
        <v>457</v>
      </c>
      <c r="E29" s="30" t="s">
        <v>243</v>
      </c>
      <c r="F29" s="19"/>
      <c r="G29" s="31" t="s">
        <v>458</v>
      </c>
      <c r="H29" s="32"/>
      <c r="I29" s="35"/>
      <c r="J29" s="34" t="s">
        <v>431</v>
      </c>
      <c r="K29" s="35" t="s">
        <v>134</v>
      </c>
      <c r="L29" s="35" t="s">
        <v>439</v>
      </c>
    </row>
    <row r="30" spans="1:12" s="2" customFormat="1">
      <c r="A30" s="29"/>
      <c r="B30" s="14" t="s">
        <v>2342</v>
      </c>
      <c r="C30" s="74" t="s">
        <v>139</v>
      </c>
      <c r="D30" s="12" t="s">
        <v>460</v>
      </c>
      <c r="E30" s="30" t="s">
        <v>243</v>
      </c>
      <c r="F30" s="19"/>
      <c r="G30" s="31" t="s">
        <v>461</v>
      </c>
      <c r="H30" s="32"/>
      <c r="I30" s="35"/>
      <c r="J30" s="34" t="s">
        <v>431</v>
      </c>
      <c r="K30" s="35" t="s">
        <v>134</v>
      </c>
      <c r="L30" s="35" t="s">
        <v>439</v>
      </c>
    </row>
    <row r="31" spans="1:12" s="2" customFormat="1">
      <c r="A31" s="29"/>
      <c r="B31" s="14" t="s">
        <v>462</v>
      </c>
      <c r="C31" s="74" t="s">
        <v>139</v>
      </c>
      <c r="D31" s="12" t="s">
        <v>463</v>
      </c>
      <c r="E31" s="30" t="s">
        <v>243</v>
      </c>
      <c r="F31" s="19"/>
      <c r="G31" s="141" t="s">
        <v>2429</v>
      </c>
      <c r="H31" s="32"/>
      <c r="I31" s="35"/>
      <c r="J31" s="34" t="s">
        <v>431</v>
      </c>
      <c r="K31" s="35" t="s">
        <v>134</v>
      </c>
      <c r="L31" s="35" t="s">
        <v>439</v>
      </c>
    </row>
    <row r="32" spans="1:12" s="2" customFormat="1">
      <c r="A32" s="29"/>
      <c r="B32" s="14" t="s">
        <v>340</v>
      </c>
      <c r="C32" s="14" t="s">
        <v>139</v>
      </c>
      <c r="D32" s="12" t="s">
        <v>341</v>
      </c>
      <c r="E32" s="30" t="s">
        <v>243</v>
      </c>
      <c r="F32" s="19"/>
      <c r="G32" s="31" t="s">
        <v>464</v>
      </c>
      <c r="H32" s="32"/>
      <c r="I32" s="35"/>
      <c r="J32" s="34" t="s">
        <v>431</v>
      </c>
      <c r="K32" s="35" t="s">
        <v>134</v>
      </c>
      <c r="L32" s="35" t="s">
        <v>439</v>
      </c>
    </row>
    <row r="33" spans="1:17" s="2" customFormat="1">
      <c r="A33" s="29"/>
      <c r="B33" s="14" t="s">
        <v>465</v>
      </c>
      <c r="C33" s="14" t="s">
        <v>139</v>
      </c>
      <c r="D33" s="12" t="s">
        <v>466</v>
      </c>
      <c r="E33" s="30" t="s">
        <v>243</v>
      </c>
      <c r="F33" s="19"/>
      <c r="G33" s="31" t="s">
        <v>467</v>
      </c>
      <c r="H33" s="32"/>
      <c r="I33" s="35"/>
      <c r="J33" s="34" t="s">
        <v>431</v>
      </c>
      <c r="K33" s="35" t="s">
        <v>134</v>
      </c>
      <c r="L33" s="35" t="s">
        <v>439</v>
      </c>
    </row>
    <row r="34" spans="1:17" s="2" customFormat="1" ht="26.4">
      <c r="A34" s="29"/>
      <c r="B34" s="14" t="s">
        <v>468</v>
      </c>
      <c r="C34" s="74" t="s">
        <v>139</v>
      </c>
      <c r="D34" s="12" t="s">
        <v>469</v>
      </c>
      <c r="E34" s="30" t="s">
        <v>243</v>
      </c>
      <c r="F34" s="19"/>
      <c r="G34" s="19" t="s">
        <v>470</v>
      </c>
      <c r="H34" s="32"/>
      <c r="I34" s="35"/>
      <c r="J34" s="34" t="s">
        <v>431</v>
      </c>
      <c r="K34" s="35" t="s">
        <v>134</v>
      </c>
      <c r="L34" s="35" t="s">
        <v>447</v>
      </c>
    </row>
    <row r="35" spans="1:17" s="2" customFormat="1" ht="26.4">
      <c r="A35" s="29"/>
      <c r="B35" s="14" t="s">
        <v>471</v>
      </c>
      <c r="C35" s="74" t="s">
        <v>139</v>
      </c>
      <c r="D35" s="12" t="s">
        <v>472</v>
      </c>
      <c r="E35" s="30" t="s">
        <v>243</v>
      </c>
      <c r="F35" s="19"/>
      <c r="G35" s="79" t="s">
        <v>473</v>
      </c>
      <c r="H35" s="32"/>
      <c r="I35" s="35"/>
      <c r="J35" s="34" t="s">
        <v>431</v>
      </c>
      <c r="K35" s="35" t="s">
        <v>134</v>
      </c>
      <c r="L35" s="35" t="s">
        <v>447</v>
      </c>
    </row>
    <row r="36" spans="1:17" s="2" customFormat="1" ht="26.4">
      <c r="A36" s="29"/>
      <c r="B36" s="14" t="s">
        <v>474</v>
      </c>
      <c r="C36" s="74" t="s">
        <v>139</v>
      </c>
      <c r="D36" s="12" t="s">
        <v>475</v>
      </c>
      <c r="E36" s="30" t="s">
        <v>243</v>
      </c>
      <c r="F36" s="19"/>
      <c r="G36" s="19" t="s">
        <v>476</v>
      </c>
      <c r="H36" s="32"/>
      <c r="I36" s="35"/>
      <c r="J36" s="34" t="s">
        <v>431</v>
      </c>
      <c r="K36" s="35" t="s">
        <v>134</v>
      </c>
      <c r="L36" s="35" t="s">
        <v>447</v>
      </c>
    </row>
    <row r="37" spans="1:17" s="2" customFormat="1" ht="26.4">
      <c r="A37" s="29"/>
      <c r="B37" s="14" t="s">
        <v>477</v>
      </c>
      <c r="C37" s="74" t="s">
        <v>139</v>
      </c>
      <c r="D37" s="12" t="s">
        <v>478</v>
      </c>
      <c r="E37" s="30" t="s">
        <v>243</v>
      </c>
      <c r="F37" s="19"/>
      <c r="G37" s="19" t="s">
        <v>479</v>
      </c>
      <c r="H37" s="32"/>
      <c r="I37" s="35"/>
      <c r="J37" s="34" t="s">
        <v>431</v>
      </c>
      <c r="K37" s="35" t="s">
        <v>134</v>
      </c>
      <c r="L37" s="35" t="s">
        <v>447</v>
      </c>
    </row>
    <row r="38" spans="1:17" s="131" customFormat="1">
      <c r="A38" s="129"/>
      <c r="B38" s="41" t="s">
        <v>2591</v>
      </c>
      <c r="C38" s="138" t="s">
        <v>139</v>
      </c>
      <c r="D38" s="42" t="s">
        <v>2592</v>
      </c>
      <c r="E38" s="44" t="s">
        <v>243</v>
      </c>
      <c r="F38" s="70"/>
      <c r="G38" s="46" t="s">
        <v>2593</v>
      </c>
      <c r="H38" s="45"/>
      <c r="I38" s="130" t="s">
        <v>1933</v>
      </c>
      <c r="J38" s="47" t="s">
        <v>431</v>
      </c>
      <c r="K38" s="130" t="s">
        <v>134</v>
      </c>
      <c r="L38" s="130" t="s">
        <v>439</v>
      </c>
    </row>
    <row r="39" spans="1:17" s="131" customFormat="1" ht="26.4">
      <c r="A39" s="129"/>
      <c r="B39" s="41" t="s">
        <v>2594</v>
      </c>
      <c r="C39" s="138" t="s">
        <v>139</v>
      </c>
      <c r="D39" s="42" t="s">
        <v>2595</v>
      </c>
      <c r="E39" s="44" t="s">
        <v>243</v>
      </c>
      <c r="F39" s="70"/>
      <c r="G39" s="70" t="s">
        <v>2596</v>
      </c>
      <c r="H39" s="45"/>
      <c r="I39" s="130" t="s">
        <v>1933</v>
      </c>
      <c r="J39" s="47" t="s">
        <v>431</v>
      </c>
      <c r="K39" s="130" t="s">
        <v>134</v>
      </c>
      <c r="L39" s="130" t="s">
        <v>447</v>
      </c>
    </row>
    <row r="40" spans="1:17" s="4" customFormat="1">
      <c r="B40" s="50" t="s">
        <v>233</v>
      </c>
      <c r="C40" s="51" t="s">
        <v>139</v>
      </c>
      <c r="D40" s="37" t="s">
        <v>234</v>
      </c>
      <c r="E40" s="52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</row>
    <row r="41" spans="1:17" s="4" customFormat="1">
      <c r="B41" s="50" t="s">
        <v>235</v>
      </c>
      <c r="C41" s="51" t="s">
        <v>132</v>
      </c>
      <c r="D41" s="37" t="s">
        <v>236</v>
      </c>
      <c r="E41" s="52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</row>
    <row r="42" spans="1:17" s="4" customFormat="1">
      <c r="B42" s="50" t="s">
        <v>237</v>
      </c>
      <c r="C42" s="51" t="s">
        <v>139</v>
      </c>
      <c r="D42" s="37" t="s">
        <v>238</v>
      </c>
      <c r="E42" s="52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</row>
    <row r="43" spans="1:17" s="4" customFormat="1">
      <c r="B43" s="50" t="s">
        <v>241</v>
      </c>
      <c r="C43" s="51" t="s">
        <v>139</v>
      </c>
      <c r="D43" s="37" t="s">
        <v>242</v>
      </c>
      <c r="E43" s="52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</row>
    <row r="44" spans="1:17" s="2" customFormat="1">
      <c r="A44" s="29"/>
      <c r="B44" s="49"/>
      <c r="C44" s="49"/>
      <c r="D44" s="49"/>
      <c r="E44" s="49"/>
      <c r="F44" s="40"/>
      <c r="G44" s="40"/>
      <c r="H44" s="49"/>
      <c r="I44" s="35"/>
      <c r="J44" s="35"/>
      <c r="K44" s="35"/>
      <c r="L44" s="35"/>
    </row>
    <row r="45" spans="1:17" s="2" customFormat="1">
      <c r="A45" s="29"/>
      <c r="B45" s="49"/>
      <c r="C45" s="49"/>
      <c r="D45" s="49"/>
      <c r="E45" s="49"/>
      <c r="F45" s="40"/>
      <c r="G45" s="40"/>
      <c r="H45" s="49"/>
      <c r="I45" s="35"/>
      <c r="J45" s="35"/>
      <c r="K45" s="35"/>
      <c r="L45" s="35"/>
    </row>
    <row r="46" spans="1:17" s="2" customFormat="1">
      <c r="A46" s="29"/>
      <c r="B46" s="49"/>
      <c r="C46" s="49"/>
      <c r="D46" s="49"/>
      <c r="E46" s="49"/>
      <c r="F46" s="40"/>
      <c r="G46" s="40"/>
      <c r="H46" s="49"/>
      <c r="I46" s="35"/>
      <c r="J46" s="35"/>
      <c r="K46" s="35"/>
      <c r="L46" s="35"/>
    </row>
    <row r="47" spans="1:17" s="2" customFormat="1">
      <c r="A47" s="29"/>
      <c r="B47" s="49"/>
      <c r="C47" s="49"/>
      <c r="D47" s="49"/>
      <c r="E47" s="49"/>
      <c r="F47" s="40"/>
      <c r="G47" s="40"/>
      <c r="H47" s="49"/>
      <c r="I47" s="35"/>
      <c r="J47" s="35"/>
      <c r="K47" s="35"/>
      <c r="L47" s="35"/>
    </row>
    <row r="48" spans="1:17" s="2" customFormat="1">
      <c r="A48" s="29"/>
      <c r="B48" s="49"/>
      <c r="C48" s="49"/>
      <c r="D48" s="49"/>
      <c r="E48" s="49"/>
      <c r="F48" s="40"/>
      <c r="G48" s="40"/>
      <c r="H48" s="49"/>
      <c r="I48" s="35"/>
      <c r="J48" s="35"/>
      <c r="K48" s="35"/>
      <c r="L48" s="35"/>
    </row>
    <row r="49" spans="1:12" s="2" customFormat="1">
      <c r="A49" s="29"/>
      <c r="B49" s="49"/>
      <c r="C49" s="49"/>
      <c r="D49" s="49"/>
      <c r="E49" s="49"/>
      <c r="F49" s="40"/>
      <c r="G49" s="40"/>
      <c r="H49" s="49"/>
      <c r="I49" s="35"/>
      <c r="J49" s="35"/>
      <c r="K49" s="35"/>
      <c r="L49" s="35"/>
    </row>
    <row r="50" spans="1:12" s="2" customFormat="1">
      <c r="A50" s="29"/>
      <c r="B50" s="49"/>
      <c r="C50" s="49"/>
      <c r="D50" s="49"/>
      <c r="E50" s="49"/>
      <c r="F50" s="40"/>
      <c r="G50" s="40"/>
      <c r="H50" s="49"/>
      <c r="I50" s="35"/>
      <c r="J50" s="35"/>
      <c r="K50" s="35"/>
      <c r="L50" s="35"/>
    </row>
    <row r="51" spans="1:12" s="2" customFormat="1">
      <c r="A51" s="29"/>
      <c r="B51" s="49"/>
      <c r="C51" s="49"/>
      <c r="D51" s="49"/>
      <c r="E51" s="49"/>
      <c r="F51" s="40"/>
      <c r="G51" s="40"/>
      <c r="H51" s="49"/>
      <c r="I51" s="35"/>
      <c r="J51" s="35"/>
      <c r="K51" s="35"/>
      <c r="L51" s="35"/>
    </row>
  </sheetData>
  <autoFilter ref="A13:N43" xr:uid="{00000000-0009-0000-0000-000009000000}"/>
  <mergeCells count="4">
    <mergeCell ref="B2:H2"/>
    <mergeCell ref="B3:H3"/>
    <mergeCell ref="B7:H7"/>
    <mergeCell ref="B12:L12"/>
  </mergeCells>
  <phoneticPr fontId="19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71"/>
  <sheetViews>
    <sheetView zoomScale="85" zoomScaleNormal="85" workbookViewId="0">
      <pane ySplit="5" topLeftCell="A6" activePane="bottomLeft" state="frozen"/>
      <selection activeCell="B114" sqref="B114"/>
      <selection pane="bottomLeft" activeCell="C10" sqref="C10"/>
    </sheetView>
  </sheetViews>
  <sheetFormatPr defaultColWidth="9" defaultRowHeight="13.2"/>
  <cols>
    <col min="1" max="1" width="1.33203125" style="5" customWidth="1"/>
    <col min="2" max="2" width="23.6640625" style="5" customWidth="1"/>
    <col min="3" max="3" width="30.21875" style="5" customWidth="1"/>
    <col min="4" max="4" width="30.44140625" style="5" customWidth="1"/>
    <col min="5" max="5" width="16.21875" style="5" customWidth="1"/>
    <col min="6" max="6" width="24.88671875" style="5" customWidth="1"/>
    <col min="7" max="7" width="58.6640625" style="5" customWidth="1"/>
    <col min="8" max="8" width="14.44140625" style="5" customWidth="1"/>
    <col min="9" max="9" width="7.44140625" style="5" customWidth="1"/>
    <col min="10" max="10" width="5.6640625" style="5" customWidth="1"/>
    <col min="11" max="11" width="9.6640625" style="5" customWidth="1"/>
    <col min="12" max="12" width="10.77734375" style="3" customWidth="1"/>
    <col min="13" max="16384" width="9" style="3"/>
  </cols>
  <sheetData>
    <row r="1" spans="2:14">
      <c r="B1" s="7" t="str">
        <f>HYPERLINK("#导航!a2","返回")</f>
        <v>返回</v>
      </c>
    </row>
    <row r="2" spans="2:14">
      <c r="B2" s="156"/>
      <c r="C2" s="156"/>
      <c r="D2" s="156"/>
      <c r="E2" s="156"/>
      <c r="F2" s="156"/>
      <c r="G2" s="156"/>
      <c r="H2" s="156"/>
    </row>
    <row r="3" spans="2:14">
      <c r="B3" s="157" t="s">
        <v>106</v>
      </c>
      <c r="C3" s="157"/>
      <c r="D3" s="157"/>
      <c r="E3" s="157"/>
      <c r="F3" s="157"/>
      <c r="G3" s="157"/>
      <c r="H3" s="157"/>
    </row>
    <row r="4" spans="2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2:14">
      <c r="B5" s="11" t="s">
        <v>55</v>
      </c>
      <c r="C5" s="12" t="s">
        <v>59</v>
      </c>
      <c r="D5" s="13" t="s">
        <v>60</v>
      </c>
      <c r="E5" s="14" t="s">
        <v>112</v>
      </c>
      <c r="F5" s="15"/>
      <c r="G5" s="31"/>
      <c r="H5" s="14"/>
      <c r="N5" s="5"/>
    </row>
    <row r="6" spans="2:14">
      <c r="B6" s="8"/>
      <c r="C6" s="8"/>
      <c r="D6" s="8"/>
      <c r="E6" s="8"/>
      <c r="F6" s="8"/>
      <c r="G6" s="8"/>
      <c r="H6" s="8"/>
    </row>
    <row r="7" spans="2:14">
      <c r="B7" s="157" t="s">
        <v>113</v>
      </c>
      <c r="C7" s="157"/>
      <c r="D7" s="157"/>
      <c r="E7" s="157"/>
      <c r="F7" s="157"/>
      <c r="G7" s="157"/>
      <c r="H7" s="157"/>
    </row>
    <row r="8" spans="2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2:14">
      <c r="B9" s="14"/>
      <c r="C9" s="12" t="s">
        <v>2609</v>
      </c>
      <c r="D9" s="12" t="s">
        <v>37</v>
      </c>
      <c r="E9" s="14" t="s">
        <v>243</v>
      </c>
      <c r="F9" s="14"/>
      <c r="G9" s="31"/>
      <c r="H9" s="21"/>
    </row>
    <row r="10" spans="2:14">
      <c r="B10" s="14"/>
      <c r="C10" s="12" t="s">
        <v>275</v>
      </c>
      <c r="D10" s="12" t="s">
        <v>276</v>
      </c>
      <c r="E10" s="14" t="s">
        <v>248</v>
      </c>
      <c r="F10" s="80"/>
      <c r="G10" s="19"/>
      <c r="H10" s="14"/>
    </row>
    <row r="11" spans="2:14">
      <c r="G11" s="48"/>
    </row>
    <row r="12" spans="2:14">
      <c r="B12" s="5" t="s">
        <v>120</v>
      </c>
    </row>
    <row r="13" spans="2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2:14" ht="24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2:14" s="2" customFormat="1">
      <c r="B15" s="49" t="s">
        <v>383</v>
      </c>
      <c r="C15" s="49" t="s">
        <v>132</v>
      </c>
      <c r="D15" s="20" t="s">
        <v>480</v>
      </c>
      <c r="E15" s="30" t="s">
        <v>243</v>
      </c>
      <c r="F15" s="19" t="s">
        <v>235</v>
      </c>
      <c r="G15" s="19" t="s">
        <v>250</v>
      </c>
      <c r="H15" s="32"/>
      <c r="I15" s="34"/>
      <c r="J15" s="34" t="s">
        <v>384</v>
      </c>
      <c r="K15" s="34" t="s">
        <v>134</v>
      </c>
      <c r="L15" s="34" t="s">
        <v>134</v>
      </c>
    </row>
    <row r="16" spans="2:14" s="2" customFormat="1">
      <c r="B16" s="49" t="s">
        <v>379</v>
      </c>
      <c r="C16" s="49" t="s">
        <v>139</v>
      </c>
      <c r="D16" s="20" t="s">
        <v>48</v>
      </c>
      <c r="E16" s="30" t="s">
        <v>243</v>
      </c>
      <c r="F16" s="19" t="s">
        <v>237</v>
      </c>
      <c r="G16" s="19" t="s">
        <v>250</v>
      </c>
      <c r="H16" s="32"/>
      <c r="I16" s="34"/>
      <c r="J16" s="34" t="s">
        <v>384</v>
      </c>
      <c r="K16" s="34" t="s">
        <v>134</v>
      </c>
      <c r="L16" s="34" t="s">
        <v>134</v>
      </c>
    </row>
    <row r="17" spans="1:12" s="2" customFormat="1">
      <c r="B17" s="49" t="s">
        <v>112</v>
      </c>
      <c r="C17" s="49" t="s">
        <v>139</v>
      </c>
      <c r="D17" s="20" t="s">
        <v>481</v>
      </c>
      <c r="E17" s="30" t="s">
        <v>243</v>
      </c>
      <c r="F17" s="19" t="s">
        <v>241</v>
      </c>
      <c r="G17" s="19" t="s">
        <v>250</v>
      </c>
      <c r="H17" s="32"/>
      <c r="I17" s="34"/>
      <c r="J17" s="34" t="s">
        <v>384</v>
      </c>
      <c r="K17" s="34" t="s">
        <v>134</v>
      </c>
      <c r="L17" s="34" t="s">
        <v>134</v>
      </c>
    </row>
    <row r="18" spans="1:12" s="2" customFormat="1" ht="39.6">
      <c r="B18" s="49" t="s">
        <v>377</v>
      </c>
      <c r="C18" s="49" t="s">
        <v>132</v>
      </c>
      <c r="D18" s="20" t="s">
        <v>482</v>
      </c>
      <c r="E18" s="30" t="s">
        <v>243</v>
      </c>
      <c r="F18" s="19"/>
      <c r="G18" s="19" t="s">
        <v>483</v>
      </c>
      <c r="H18" s="32"/>
      <c r="I18" s="34"/>
      <c r="J18" s="34"/>
      <c r="K18" s="34"/>
      <c r="L18" s="34"/>
    </row>
    <row r="19" spans="1:12" s="2" customFormat="1">
      <c r="A19" s="29"/>
      <c r="B19" s="49" t="s">
        <v>2338</v>
      </c>
      <c r="C19" s="49" t="s">
        <v>132</v>
      </c>
      <c r="D19" s="20" t="s">
        <v>484</v>
      </c>
      <c r="E19" s="30" t="s">
        <v>243</v>
      </c>
      <c r="F19" s="19"/>
      <c r="G19" s="19" t="s">
        <v>286</v>
      </c>
      <c r="H19" s="32"/>
      <c r="I19" s="35"/>
      <c r="J19" s="34" t="s">
        <v>384</v>
      </c>
      <c r="K19" s="34" t="s">
        <v>134</v>
      </c>
      <c r="L19" s="34" t="s">
        <v>134</v>
      </c>
    </row>
    <row r="20" spans="1:12" s="2" customFormat="1">
      <c r="A20" s="29"/>
      <c r="B20" s="49" t="s">
        <v>287</v>
      </c>
      <c r="C20" s="49" t="s">
        <v>139</v>
      </c>
      <c r="D20" s="20" t="s">
        <v>288</v>
      </c>
      <c r="E20" s="30" t="s">
        <v>243</v>
      </c>
      <c r="F20" s="19" t="s">
        <v>152</v>
      </c>
      <c r="G20" s="19" t="s">
        <v>250</v>
      </c>
      <c r="H20" s="32"/>
      <c r="I20" s="35"/>
      <c r="J20" s="34" t="s">
        <v>384</v>
      </c>
      <c r="K20" s="34" t="s">
        <v>134</v>
      </c>
      <c r="L20" s="34" t="s">
        <v>134</v>
      </c>
    </row>
    <row r="21" spans="1:12" s="2" customFormat="1" ht="52.8">
      <c r="A21" s="29"/>
      <c r="B21" s="49" t="s">
        <v>400</v>
      </c>
      <c r="C21" s="49" t="s">
        <v>132</v>
      </c>
      <c r="D21" s="20" t="s">
        <v>485</v>
      </c>
      <c r="E21" s="30" t="s">
        <v>243</v>
      </c>
      <c r="F21" s="19"/>
      <c r="G21" s="81" t="s">
        <v>486</v>
      </c>
      <c r="H21" s="32"/>
      <c r="I21" s="35"/>
      <c r="J21" s="34" t="s">
        <v>384</v>
      </c>
      <c r="K21" s="34" t="s">
        <v>134</v>
      </c>
      <c r="L21" s="34" t="s">
        <v>134</v>
      </c>
    </row>
    <row r="22" spans="1:12" s="2" customFormat="1">
      <c r="A22" s="29"/>
      <c r="B22" s="14" t="s">
        <v>385</v>
      </c>
      <c r="C22" s="14" t="s">
        <v>139</v>
      </c>
      <c r="D22" s="12" t="s">
        <v>487</v>
      </c>
      <c r="E22" s="30" t="s">
        <v>248</v>
      </c>
      <c r="F22" s="12" t="s">
        <v>385</v>
      </c>
      <c r="G22" s="19" t="s">
        <v>250</v>
      </c>
      <c r="H22" s="32"/>
      <c r="I22" s="35"/>
      <c r="J22" s="34" t="s">
        <v>384</v>
      </c>
      <c r="K22" s="34" t="s">
        <v>134</v>
      </c>
      <c r="L22" s="34" t="s">
        <v>134</v>
      </c>
    </row>
    <row r="23" spans="1:12" s="2" customFormat="1">
      <c r="A23" s="29"/>
      <c r="B23" s="14" t="s">
        <v>388</v>
      </c>
      <c r="C23" s="14" t="s">
        <v>139</v>
      </c>
      <c r="D23" s="12" t="s">
        <v>488</v>
      </c>
      <c r="E23" s="30" t="s">
        <v>248</v>
      </c>
      <c r="F23" s="12" t="s">
        <v>388</v>
      </c>
      <c r="G23" s="19" t="s">
        <v>250</v>
      </c>
      <c r="H23" s="32"/>
      <c r="I23" s="35"/>
      <c r="J23" s="34" t="s">
        <v>384</v>
      </c>
      <c r="K23" s="34" t="s">
        <v>134</v>
      </c>
      <c r="L23" s="34" t="s">
        <v>134</v>
      </c>
    </row>
    <row r="24" spans="1:12" s="2" customFormat="1">
      <c r="A24" s="29"/>
      <c r="B24" s="14" t="s">
        <v>390</v>
      </c>
      <c r="C24" s="14" t="s">
        <v>132</v>
      </c>
      <c r="D24" s="12" t="s">
        <v>391</v>
      </c>
      <c r="E24" s="30" t="s">
        <v>248</v>
      </c>
      <c r="F24" s="12" t="s">
        <v>392</v>
      </c>
      <c r="G24" s="19" t="s">
        <v>250</v>
      </c>
      <c r="H24" s="32"/>
      <c r="I24" s="35"/>
      <c r="J24" s="34" t="s">
        <v>384</v>
      </c>
      <c r="K24" s="34" t="s">
        <v>134</v>
      </c>
      <c r="L24" s="34" t="s">
        <v>134</v>
      </c>
    </row>
    <row r="25" spans="1:12" s="2" customFormat="1">
      <c r="A25" s="29"/>
      <c r="B25" s="14" t="s">
        <v>393</v>
      </c>
      <c r="C25" s="14" t="s">
        <v>132</v>
      </c>
      <c r="D25" s="12" t="s">
        <v>489</v>
      </c>
      <c r="E25" s="30" t="s">
        <v>248</v>
      </c>
      <c r="F25" s="12" t="s">
        <v>395</v>
      </c>
      <c r="G25" s="19" t="s">
        <v>250</v>
      </c>
      <c r="H25" s="32"/>
      <c r="I25" s="35"/>
      <c r="J25" s="34" t="s">
        <v>384</v>
      </c>
      <c r="K25" s="34" t="s">
        <v>134</v>
      </c>
      <c r="L25" s="34" t="s">
        <v>134</v>
      </c>
    </row>
    <row r="26" spans="1:12" s="2" customFormat="1">
      <c r="A26" s="29"/>
      <c r="B26" s="14" t="s">
        <v>396</v>
      </c>
      <c r="C26" s="14" t="s">
        <v>132</v>
      </c>
      <c r="D26" s="12" t="s">
        <v>490</v>
      </c>
      <c r="E26" s="30" t="s">
        <v>248</v>
      </c>
      <c r="F26" s="12" t="s">
        <v>398</v>
      </c>
      <c r="G26" s="19" t="s">
        <v>250</v>
      </c>
      <c r="H26" s="32"/>
      <c r="I26" s="35"/>
      <c r="J26" s="34" t="s">
        <v>384</v>
      </c>
      <c r="K26" s="34" t="s">
        <v>134</v>
      </c>
      <c r="L26" s="34" t="s">
        <v>134</v>
      </c>
    </row>
    <row r="27" spans="1:12" s="2" customFormat="1">
      <c r="A27" s="29"/>
      <c r="B27" s="49" t="s">
        <v>491</v>
      </c>
      <c r="C27" s="49" t="s">
        <v>139</v>
      </c>
      <c r="D27" s="12" t="s">
        <v>492</v>
      </c>
      <c r="E27" s="30"/>
      <c r="F27" s="19"/>
      <c r="G27" s="19" t="s">
        <v>493</v>
      </c>
      <c r="H27" s="32"/>
      <c r="I27" s="35"/>
      <c r="J27" s="34" t="s">
        <v>384</v>
      </c>
      <c r="K27" s="34" t="s">
        <v>134</v>
      </c>
      <c r="L27" s="34" t="s">
        <v>134</v>
      </c>
    </row>
    <row r="28" spans="1:12" s="2" customFormat="1">
      <c r="A28" s="29"/>
      <c r="B28" s="14" t="s">
        <v>2346</v>
      </c>
      <c r="C28" s="14" t="s">
        <v>132</v>
      </c>
      <c r="D28" s="12" t="s">
        <v>494</v>
      </c>
      <c r="E28" s="30" t="s">
        <v>243</v>
      </c>
      <c r="F28" s="19" t="str">
        <f t="shared" ref="F28:F30" si="0">B28</f>
        <v>imsi</v>
      </c>
      <c r="G28" s="31" t="s">
        <v>250</v>
      </c>
      <c r="H28" s="32"/>
      <c r="I28" s="35"/>
      <c r="J28" s="34" t="s">
        <v>384</v>
      </c>
      <c r="K28" s="34" t="s">
        <v>134</v>
      </c>
      <c r="L28" s="34" t="s">
        <v>134</v>
      </c>
    </row>
    <row r="29" spans="1:12" s="2" customFormat="1">
      <c r="A29" s="29"/>
      <c r="B29" s="14" t="s">
        <v>257</v>
      </c>
      <c r="C29" s="14" t="s">
        <v>132</v>
      </c>
      <c r="D29" s="12" t="s">
        <v>280</v>
      </c>
      <c r="E29" s="30" t="s">
        <v>243</v>
      </c>
      <c r="F29" s="19" t="str">
        <f t="shared" si="0"/>
        <v>msisdn</v>
      </c>
      <c r="G29" s="31" t="s">
        <v>250</v>
      </c>
      <c r="H29" s="32"/>
      <c r="I29" s="35"/>
      <c r="J29" s="34" t="s">
        <v>384</v>
      </c>
      <c r="K29" s="34" t="s">
        <v>134</v>
      </c>
      <c r="L29" s="34" t="s">
        <v>134</v>
      </c>
    </row>
    <row r="30" spans="1:12" s="2" customFormat="1">
      <c r="A30" s="29"/>
      <c r="B30" s="14" t="s">
        <v>254</v>
      </c>
      <c r="C30" s="14" t="s">
        <v>132</v>
      </c>
      <c r="D30" s="12" t="s">
        <v>495</v>
      </c>
      <c r="E30" s="30" t="s">
        <v>243</v>
      </c>
      <c r="F30" s="19" t="str">
        <f t="shared" si="0"/>
        <v>imei</v>
      </c>
      <c r="G30" s="31" t="s">
        <v>250</v>
      </c>
      <c r="H30" s="32"/>
      <c r="I30" s="35"/>
      <c r="J30" s="34" t="s">
        <v>384</v>
      </c>
      <c r="K30" s="34" t="s">
        <v>134</v>
      </c>
      <c r="L30" s="34" t="s">
        <v>134</v>
      </c>
    </row>
    <row r="31" spans="1:12" s="2" customFormat="1">
      <c r="A31" s="29"/>
      <c r="B31" s="14" t="s">
        <v>259</v>
      </c>
      <c r="C31" s="14" t="s">
        <v>132</v>
      </c>
      <c r="D31" s="12" t="s">
        <v>260</v>
      </c>
      <c r="E31" s="30" t="s">
        <v>243</v>
      </c>
      <c r="F31" s="19" t="s">
        <v>259</v>
      </c>
      <c r="G31" s="31" t="s">
        <v>250</v>
      </c>
      <c r="H31" s="32"/>
      <c r="I31" s="35"/>
      <c r="J31" s="34" t="s">
        <v>384</v>
      </c>
      <c r="K31" s="34" t="s">
        <v>134</v>
      </c>
      <c r="L31" s="34" t="s">
        <v>134</v>
      </c>
    </row>
    <row r="32" spans="1:12" s="2" customFormat="1">
      <c r="A32" s="29"/>
      <c r="B32" s="14" t="s">
        <v>262</v>
      </c>
      <c r="C32" s="14" t="s">
        <v>132</v>
      </c>
      <c r="D32" s="12" t="s">
        <v>263</v>
      </c>
      <c r="E32" s="30" t="s">
        <v>243</v>
      </c>
      <c r="F32" s="19" t="s">
        <v>262</v>
      </c>
      <c r="G32" s="31" t="s">
        <v>250</v>
      </c>
      <c r="H32" s="32"/>
      <c r="I32" s="35"/>
      <c r="J32" s="34" t="s">
        <v>384</v>
      </c>
      <c r="K32" s="34" t="s">
        <v>134</v>
      </c>
      <c r="L32" s="34" t="s">
        <v>134</v>
      </c>
    </row>
    <row r="33" spans="1:12" s="2" customFormat="1">
      <c r="A33" s="29"/>
      <c r="B33" s="49" t="s">
        <v>2343</v>
      </c>
      <c r="C33" s="49" t="s">
        <v>139</v>
      </c>
      <c r="D33" s="20" t="s">
        <v>496</v>
      </c>
      <c r="E33" s="30" t="s">
        <v>243</v>
      </c>
      <c r="F33" s="19" t="str">
        <f>B33</f>
        <v>regionid</v>
      </c>
      <c r="G33" s="19" t="s">
        <v>250</v>
      </c>
      <c r="H33" s="32"/>
      <c r="I33" s="35"/>
      <c r="J33" s="34" t="s">
        <v>384</v>
      </c>
      <c r="K33" s="34" t="s">
        <v>134</v>
      </c>
      <c r="L33" s="34" t="s">
        <v>134</v>
      </c>
    </row>
    <row r="34" spans="1:12" s="2" customFormat="1">
      <c r="B34" s="49" t="s">
        <v>2344</v>
      </c>
      <c r="C34" s="49" t="s">
        <v>139</v>
      </c>
      <c r="D34" s="20" t="s">
        <v>497</v>
      </c>
      <c r="E34" s="30" t="s">
        <v>243</v>
      </c>
      <c r="F34" s="19" t="str">
        <f t="shared" ref="F34:F44" si="1">B34</f>
        <v>x_offset_20</v>
      </c>
      <c r="G34" s="19" t="s">
        <v>250</v>
      </c>
      <c r="H34" s="32"/>
      <c r="I34" s="34"/>
      <c r="J34" s="34" t="s">
        <v>384</v>
      </c>
      <c r="K34" s="34" t="s">
        <v>134</v>
      </c>
      <c r="L34" s="34" t="s">
        <v>134</v>
      </c>
    </row>
    <row r="35" spans="1:12" s="2" customFormat="1">
      <c r="B35" s="49" t="s">
        <v>2345</v>
      </c>
      <c r="C35" s="49" t="s">
        <v>139</v>
      </c>
      <c r="D35" s="20" t="s">
        <v>498</v>
      </c>
      <c r="E35" s="30" t="s">
        <v>243</v>
      </c>
      <c r="F35" s="19" t="str">
        <f t="shared" si="1"/>
        <v>y_offset_20</v>
      </c>
      <c r="G35" s="19" t="s">
        <v>250</v>
      </c>
      <c r="H35" s="32"/>
      <c r="I35" s="34"/>
      <c r="J35" s="34" t="s">
        <v>384</v>
      </c>
      <c r="K35" s="34" t="s">
        <v>134</v>
      </c>
      <c r="L35" s="34" t="s">
        <v>134</v>
      </c>
    </row>
    <row r="36" spans="1:12" s="29" customFormat="1">
      <c r="B36" s="49" t="s">
        <v>499</v>
      </c>
      <c r="C36" s="49" t="s">
        <v>245</v>
      </c>
      <c r="D36" s="54" t="s">
        <v>500</v>
      </c>
      <c r="E36" s="30" t="s">
        <v>243</v>
      </c>
      <c r="F36" s="20"/>
      <c r="G36" s="19" t="s">
        <v>501</v>
      </c>
      <c r="H36" s="32"/>
      <c r="I36" s="35"/>
      <c r="J36" s="34" t="s">
        <v>384</v>
      </c>
      <c r="K36" s="34" t="s">
        <v>134</v>
      </c>
      <c r="L36" s="34" t="s">
        <v>134</v>
      </c>
    </row>
    <row r="37" spans="1:12" s="29" customFormat="1">
      <c r="B37" s="49" t="s">
        <v>502</v>
      </c>
      <c r="C37" s="49" t="s">
        <v>245</v>
      </c>
      <c r="D37" s="20" t="s">
        <v>503</v>
      </c>
      <c r="E37" s="30" t="s">
        <v>243</v>
      </c>
      <c r="F37" s="20"/>
      <c r="G37" s="19" t="s">
        <v>501</v>
      </c>
      <c r="H37" s="32"/>
      <c r="I37" s="35"/>
      <c r="J37" s="34" t="s">
        <v>384</v>
      </c>
      <c r="K37" s="34" t="s">
        <v>134</v>
      </c>
      <c r="L37" s="34" t="s">
        <v>134</v>
      </c>
    </row>
    <row r="38" spans="1:12" s="29" customFormat="1">
      <c r="B38" s="49" t="s">
        <v>504</v>
      </c>
      <c r="C38" s="49" t="s">
        <v>245</v>
      </c>
      <c r="D38" s="20" t="s">
        <v>505</v>
      </c>
      <c r="E38" s="30" t="s">
        <v>243</v>
      </c>
      <c r="F38" s="20"/>
      <c r="G38" s="19" t="s">
        <v>501</v>
      </c>
      <c r="H38" s="32"/>
      <c r="I38" s="35"/>
      <c r="J38" s="34" t="s">
        <v>384</v>
      </c>
      <c r="K38" s="34" t="s">
        <v>134</v>
      </c>
      <c r="L38" s="34" t="s">
        <v>134</v>
      </c>
    </row>
    <row r="39" spans="1:12" s="29" customFormat="1">
      <c r="B39" s="49" t="s">
        <v>506</v>
      </c>
      <c r="C39" s="49" t="s">
        <v>245</v>
      </c>
      <c r="D39" s="20" t="s">
        <v>507</v>
      </c>
      <c r="E39" s="30" t="s">
        <v>243</v>
      </c>
      <c r="F39" s="20"/>
      <c r="G39" s="19" t="s">
        <v>501</v>
      </c>
      <c r="H39" s="32"/>
      <c r="I39" s="35"/>
      <c r="J39" s="34" t="s">
        <v>384</v>
      </c>
      <c r="K39" s="34" t="s">
        <v>134</v>
      </c>
      <c r="L39" s="34" t="s">
        <v>134</v>
      </c>
    </row>
    <row r="40" spans="1:12" s="29" customFormat="1">
      <c r="B40" s="49" t="s">
        <v>508</v>
      </c>
      <c r="C40" s="49" t="s">
        <v>245</v>
      </c>
      <c r="D40" s="20" t="s">
        <v>509</v>
      </c>
      <c r="E40" s="30" t="s">
        <v>243</v>
      </c>
      <c r="F40" s="20"/>
      <c r="G40" s="19" t="s">
        <v>501</v>
      </c>
      <c r="H40" s="32"/>
      <c r="I40" s="35"/>
      <c r="J40" s="34" t="s">
        <v>384</v>
      </c>
      <c r="K40" s="34" t="s">
        <v>134</v>
      </c>
      <c r="L40" s="34" t="s">
        <v>134</v>
      </c>
    </row>
    <row r="41" spans="1:12" s="29" customFormat="1">
      <c r="B41" s="49" t="s">
        <v>510</v>
      </c>
      <c r="C41" s="49" t="s">
        <v>245</v>
      </c>
      <c r="D41" s="20" t="s">
        <v>511</v>
      </c>
      <c r="E41" s="30" t="s">
        <v>243</v>
      </c>
      <c r="F41" s="20"/>
      <c r="G41" s="19" t="s">
        <v>501</v>
      </c>
      <c r="H41" s="32"/>
      <c r="I41" s="35"/>
      <c r="J41" s="34" t="s">
        <v>384</v>
      </c>
      <c r="K41" s="34" t="s">
        <v>134</v>
      </c>
      <c r="L41" s="34" t="s">
        <v>134</v>
      </c>
    </row>
    <row r="42" spans="1:12" s="1" customFormat="1">
      <c r="A42" s="25"/>
      <c r="B42" s="26" t="s">
        <v>141</v>
      </c>
      <c r="C42" s="26" t="s">
        <v>132</v>
      </c>
      <c r="D42" s="12" t="s">
        <v>143</v>
      </c>
      <c r="E42" s="30" t="s">
        <v>243</v>
      </c>
      <c r="F42" s="19" t="str">
        <f t="shared" si="1"/>
        <v>plmn</v>
      </c>
      <c r="G42" s="19" t="s">
        <v>250</v>
      </c>
      <c r="H42" s="32"/>
      <c r="I42" s="33"/>
      <c r="J42" s="34" t="s">
        <v>384</v>
      </c>
      <c r="K42" s="34" t="s">
        <v>134</v>
      </c>
      <c r="L42" s="34" t="s">
        <v>134</v>
      </c>
    </row>
    <row r="43" spans="1:12" s="2" customFormat="1" ht="79.2">
      <c r="A43" s="29"/>
      <c r="B43" s="14" t="s">
        <v>227</v>
      </c>
      <c r="C43" s="14" t="s">
        <v>139</v>
      </c>
      <c r="D43" s="20" t="s">
        <v>228</v>
      </c>
      <c r="E43" s="30" t="s">
        <v>243</v>
      </c>
      <c r="F43" s="19" t="s">
        <v>227</v>
      </c>
      <c r="G43" s="31" t="s">
        <v>250</v>
      </c>
      <c r="H43" s="32"/>
      <c r="I43" s="35"/>
      <c r="J43" s="34" t="s">
        <v>384</v>
      </c>
      <c r="K43" s="34" t="s">
        <v>134</v>
      </c>
      <c r="L43" s="34" t="s">
        <v>134</v>
      </c>
    </row>
    <row r="44" spans="1:12" s="29" customFormat="1">
      <c r="B44" s="49" t="s">
        <v>217</v>
      </c>
      <c r="C44" s="49" t="s">
        <v>139</v>
      </c>
      <c r="D44" s="54" t="s">
        <v>218</v>
      </c>
      <c r="E44" s="30" t="s">
        <v>243</v>
      </c>
      <c r="F44" s="19" t="str">
        <f t="shared" si="1"/>
        <v>positionmark</v>
      </c>
      <c r="G44" s="19" t="s">
        <v>250</v>
      </c>
      <c r="H44" s="32"/>
      <c r="I44" s="35"/>
      <c r="J44" s="34" t="s">
        <v>384</v>
      </c>
      <c r="K44" s="34" t="s">
        <v>134</v>
      </c>
      <c r="L44" s="34" t="s">
        <v>134</v>
      </c>
    </row>
    <row r="45" spans="1:12" s="29" customFormat="1" ht="26.4">
      <c r="B45" s="49" t="s">
        <v>512</v>
      </c>
      <c r="C45" s="49" t="s">
        <v>245</v>
      </c>
      <c r="D45" s="20" t="s">
        <v>513</v>
      </c>
      <c r="E45" s="30" t="s">
        <v>243</v>
      </c>
      <c r="F45" s="19"/>
      <c r="G45" s="19" t="s">
        <v>514</v>
      </c>
      <c r="H45" s="32"/>
      <c r="I45" s="35"/>
      <c r="J45" s="34" t="s">
        <v>431</v>
      </c>
      <c r="K45" s="34" t="s">
        <v>134</v>
      </c>
      <c r="L45" s="34" t="s">
        <v>439</v>
      </c>
    </row>
    <row r="46" spans="1:12" s="29" customFormat="1" ht="26.4">
      <c r="B46" s="49" t="s">
        <v>515</v>
      </c>
      <c r="C46" s="49" t="s">
        <v>245</v>
      </c>
      <c r="D46" s="20" t="s">
        <v>516</v>
      </c>
      <c r="E46" s="30" t="s">
        <v>243</v>
      </c>
      <c r="F46" s="19"/>
      <c r="G46" s="19" t="s">
        <v>517</v>
      </c>
      <c r="H46" s="32"/>
      <c r="I46" s="35"/>
      <c r="J46" s="34" t="s">
        <v>431</v>
      </c>
      <c r="K46" s="34" t="s">
        <v>134</v>
      </c>
      <c r="L46" s="34" t="s">
        <v>439</v>
      </c>
    </row>
    <row r="47" spans="1:12" s="29" customFormat="1" ht="26.4">
      <c r="B47" s="49" t="s">
        <v>518</v>
      </c>
      <c r="C47" s="55" t="s">
        <v>136</v>
      </c>
      <c r="D47" s="20" t="s">
        <v>519</v>
      </c>
      <c r="E47" s="30" t="s">
        <v>243</v>
      </c>
      <c r="F47" s="19"/>
      <c r="G47" s="19" t="s">
        <v>520</v>
      </c>
      <c r="H47" s="32"/>
      <c r="I47" s="35"/>
      <c r="J47" s="34" t="s">
        <v>431</v>
      </c>
      <c r="K47" s="34" t="s">
        <v>134</v>
      </c>
      <c r="L47" s="34" t="s">
        <v>439</v>
      </c>
    </row>
    <row r="48" spans="1:12" s="5" customFormat="1" ht="39.6">
      <c r="B48" s="49" t="s">
        <v>521</v>
      </c>
      <c r="C48" s="55" t="s">
        <v>245</v>
      </c>
      <c r="D48" s="20" t="s">
        <v>522</v>
      </c>
      <c r="E48" s="30" t="s">
        <v>243</v>
      </c>
      <c r="F48" s="19"/>
      <c r="G48" s="19" t="s">
        <v>523</v>
      </c>
      <c r="H48" s="32"/>
      <c r="I48" s="35"/>
      <c r="J48" s="34" t="s">
        <v>431</v>
      </c>
      <c r="K48" s="34" t="s">
        <v>134</v>
      </c>
      <c r="L48" s="34" t="s">
        <v>524</v>
      </c>
    </row>
    <row r="49" spans="1:12" s="5" customFormat="1" ht="39.6">
      <c r="B49" s="49" t="s">
        <v>525</v>
      </c>
      <c r="C49" s="55" t="s">
        <v>245</v>
      </c>
      <c r="D49" s="20" t="s">
        <v>526</v>
      </c>
      <c r="E49" s="30" t="s">
        <v>243</v>
      </c>
      <c r="F49" s="19"/>
      <c r="G49" s="19" t="s">
        <v>527</v>
      </c>
      <c r="H49" s="32"/>
      <c r="I49" s="35"/>
      <c r="J49" s="34" t="s">
        <v>431</v>
      </c>
      <c r="K49" s="34" t="s">
        <v>134</v>
      </c>
      <c r="L49" s="34" t="s">
        <v>528</v>
      </c>
    </row>
    <row r="50" spans="1:12" s="2" customFormat="1">
      <c r="A50" s="29"/>
      <c r="B50" s="49" t="s">
        <v>529</v>
      </c>
      <c r="C50" s="49" t="s">
        <v>136</v>
      </c>
      <c r="D50" s="12" t="s">
        <v>530</v>
      </c>
      <c r="E50" s="30" t="s">
        <v>243</v>
      </c>
      <c r="F50" s="19"/>
      <c r="G50" s="19" t="s">
        <v>531</v>
      </c>
      <c r="H50" s="49"/>
      <c r="I50" s="35"/>
      <c r="J50" s="34" t="s">
        <v>431</v>
      </c>
      <c r="K50" s="34" t="s">
        <v>134</v>
      </c>
      <c r="L50" s="34" t="s">
        <v>439</v>
      </c>
    </row>
    <row r="51" spans="1:12" s="5" customFormat="1" ht="26.4">
      <c r="B51" s="49" t="s">
        <v>444</v>
      </c>
      <c r="C51" s="55" t="s">
        <v>136</v>
      </c>
      <c r="D51" s="20" t="s">
        <v>532</v>
      </c>
      <c r="E51" s="30" t="s">
        <v>243</v>
      </c>
      <c r="F51" s="19"/>
      <c r="G51" s="19" t="s">
        <v>2109</v>
      </c>
      <c r="H51" s="32"/>
      <c r="I51" s="35"/>
      <c r="J51" s="34" t="s">
        <v>431</v>
      </c>
      <c r="K51" s="34" t="s">
        <v>134</v>
      </c>
      <c r="L51" s="34" t="s">
        <v>533</v>
      </c>
    </row>
    <row r="52" spans="1:12" s="5" customFormat="1" ht="26.4">
      <c r="B52" s="49" t="s">
        <v>2348</v>
      </c>
      <c r="C52" s="55" t="s">
        <v>136</v>
      </c>
      <c r="D52" s="20" t="s">
        <v>534</v>
      </c>
      <c r="E52" s="30" t="s">
        <v>243</v>
      </c>
      <c r="F52" s="19"/>
      <c r="G52" s="19" t="s">
        <v>2110</v>
      </c>
      <c r="H52" s="32"/>
      <c r="I52" s="35"/>
      <c r="J52" s="34" t="s">
        <v>431</v>
      </c>
      <c r="K52" s="34" t="s">
        <v>134</v>
      </c>
      <c r="L52" s="34" t="s">
        <v>439</v>
      </c>
    </row>
    <row r="53" spans="1:12" s="5" customFormat="1" ht="39.6">
      <c r="B53" s="49" t="s">
        <v>2347</v>
      </c>
      <c r="C53" s="55" t="s">
        <v>245</v>
      </c>
      <c r="D53" s="20" t="s">
        <v>535</v>
      </c>
      <c r="E53" s="30" t="s">
        <v>243</v>
      </c>
      <c r="F53" s="19"/>
      <c r="G53" s="19" t="s">
        <v>2111</v>
      </c>
      <c r="H53" s="32"/>
      <c r="I53" s="35"/>
      <c r="J53" s="34" t="s">
        <v>431</v>
      </c>
      <c r="K53" s="34" t="s">
        <v>134</v>
      </c>
      <c r="L53" s="34" t="s">
        <v>432</v>
      </c>
    </row>
    <row r="54" spans="1:12" s="5" customFormat="1" ht="26.4">
      <c r="B54" s="26" t="s">
        <v>2350</v>
      </c>
      <c r="C54" s="26" t="s">
        <v>136</v>
      </c>
      <c r="D54" s="20" t="s">
        <v>537</v>
      </c>
      <c r="E54" s="30" t="s">
        <v>243</v>
      </c>
      <c r="F54" s="19" t="s">
        <v>2351</v>
      </c>
      <c r="G54" s="19" t="s">
        <v>2119</v>
      </c>
      <c r="H54" s="32" t="s">
        <v>2352</v>
      </c>
      <c r="I54" s="33" t="str">
        <f>F54&amp;B54&amp;H54</f>
        <v>nvl(rsrp_cnt_f65_f29,0)</v>
      </c>
      <c r="J54" s="34" t="s">
        <v>431</v>
      </c>
      <c r="K54" s="34" t="s">
        <v>134</v>
      </c>
      <c r="L54" s="34" t="s">
        <v>439</v>
      </c>
    </row>
    <row r="55" spans="1:12" s="5" customFormat="1" ht="26.4">
      <c r="B55" s="26" t="s">
        <v>538</v>
      </c>
      <c r="C55" s="26" t="s">
        <v>136</v>
      </c>
      <c r="D55" s="20" t="s">
        <v>539</v>
      </c>
      <c r="E55" s="30" t="s">
        <v>243</v>
      </c>
      <c r="F55" s="19" t="s">
        <v>2351</v>
      </c>
      <c r="G55" s="19" t="s">
        <v>2118</v>
      </c>
      <c r="H55" s="32" t="s">
        <v>2352</v>
      </c>
      <c r="I55" s="33" t="str">
        <f t="shared" ref="I55:I62" si="2">F55&amp;B55&amp;H55</f>
        <v>nvl(rsrp_cnt_f70_f65,0)</v>
      </c>
      <c r="J55" s="34" t="s">
        <v>431</v>
      </c>
      <c r="K55" s="34" t="s">
        <v>134</v>
      </c>
      <c r="L55" s="34" t="s">
        <v>439</v>
      </c>
    </row>
    <row r="56" spans="1:12" s="1" customFormat="1" ht="26.4">
      <c r="A56" s="25"/>
      <c r="B56" s="26" t="s">
        <v>540</v>
      </c>
      <c r="C56" s="26" t="s">
        <v>136</v>
      </c>
      <c r="D56" s="20" t="s">
        <v>541</v>
      </c>
      <c r="E56" s="30" t="s">
        <v>243</v>
      </c>
      <c r="F56" s="19" t="s">
        <v>2351</v>
      </c>
      <c r="G56" s="19" t="s">
        <v>2120</v>
      </c>
      <c r="H56" s="32" t="s">
        <v>2352</v>
      </c>
      <c r="I56" s="33" t="str">
        <f t="shared" si="2"/>
        <v>nvl(rsrp_cnt_f75_f70,0)</v>
      </c>
      <c r="J56" s="34" t="s">
        <v>431</v>
      </c>
      <c r="K56" s="34" t="s">
        <v>134</v>
      </c>
      <c r="L56" s="34" t="s">
        <v>439</v>
      </c>
    </row>
    <row r="57" spans="1:12" s="1" customFormat="1" ht="26.4">
      <c r="A57" s="25"/>
      <c r="B57" s="26" t="s">
        <v>542</v>
      </c>
      <c r="C57" s="26" t="s">
        <v>136</v>
      </c>
      <c r="D57" s="20" t="s">
        <v>543</v>
      </c>
      <c r="E57" s="30" t="s">
        <v>243</v>
      </c>
      <c r="F57" s="19" t="s">
        <v>2351</v>
      </c>
      <c r="G57" s="19" t="s">
        <v>2121</v>
      </c>
      <c r="H57" s="32" t="s">
        <v>2352</v>
      </c>
      <c r="I57" s="33" t="str">
        <f t="shared" si="2"/>
        <v>nvl(rsrp_cnt_f80_f75,0)</v>
      </c>
      <c r="J57" s="34" t="s">
        <v>431</v>
      </c>
      <c r="K57" s="34" t="s">
        <v>134</v>
      </c>
      <c r="L57" s="34" t="s">
        <v>439</v>
      </c>
    </row>
    <row r="58" spans="1:12" s="1" customFormat="1" ht="26.4">
      <c r="A58" s="25"/>
      <c r="B58" s="26" t="s">
        <v>544</v>
      </c>
      <c r="C58" s="26" t="s">
        <v>136</v>
      </c>
      <c r="D58" s="20" t="s">
        <v>545</v>
      </c>
      <c r="E58" s="30" t="s">
        <v>243</v>
      </c>
      <c r="F58" s="19" t="s">
        <v>2351</v>
      </c>
      <c r="G58" s="19" t="s">
        <v>2122</v>
      </c>
      <c r="H58" s="32" t="s">
        <v>2352</v>
      </c>
      <c r="I58" s="33" t="str">
        <f t="shared" si="2"/>
        <v>nvl(rsrp_cnt_f85_f80,0)</v>
      </c>
      <c r="J58" s="34" t="s">
        <v>431</v>
      </c>
      <c r="K58" s="34" t="s">
        <v>134</v>
      </c>
      <c r="L58" s="34" t="s">
        <v>439</v>
      </c>
    </row>
    <row r="59" spans="1:12" s="1" customFormat="1" ht="26.4">
      <c r="A59" s="25"/>
      <c r="B59" s="26" t="s">
        <v>546</v>
      </c>
      <c r="C59" s="26" t="s">
        <v>136</v>
      </c>
      <c r="D59" s="20" t="s">
        <v>547</v>
      </c>
      <c r="E59" s="30" t="s">
        <v>243</v>
      </c>
      <c r="F59" s="19" t="s">
        <v>2351</v>
      </c>
      <c r="G59" s="19" t="s">
        <v>2123</v>
      </c>
      <c r="H59" s="32" t="s">
        <v>2352</v>
      </c>
      <c r="I59" s="33" t="str">
        <f t="shared" si="2"/>
        <v>nvl(rsrp_cnt_f90_f85,0)</v>
      </c>
      <c r="J59" s="34" t="s">
        <v>431</v>
      </c>
      <c r="K59" s="34" t="s">
        <v>134</v>
      </c>
      <c r="L59" s="34" t="s">
        <v>439</v>
      </c>
    </row>
    <row r="60" spans="1:12" s="1" customFormat="1" ht="26.4">
      <c r="A60" s="25"/>
      <c r="B60" s="26" t="s">
        <v>548</v>
      </c>
      <c r="C60" s="26" t="s">
        <v>136</v>
      </c>
      <c r="D60" s="20" t="s">
        <v>549</v>
      </c>
      <c r="E60" s="30" t="s">
        <v>243</v>
      </c>
      <c r="F60" s="19" t="s">
        <v>2351</v>
      </c>
      <c r="G60" s="19" t="s">
        <v>2124</v>
      </c>
      <c r="H60" s="32" t="s">
        <v>2352</v>
      </c>
      <c r="I60" s="33" t="str">
        <f t="shared" si="2"/>
        <v>nvl(rsrp_cnt_f95_f90,0)</v>
      </c>
      <c r="J60" s="34" t="s">
        <v>431</v>
      </c>
      <c r="K60" s="34" t="s">
        <v>134</v>
      </c>
      <c r="L60" s="34" t="s">
        <v>439</v>
      </c>
    </row>
    <row r="61" spans="1:12" s="1" customFormat="1" ht="26.4">
      <c r="A61" s="25"/>
      <c r="B61" s="26" t="s">
        <v>550</v>
      </c>
      <c r="C61" s="26" t="s">
        <v>136</v>
      </c>
      <c r="D61" s="20" t="s">
        <v>551</v>
      </c>
      <c r="E61" s="30" t="s">
        <v>243</v>
      </c>
      <c r="F61" s="19" t="s">
        <v>2351</v>
      </c>
      <c r="G61" s="19" t="s">
        <v>2125</v>
      </c>
      <c r="H61" s="32" t="s">
        <v>2352</v>
      </c>
      <c r="I61" s="33" t="str">
        <f t="shared" si="2"/>
        <v>nvl(rsrp_cnt_f100_f95,0)</v>
      </c>
      <c r="J61" s="34" t="s">
        <v>431</v>
      </c>
      <c r="K61" s="34" t="s">
        <v>134</v>
      </c>
      <c r="L61" s="34" t="s">
        <v>439</v>
      </c>
    </row>
    <row r="62" spans="1:12" s="1" customFormat="1" ht="26.4">
      <c r="A62" s="25"/>
      <c r="B62" s="26" t="s">
        <v>552</v>
      </c>
      <c r="C62" s="26" t="s">
        <v>136</v>
      </c>
      <c r="D62" s="20" t="s">
        <v>553</v>
      </c>
      <c r="E62" s="30" t="s">
        <v>243</v>
      </c>
      <c r="F62" s="19" t="s">
        <v>2351</v>
      </c>
      <c r="G62" s="19" t="s">
        <v>2112</v>
      </c>
      <c r="H62" s="32" t="s">
        <v>2352</v>
      </c>
      <c r="I62" s="33" t="str">
        <f t="shared" si="2"/>
        <v>nvl(rsrp_cnt_f105_f100,0)</v>
      </c>
      <c r="J62" s="34" t="s">
        <v>431</v>
      </c>
      <c r="K62" s="34" t="s">
        <v>134</v>
      </c>
      <c r="L62" s="34" t="s">
        <v>439</v>
      </c>
    </row>
    <row r="63" spans="1:12" s="1" customFormat="1" ht="26.4">
      <c r="A63" s="25"/>
      <c r="B63" s="26" t="s">
        <v>2353</v>
      </c>
      <c r="C63" s="26" t="s">
        <v>136</v>
      </c>
      <c r="D63" s="20" t="s">
        <v>555</v>
      </c>
      <c r="E63" s="30" t="s">
        <v>243</v>
      </c>
      <c r="F63" s="19"/>
      <c r="G63" s="19" t="s">
        <v>2113</v>
      </c>
      <c r="H63" s="32"/>
      <c r="I63" s="33"/>
      <c r="J63" s="34" t="s">
        <v>431</v>
      </c>
      <c r="K63" s="34" t="s">
        <v>134</v>
      </c>
      <c r="L63" s="34" t="s">
        <v>439</v>
      </c>
    </row>
    <row r="64" spans="1:12" s="1" customFormat="1" ht="26.4">
      <c r="A64" s="25"/>
      <c r="B64" s="26" t="s">
        <v>2354</v>
      </c>
      <c r="C64" s="26" t="s">
        <v>136</v>
      </c>
      <c r="D64" s="20" t="s">
        <v>557</v>
      </c>
      <c r="E64" s="30" t="s">
        <v>243</v>
      </c>
      <c r="F64" s="19"/>
      <c r="G64" s="19" t="s">
        <v>2114</v>
      </c>
      <c r="H64" s="32"/>
      <c r="I64" s="33"/>
      <c r="J64" s="34" t="s">
        <v>431</v>
      </c>
      <c r="K64" s="34" t="s">
        <v>134</v>
      </c>
      <c r="L64" s="34" t="s">
        <v>439</v>
      </c>
    </row>
    <row r="65" spans="1:12" s="1" customFormat="1" ht="26.4">
      <c r="A65" s="25"/>
      <c r="B65" s="26" t="s">
        <v>2355</v>
      </c>
      <c r="C65" s="26" t="s">
        <v>136</v>
      </c>
      <c r="D65" s="20" t="s">
        <v>559</v>
      </c>
      <c r="E65" s="30" t="s">
        <v>243</v>
      </c>
      <c r="F65" s="19"/>
      <c r="G65" s="19" t="s">
        <v>2115</v>
      </c>
      <c r="H65" s="32"/>
      <c r="I65" s="33"/>
      <c r="J65" s="34" t="s">
        <v>431</v>
      </c>
      <c r="K65" s="34" t="s">
        <v>134</v>
      </c>
      <c r="L65" s="34" t="s">
        <v>439</v>
      </c>
    </row>
    <row r="66" spans="1:12" s="1" customFormat="1" ht="26.4">
      <c r="A66" s="25"/>
      <c r="B66" s="26" t="s">
        <v>2356</v>
      </c>
      <c r="C66" s="26" t="s">
        <v>136</v>
      </c>
      <c r="D66" s="20" t="s">
        <v>561</v>
      </c>
      <c r="E66" s="30" t="s">
        <v>243</v>
      </c>
      <c r="F66" s="19"/>
      <c r="G66" s="19" t="s">
        <v>2116</v>
      </c>
      <c r="H66" s="32"/>
      <c r="I66" s="33"/>
      <c r="J66" s="34" t="s">
        <v>431</v>
      </c>
      <c r="K66" s="34" t="s">
        <v>134</v>
      </c>
      <c r="L66" s="34" t="s">
        <v>439</v>
      </c>
    </row>
    <row r="67" spans="1:12" s="1" customFormat="1" ht="26.4">
      <c r="A67" s="25"/>
      <c r="B67" s="26" t="s">
        <v>2357</v>
      </c>
      <c r="C67" s="26" t="s">
        <v>136</v>
      </c>
      <c r="D67" s="20" t="s">
        <v>563</v>
      </c>
      <c r="E67" s="30" t="s">
        <v>243</v>
      </c>
      <c r="F67" s="19"/>
      <c r="G67" s="19" t="s">
        <v>2117</v>
      </c>
      <c r="H67" s="32"/>
      <c r="I67" s="33"/>
      <c r="J67" s="34" t="s">
        <v>431</v>
      </c>
      <c r="K67" s="34" t="s">
        <v>134</v>
      </c>
      <c r="L67" s="34" t="s">
        <v>439</v>
      </c>
    </row>
    <row r="68" spans="1:12" s="5" customFormat="1" ht="26.4">
      <c r="B68" s="49" t="s">
        <v>2349</v>
      </c>
      <c r="C68" s="55" t="s">
        <v>136</v>
      </c>
      <c r="D68" s="20" t="s">
        <v>565</v>
      </c>
      <c r="E68" s="30" t="s">
        <v>243</v>
      </c>
      <c r="F68" s="19"/>
      <c r="G68" s="19" t="s">
        <v>2126</v>
      </c>
      <c r="H68" s="32"/>
      <c r="I68" s="35"/>
      <c r="J68" s="34" t="s">
        <v>431</v>
      </c>
      <c r="K68" s="34" t="s">
        <v>134</v>
      </c>
      <c r="L68" s="34" t="s">
        <v>439</v>
      </c>
    </row>
    <row r="69" spans="1:12" ht="39.6">
      <c r="A69" s="3"/>
      <c r="B69" s="49" t="s">
        <v>566</v>
      </c>
      <c r="C69" s="55" t="s">
        <v>245</v>
      </c>
      <c r="D69" s="20" t="s">
        <v>567</v>
      </c>
      <c r="E69" s="30" t="s">
        <v>243</v>
      </c>
      <c r="F69" s="19"/>
      <c r="G69" s="19" t="s">
        <v>2127</v>
      </c>
      <c r="H69" s="32"/>
      <c r="I69" s="34"/>
      <c r="J69" s="34" t="s">
        <v>431</v>
      </c>
      <c r="K69" s="34" t="s">
        <v>134</v>
      </c>
      <c r="L69" s="34" t="s">
        <v>568</v>
      </c>
    </row>
    <row r="70" spans="1:12" ht="26.4">
      <c r="A70" s="3"/>
      <c r="B70" s="49" t="s">
        <v>569</v>
      </c>
      <c r="C70" s="55" t="s">
        <v>136</v>
      </c>
      <c r="D70" s="20" t="s">
        <v>570</v>
      </c>
      <c r="E70" s="30" t="s">
        <v>243</v>
      </c>
      <c r="F70" s="19"/>
      <c r="G70" s="19" t="s">
        <v>2128</v>
      </c>
      <c r="H70" s="32"/>
      <c r="I70" s="34"/>
      <c r="J70" s="34" t="s">
        <v>431</v>
      </c>
      <c r="K70" s="34" t="s">
        <v>134</v>
      </c>
      <c r="L70" s="34" t="s">
        <v>439</v>
      </c>
    </row>
    <row r="71" spans="1:12" ht="26.4">
      <c r="A71" s="3"/>
      <c r="B71" s="49" t="s">
        <v>571</v>
      </c>
      <c r="C71" s="55" t="s">
        <v>136</v>
      </c>
      <c r="D71" s="20" t="s">
        <v>572</v>
      </c>
      <c r="E71" s="30" t="s">
        <v>243</v>
      </c>
      <c r="F71" s="19"/>
      <c r="G71" s="19" t="s">
        <v>2129</v>
      </c>
      <c r="H71" s="32"/>
      <c r="I71" s="34"/>
      <c r="J71" s="34" t="s">
        <v>431</v>
      </c>
      <c r="K71" s="34" t="s">
        <v>134</v>
      </c>
      <c r="L71" s="34" t="s">
        <v>447</v>
      </c>
    </row>
    <row r="72" spans="1:12" ht="26.4">
      <c r="A72" s="3"/>
      <c r="B72" s="49" t="s">
        <v>573</v>
      </c>
      <c r="C72" s="55" t="s">
        <v>245</v>
      </c>
      <c r="D72" s="20" t="s">
        <v>574</v>
      </c>
      <c r="E72" s="30" t="s">
        <v>243</v>
      </c>
      <c r="F72" s="19"/>
      <c r="G72" s="19" t="s">
        <v>2130</v>
      </c>
      <c r="H72" s="32"/>
      <c r="I72" s="34"/>
      <c r="J72" s="34" t="s">
        <v>431</v>
      </c>
      <c r="K72" s="34" t="s">
        <v>134</v>
      </c>
      <c r="L72" s="34" t="s">
        <v>447</v>
      </c>
    </row>
    <row r="73" spans="1:12" s="2" customFormat="1" ht="26.4">
      <c r="A73" s="29"/>
      <c r="B73" s="49" t="s">
        <v>575</v>
      </c>
      <c r="C73" s="55" t="s">
        <v>136</v>
      </c>
      <c r="D73" s="12" t="s">
        <v>576</v>
      </c>
      <c r="E73" s="30" t="s">
        <v>243</v>
      </c>
      <c r="F73" s="19"/>
      <c r="G73" s="19" t="s">
        <v>2146</v>
      </c>
      <c r="H73" s="32"/>
      <c r="I73" s="35"/>
      <c r="J73" s="34" t="s">
        <v>431</v>
      </c>
      <c r="K73" s="34" t="s">
        <v>134</v>
      </c>
      <c r="L73" s="34" t="s">
        <v>439</v>
      </c>
    </row>
    <row r="74" spans="1:12" ht="39.6">
      <c r="A74" s="3"/>
      <c r="B74" s="49" t="s">
        <v>577</v>
      </c>
      <c r="C74" s="55" t="s">
        <v>245</v>
      </c>
      <c r="D74" s="20" t="s">
        <v>578</v>
      </c>
      <c r="E74" s="30" t="s">
        <v>243</v>
      </c>
      <c r="F74" s="19"/>
      <c r="G74" s="19" t="s">
        <v>2131</v>
      </c>
      <c r="H74" s="32"/>
      <c r="I74" s="34"/>
      <c r="J74" s="34" t="s">
        <v>431</v>
      </c>
      <c r="K74" s="34" t="s">
        <v>134</v>
      </c>
      <c r="L74" s="34" t="s">
        <v>579</v>
      </c>
    </row>
    <row r="75" spans="1:12" s="2" customFormat="1" ht="26.4">
      <c r="A75" s="29"/>
      <c r="B75" s="49" t="s">
        <v>580</v>
      </c>
      <c r="C75" s="55" t="s">
        <v>136</v>
      </c>
      <c r="D75" s="20" t="s">
        <v>581</v>
      </c>
      <c r="E75" s="30" t="s">
        <v>243</v>
      </c>
      <c r="F75" s="19"/>
      <c r="G75" s="19" t="s">
        <v>2132</v>
      </c>
      <c r="H75" s="32"/>
      <c r="I75" s="35"/>
      <c r="J75" s="34" t="s">
        <v>431</v>
      </c>
      <c r="K75" s="34" t="s">
        <v>134</v>
      </c>
      <c r="L75" s="34" t="s">
        <v>439</v>
      </c>
    </row>
    <row r="76" spans="1:12" s="2" customFormat="1" ht="26.4">
      <c r="A76" s="29"/>
      <c r="B76" s="49" t="s">
        <v>582</v>
      </c>
      <c r="C76" s="55" t="s">
        <v>136</v>
      </c>
      <c r="D76" s="20" t="s">
        <v>583</v>
      </c>
      <c r="E76" s="30" t="s">
        <v>243</v>
      </c>
      <c r="F76" s="19"/>
      <c r="G76" s="19" t="s">
        <v>2133</v>
      </c>
      <c r="H76" s="32"/>
      <c r="I76" s="35"/>
      <c r="J76" s="34" t="s">
        <v>431</v>
      </c>
      <c r="K76" s="34" t="s">
        <v>134</v>
      </c>
      <c r="L76" s="34" t="s">
        <v>439</v>
      </c>
    </row>
    <row r="77" spans="1:12" s="2" customFormat="1" ht="26.4">
      <c r="A77" s="29"/>
      <c r="B77" s="49" t="s">
        <v>584</v>
      </c>
      <c r="C77" s="55" t="s">
        <v>136</v>
      </c>
      <c r="D77" s="20" t="s">
        <v>585</v>
      </c>
      <c r="E77" s="30" t="s">
        <v>243</v>
      </c>
      <c r="F77" s="19"/>
      <c r="G77" s="19" t="s">
        <v>2134</v>
      </c>
      <c r="H77" s="32"/>
      <c r="I77" s="35"/>
      <c r="J77" s="34" t="s">
        <v>431</v>
      </c>
      <c r="K77" s="34" t="s">
        <v>134</v>
      </c>
      <c r="L77" s="34" t="s">
        <v>439</v>
      </c>
    </row>
    <row r="78" spans="1:12" s="2" customFormat="1" ht="26.4">
      <c r="A78" s="29"/>
      <c r="B78" s="49" t="s">
        <v>586</v>
      </c>
      <c r="C78" s="55" t="s">
        <v>136</v>
      </c>
      <c r="D78" s="20" t="s">
        <v>587</v>
      </c>
      <c r="E78" s="30" t="s">
        <v>243</v>
      </c>
      <c r="F78" s="19"/>
      <c r="G78" s="19" t="s">
        <v>2135</v>
      </c>
      <c r="H78" s="32"/>
      <c r="I78" s="35"/>
      <c r="J78" s="34" t="s">
        <v>431</v>
      </c>
      <c r="K78" s="34" t="s">
        <v>134</v>
      </c>
      <c r="L78" s="34" t="s">
        <v>439</v>
      </c>
    </row>
    <row r="79" spans="1:12" s="2" customFormat="1" ht="26.4">
      <c r="A79" s="29"/>
      <c r="B79" s="49" t="s">
        <v>588</v>
      </c>
      <c r="C79" s="55" t="s">
        <v>136</v>
      </c>
      <c r="D79" s="20" t="s">
        <v>589</v>
      </c>
      <c r="E79" s="30" t="s">
        <v>243</v>
      </c>
      <c r="F79" s="19"/>
      <c r="G79" s="19" t="s">
        <v>2136</v>
      </c>
      <c r="H79" s="32"/>
      <c r="I79" s="35"/>
      <c r="J79" s="34" t="s">
        <v>431</v>
      </c>
      <c r="K79" s="34" t="s">
        <v>134</v>
      </c>
      <c r="L79" s="34" t="s">
        <v>439</v>
      </c>
    </row>
    <row r="80" spans="1:12" s="2" customFormat="1" ht="26.4">
      <c r="A80" s="29"/>
      <c r="B80" s="49" t="s">
        <v>590</v>
      </c>
      <c r="C80" s="55" t="s">
        <v>136</v>
      </c>
      <c r="D80" s="20" t="s">
        <v>591</v>
      </c>
      <c r="E80" s="30" t="s">
        <v>243</v>
      </c>
      <c r="F80" s="19"/>
      <c r="G80" s="19" t="s">
        <v>2137</v>
      </c>
      <c r="H80" s="32"/>
      <c r="I80" s="35"/>
      <c r="J80" s="34" t="s">
        <v>431</v>
      </c>
      <c r="K80" s="34" t="s">
        <v>134</v>
      </c>
      <c r="L80" s="34" t="s">
        <v>439</v>
      </c>
    </row>
    <row r="81" spans="1:12" s="2" customFormat="1" ht="26.4">
      <c r="A81" s="29"/>
      <c r="B81" s="49" t="s">
        <v>592</v>
      </c>
      <c r="C81" s="55" t="s">
        <v>136</v>
      </c>
      <c r="D81" s="20" t="s">
        <v>593</v>
      </c>
      <c r="E81" s="30" t="s">
        <v>243</v>
      </c>
      <c r="F81" s="19"/>
      <c r="G81" s="19" t="s">
        <v>2138</v>
      </c>
      <c r="H81" s="32"/>
      <c r="I81" s="35"/>
      <c r="J81" s="34" t="s">
        <v>431</v>
      </c>
      <c r="K81" s="34" t="s">
        <v>134</v>
      </c>
      <c r="L81" s="34" t="s">
        <v>439</v>
      </c>
    </row>
    <row r="82" spans="1:12" s="2" customFormat="1" ht="26.4">
      <c r="A82" s="29"/>
      <c r="B82" s="49" t="s">
        <v>594</v>
      </c>
      <c r="C82" s="55" t="s">
        <v>136</v>
      </c>
      <c r="D82" s="20" t="s">
        <v>595</v>
      </c>
      <c r="E82" s="30" t="s">
        <v>243</v>
      </c>
      <c r="F82" s="19"/>
      <c r="G82" s="19" t="s">
        <v>2139</v>
      </c>
      <c r="H82" s="32"/>
      <c r="I82" s="35"/>
      <c r="J82" s="34" t="s">
        <v>431</v>
      </c>
      <c r="K82" s="34" t="s">
        <v>134</v>
      </c>
      <c r="L82" s="34" t="s">
        <v>439</v>
      </c>
    </row>
    <row r="83" spans="1:12" s="2" customFormat="1" ht="26.4">
      <c r="A83" s="29"/>
      <c r="B83" s="49" t="s">
        <v>596</v>
      </c>
      <c r="C83" s="55" t="s">
        <v>136</v>
      </c>
      <c r="D83" s="20" t="s">
        <v>597</v>
      </c>
      <c r="E83" s="30" t="s">
        <v>243</v>
      </c>
      <c r="F83" s="19"/>
      <c r="G83" s="19" t="s">
        <v>2140</v>
      </c>
      <c r="H83" s="32"/>
      <c r="I83" s="35"/>
      <c r="J83" s="34" t="s">
        <v>431</v>
      </c>
      <c r="K83" s="34" t="s">
        <v>134</v>
      </c>
      <c r="L83" s="34" t="s">
        <v>439</v>
      </c>
    </row>
    <row r="84" spans="1:12" s="2" customFormat="1" ht="26.4">
      <c r="A84" s="29"/>
      <c r="B84" s="49" t="s">
        <v>598</v>
      </c>
      <c r="C84" s="55" t="s">
        <v>136</v>
      </c>
      <c r="D84" s="20" t="s">
        <v>599</v>
      </c>
      <c r="E84" s="30" t="s">
        <v>243</v>
      </c>
      <c r="F84" s="19"/>
      <c r="G84" s="19" t="s">
        <v>2141</v>
      </c>
      <c r="H84" s="32"/>
      <c r="I84" s="35"/>
      <c r="J84" s="34" t="s">
        <v>431</v>
      </c>
      <c r="K84" s="34" t="s">
        <v>134</v>
      </c>
      <c r="L84" s="34" t="s">
        <v>439</v>
      </c>
    </row>
    <row r="85" spans="1:12" s="2" customFormat="1" ht="26.4">
      <c r="A85" s="29"/>
      <c r="B85" s="49" t="s">
        <v>600</v>
      </c>
      <c r="C85" s="55" t="s">
        <v>136</v>
      </c>
      <c r="D85" s="20" t="s">
        <v>601</v>
      </c>
      <c r="E85" s="30" t="s">
        <v>243</v>
      </c>
      <c r="F85" s="19"/>
      <c r="G85" s="19" t="s">
        <v>2142</v>
      </c>
      <c r="H85" s="32"/>
      <c r="I85" s="35"/>
      <c r="J85" s="34" t="s">
        <v>431</v>
      </c>
      <c r="K85" s="34" t="s">
        <v>134</v>
      </c>
      <c r="L85" s="34" t="s">
        <v>439</v>
      </c>
    </row>
    <row r="86" spans="1:12" s="1" customFormat="1" ht="26.4">
      <c r="A86" s="25"/>
      <c r="B86" s="49" t="s">
        <v>602</v>
      </c>
      <c r="C86" s="26" t="s">
        <v>136</v>
      </c>
      <c r="D86" s="20" t="s">
        <v>603</v>
      </c>
      <c r="E86" s="30" t="s">
        <v>243</v>
      </c>
      <c r="F86" s="19"/>
      <c r="G86" s="19" t="s">
        <v>2143</v>
      </c>
      <c r="H86" s="32"/>
      <c r="I86" s="33"/>
      <c r="J86" s="34" t="s">
        <v>431</v>
      </c>
      <c r="K86" s="34" t="s">
        <v>134</v>
      </c>
      <c r="L86" s="34" t="s">
        <v>439</v>
      </c>
    </row>
    <row r="87" spans="1:12" s="1" customFormat="1" ht="26.4">
      <c r="A87" s="25"/>
      <c r="B87" s="26" t="s">
        <v>604</v>
      </c>
      <c r="C87" s="26" t="s">
        <v>136</v>
      </c>
      <c r="D87" s="20" t="s">
        <v>605</v>
      </c>
      <c r="E87" s="30" t="s">
        <v>243</v>
      </c>
      <c r="F87" s="19"/>
      <c r="G87" s="19" t="s">
        <v>2144</v>
      </c>
      <c r="H87" s="32"/>
      <c r="I87" s="33"/>
      <c r="J87" s="34" t="s">
        <v>431</v>
      </c>
      <c r="K87" s="34" t="s">
        <v>134</v>
      </c>
      <c r="L87" s="34" t="s">
        <v>439</v>
      </c>
    </row>
    <row r="88" spans="1:12" s="1" customFormat="1" ht="39.6">
      <c r="A88" s="25"/>
      <c r="B88" s="26" t="s">
        <v>606</v>
      </c>
      <c r="C88" s="26" t="s">
        <v>245</v>
      </c>
      <c r="D88" s="20" t="s">
        <v>607</v>
      </c>
      <c r="E88" s="30" t="s">
        <v>243</v>
      </c>
      <c r="F88" s="19"/>
      <c r="G88" s="19" t="s">
        <v>2145</v>
      </c>
      <c r="H88" s="32"/>
      <c r="I88" s="33"/>
      <c r="J88" s="34" t="s">
        <v>431</v>
      </c>
      <c r="K88" s="34" t="s">
        <v>134</v>
      </c>
      <c r="L88" s="34" t="s">
        <v>568</v>
      </c>
    </row>
    <row r="89" spans="1:12" s="1" customFormat="1" ht="26.4">
      <c r="A89" s="25"/>
      <c r="B89" s="26" t="s">
        <v>608</v>
      </c>
      <c r="C89" s="26" t="s">
        <v>136</v>
      </c>
      <c r="D89" s="20" t="s">
        <v>609</v>
      </c>
      <c r="E89" s="30" t="s">
        <v>243</v>
      </c>
      <c r="F89" s="19"/>
      <c r="G89" s="19" t="s">
        <v>2147</v>
      </c>
      <c r="H89" s="32"/>
      <c r="I89" s="33"/>
      <c r="J89" s="34" t="s">
        <v>431</v>
      </c>
      <c r="K89" s="34" t="s">
        <v>134</v>
      </c>
      <c r="L89" s="34" t="s">
        <v>610</v>
      </c>
    </row>
    <row r="90" spans="1:12" s="1" customFormat="1" ht="26.4">
      <c r="A90" s="25"/>
      <c r="B90" s="26" t="s">
        <v>2359</v>
      </c>
      <c r="C90" s="26" t="s">
        <v>136</v>
      </c>
      <c r="D90" s="20" t="s">
        <v>612</v>
      </c>
      <c r="E90" s="30" t="s">
        <v>243</v>
      </c>
      <c r="F90" s="19"/>
      <c r="G90" s="19" t="s">
        <v>2148</v>
      </c>
      <c r="H90" s="32"/>
      <c r="I90" s="33"/>
      <c r="J90" s="34" t="s">
        <v>431</v>
      </c>
      <c r="K90" s="34" t="s">
        <v>134</v>
      </c>
      <c r="L90" s="34" t="s">
        <v>439</v>
      </c>
    </row>
    <row r="91" spans="1:12" s="1" customFormat="1" ht="39.6">
      <c r="A91" s="25"/>
      <c r="B91" s="26" t="s">
        <v>2358</v>
      </c>
      <c r="C91" s="26" t="s">
        <v>245</v>
      </c>
      <c r="D91" s="20" t="s">
        <v>614</v>
      </c>
      <c r="E91" s="30" t="s">
        <v>243</v>
      </c>
      <c r="F91" s="19"/>
      <c r="G91" s="19" t="s">
        <v>2149</v>
      </c>
      <c r="H91" s="32"/>
      <c r="I91" s="33"/>
      <c r="J91" s="34" t="s">
        <v>431</v>
      </c>
      <c r="K91" s="34" t="s">
        <v>134</v>
      </c>
      <c r="L91" s="34" t="s">
        <v>615</v>
      </c>
    </row>
    <row r="92" spans="1:12" s="1" customFormat="1" ht="26.4">
      <c r="A92" s="25"/>
      <c r="B92" s="26" t="s">
        <v>616</v>
      </c>
      <c r="C92" s="26" t="s">
        <v>136</v>
      </c>
      <c r="D92" s="20" t="s">
        <v>617</v>
      </c>
      <c r="E92" s="30" t="s">
        <v>243</v>
      </c>
      <c r="F92" s="19"/>
      <c r="G92" s="19" t="s">
        <v>2150</v>
      </c>
      <c r="H92" s="32"/>
      <c r="I92" s="33"/>
      <c r="J92" s="34" t="s">
        <v>431</v>
      </c>
      <c r="K92" s="34" t="s">
        <v>134</v>
      </c>
      <c r="L92" s="34" t="s">
        <v>439</v>
      </c>
    </row>
    <row r="93" spans="1:12" s="1" customFormat="1" ht="26.4">
      <c r="A93" s="25"/>
      <c r="B93" s="26" t="s">
        <v>618</v>
      </c>
      <c r="C93" s="26" t="s">
        <v>136</v>
      </c>
      <c r="D93" s="20" t="s">
        <v>619</v>
      </c>
      <c r="E93" s="30" t="s">
        <v>243</v>
      </c>
      <c r="F93" s="19"/>
      <c r="G93" s="19" t="s">
        <v>2151</v>
      </c>
      <c r="H93" s="32"/>
      <c r="I93" s="33"/>
      <c r="J93" s="34" t="s">
        <v>431</v>
      </c>
      <c r="K93" s="34" t="s">
        <v>134</v>
      </c>
      <c r="L93" s="34" t="s">
        <v>439</v>
      </c>
    </row>
    <row r="94" spans="1:12" s="1" customFormat="1" ht="26.4">
      <c r="A94" s="25"/>
      <c r="B94" s="26" t="s">
        <v>620</v>
      </c>
      <c r="C94" s="26" t="s">
        <v>136</v>
      </c>
      <c r="D94" s="20" t="s">
        <v>621</v>
      </c>
      <c r="E94" s="30" t="s">
        <v>243</v>
      </c>
      <c r="F94" s="19"/>
      <c r="G94" s="19" t="s">
        <v>2152</v>
      </c>
      <c r="H94" s="32"/>
      <c r="I94" s="33"/>
      <c r="J94" s="34" t="s">
        <v>431</v>
      </c>
      <c r="K94" s="34" t="s">
        <v>134</v>
      </c>
      <c r="L94" s="34" t="s">
        <v>439</v>
      </c>
    </row>
    <row r="95" spans="1:12" s="1" customFormat="1" ht="26.4">
      <c r="A95" s="25"/>
      <c r="B95" s="26" t="s">
        <v>622</v>
      </c>
      <c r="C95" s="26" t="s">
        <v>136</v>
      </c>
      <c r="D95" s="20" t="s">
        <v>623</v>
      </c>
      <c r="E95" s="30" t="s">
        <v>243</v>
      </c>
      <c r="F95" s="19"/>
      <c r="G95" s="19" t="s">
        <v>2153</v>
      </c>
      <c r="H95" s="32"/>
      <c r="I95" s="33"/>
      <c r="J95" s="34" t="s">
        <v>431</v>
      </c>
      <c r="K95" s="34" t="s">
        <v>134</v>
      </c>
      <c r="L95" s="34" t="s">
        <v>439</v>
      </c>
    </row>
    <row r="96" spans="1:12" s="1" customFormat="1" ht="26.4">
      <c r="A96" s="25"/>
      <c r="B96" s="26" t="s">
        <v>624</v>
      </c>
      <c r="C96" s="26" t="s">
        <v>136</v>
      </c>
      <c r="D96" s="20" t="s">
        <v>625</v>
      </c>
      <c r="E96" s="30" t="s">
        <v>243</v>
      </c>
      <c r="F96" s="19"/>
      <c r="G96" s="19" t="s">
        <v>2154</v>
      </c>
      <c r="H96" s="32"/>
      <c r="I96" s="33"/>
      <c r="J96" s="34" t="s">
        <v>431</v>
      </c>
      <c r="K96" s="34" t="s">
        <v>134</v>
      </c>
      <c r="L96" s="34" t="s">
        <v>439</v>
      </c>
    </row>
    <row r="97" spans="1:12" s="1" customFormat="1" ht="26.4">
      <c r="A97" s="25"/>
      <c r="B97" s="26" t="s">
        <v>626</v>
      </c>
      <c r="C97" s="26" t="s">
        <v>136</v>
      </c>
      <c r="D97" s="20" t="s">
        <v>627</v>
      </c>
      <c r="E97" s="30" t="s">
        <v>243</v>
      </c>
      <c r="F97" s="19"/>
      <c r="G97" s="19" t="s">
        <v>2155</v>
      </c>
      <c r="H97" s="32"/>
      <c r="I97" s="33"/>
      <c r="J97" s="34" t="s">
        <v>431</v>
      </c>
      <c r="K97" s="34" t="s">
        <v>134</v>
      </c>
      <c r="L97" s="34" t="s">
        <v>439</v>
      </c>
    </row>
    <row r="98" spans="1:12" s="1" customFormat="1" ht="26.4">
      <c r="A98" s="25"/>
      <c r="B98" s="26" t="s">
        <v>2360</v>
      </c>
      <c r="C98" s="26" t="s">
        <v>136</v>
      </c>
      <c r="D98" s="20" t="s">
        <v>629</v>
      </c>
      <c r="E98" s="30" t="s">
        <v>243</v>
      </c>
      <c r="F98" s="19"/>
      <c r="G98" s="19" t="s">
        <v>2156</v>
      </c>
      <c r="H98" s="32"/>
      <c r="I98" s="33"/>
      <c r="J98" s="34" t="s">
        <v>431</v>
      </c>
      <c r="K98" s="34" t="s">
        <v>134</v>
      </c>
      <c r="L98" s="34" t="s">
        <v>439</v>
      </c>
    </row>
    <row r="99" spans="1:12" s="1" customFormat="1" ht="26.4">
      <c r="A99" s="25"/>
      <c r="B99" s="26" t="s">
        <v>630</v>
      </c>
      <c r="C99" s="26" t="s">
        <v>136</v>
      </c>
      <c r="D99" s="20" t="s">
        <v>631</v>
      </c>
      <c r="E99" s="30" t="s">
        <v>243</v>
      </c>
      <c r="F99" s="19" t="str">
        <f>H99&amp;B99&amp;I99</f>
        <v>nvl(ulsinr_cnt_33_41,0)</v>
      </c>
      <c r="G99" s="19" t="s">
        <v>2157</v>
      </c>
      <c r="H99" s="32" t="s">
        <v>2351</v>
      </c>
      <c r="I99" s="33" t="s">
        <v>2352</v>
      </c>
      <c r="J99" s="34" t="s">
        <v>431</v>
      </c>
      <c r="K99" s="34" t="s">
        <v>134</v>
      </c>
      <c r="L99" s="34" t="s">
        <v>439</v>
      </c>
    </row>
    <row r="100" spans="1:12" s="1" customFormat="1" ht="26.4">
      <c r="A100" s="25"/>
      <c r="B100" s="26" t="s">
        <v>632</v>
      </c>
      <c r="C100" s="26" t="s">
        <v>136</v>
      </c>
      <c r="D100" s="20" t="s">
        <v>633</v>
      </c>
      <c r="E100" s="30" t="s">
        <v>243</v>
      </c>
      <c r="F100" s="19" t="str">
        <f t="shared" ref="F100:F110" si="3">H100&amp;B100&amp;I100</f>
        <v>nvl(ulsinr_cnt_28_33,0)</v>
      </c>
      <c r="G100" s="19" t="s">
        <v>2158</v>
      </c>
      <c r="H100" s="32" t="s">
        <v>2351</v>
      </c>
      <c r="I100" s="33" t="s">
        <v>2352</v>
      </c>
      <c r="J100" s="34" t="s">
        <v>431</v>
      </c>
      <c r="K100" s="34" t="s">
        <v>134</v>
      </c>
      <c r="L100" s="34" t="s">
        <v>439</v>
      </c>
    </row>
    <row r="101" spans="1:12" s="1" customFormat="1" ht="26.4">
      <c r="A101" s="25"/>
      <c r="B101" s="26" t="s">
        <v>634</v>
      </c>
      <c r="C101" s="26" t="s">
        <v>136</v>
      </c>
      <c r="D101" s="20" t="s">
        <v>635</v>
      </c>
      <c r="E101" s="30" t="s">
        <v>243</v>
      </c>
      <c r="F101" s="19" t="str">
        <f t="shared" si="3"/>
        <v>nvl(ulsinr_cnt_23_28,0)</v>
      </c>
      <c r="G101" s="19" t="s">
        <v>2159</v>
      </c>
      <c r="H101" s="32" t="s">
        <v>2351</v>
      </c>
      <c r="I101" s="33" t="s">
        <v>2352</v>
      </c>
      <c r="J101" s="34" t="s">
        <v>431</v>
      </c>
      <c r="K101" s="34" t="s">
        <v>134</v>
      </c>
      <c r="L101" s="34" t="s">
        <v>439</v>
      </c>
    </row>
    <row r="102" spans="1:12" s="1" customFormat="1" ht="26.4">
      <c r="A102" s="25"/>
      <c r="B102" s="26" t="s">
        <v>636</v>
      </c>
      <c r="C102" s="26" t="s">
        <v>136</v>
      </c>
      <c r="D102" s="20" t="s">
        <v>637</v>
      </c>
      <c r="E102" s="30" t="s">
        <v>243</v>
      </c>
      <c r="F102" s="19" t="str">
        <f t="shared" si="3"/>
        <v>nvl(ulsinr_cnt_18_23,0)</v>
      </c>
      <c r="G102" s="19" t="s">
        <v>2160</v>
      </c>
      <c r="H102" s="32" t="s">
        <v>2351</v>
      </c>
      <c r="I102" s="33" t="s">
        <v>2352</v>
      </c>
      <c r="J102" s="34" t="s">
        <v>431</v>
      </c>
      <c r="K102" s="34" t="s">
        <v>134</v>
      </c>
      <c r="L102" s="34" t="s">
        <v>439</v>
      </c>
    </row>
    <row r="103" spans="1:12" s="1" customFormat="1" ht="26.4">
      <c r="A103" s="25"/>
      <c r="B103" s="26" t="s">
        <v>638</v>
      </c>
      <c r="C103" s="26" t="s">
        <v>136</v>
      </c>
      <c r="D103" s="20" t="s">
        <v>639</v>
      </c>
      <c r="E103" s="30" t="s">
        <v>243</v>
      </c>
      <c r="F103" s="19" t="str">
        <f t="shared" si="3"/>
        <v>nvl(ulsinr_cnt_13_18,0)</v>
      </c>
      <c r="G103" s="19" t="s">
        <v>2161</v>
      </c>
      <c r="H103" s="32" t="s">
        <v>2351</v>
      </c>
      <c r="I103" s="33" t="s">
        <v>2352</v>
      </c>
      <c r="J103" s="34" t="s">
        <v>431</v>
      </c>
      <c r="K103" s="34" t="s">
        <v>134</v>
      </c>
      <c r="L103" s="34" t="s">
        <v>439</v>
      </c>
    </row>
    <row r="104" spans="1:12" s="1" customFormat="1" ht="26.4">
      <c r="A104" s="25"/>
      <c r="B104" s="26" t="s">
        <v>640</v>
      </c>
      <c r="C104" s="26" t="s">
        <v>136</v>
      </c>
      <c r="D104" s="20" t="s">
        <v>641</v>
      </c>
      <c r="E104" s="30" t="s">
        <v>243</v>
      </c>
      <c r="F104" s="19" t="str">
        <f t="shared" si="3"/>
        <v>nvl(ulsinr_cnt_8_13,0)</v>
      </c>
      <c r="G104" s="19" t="s">
        <v>2162</v>
      </c>
      <c r="H104" s="32" t="s">
        <v>2351</v>
      </c>
      <c r="I104" s="33" t="s">
        <v>2352</v>
      </c>
      <c r="J104" s="34" t="s">
        <v>431</v>
      </c>
      <c r="K104" s="34" t="s">
        <v>134</v>
      </c>
      <c r="L104" s="34" t="s">
        <v>439</v>
      </c>
    </row>
    <row r="105" spans="1:12" s="1" customFormat="1" ht="26.4">
      <c r="A105" s="25"/>
      <c r="B105" s="26" t="s">
        <v>642</v>
      </c>
      <c r="C105" s="26" t="s">
        <v>136</v>
      </c>
      <c r="D105" s="20" t="s">
        <v>643</v>
      </c>
      <c r="E105" s="30" t="s">
        <v>243</v>
      </c>
      <c r="F105" s="19" t="str">
        <f t="shared" si="3"/>
        <v>nvl(ulsinr_cnt_3_8,0)</v>
      </c>
      <c r="G105" s="19" t="s">
        <v>2163</v>
      </c>
      <c r="H105" s="32" t="s">
        <v>2351</v>
      </c>
      <c r="I105" s="33" t="s">
        <v>2352</v>
      </c>
      <c r="J105" s="34" t="s">
        <v>431</v>
      </c>
      <c r="K105" s="34" t="s">
        <v>134</v>
      </c>
      <c r="L105" s="34" t="s">
        <v>439</v>
      </c>
    </row>
    <row r="106" spans="1:12" s="1" customFormat="1" ht="26.4">
      <c r="A106" s="25"/>
      <c r="B106" s="26" t="s">
        <v>644</v>
      </c>
      <c r="C106" s="26" t="s">
        <v>136</v>
      </c>
      <c r="D106" s="20" t="s">
        <v>645</v>
      </c>
      <c r="E106" s="30" t="s">
        <v>243</v>
      </c>
      <c r="F106" s="19" t="str">
        <f t="shared" si="3"/>
        <v>nvl(ulsinr_cnt_f2_3,0)</v>
      </c>
      <c r="G106" s="19" t="s">
        <v>2164</v>
      </c>
      <c r="H106" s="32" t="s">
        <v>2351</v>
      </c>
      <c r="I106" s="33" t="s">
        <v>2352</v>
      </c>
      <c r="J106" s="34" t="s">
        <v>431</v>
      </c>
      <c r="K106" s="34" t="s">
        <v>134</v>
      </c>
      <c r="L106" s="34" t="s">
        <v>439</v>
      </c>
    </row>
    <row r="107" spans="1:12" s="1" customFormat="1" ht="26.4">
      <c r="A107" s="25"/>
      <c r="B107" s="26" t="s">
        <v>646</v>
      </c>
      <c r="C107" s="26" t="s">
        <v>136</v>
      </c>
      <c r="D107" s="20" t="s">
        <v>647</v>
      </c>
      <c r="E107" s="30" t="s">
        <v>243</v>
      </c>
      <c r="F107" s="19" t="str">
        <f t="shared" si="3"/>
        <v>nvl(ulsinr_cnt_f7_f2,0)</v>
      </c>
      <c r="G107" s="19" t="s">
        <v>2165</v>
      </c>
      <c r="H107" s="32" t="s">
        <v>2351</v>
      </c>
      <c r="I107" s="33" t="s">
        <v>2352</v>
      </c>
      <c r="J107" s="34" t="s">
        <v>431</v>
      </c>
      <c r="K107" s="34" t="s">
        <v>134</v>
      </c>
      <c r="L107" s="34" t="s">
        <v>439</v>
      </c>
    </row>
    <row r="108" spans="1:12" s="1" customFormat="1" ht="26.4">
      <c r="A108" s="25"/>
      <c r="B108" s="26" t="s">
        <v>648</v>
      </c>
      <c r="C108" s="26" t="s">
        <v>136</v>
      </c>
      <c r="D108" s="20" t="s">
        <v>649</v>
      </c>
      <c r="E108" s="30" t="s">
        <v>243</v>
      </c>
      <c r="F108" s="19" t="str">
        <f t="shared" si="3"/>
        <v>nvl(ulsinr_cnt_f10_f7,0)</v>
      </c>
      <c r="G108" s="19" t="s">
        <v>2166</v>
      </c>
      <c r="H108" s="32" t="s">
        <v>2351</v>
      </c>
      <c r="I108" s="33" t="s">
        <v>2352</v>
      </c>
      <c r="J108" s="34" t="s">
        <v>431</v>
      </c>
      <c r="K108" s="34" t="s">
        <v>134</v>
      </c>
      <c r="L108" s="34" t="s">
        <v>439</v>
      </c>
    </row>
    <row r="109" spans="1:12" s="1" customFormat="1" ht="26.4">
      <c r="A109" s="25"/>
      <c r="B109" s="26" t="s">
        <v>650</v>
      </c>
      <c r="C109" s="26" t="s">
        <v>136</v>
      </c>
      <c r="D109" s="20" t="s">
        <v>651</v>
      </c>
      <c r="E109" s="30" t="s">
        <v>243</v>
      </c>
      <c r="F109" s="19" t="str">
        <f t="shared" si="3"/>
        <v>nvl(ulsinr_cnt_f15_f10,0)</v>
      </c>
      <c r="G109" s="19" t="s">
        <v>2167</v>
      </c>
      <c r="H109" s="32" t="s">
        <v>2351</v>
      </c>
      <c r="I109" s="33" t="s">
        <v>2352</v>
      </c>
      <c r="J109" s="34" t="s">
        <v>431</v>
      </c>
      <c r="K109" s="34" t="s">
        <v>134</v>
      </c>
      <c r="L109" s="34" t="s">
        <v>439</v>
      </c>
    </row>
    <row r="110" spans="1:12" s="1" customFormat="1" ht="26.4">
      <c r="A110" s="25"/>
      <c r="B110" s="26" t="s">
        <v>652</v>
      </c>
      <c r="C110" s="26" t="s">
        <v>136</v>
      </c>
      <c r="D110" s="20" t="s">
        <v>653</v>
      </c>
      <c r="E110" s="30" t="s">
        <v>243</v>
      </c>
      <c r="F110" s="19" t="str">
        <f t="shared" si="3"/>
        <v>nvl(ulsinr_cnt_f23_f15,0)</v>
      </c>
      <c r="G110" s="19" t="s">
        <v>2168</v>
      </c>
      <c r="H110" s="32" t="s">
        <v>2351</v>
      </c>
      <c r="I110" s="33" t="s">
        <v>2352</v>
      </c>
      <c r="J110" s="34" t="s">
        <v>431</v>
      </c>
      <c r="K110" s="34" t="s">
        <v>134</v>
      </c>
      <c r="L110" s="34" t="s">
        <v>439</v>
      </c>
    </row>
    <row r="111" spans="1:12" s="1" customFormat="1" ht="26.4">
      <c r="A111" s="25"/>
      <c r="B111" s="26" t="s">
        <v>654</v>
      </c>
      <c r="C111" s="26" t="s">
        <v>136</v>
      </c>
      <c r="D111" s="20" t="s">
        <v>655</v>
      </c>
      <c r="E111" s="30" t="s">
        <v>243</v>
      </c>
      <c r="F111" s="19"/>
      <c r="G111" s="19" t="s">
        <v>2169</v>
      </c>
      <c r="H111" s="32"/>
      <c r="I111" s="33"/>
      <c r="J111" s="34" t="s">
        <v>431</v>
      </c>
      <c r="K111" s="34" t="s">
        <v>134</v>
      </c>
      <c r="L111" s="34" t="s">
        <v>439</v>
      </c>
    </row>
    <row r="112" spans="1:12" s="1" customFormat="1" ht="39.6">
      <c r="A112" s="25"/>
      <c r="B112" s="26" t="s">
        <v>656</v>
      </c>
      <c r="C112" s="26" t="s">
        <v>245</v>
      </c>
      <c r="D112" s="20" t="s">
        <v>657</v>
      </c>
      <c r="E112" s="30" t="s">
        <v>243</v>
      </c>
      <c r="F112" s="19"/>
      <c r="G112" s="19" t="s">
        <v>2170</v>
      </c>
      <c r="H112" s="32"/>
      <c r="I112" s="33"/>
      <c r="J112" s="34" t="s">
        <v>431</v>
      </c>
      <c r="K112" s="34" t="s">
        <v>134</v>
      </c>
      <c r="L112" s="34" t="s">
        <v>568</v>
      </c>
    </row>
    <row r="113" spans="1:21" s="1" customFormat="1">
      <c r="A113" s="25"/>
      <c r="B113" s="26" t="s">
        <v>658</v>
      </c>
      <c r="C113" s="26" t="s">
        <v>136</v>
      </c>
      <c r="D113" s="20" t="s">
        <v>659</v>
      </c>
      <c r="E113" s="30" t="s">
        <v>243</v>
      </c>
      <c r="F113" s="19"/>
      <c r="G113" s="19" t="s">
        <v>660</v>
      </c>
      <c r="H113" s="32"/>
      <c r="I113" s="33"/>
      <c r="J113" s="34" t="s">
        <v>431</v>
      </c>
      <c r="K113" s="34" t="s">
        <v>134</v>
      </c>
      <c r="L113" s="34" t="s">
        <v>439</v>
      </c>
      <c r="P113" s="1" t="s">
        <v>661</v>
      </c>
      <c r="S113" s="1" t="s">
        <v>662</v>
      </c>
      <c r="T113" s="1" t="s">
        <v>663</v>
      </c>
      <c r="U113" s="1" t="s">
        <v>664</v>
      </c>
    </row>
    <row r="114" spans="1:21" s="1" customFormat="1">
      <c r="A114" s="25"/>
      <c r="B114" s="26" t="s">
        <v>665</v>
      </c>
      <c r="C114" s="26" t="s">
        <v>136</v>
      </c>
      <c r="D114" s="20" t="s">
        <v>666</v>
      </c>
      <c r="E114" s="30" t="s">
        <v>243</v>
      </c>
      <c r="F114" s="19"/>
      <c r="G114" s="19" t="s">
        <v>667</v>
      </c>
      <c r="H114" s="32"/>
      <c r="I114" s="33"/>
      <c r="J114" s="34" t="s">
        <v>431</v>
      </c>
      <c r="K114" s="34" t="s">
        <v>134</v>
      </c>
      <c r="L114" s="34" t="s">
        <v>439</v>
      </c>
      <c r="P114" s="1" t="s">
        <v>668</v>
      </c>
      <c r="S114" s="1" t="s">
        <v>662</v>
      </c>
      <c r="T114" s="1" t="s">
        <v>663</v>
      </c>
      <c r="U114" s="1" t="s">
        <v>664</v>
      </c>
    </row>
    <row r="115" spans="1:21" s="1" customFormat="1" ht="26.4">
      <c r="A115" s="25"/>
      <c r="B115" s="26" t="s">
        <v>669</v>
      </c>
      <c r="C115" s="26" t="s">
        <v>245</v>
      </c>
      <c r="D115" s="20" t="s">
        <v>670</v>
      </c>
      <c r="E115" s="30" t="s">
        <v>243</v>
      </c>
      <c r="F115" s="19"/>
      <c r="G115" s="19" t="s">
        <v>671</v>
      </c>
      <c r="H115" s="32"/>
      <c r="I115" s="33"/>
      <c r="J115" s="34" t="s">
        <v>431</v>
      </c>
      <c r="K115" s="34" t="s">
        <v>134</v>
      </c>
      <c r="L115" s="34" t="s">
        <v>439</v>
      </c>
      <c r="P115" s="1" t="s">
        <v>672</v>
      </c>
      <c r="S115" s="1" t="s">
        <v>662</v>
      </c>
      <c r="T115" s="1" t="s">
        <v>663</v>
      </c>
      <c r="U115" s="1" t="s">
        <v>664</v>
      </c>
    </row>
    <row r="116" spans="1:21" s="1" customFormat="1">
      <c r="A116" s="25"/>
      <c r="B116" s="26" t="s">
        <v>673</v>
      </c>
      <c r="C116" s="26" t="s">
        <v>136</v>
      </c>
      <c r="D116" s="20" t="s">
        <v>674</v>
      </c>
      <c r="E116" s="30" t="s">
        <v>243</v>
      </c>
      <c r="F116" s="19"/>
      <c r="G116" s="19" t="s">
        <v>675</v>
      </c>
      <c r="H116" s="32"/>
      <c r="I116" s="33"/>
      <c r="J116" s="34" t="s">
        <v>431</v>
      </c>
      <c r="K116" s="34" t="s">
        <v>134</v>
      </c>
      <c r="L116" s="34" t="s">
        <v>439</v>
      </c>
    </row>
    <row r="117" spans="1:21" s="1" customFormat="1">
      <c r="A117" s="25"/>
      <c r="B117" s="26" t="s">
        <v>676</v>
      </c>
      <c r="C117" s="26" t="s">
        <v>136</v>
      </c>
      <c r="D117" s="20" t="s">
        <v>677</v>
      </c>
      <c r="E117" s="30" t="s">
        <v>243</v>
      </c>
      <c r="F117" s="19"/>
      <c r="G117" s="19" t="s">
        <v>678</v>
      </c>
      <c r="H117" s="32"/>
      <c r="I117" s="33"/>
      <c r="J117" s="34" t="s">
        <v>431</v>
      </c>
      <c r="K117" s="34" t="s">
        <v>134</v>
      </c>
      <c r="L117" s="34" t="s">
        <v>439</v>
      </c>
    </row>
    <row r="118" spans="1:21" s="1" customFormat="1">
      <c r="A118" s="25"/>
      <c r="B118" s="26" t="s">
        <v>679</v>
      </c>
      <c r="C118" s="26" t="s">
        <v>136</v>
      </c>
      <c r="D118" s="20" t="s">
        <v>680</v>
      </c>
      <c r="E118" s="30" t="s">
        <v>243</v>
      </c>
      <c r="F118" s="19"/>
      <c r="G118" s="19" t="s">
        <v>681</v>
      </c>
      <c r="H118" s="32"/>
      <c r="I118" s="33"/>
      <c r="J118" s="34" t="s">
        <v>431</v>
      </c>
      <c r="K118" s="34" t="s">
        <v>134</v>
      </c>
      <c r="L118" s="34" t="s">
        <v>439</v>
      </c>
    </row>
    <row r="119" spans="1:21" s="1" customFormat="1">
      <c r="A119" s="25"/>
      <c r="B119" s="26" t="s">
        <v>682</v>
      </c>
      <c r="C119" s="26" t="s">
        <v>136</v>
      </c>
      <c r="D119" s="20" t="s">
        <v>683</v>
      </c>
      <c r="E119" s="30" t="s">
        <v>243</v>
      </c>
      <c r="F119" s="19"/>
      <c r="G119" s="19" t="s">
        <v>684</v>
      </c>
      <c r="H119" s="32"/>
      <c r="I119" s="33"/>
      <c r="J119" s="34" t="s">
        <v>431</v>
      </c>
      <c r="K119" s="34" t="s">
        <v>134</v>
      </c>
      <c r="L119" s="34" t="s">
        <v>439</v>
      </c>
    </row>
    <row r="120" spans="1:21" s="1" customFormat="1">
      <c r="A120" s="25"/>
      <c r="B120" s="26" t="s">
        <v>685</v>
      </c>
      <c r="C120" s="26" t="s">
        <v>136</v>
      </c>
      <c r="D120" s="20" t="s">
        <v>686</v>
      </c>
      <c r="E120" s="30" t="s">
        <v>243</v>
      </c>
      <c r="F120" s="19"/>
      <c r="G120" s="19" t="s">
        <v>687</v>
      </c>
      <c r="H120" s="32"/>
      <c r="I120" s="33"/>
      <c r="J120" s="34" t="s">
        <v>431</v>
      </c>
      <c r="K120" s="34" t="s">
        <v>134</v>
      </c>
      <c r="L120" s="34" t="s">
        <v>439</v>
      </c>
    </row>
    <row r="121" spans="1:21" s="1" customFormat="1">
      <c r="A121" s="25"/>
      <c r="B121" s="26" t="s">
        <v>688</v>
      </c>
      <c r="C121" s="26" t="s">
        <v>136</v>
      </c>
      <c r="D121" s="20" t="s">
        <v>689</v>
      </c>
      <c r="E121" s="30" t="s">
        <v>243</v>
      </c>
      <c r="F121" s="19"/>
      <c r="G121" s="19" t="s">
        <v>690</v>
      </c>
      <c r="H121" s="32"/>
      <c r="I121" s="33"/>
      <c r="J121" s="34" t="s">
        <v>431</v>
      </c>
      <c r="K121" s="34" t="s">
        <v>134</v>
      </c>
      <c r="L121" s="34" t="s">
        <v>439</v>
      </c>
    </row>
    <row r="122" spans="1:21" s="1" customFormat="1">
      <c r="A122" s="25"/>
      <c r="B122" s="26" t="s">
        <v>691</v>
      </c>
      <c r="C122" s="26" t="s">
        <v>136</v>
      </c>
      <c r="D122" s="20" t="s">
        <v>692</v>
      </c>
      <c r="E122" s="30" t="s">
        <v>243</v>
      </c>
      <c r="F122" s="19"/>
      <c r="G122" s="19" t="s">
        <v>693</v>
      </c>
      <c r="H122" s="32"/>
      <c r="I122" s="33"/>
      <c r="J122" s="34" t="s">
        <v>431</v>
      </c>
      <c r="K122" s="34" t="s">
        <v>134</v>
      </c>
      <c r="L122" s="34" t="s">
        <v>439</v>
      </c>
    </row>
    <row r="123" spans="1:21" s="1" customFormat="1">
      <c r="A123" s="25"/>
      <c r="B123" s="26" t="s">
        <v>694</v>
      </c>
      <c r="C123" s="26" t="s">
        <v>136</v>
      </c>
      <c r="D123" s="20" t="s">
        <v>695</v>
      </c>
      <c r="E123" s="30" t="s">
        <v>243</v>
      </c>
      <c r="F123" s="19"/>
      <c r="G123" s="19" t="s">
        <v>696</v>
      </c>
      <c r="H123" s="32"/>
      <c r="I123" s="33"/>
      <c r="J123" s="34" t="s">
        <v>431</v>
      </c>
      <c r="K123" s="34" t="s">
        <v>134</v>
      </c>
      <c r="L123" s="34" t="s">
        <v>439</v>
      </c>
      <c r="P123" s="1" t="s">
        <v>697</v>
      </c>
      <c r="S123" s="1" t="s">
        <v>662</v>
      </c>
      <c r="T123" s="1" t="s">
        <v>663</v>
      </c>
      <c r="U123" s="1" t="s">
        <v>664</v>
      </c>
    </row>
    <row r="124" spans="1:21" s="1" customFormat="1">
      <c r="A124" s="25"/>
      <c r="B124" s="26" t="s">
        <v>698</v>
      </c>
      <c r="C124" s="26" t="s">
        <v>136</v>
      </c>
      <c r="D124" s="20" t="s">
        <v>699</v>
      </c>
      <c r="E124" s="30" t="s">
        <v>243</v>
      </c>
      <c r="F124" s="19"/>
      <c r="G124" s="19" t="s">
        <v>700</v>
      </c>
      <c r="H124" s="32"/>
      <c r="I124" s="33"/>
      <c r="J124" s="34" t="s">
        <v>431</v>
      </c>
      <c r="K124" s="34" t="s">
        <v>134</v>
      </c>
      <c r="L124" s="34" t="s">
        <v>439</v>
      </c>
      <c r="P124" s="1" t="s">
        <v>701</v>
      </c>
      <c r="S124" s="1" t="s">
        <v>662</v>
      </c>
      <c r="T124" s="1" t="s">
        <v>663</v>
      </c>
      <c r="U124" s="1" t="s">
        <v>664</v>
      </c>
    </row>
    <row r="125" spans="1:21" s="1" customFormat="1">
      <c r="A125" s="25"/>
      <c r="B125" s="26" t="s">
        <v>702</v>
      </c>
      <c r="C125" s="26" t="s">
        <v>136</v>
      </c>
      <c r="D125" s="20" t="s">
        <v>703</v>
      </c>
      <c r="E125" s="30" t="s">
        <v>243</v>
      </c>
      <c r="F125" s="19"/>
      <c r="G125" s="19" t="s">
        <v>704</v>
      </c>
      <c r="H125" s="32"/>
      <c r="I125" s="33"/>
      <c r="J125" s="34" t="s">
        <v>431</v>
      </c>
      <c r="K125" s="34" t="s">
        <v>134</v>
      </c>
      <c r="L125" s="34" t="s">
        <v>439</v>
      </c>
      <c r="P125" s="1" t="s">
        <v>705</v>
      </c>
      <c r="S125" s="1" t="s">
        <v>662</v>
      </c>
      <c r="T125" s="1" t="s">
        <v>663</v>
      </c>
      <c r="U125" s="1" t="s">
        <v>664</v>
      </c>
    </row>
    <row r="126" spans="1:21" s="1" customFormat="1">
      <c r="A126" s="25"/>
      <c r="B126" s="26" t="s">
        <v>706</v>
      </c>
      <c r="C126" s="26" t="s">
        <v>136</v>
      </c>
      <c r="D126" s="20" t="s">
        <v>707</v>
      </c>
      <c r="E126" s="30" t="s">
        <v>243</v>
      </c>
      <c r="F126" s="19"/>
      <c r="G126" s="19" t="s">
        <v>708</v>
      </c>
      <c r="H126" s="32"/>
      <c r="I126" s="33"/>
      <c r="J126" s="34" t="s">
        <v>431</v>
      </c>
      <c r="K126" s="34" t="s">
        <v>134</v>
      </c>
      <c r="L126" s="34" t="s">
        <v>439</v>
      </c>
    </row>
    <row r="127" spans="1:21" s="1" customFormat="1">
      <c r="A127" s="25"/>
      <c r="B127" s="26" t="s">
        <v>709</v>
      </c>
      <c r="C127" s="26" t="s">
        <v>136</v>
      </c>
      <c r="D127" s="20" t="s">
        <v>710</v>
      </c>
      <c r="E127" s="30" t="s">
        <v>243</v>
      </c>
      <c r="F127" s="19"/>
      <c r="G127" s="19" t="s">
        <v>711</v>
      </c>
      <c r="H127" s="32"/>
      <c r="I127" s="33"/>
      <c r="J127" s="34" t="s">
        <v>431</v>
      </c>
      <c r="K127" s="34" t="s">
        <v>134</v>
      </c>
      <c r="L127" s="34" t="s">
        <v>439</v>
      </c>
      <c r="P127" s="1" t="s">
        <v>712</v>
      </c>
      <c r="S127" s="1" t="s">
        <v>662</v>
      </c>
      <c r="T127" s="1" t="s">
        <v>663</v>
      </c>
      <c r="U127" s="1" t="s">
        <v>664</v>
      </c>
    </row>
    <row r="128" spans="1:21" s="1" customFormat="1">
      <c r="A128" s="25"/>
      <c r="B128" s="26" t="s">
        <v>713</v>
      </c>
      <c r="C128" s="26" t="s">
        <v>136</v>
      </c>
      <c r="D128" s="20" t="s">
        <v>714</v>
      </c>
      <c r="E128" s="30" t="s">
        <v>243</v>
      </c>
      <c r="F128" s="19"/>
      <c r="G128" s="19" t="s">
        <v>715</v>
      </c>
      <c r="H128" s="32"/>
      <c r="I128" s="33"/>
      <c r="J128" s="34" t="s">
        <v>431</v>
      </c>
      <c r="K128" s="34" t="s">
        <v>134</v>
      </c>
      <c r="L128" s="34" t="s">
        <v>439</v>
      </c>
    </row>
    <row r="129" spans="1:12" s="1" customFormat="1">
      <c r="A129" s="25"/>
      <c r="B129" s="26" t="s">
        <v>716</v>
      </c>
      <c r="C129" s="26" t="s">
        <v>136</v>
      </c>
      <c r="D129" s="20" t="s">
        <v>717</v>
      </c>
      <c r="E129" s="30" t="s">
        <v>243</v>
      </c>
      <c r="F129" s="19"/>
      <c r="G129" s="19" t="s">
        <v>718</v>
      </c>
      <c r="H129" s="32"/>
      <c r="I129" s="33"/>
      <c r="J129" s="34" t="s">
        <v>431</v>
      </c>
      <c r="K129" s="34" t="s">
        <v>134</v>
      </c>
      <c r="L129" s="34" t="s">
        <v>439</v>
      </c>
    </row>
    <row r="130" spans="1:12" s="1" customFormat="1">
      <c r="A130" s="25"/>
      <c r="B130" s="26" t="s">
        <v>719</v>
      </c>
      <c r="C130" s="26" t="s">
        <v>136</v>
      </c>
      <c r="D130" s="20" t="s">
        <v>720</v>
      </c>
      <c r="E130" s="30" t="s">
        <v>243</v>
      </c>
      <c r="F130" s="19"/>
      <c r="G130" s="19" t="s">
        <v>721</v>
      </c>
      <c r="H130" s="32"/>
      <c r="I130" s="33"/>
      <c r="J130" s="34" t="s">
        <v>431</v>
      </c>
      <c r="K130" s="34" t="s">
        <v>134</v>
      </c>
      <c r="L130" s="34" t="s">
        <v>439</v>
      </c>
    </row>
    <row r="131" spans="1:12" s="1" customFormat="1">
      <c r="A131" s="25"/>
      <c r="B131" s="26" t="s">
        <v>722</v>
      </c>
      <c r="C131" s="26" t="s">
        <v>136</v>
      </c>
      <c r="D131" s="20" t="s">
        <v>723</v>
      </c>
      <c r="E131" s="30" t="s">
        <v>243</v>
      </c>
      <c r="F131" s="19"/>
      <c r="G131" s="19" t="s">
        <v>724</v>
      </c>
      <c r="H131" s="32"/>
      <c r="I131" s="33"/>
      <c r="J131" s="34" t="s">
        <v>431</v>
      </c>
      <c r="K131" s="34" t="s">
        <v>134</v>
      </c>
      <c r="L131" s="34" t="s">
        <v>439</v>
      </c>
    </row>
    <row r="132" spans="1:12" s="1" customFormat="1">
      <c r="A132" s="25"/>
      <c r="B132" s="26" t="s">
        <v>725</v>
      </c>
      <c r="C132" s="26" t="s">
        <v>136</v>
      </c>
      <c r="D132" s="20" t="s">
        <v>726</v>
      </c>
      <c r="E132" s="30" t="s">
        <v>243</v>
      </c>
      <c r="F132" s="19"/>
      <c r="G132" s="19" t="s">
        <v>727</v>
      </c>
      <c r="H132" s="32"/>
      <c r="I132" s="33"/>
      <c r="J132" s="34" t="s">
        <v>431</v>
      </c>
      <c r="K132" s="34" t="s">
        <v>134</v>
      </c>
      <c r="L132" s="34" t="s">
        <v>439</v>
      </c>
    </row>
    <row r="133" spans="1:12" s="1" customFormat="1">
      <c r="A133" s="25"/>
      <c r="B133" s="26" t="s">
        <v>728</v>
      </c>
      <c r="C133" s="26" t="s">
        <v>136</v>
      </c>
      <c r="D133" s="20" t="s">
        <v>729</v>
      </c>
      <c r="E133" s="30" t="s">
        <v>243</v>
      </c>
      <c r="F133" s="19"/>
      <c r="G133" s="19" t="s">
        <v>730</v>
      </c>
      <c r="H133" s="32"/>
      <c r="I133" s="33"/>
      <c r="J133" s="34" t="s">
        <v>431</v>
      </c>
      <c r="K133" s="34" t="s">
        <v>134</v>
      </c>
      <c r="L133" s="34" t="s">
        <v>439</v>
      </c>
    </row>
    <row r="134" spans="1:12" s="1" customFormat="1">
      <c r="A134" s="25"/>
      <c r="B134" s="26" t="s">
        <v>731</v>
      </c>
      <c r="C134" s="26" t="s">
        <v>136</v>
      </c>
      <c r="D134" s="20" t="s">
        <v>732</v>
      </c>
      <c r="E134" s="30" t="s">
        <v>243</v>
      </c>
      <c r="F134" s="19"/>
      <c r="G134" s="19" t="s">
        <v>733</v>
      </c>
      <c r="H134" s="32"/>
      <c r="I134" s="33"/>
      <c r="J134" s="34" t="s">
        <v>431</v>
      </c>
      <c r="K134" s="34" t="s">
        <v>134</v>
      </c>
      <c r="L134" s="34" t="s">
        <v>439</v>
      </c>
    </row>
    <row r="135" spans="1:12" s="1" customFormat="1">
      <c r="A135" s="25"/>
      <c r="B135" s="26" t="s">
        <v>734</v>
      </c>
      <c r="C135" s="26" t="s">
        <v>136</v>
      </c>
      <c r="D135" s="20" t="s">
        <v>735</v>
      </c>
      <c r="E135" s="30" t="s">
        <v>243</v>
      </c>
      <c r="F135" s="19"/>
      <c r="G135" s="19" t="s">
        <v>736</v>
      </c>
      <c r="H135" s="32"/>
      <c r="I135" s="33"/>
      <c r="J135" s="34" t="s">
        <v>431</v>
      </c>
      <c r="K135" s="34" t="s">
        <v>134</v>
      </c>
      <c r="L135" s="34" t="s">
        <v>439</v>
      </c>
    </row>
    <row r="136" spans="1:12" s="1" customFormat="1">
      <c r="A136" s="25"/>
      <c r="B136" s="26" t="s">
        <v>737</v>
      </c>
      <c r="C136" s="26" t="s">
        <v>136</v>
      </c>
      <c r="D136" s="20" t="s">
        <v>738</v>
      </c>
      <c r="E136" s="30" t="s">
        <v>243</v>
      </c>
      <c r="F136" s="19"/>
      <c r="G136" s="19" t="s">
        <v>739</v>
      </c>
      <c r="H136" s="32"/>
      <c r="I136" s="33"/>
      <c r="J136" s="34" t="s">
        <v>431</v>
      </c>
      <c r="K136" s="34" t="s">
        <v>134</v>
      </c>
      <c r="L136" s="34" t="s">
        <v>439</v>
      </c>
    </row>
    <row r="137" spans="1:12" s="1" customFormat="1">
      <c r="A137" s="25"/>
      <c r="B137" s="26" t="s">
        <v>740</v>
      </c>
      <c r="C137" s="26" t="s">
        <v>136</v>
      </c>
      <c r="D137" s="20" t="s">
        <v>741</v>
      </c>
      <c r="E137" s="30" t="s">
        <v>243</v>
      </c>
      <c r="F137" s="19"/>
      <c r="G137" s="19" t="s">
        <v>742</v>
      </c>
      <c r="H137" s="32"/>
      <c r="I137" s="33"/>
      <c r="J137" s="34" t="s">
        <v>431</v>
      </c>
      <c r="K137" s="34" t="s">
        <v>134</v>
      </c>
      <c r="L137" s="34" t="s">
        <v>439</v>
      </c>
    </row>
    <row r="138" spans="1:12" s="1" customFormat="1">
      <c r="A138" s="25"/>
      <c r="B138" s="26" t="s">
        <v>743</v>
      </c>
      <c r="C138" s="26" t="s">
        <v>136</v>
      </c>
      <c r="D138" s="20" t="s">
        <v>744</v>
      </c>
      <c r="E138" s="30" t="s">
        <v>243</v>
      </c>
      <c r="F138" s="19"/>
      <c r="G138" s="19" t="s">
        <v>745</v>
      </c>
      <c r="H138" s="32"/>
      <c r="I138" s="33"/>
      <c r="J138" s="34" t="s">
        <v>431</v>
      </c>
      <c r="K138" s="34" t="s">
        <v>134</v>
      </c>
      <c r="L138" s="34" t="s">
        <v>439</v>
      </c>
    </row>
    <row r="139" spans="1:12" s="1" customFormat="1">
      <c r="A139" s="25"/>
      <c r="B139" s="26" t="s">
        <v>746</v>
      </c>
      <c r="C139" s="26" t="s">
        <v>136</v>
      </c>
      <c r="D139" s="20" t="s">
        <v>747</v>
      </c>
      <c r="E139" s="30" t="s">
        <v>243</v>
      </c>
      <c r="F139" s="19"/>
      <c r="G139" s="19" t="s">
        <v>748</v>
      </c>
      <c r="H139" s="32"/>
      <c r="I139" s="33"/>
      <c r="J139" s="34" t="s">
        <v>431</v>
      </c>
      <c r="K139" s="34" t="s">
        <v>134</v>
      </c>
      <c r="L139" s="34" t="s">
        <v>439</v>
      </c>
    </row>
    <row r="140" spans="1:12" s="1" customFormat="1">
      <c r="A140" s="25"/>
      <c r="B140" s="26" t="s">
        <v>749</v>
      </c>
      <c r="C140" s="26" t="s">
        <v>136</v>
      </c>
      <c r="D140" s="20" t="s">
        <v>750</v>
      </c>
      <c r="E140" s="30" t="s">
        <v>243</v>
      </c>
      <c r="F140" s="19"/>
      <c r="G140" s="19" t="s">
        <v>751</v>
      </c>
      <c r="H140" s="32"/>
      <c r="I140" s="33"/>
      <c r="J140" s="34" t="s">
        <v>431</v>
      </c>
      <c r="K140" s="34" t="s">
        <v>134</v>
      </c>
      <c r="L140" s="34" t="s">
        <v>439</v>
      </c>
    </row>
    <row r="141" spans="1:12" s="1" customFormat="1">
      <c r="A141" s="25"/>
      <c r="B141" s="26" t="s">
        <v>752</v>
      </c>
      <c r="C141" s="26" t="s">
        <v>136</v>
      </c>
      <c r="D141" s="20" t="s">
        <v>753</v>
      </c>
      <c r="E141" s="30" t="s">
        <v>243</v>
      </c>
      <c r="F141" s="19"/>
      <c r="G141" s="19" t="s">
        <v>754</v>
      </c>
      <c r="H141" s="32"/>
      <c r="I141" s="33"/>
      <c r="J141" s="34" t="s">
        <v>431</v>
      </c>
      <c r="K141" s="34" t="s">
        <v>134</v>
      </c>
      <c r="L141" s="34" t="s">
        <v>439</v>
      </c>
    </row>
    <row r="142" spans="1:12" s="1" customFormat="1">
      <c r="A142" s="25"/>
      <c r="B142" s="26" t="s">
        <v>755</v>
      </c>
      <c r="C142" s="26" t="s">
        <v>136</v>
      </c>
      <c r="D142" s="20" t="s">
        <v>756</v>
      </c>
      <c r="E142" s="30" t="s">
        <v>243</v>
      </c>
      <c r="F142" s="19"/>
      <c r="G142" s="19" t="s">
        <v>757</v>
      </c>
      <c r="H142" s="32"/>
      <c r="I142" s="33"/>
      <c r="J142" s="34" t="s">
        <v>431</v>
      </c>
      <c r="K142" s="34" t="s">
        <v>134</v>
      </c>
      <c r="L142" s="34" t="s">
        <v>439</v>
      </c>
    </row>
    <row r="143" spans="1:12" s="1" customFormat="1">
      <c r="A143" s="25"/>
      <c r="B143" s="26" t="s">
        <v>758</v>
      </c>
      <c r="C143" s="26" t="s">
        <v>136</v>
      </c>
      <c r="D143" s="20" t="s">
        <v>759</v>
      </c>
      <c r="E143" s="30" t="s">
        <v>243</v>
      </c>
      <c r="F143" s="19"/>
      <c r="G143" s="19" t="s">
        <v>760</v>
      </c>
      <c r="H143" s="32"/>
      <c r="I143" s="33"/>
      <c r="J143" s="34" t="s">
        <v>431</v>
      </c>
      <c r="K143" s="34" t="s">
        <v>134</v>
      </c>
      <c r="L143" s="34" t="s">
        <v>439</v>
      </c>
    </row>
    <row r="144" spans="1:12" s="1" customFormat="1">
      <c r="A144" s="25"/>
      <c r="B144" s="26" t="s">
        <v>761</v>
      </c>
      <c r="C144" s="26" t="s">
        <v>136</v>
      </c>
      <c r="D144" s="12" t="s">
        <v>762</v>
      </c>
      <c r="E144" s="30" t="s">
        <v>243</v>
      </c>
      <c r="F144" s="19"/>
      <c r="G144" s="19" t="s">
        <v>763</v>
      </c>
      <c r="H144" s="32"/>
      <c r="I144" s="33"/>
      <c r="J144" s="34" t="s">
        <v>431</v>
      </c>
      <c r="K144" s="34" t="s">
        <v>134</v>
      </c>
      <c r="L144" s="34" t="s">
        <v>439</v>
      </c>
    </row>
    <row r="145" spans="1:12" s="1" customFormat="1">
      <c r="A145" s="25"/>
      <c r="B145" s="26" t="s">
        <v>764</v>
      </c>
      <c r="C145" s="26" t="s">
        <v>136</v>
      </c>
      <c r="D145" s="12" t="s">
        <v>765</v>
      </c>
      <c r="E145" s="30" t="s">
        <v>243</v>
      </c>
      <c r="F145" s="19"/>
      <c r="G145" s="19" t="s">
        <v>766</v>
      </c>
      <c r="H145" s="32"/>
      <c r="I145" s="33"/>
      <c r="J145" s="34" t="s">
        <v>431</v>
      </c>
      <c r="K145" s="34" t="s">
        <v>134</v>
      </c>
      <c r="L145" s="34" t="s">
        <v>439</v>
      </c>
    </row>
    <row r="146" spans="1:12" s="1" customFormat="1">
      <c r="A146" s="25"/>
      <c r="B146" s="26" t="s">
        <v>767</v>
      </c>
      <c r="C146" s="26" t="s">
        <v>136</v>
      </c>
      <c r="D146" s="12" t="s">
        <v>768</v>
      </c>
      <c r="E146" s="30" t="s">
        <v>243</v>
      </c>
      <c r="F146" s="19"/>
      <c r="G146" s="19" t="s">
        <v>769</v>
      </c>
      <c r="H146" s="32"/>
      <c r="I146" s="33"/>
      <c r="J146" s="34" t="s">
        <v>431</v>
      </c>
      <c r="K146" s="34" t="s">
        <v>134</v>
      </c>
      <c r="L146" s="34" t="s">
        <v>439</v>
      </c>
    </row>
    <row r="147" spans="1:12" s="1" customFormat="1">
      <c r="A147" s="25"/>
      <c r="B147" s="26" t="s">
        <v>770</v>
      </c>
      <c r="C147" s="26" t="s">
        <v>136</v>
      </c>
      <c r="D147" s="12" t="s">
        <v>771</v>
      </c>
      <c r="E147" s="30" t="s">
        <v>243</v>
      </c>
      <c r="F147" s="19"/>
      <c r="G147" s="19" t="s">
        <v>772</v>
      </c>
      <c r="H147" s="32"/>
      <c r="I147" s="33"/>
      <c r="J147" s="34" t="s">
        <v>431</v>
      </c>
      <c r="K147" s="34" t="s">
        <v>134</v>
      </c>
      <c r="L147" s="34" t="s">
        <v>439</v>
      </c>
    </row>
    <row r="148" spans="1:12" s="1" customFormat="1">
      <c r="A148" s="25"/>
      <c r="B148" s="26" t="s">
        <v>773</v>
      </c>
      <c r="C148" s="26" t="s">
        <v>136</v>
      </c>
      <c r="D148" s="12" t="s">
        <v>774</v>
      </c>
      <c r="E148" s="30" t="s">
        <v>243</v>
      </c>
      <c r="F148" s="19"/>
      <c r="G148" s="19" t="s">
        <v>775</v>
      </c>
      <c r="H148" s="32"/>
      <c r="I148" s="33"/>
      <c r="J148" s="34" t="s">
        <v>431</v>
      </c>
      <c r="K148" s="34" t="s">
        <v>134</v>
      </c>
      <c r="L148" s="34" t="s">
        <v>439</v>
      </c>
    </row>
    <row r="149" spans="1:12" s="1" customFormat="1">
      <c r="A149" s="25"/>
      <c r="B149" s="26" t="s">
        <v>776</v>
      </c>
      <c r="C149" s="26" t="s">
        <v>136</v>
      </c>
      <c r="D149" s="12" t="s">
        <v>777</v>
      </c>
      <c r="E149" s="30" t="s">
        <v>243</v>
      </c>
      <c r="F149" s="19"/>
      <c r="G149" s="19" t="s">
        <v>778</v>
      </c>
      <c r="H149" s="32"/>
      <c r="I149" s="33"/>
      <c r="J149" s="34" t="s">
        <v>431</v>
      </c>
      <c r="K149" s="34" t="s">
        <v>134</v>
      </c>
      <c r="L149" s="34" t="s">
        <v>439</v>
      </c>
    </row>
    <row r="150" spans="1:12" s="1" customFormat="1" ht="26.4">
      <c r="A150" s="25"/>
      <c r="B150" s="26" t="s">
        <v>779</v>
      </c>
      <c r="C150" s="26" t="s">
        <v>136</v>
      </c>
      <c r="D150" s="20" t="s">
        <v>780</v>
      </c>
      <c r="E150" s="30" t="s">
        <v>243</v>
      </c>
      <c r="F150" s="19"/>
      <c r="G150" s="19" t="s">
        <v>2171</v>
      </c>
      <c r="H150" s="32"/>
      <c r="I150" s="33"/>
      <c r="J150" s="34" t="s">
        <v>431</v>
      </c>
      <c r="K150" s="34" t="s">
        <v>134</v>
      </c>
      <c r="L150" s="34" t="s">
        <v>439</v>
      </c>
    </row>
    <row r="151" spans="1:12" s="1" customFormat="1" ht="26.4">
      <c r="A151" s="25"/>
      <c r="B151" s="26" t="s">
        <v>781</v>
      </c>
      <c r="C151" s="26" t="s">
        <v>136</v>
      </c>
      <c r="D151" s="20" t="s">
        <v>782</v>
      </c>
      <c r="E151" s="30" t="s">
        <v>243</v>
      </c>
      <c r="F151" s="19"/>
      <c r="G151" s="19" t="s">
        <v>2172</v>
      </c>
      <c r="H151" s="32"/>
      <c r="I151" s="33"/>
      <c r="J151" s="34" t="s">
        <v>431</v>
      </c>
      <c r="K151" s="34" t="s">
        <v>134</v>
      </c>
      <c r="L151" s="34" t="s">
        <v>439</v>
      </c>
    </row>
    <row r="152" spans="1:12" s="1" customFormat="1" ht="26.4">
      <c r="A152" s="25"/>
      <c r="B152" s="26" t="s">
        <v>783</v>
      </c>
      <c r="C152" s="26" t="s">
        <v>136</v>
      </c>
      <c r="D152" s="20" t="s">
        <v>784</v>
      </c>
      <c r="E152" s="30" t="s">
        <v>243</v>
      </c>
      <c r="F152" s="19"/>
      <c r="G152" s="19" t="s">
        <v>2173</v>
      </c>
      <c r="H152" s="32"/>
      <c r="I152" s="33"/>
      <c r="J152" s="34" t="s">
        <v>431</v>
      </c>
      <c r="K152" s="34" t="s">
        <v>134</v>
      </c>
      <c r="L152" s="34" t="s">
        <v>439</v>
      </c>
    </row>
    <row r="153" spans="1:12" s="1" customFormat="1" ht="26.4">
      <c r="A153" s="25"/>
      <c r="B153" s="26" t="s">
        <v>785</v>
      </c>
      <c r="C153" s="26" t="s">
        <v>136</v>
      </c>
      <c r="D153" s="20" t="s">
        <v>786</v>
      </c>
      <c r="E153" s="30" t="s">
        <v>243</v>
      </c>
      <c r="F153" s="19"/>
      <c r="G153" s="19" t="s">
        <v>2174</v>
      </c>
      <c r="H153" s="32"/>
      <c r="I153" s="33"/>
      <c r="J153" s="34" t="s">
        <v>431</v>
      </c>
      <c r="K153" s="34" t="s">
        <v>134</v>
      </c>
      <c r="L153" s="34" t="s">
        <v>439</v>
      </c>
    </row>
    <row r="154" spans="1:12" s="1" customFormat="1" ht="26.4">
      <c r="A154" s="25"/>
      <c r="B154" s="26" t="s">
        <v>787</v>
      </c>
      <c r="C154" s="26" t="s">
        <v>136</v>
      </c>
      <c r="D154" s="20" t="s">
        <v>788</v>
      </c>
      <c r="E154" s="30" t="s">
        <v>243</v>
      </c>
      <c r="F154" s="19"/>
      <c r="G154" s="19" t="s">
        <v>2175</v>
      </c>
      <c r="H154" s="32"/>
      <c r="I154" s="33"/>
      <c r="J154" s="34" t="s">
        <v>431</v>
      </c>
      <c r="K154" s="34" t="s">
        <v>134</v>
      </c>
      <c r="L154" s="34" t="s">
        <v>439</v>
      </c>
    </row>
    <row r="155" spans="1:12" s="1" customFormat="1" ht="26.4">
      <c r="A155" s="25"/>
      <c r="B155" s="26" t="s">
        <v>789</v>
      </c>
      <c r="C155" s="26" t="s">
        <v>136</v>
      </c>
      <c r="D155" s="20" t="s">
        <v>790</v>
      </c>
      <c r="E155" s="30" t="s">
        <v>243</v>
      </c>
      <c r="F155" s="19"/>
      <c r="G155" s="19" t="s">
        <v>2176</v>
      </c>
      <c r="H155" s="32"/>
      <c r="I155" s="33"/>
      <c r="J155" s="34" t="s">
        <v>431</v>
      </c>
      <c r="K155" s="34" t="s">
        <v>134</v>
      </c>
      <c r="L155" s="34" t="s">
        <v>439</v>
      </c>
    </row>
    <row r="156" spans="1:12" s="1" customFormat="1" ht="26.4">
      <c r="A156" s="25"/>
      <c r="B156" s="26" t="s">
        <v>791</v>
      </c>
      <c r="C156" s="26" t="s">
        <v>136</v>
      </c>
      <c r="D156" s="20" t="s">
        <v>792</v>
      </c>
      <c r="E156" s="30" t="s">
        <v>243</v>
      </c>
      <c r="F156" s="19"/>
      <c r="G156" s="19" t="s">
        <v>2177</v>
      </c>
      <c r="H156" s="32"/>
      <c r="I156" s="33"/>
      <c r="J156" s="34" t="s">
        <v>431</v>
      </c>
      <c r="K156" s="34" t="s">
        <v>134</v>
      </c>
      <c r="L156" s="34" t="s">
        <v>439</v>
      </c>
    </row>
    <row r="157" spans="1:12" s="1" customFormat="1" ht="26.4">
      <c r="A157" s="25"/>
      <c r="B157" s="26" t="s">
        <v>793</v>
      </c>
      <c r="C157" s="26" t="s">
        <v>136</v>
      </c>
      <c r="D157" s="20" t="s">
        <v>794</v>
      </c>
      <c r="E157" s="30" t="s">
        <v>243</v>
      </c>
      <c r="F157" s="19"/>
      <c r="G157" s="19" t="s">
        <v>2178</v>
      </c>
      <c r="H157" s="32"/>
      <c r="I157" s="33"/>
      <c r="J157" s="34" t="s">
        <v>431</v>
      </c>
      <c r="K157" s="34" t="s">
        <v>134</v>
      </c>
      <c r="L157" s="34" t="s">
        <v>439</v>
      </c>
    </row>
    <row r="158" spans="1:12" s="1" customFormat="1" ht="26.4">
      <c r="A158" s="25"/>
      <c r="B158" s="26" t="s">
        <v>795</v>
      </c>
      <c r="C158" s="26" t="s">
        <v>136</v>
      </c>
      <c r="D158" s="20" t="s">
        <v>796</v>
      </c>
      <c r="E158" s="30" t="s">
        <v>243</v>
      </c>
      <c r="F158" s="19"/>
      <c r="G158" s="19" t="s">
        <v>2179</v>
      </c>
      <c r="H158" s="32"/>
      <c r="I158" s="33"/>
      <c r="J158" s="34" t="s">
        <v>431</v>
      </c>
      <c r="K158" s="34" t="s">
        <v>134</v>
      </c>
      <c r="L158" s="34" t="s">
        <v>439</v>
      </c>
    </row>
    <row r="159" spans="1:12" s="1" customFormat="1" ht="26.4">
      <c r="A159" s="25"/>
      <c r="B159" s="26" t="s">
        <v>797</v>
      </c>
      <c r="C159" s="26" t="s">
        <v>136</v>
      </c>
      <c r="D159" s="20" t="s">
        <v>798</v>
      </c>
      <c r="E159" s="30" t="s">
        <v>243</v>
      </c>
      <c r="F159" s="19"/>
      <c r="G159" s="19" t="s">
        <v>2180</v>
      </c>
      <c r="H159" s="32"/>
      <c r="I159" s="33"/>
      <c r="J159" s="34" t="s">
        <v>431</v>
      </c>
      <c r="K159" s="34" t="s">
        <v>134</v>
      </c>
      <c r="L159" s="34" t="s">
        <v>439</v>
      </c>
    </row>
    <row r="160" spans="1:12" s="1" customFormat="1" ht="26.4">
      <c r="A160" s="25"/>
      <c r="B160" s="26" t="s">
        <v>799</v>
      </c>
      <c r="C160" s="26" t="s">
        <v>136</v>
      </c>
      <c r="D160" s="20" t="s">
        <v>800</v>
      </c>
      <c r="E160" s="30" t="s">
        <v>243</v>
      </c>
      <c r="F160" s="19"/>
      <c r="G160" s="19" t="s">
        <v>2181</v>
      </c>
      <c r="H160" s="32"/>
      <c r="I160" s="33"/>
      <c r="J160" s="34" t="s">
        <v>431</v>
      </c>
      <c r="K160" s="34" t="s">
        <v>134</v>
      </c>
      <c r="L160" s="34" t="s">
        <v>439</v>
      </c>
    </row>
    <row r="161" spans="1:17" s="1" customFormat="1" ht="26.4">
      <c r="A161" s="25"/>
      <c r="B161" s="26" t="s">
        <v>801</v>
      </c>
      <c r="C161" s="26" t="s">
        <v>136</v>
      </c>
      <c r="D161" s="20" t="s">
        <v>802</v>
      </c>
      <c r="E161" s="30" t="s">
        <v>243</v>
      </c>
      <c r="F161" s="19"/>
      <c r="G161" s="19" t="s">
        <v>2182</v>
      </c>
      <c r="H161" s="32"/>
      <c r="I161" s="33"/>
      <c r="J161" s="34" t="s">
        <v>431</v>
      </c>
      <c r="K161" s="34" t="s">
        <v>134</v>
      </c>
      <c r="L161" s="34" t="s">
        <v>439</v>
      </c>
    </row>
    <row r="162" spans="1:17" s="1" customFormat="1" ht="26.4">
      <c r="A162" s="25"/>
      <c r="B162" s="26" t="s">
        <v>803</v>
      </c>
      <c r="C162" s="26" t="s">
        <v>136</v>
      </c>
      <c r="D162" s="20" t="s">
        <v>804</v>
      </c>
      <c r="E162" s="30" t="s">
        <v>243</v>
      </c>
      <c r="F162" s="19"/>
      <c r="G162" s="19" t="s">
        <v>2183</v>
      </c>
      <c r="H162" s="32"/>
      <c r="I162" s="33"/>
      <c r="J162" s="34" t="s">
        <v>431</v>
      </c>
      <c r="K162" s="34" t="s">
        <v>134</v>
      </c>
      <c r="L162" s="34" t="s">
        <v>439</v>
      </c>
    </row>
    <row r="163" spans="1:17" s="1" customFormat="1" ht="26.4">
      <c r="A163" s="25"/>
      <c r="B163" s="26" t="s">
        <v>2057</v>
      </c>
      <c r="C163" s="26" t="s">
        <v>136</v>
      </c>
      <c r="D163" s="20" t="s">
        <v>806</v>
      </c>
      <c r="E163" s="30" t="s">
        <v>243</v>
      </c>
      <c r="F163" s="19"/>
      <c r="G163" s="19" t="s">
        <v>2184</v>
      </c>
      <c r="H163" s="32"/>
      <c r="I163" s="33"/>
      <c r="J163" s="34" t="s">
        <v>431</v>
      </c>
      <c r="K163" s="34" t="s">
        <v>134</v>
      </c>
      <c r="L163" s="34" t="s">
        <v>439</v>
      </c>
    </row>
    <row r="164" spans="1:17" s="1" customFormat="1" ht="26.4">
      <c r="A164" s="25"/>
      <c r="B164" s="26" t="s">
        <v>2056</v>
      </c>
      <c r="C164" s="26" t="s">
        <v>136</v>
      </c>
      <c r="D164" s="20" t="s">
        <v>2055</v>
      </c>
      <c r="E164" s="30" t="s">
        <v>243</v>
      </c>
      <c r="F164" s="19"/>
      <c r="G164" s="19" t="s">
        <v>2185</v>
      </c>
      <c r="H164" s="32"/>
      <c r="I164" s="33"/>
      <c r="J164" s="34" t="s">
        <v>431</v>
      </c>
      <c r="K164" s="34" t="s">
        <v>134</v>
      </c>
      <c r="L164" s="34" t="s">
        <v>439</v>
      </c>
    </row>
    <row r="165" spans="1:17" s="1" customFormat="1" ht="39.6">
      <c r="A165" s="25"/>
      <c r="B165" s="26" t="s">
        <v>2060</v>
      </c>
      <c r="C165" s="26" t="s">
        <v>136</v>
      </c>
      <c r="D165" s="20" t="s">
        <v>2061</v>
      </c>
      <c r="E165" s="30" t="s">
        <v>243</v>
      </c>
      <c r="F165" s="19"/>
      <c r="G165" s="19" t="s">
        <v>2186</v>
      </c>
      <c r="H165" s="32"/>
      <c r="I165" s="33"/>
      <c r="J165" s="34" t="s">
        <v>431</v>
      </c>
      <c r="K165" s="34" t="s">
        <v>134</v>
      </c>
      <c r="L165" s="34" t="s">
        <v>439</v>
      </c>
    </row>
    <row r="166" spans="1:17">
      <c r="A166" s="14"/>
      <c r="B166" s="14" t="s">
        <v>2067</v>
      </c>
      <c r="C166" s="14" t="s">
        <v>132</v>
      </c>
      <c r="D166" s="12" t="s">
        <v>2068</v>
      </c>
      <c r="E166" s="14" t="s">
        <v>243</v>
      </c>
      <c r="F166" s="14"/>
      <c r="G166" s="12" t="s">
        <v>2069</v>
      </c>
      <c r="H166" s="14"/>
      <c r="I166" s="14"/>
      <c r="J166" s="14" t="s">
        <v>431</v>
      </c>
      <c r="K166" s="14" t="s">
        <v>134</v>
      </c>
      <c r="L166" s="31" t="s">
        <v>1623</v>
      </c>
    </row>
    <row r="167" spans="1:17">
      <c r="A167" s="14"/>
      <c r="B167" s="14" t="s">
        <v>2070</v>
      </c>
      <c r="C167" s="14" t="s">
        <v>132</v>
      </c>
      <c r="D167" s="12" t="s">
        <v>2071</v>
      </c>
      <c r="E167" s="14" t="s">
        <v>243</v>
      </c>
      <c r="F167" s="14"/>
      <c r="G167" s="12" t="s">
        <v>2072</v>
      </c>
      <c r="H167" s="14"/>
      <c r="I167" s="14"/>
      <c r="J167" s="14" t="s">
        <v>431</v>
      </c>
      <c r="K167" s="14" t="s">
        <v>134</v>
      </c>
      <c r="L167" s="31" t="s">
        <v>1623</v>
      </c>
    </row>
    <row r="168" spans="1:17" s="4" customFormat="1">
      <c r="B168" s="50" t="s">
        <v>233</v>
      </c>
      <c r="C168" s="51" t="s">
        <v>139</v>
      </c>
      <c r="D168" s="37" t="s">
        <v>234</v>
      </c>
      <c r="E168" s="52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</row>
    <row r="169" spans="1:17" s="4" customFormat="1">
      <c r="B169" s="50" t="s">
        <v>235</v>
      </c>
      <c r="C169" s="51" t="s">
        <v>132</v>
      </c>
      <c r="D169" s="37" t="s">
        <v>236</v>
      </c>
      <c r="E169" s="52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</row>
    <row r="170" spans="1:17" s="4" customFormat="1">
      <c r="B170" s="50" t="s">
        <v>237</v>
      </c>
      <c r="C170" s="51" t="s">
        <v>139</v>
      </c>
      <c r="D170" s="37" t="s">
        <v>238</v>
      </c>
      <c r="E170" s="52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</row>
    <row r="171" spans="1:17" s="4" customFormat="1">
      <c r="B171" s="50" t="s">
        <v>241</v>
      </c>
      <c r="C171" s="51" t="s">
        <v>139</v>
      </c>
      <c r="D171" s="37" t="s">
        <v>242</v>
      </c>
      <c r="E171" s="52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</row>
  </sheetData>
  <autoFilter ref="A14:U171" xr:uid="{00000000-0009-0000-0000-00000A000000}"/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79"/>
  <sheetViews>
    <sheetView zoomScale="85" zoomScaleNormal="85" workbookViewId="0">
      <pane ySplit="5" topLeftCell="A6" activePane="bottomLeft" state="frozen"/>
      <selection activeCell="F6" sqref="F6"/>
      <selection pane="bottomLeft" activeCell="C10" sqref="C10"/>
    </sheetView>
  </sheetViews>
  <sheetFormatPr defaultColWidth="9" defaultRowHeight="13.2"/>
  <cols>
    <col min="1" max="1" width="1.33203125" style="5" customWidth="1"/>
    <col min="2" max="2" width="23.6640625" style="5" customWidth="1"/>
    <col min="3" max="3" width="36.5546875" style="5" bestFit="1" customWidth="1"/>
    <col min="4" max="4" width="32.21875" style="5" customWidth="1"/>
    <col min="5" max="5" width="16.21875" style="5" customWidth="1"/>
    <col min="6" max="6" width="24.88671875" style="5" customWidth="1"/>
    <col min="7" max="7" width="39.5546875" style="5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2:14">
      <c r="B1" s="7" t="str">
        <f>HYPERLINK("#导航!a2","返回")</f>
        <v>返回</v>
      </c>
    </row>
    <row r="2" spans="2:14">
      <c r="B2" s="156"/>
      <c r="C2" s="156"/>
      <c r="D2" s="156"/>
      <c r="E2" s="156"/>
      <c r="F2" s="156"/>
      <c r="G2" s="156"/>
      <c r="H2" s="156"/>
    </row>
    <row r="3" spans="2:14">
      <c r="B3" s="157" t="s">
        <v>106</v>
      </c>
      <c r="C3" s="157"/>
      <c r="D3" s="157"/>
      <c r="E3" s="157"/>
      <c r="F3" s="157"/>
      <c r="G3" s="157"/>
      <c r="H3" s="157"/>
    </row>
    <row r="4" spans="2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2:14">
      <c r="B5" s="11" t="s">
        <v>55</v>
      </c>
      <c r="C5" s="12" t="s">
        <v>2312</v>
      </c>
      <c r="D5" s="13" t="s">
        <v>61</v>
      </c>
      <c r="E5" s="14" t="s">
        <v>112</v>
      </c>
      <c r="F5" s="15"/>
      <c r="G5" s="14"/>
      <c r="H5" s="14"/>
      <c r="N5" s="5"/>
    </row>
    <row r="6" spans="2:14">
      <c r="B6" s="8"/>
      <c r="C6" s="8"/>
      <c r="D6" s="8"/>
      <c r="E6" s="8"/>
      <c r="F6" s="8"/>
      <c r="G6" s="8"/>
      <c r="H6" s="8"/>
    </row>
    <row r="7" spans="2:14">
      <c r="B7" s="157" t="s">
        <v>113</v>
      </c>
      <c r="C7" s="157"/>
      <c r="D7" s="157"/>
      <c r="E7" s="157"/>
      <c r="F7" s="157"/>
      <c r="G7" s="157"/>
      <c r="H7" s="157"/>
    </row>
    <row r="8" spans="2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2:14">
      <c r="B9" s="14"/>
      <c r="C9" s="12" t="s">
        <v>59</v>
      </c>
      <c r="D9" s="12" t="s">
        <v>60</v>
      </c>
      <c r="E9" s="14" t="s">
        <v>243</v>
      </c>
      <c r="F9" s="163" t="s">
        <v>807</v>
      </c>
      <c r="G9" s="164"/>
      <c r="H9" s="21" t="s">
        <v>38</v>
      </c>
    </row>
    <row r="10" spans="2:14">
      <c r="B10" s="14"/>
      <c r="C10" s="12" t="s">
        <v>56</v>
      </c>
      <c r="D10" s="12" t="s">
        <v>57</v>
      </c>
      <c r="E10" s="14" t="s">
        <v>248</v>
      </c>
      <c r="F10" s="165"/>
      <c r="G10" s="166"/>
      <c r="H10" s="14"/>
    </row>
    <row r="11" spans="2:14">
      <c r="G11" s="48"/>
    </row>
    <row r="12" spans="2:14">
      <c r="B12" s="5" t="s">
        <v>120</v>
      </c>
    </row>
    <row r="13" spans="2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2:14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2:14" s="2" customFormat="1">
      <c r="B15" s="49" t="s">
        <v>273</v>
      </c>
      <c r="C15" s="49" t="s">
        <v>139</v>
      </c>
      <c r="D15" s="12" t="s">
        <v>274</v>
      </c>
      <c r="E15" s="30" t="s">
        <v>243</v>
      </c>
      <c r="F15" s="19" t="s">
        <v>233</v>
      </c>
      <c r="G15" s="19" t="s">
        <v>250</v>
      </c>
      <c r="H15" s="32"/>
      <c r="I15" s="34"/>
      <c r="J15" s="34" t="s">
        <v>384</v>
      </c>
      <c r="K15" s="34" t="s">
        <v>134</v>
      </c>
      <c r="L15" s="34" t="s">
        <v>134</v>
      </c>
    </row>
    <row r="16" spans="2:14" s="2" customFormat="1">
      <c r="B16" s="49" t="s">
        <v>383</v>
      </c>
      <c r="C16" s="49" t="s">
        <v>132</v>
      </c>
      <c r="D16" s="12" t="s">
        <v>480</v>
      </c>
      <c r="E16" s="30" t="s">
        <v>243</v>
      </c>
      <c r="F16" s="19" t="s">
        <v>235</v>
      </c>
      <c r="G16" s="19" t="s">
        <v>250</v>
      </c>
      <c r="H16" s="32"/>
      <c r="I16" s="34"/>
      <c r="J16" s="34" t="s">
        <v>384</v>
      </c>
      <c r="K16" s="34" t="s">
        <v>134</v>
      </c>
      <c r="L16" s="34" t="s">
        <v>134</v>
      </c>
    </row>
    <row r="17" spans="1:12" s="2" customFormat="1">
      <c r="B17" s="49" t="s">
        <v>379</v>
      </c>
      <c r="C17" s="49" t="s">
        <v>139</v>
      </c>
      <c r="D17" s="12" t="s">
        <v>48</v>
      </c>
      <c r="E17" s="30" t="s">
        <v>243</v>
      </c>
      <c r="F17" s="19" t="s">
        <v>237</v>
      </c>
      <c r="G17" s="19" t="s">
        <v>250</v>
      </c>
      <c r="H17" s="32"/>
      <c r="I17" s="34"/>
      <c r="J17" s="34" t="s">
        <v>384</v>
      </c>
      <c r="K17" s="34" t="s">
        <v>134</v>
      </c>
      <c r="L17" s="34" t="s">
        <v>134</v>
      </c>
    </row>
    <row r="18" spans="1:12" s="2" customFormat="1">
      <c r="A18" s="29"/>
      <c r="B18" s="49" t="s">
        <v>112</v>
      </c>
      <c r="C18" s="49" t="s">
        <v>139</v>
      </c>
      <c r="D18" s="12" t="s">
        <v>30</v>
      </c>
      <c r="E18" s="30" t="s">
        <v>243</v>
      </c>
      <c r="F18" s="19" t="s">
        <v>241</v>
      </c>
      <c r="G18" s="19" t="s">
        <v>250</v>
      </c>
      <c r="H18" s="32"/>
      <c r="I18" s="35"/>
      <c r="J18" s="34" t="s">
        <v>384</v>
      </c>
      <c r="K18" s="34" t="s">
        <v>134</v>
      </c>
      <c r="L18" s="34" t="s">
        <v>134</v>
      </c>
    </row>
    <row r="19" spans="1:12" s="2" customFormat="1">
      <c r="A19" s="29"/>
      <c r="B19" s="49" t="s">
        <v>284</v>
      </c>
      <c r="C19" s="49" t="s">
        <v>132</v>
      </c>
      <c r="D19" s="12" t="s">
        <v>285</v>
      </c>
      <c r="E19" s="30" t="s">
        <v>243</v>
      </c>
      <c r="F19" s="19" t="s">
        <v>284</v>
      </c>
      <c r="G19" s="19" t="s">
        <v>250</v>
      </c>
      <c r="H19" s="32"/>
      <c r="I19" s="35"/>
      <c r="J19" s="34" t="s">
        <v>384</v>
      </c>
      <c r="K19" s="34" t="s">
        <v>134</v>
      </c>
      <c r="L19" s="34" t="s">
        <v>134</v>
      </c>
    </row>
    <row r="20" spans="1:12" s="2" customFormat="1">
      <c r="A20" s="29"/>
      <c r="B20" s="49" t="s">
        <v>287</v>
      </c>
      <c r="C20" s="49" t="s">
        <v>139</v>
      </c>
      <c r="D20" s="12" t="s">
        <v>808</v>
      </c>
      <c r="E20" s="30" t="s">
        <v>243</v>
      </c>
      <c r="F20" s="19" t="s">
        <v>287</v>
      </c>
      <c r="G20" s="19" t="s">
        <v>250</v>
      </c>
      <c r="H20" s="32"/>
      <c r="I20" s="35"/>
      <c r="J20" s="34" t="s">
        <v>384</v>
      </c>
      <c r="K20" s="34" t="s">
        <v>134</v>
      </c>
      <c r="L20" s="34" t="s">
        <v>134</v>
      </c>
    </row>
    <row r="21" spans="1:12" s="2" customFormat="1">
      <c r="A21" s="29"/>
      <c r="B21" s="14" t="s">
        <v>491</v>
      </c>
      <c r="C21" s="14" t="s">
        <v>139</v>
      </c>
      <c r="D21" s="12" t="s">
        <v>809</v>
      </c>
      <c r="E21" s="30" t="s">
        <v>243</v>
      </c>
      <c r="F21" s="19" t="s">
        <v>491</v>
      </c>
      <c r="G21" s="19" t="s">
        <v>250</v>
      </c>
      <c r="H21" s="32"/>
      <c r="I21" s="35"/>
      <c r="J21" s="34" t="s">
        <v>384</v>
      </c>
      <c r="K21" s="34" t="s">
        <v>134</v>
      </c>
      <c r="L21" s="34" t="s">
        <v>134</v>
      </c>
    </row>
    <row r="22" spans="1:12" s="2" customFormat="1">
      <c r="A22" s="29"/>
      <c r="B22" s="14" t="s">
        <v>251</v>
      </c>
      <c r="C22" s="14" t="s">
        <v>132</v>
      </c>
      <c r="D22" s="12" t="s">
        <v>252</v>
      </c>
      <c r="E22" s="30" t="s">
        <v>243</v>
      </c>
      <c r="F22" s="19" t="s">
        <v>251</v>
      </c>
      <c r="G22" s="19" t="s">
        <v>250</v>
      </c>
      <c r="H22" s="32"/>
      <c r="I22" s="35"/>
      <c r="J22" s="34" t="s">
        <v>384</v>
      </c>
      <c r="K22" s="34" t="s">
        <v>134</v>
      </c>
      <c r="L22" s="34" t="s">
        <v>134</v>
      </c>
    </row>
    <row r="23" spans="1:12" s="2" customFormat="1">
      <c r="A23" s="29"/>
      <c r="B23" s="14" t="s">
        <v>211</v>
      </c>
      <c r="C23" s="14" t="s">
        <v>139</v>
      </c>
      <c r="D23" s="12" t="s">
        <v>810</v>
      </c>
      <c r="E23" s="30" t="s">
        <v>243</v>
      </c>
      <c r="F23" s="19" t="s">
        <v>211</v>
      </c>
      <c r="G23" s="19" t="s">
        <v>250</v>
      </c>
      <c r="H23" s="32"/>
      <c r="I23" s="35"/>
      <c r="J23" s="34" t="s">
        <v>384</v>
      </c>
      <c r="K23" s="34" t="s">
        <v>134</v>
      </c>
      <c r="L23" s="34" t="s">
        <v>134</v>
      </c>
    </row>
    <row r="24" spans="1:12" s="2" customFormat="1">
      <c r="A24" s="29"/>
      <c r="B24" s="14" t="s">
        <v>371</v>
      </c>
      <c r="C24" s="14" t="s">
        <v>139</v>
      </c>
      <c r="D24" s="12" t="s">
        <v>497</v>
      </c>
      <c r="E24" s="30" t="s">
        <v>243</v>
      </c>
      <c r="F24" s="19" t="s">
        <v>371</v>
      </c>
      <c r="G24" s="19" t="s">
        <v>250</v>
      </c>
      <c r="H24" s="32"/>
      <c r="I24" s="35"/>
      <c r="J24" s="34" t="s">
        <v>384</v>
      </c>
      <c r="K24" s="34" t="s">
        <v>134</v>
      </c>
      <c r="L24" s="34" t="s">
        <v>134</v>
      </c>
    </row>
    <row r="25" spans="1:12" s="2" customFormat="1">
      <c r="A25" s="29"/>
      <c r="B25" s="14" t="s">
        <v>373</v>
      </c>
      <c r="C25" s="14" t="s">
        <v>139</v>
      </c>
      <c r="D25" s="12" t="s">
        <v>498</v>
      </c>
      <c r="E25" s="30" t="s">
        <v>243</v>
      </c>
      <c r="F25" s="19" t="s">
        <v>373</v>
      </c>
      <c r="G25" s="19" t="s">
        <v>250</v>
      </c>
      <c r="H25" s="32"/>
      <c r="I25" s="35"/>
      <c r="J25" s="34" t="s">
        <v>384</v>
      </c>
      <c r="K25" s="34" t="s">
        <v>134</v>
      </c>
      <c r="L25" s="34" t="s">
        <v>134</v>
      </c>
    </row>
    <row r="26" spans="1:12" s="2" customFormat="1">
      <c r="A26" s="29"/>
      <c r="B26" s="49" t="s">
        <v>811</v>
      </c>
      <c r="C26" s="49" t="s">
        <v>136</v>
      </c>
      <c r="D26" s="12" t="s">
        <v>812</v>
      </c>
      <c r="E26" s="30" t="s">
        <v>243</v>
      </c>
      <c r="F26" s="19"/>
      <c r="G26" s="19" t="s">
        <v>813</v>
      </c>
      <c r="H26" s="32"/>
      <c r="I26" s="35"/>
      <c r="J26" s="34" t="s">
        <v>431</v>
      </c>
      <c r="K26" s="34" t="s">
        <v>134</v>
      </c>
      <c r="L26" s="34" t="s">
        <v>439</v>
      </c>
    </row>
    <row r="27" spans="1:12" s="2" customFormat="1">
      <c r="A27" s="29"/>
      <c r="B27" s="14" t="s">
        <v>814</v>
      </c>
      <c r="C27" s="14" t="s">
        <v>136</v>
      </c>
      <c r="D27" s="12" t="s">
        <v>815</v>
      </c>
      <c r="E27" s="30" t="s">
        <v>243</v>
      </c>
      <c r="F27" s="19"/>
      <c r="G27" s="31" t="s">
        <v>816</v>
      </c>
      <c r="H27" s="32"/>
      <c r="I27" s="35"/>
      <c r="J27" s="34" t="s">
        <v>431</v>
      </c>
      <c r="K27" s="34" t="s">
        <v>134</v>
      </c>
      <c r="L27" s="34" t="s">
        <v>533</v>
      </c>
    </row>
    <row r="28" spans="1:12" s="2" customFormat="1">
      <c r="A28" s="29"/>
      <c r="B28" s="14" t="s">
        <v>2364</v>
      </c>
      <c r="C28" s="14" t="s">
        <v>245</v>
      </c>
      <c r="D28" s="12" t="s">
        <v>818</v>
      </c>
      <c r="E28" s="30" t="s">
        <v>243</v>
      </c>
      <c r="F28" s="19"/>
      <c r="G28" s="31" t="s">
        <v>819</v>
      </c>
      <c r="H28" s="32"/>
      <c r="I28" s="35"/>
      <c r="J28" s="34" t="s">
        <v>431</v>
      </c>
      <c r="K28" s="34" t="s">
        <v>134</v>
      </c>
      <c r="L28" s="34" t="s">
        <v>432</v>
      </c>
    </row>
    <row r="29" spans="1:12" s="2" customFormat="1">
      <c r="A29" s="29"/>
      <c r="B29" s="14" t="s">
        <v>2365</v>
      </c>
      <c r="C29" s="14" t="s">
        <v>136</v>
      </c>
      <c r="D29" s="12" t="s">
        <v>821</v>
      </c>
      <c r="E29" s="30" t="s">
        <v>243</v>
      </c>
      <c r="F29" s="19"/>
      <c r="G29" s="19" t="s">
        <v>822</v>
      </c>
      <c r="H29" s="32"/>
      <c r="I29" s="35"/>
      <c r="J29" s="34" t="s">
        <v>431</v>
      </c>
      <c r="K29" s="34" t="s">
        <v>134</v>
      </c>
      <c r="L29" s="34" t="s">
        <v>439</v>
      </c>
    </row>
    <row r="30" spans="1:12" s="2" customFormat="1">
      <c r="A30" s="29"/>
      <c r="B30" s="14" t="s">
        <v>823</v>
      </c>
      <c r="C30" s="14" t="s">
        <v>136</v>
      </c>
      <c r="D30" s="12" t="s">
        <v>824</v>
      </c>
      <c r="E30" s="30" t="s">
        <v>243</v>
      </c>
      <c r="F30" s="19"/>
      <c r="G30" s="31" t="s">
        <v>825</v>
      </c>
      <c r="H30" s="32"/>
      <c r="I30" s="35"/>
      <c r="J30" s="34" t="s">
        <v>431</v>
      </c>
      <c r="K30" s="34" t="s">
        <v>134</v>
      </c>
      <c r="L30" s="34" t="s">
        <v>439</v>
      </c>
    </row>
    <row r="31" spans="1:12" s="2" customFormat="1">
      <c r="A31" s="29"/>
      <c r="B31" s="49" t="s">
        <v>826</v>
      </c>
      <c r="C31" s="49" t="s">
        <v>136</v>
      </c>
      <c r="D31" s="12" t="s">
        <v>827</v>
      </c>
      <c r="E31" s="30" t="s">
        <v>243</v>
      </c>
      <c r="F31" s="19"/>
      <c r="G31" s="31" t="s">
        <v>828</v>
      </c>
      <c r="H31" s="32"/>
      <c r="I31" s="35"/>
      <c r="J31" s="34" t="s">
        <v>431</v>
      </c>
      <c r="K31" s="34" t="s">
        <v>134</v>
      </c>
      <c r="L31" s="34" t="s">
        <v>439</v>
      </c>
    </row>
    <row r="32" spans="1:12" s="2" customFormat="1">
      <c r="B32" s="49" t="s">
        <v>829</v>
      </c>
      <c r="C32" s="49" t="s">
        <v>136</v>
      </c>
      <c r="D32" s="12" t="s">
        <v>830</v>
      </c>
      <c r="E32" s="30" t="s">
        <v>243</v>
      </c>
      <c r="F32" s="19"/>
      <c r="G32" s="31" t="s">
        <v>831</v>
      </c>
      <c r="H32" s="32"/>
      <c r="I32" s="34"/>
      <c r="J32" s="34" t="s">
        <v>431</v>
      </c>
      <c r="K32" s="34" t="s">
        <v>134</v>
      </c>
      <c r="L32" s="34" t="s">
        <v>439</v>
      </c>
    </row>
    <row r="33" spans="1:12" s="2" customFormat="1">
      <c r="B33" s="49" t="s">
        <v>832</v>
      </c>
      <c r="C33" s="49" t="s">
        <v>136</v>
      </c>
      <c r="D33" s="12" t="s">
        <v>833</v>
      </c>
      <c r="E33" s="30" t="s">
        <v>243</v>
      </c>
      <c r="F33" s="19"/>
      <c r="G33" s="19" t="s">
        <v>834</v>
      </c>
      <c r="H33" s="32"/>
      <c r="I33" s="34"/>
      <c r="J33" s="34" t="s">
        <v>431</v>
      </c>
      <c r="K33" s="34" t="s">
        <v>134</v>
      </c>
      <c r="L33" s="34" t="s">
        <v>439</v>
      </c>
    </row>
    <row r="34" spans="1:12" s="29" customFormat="1">
      <c r="B34" s="49" t="s">
        <v>835</v>
      </c>
      <c r="C34" s="49" t="s">
        <v>136</v>
      </c>
      <c r="D34" s="54" t="s">
        <v>836</v>
      </c>
      <c r="E34" s="30" t="s">
        <v>243</v>
      </c>
      <c r="F34" s="20"/>
      <c r="G34" s="19" t="s">
        <v>837</v>
      </c>
      <c r="H34" s="30"/>
      <c r="I34" s="35"/>
      <c r="J34" s="34" t="s">
        <v>431</v>
      </c>
      <c r="K34" s="34" t="s">
        <v>134</v>
      </c>
      <c r="L34" s="34" t="s">
        <v>439</v>
      </c>
    </row>
    <row r="35" spans="1:12" s="29" customFormat="1" ht="26.4">
      <c r="B35" s="49" t="s">
        <v>838</v>
      </c>
      <c r="C35" s="49" t="s">
        <v>136</v>
      </c>
      <c r="D35" s="12" t="s">
        <v>839</v>
      </c>
      <c r="E35" s="30" t="s">
        <v>243</v>
      </c>
      <c r="F35" s="20"/>
      <c r="G35" s="19" t="s">
        <v>840</v>
      </c>
      <c r="H35" s="30"/>
      <c r="I35" s="35"/>
      <c r="J35" s="34" t="s">
        <v>431</v>
      </c>
      <c r="K35" s="34" t="s">
        <v>134</v>
      </c>
      <c r="L35" s="34" t="s">
        <v>439</v>
      </c>
    </row>
    <row r="36" spans="1:12" s="1" customFormat="1">
      <c r="A36" s="25"/>
      <c r="B36" s="26" t="s">
        <v>841</v>
      </c>
      <c r="C36" s="26" t="s">
        <v>136</v>
      </c>
      <c r="D36" s="12" t="s">
        <v>842</v>
      </c>
      <c r="E36" s="30" t="s">
        <v>243</v>
      </c>
      <c r="F36" s="19"/>
      <c r="G36" s="19" t="s">
        <v>843</v>
      </c>
      <c r="H36" s="30"/>
      <c r="I36" s="33"/>
      <c r="J36" s="34" t="s">
        <v>431</v>
      </c>
      <c r="K36" s="34" t="s">
        <v>134</v>
      </c>
      <c r="L36" s="34" t="s">
        <v>439</v>
      </c>
    </row>
    <row r="37" spans="1:12" s="2" customFormat="1">
      <c r="A37" s="29"/>
      <c r="B37" s="14" t="s">
        <v>844</v>
      </c>
      <c r="C37" s="14" t="s">
        <v>136</v>
      </c>
      <c r="D37" s="12" t="s">
        <v>565</v>
      </c>
      <c r="E37" s="30" t="s">
        <v>243</v>
      </c>
      <c r="F37" s="19"/>
      <c r="G37" s="31" t="s">
        <v>845</v>
      </c>
      <c r="H37" s="32"/>
      <c r="I37" s="35"/>
      <c r="J37" s="34" t="s">
        <v>431</v>
      </c>
      <c r="K37" s="34" t="s">
        <v>134</v>
      </c>
      <c r="L37" s="34" t="s">
        <v>439</v>
      </c>
    </row>
    <row r="38" spans="1:12" s="29" customFormat="1">
      <c r="B38" s="49" t="s">
        <v>846</v>
      </c>
      <c r="C38" s="49" t="s">
        <v>245</v>
      </c>
      <c r="D38" s="54" t="s">
        <v>567</v>
      </c>
      <c r="E38" s="30" t="s">
        <v>243</v>
      </c>
      <c r="F38" s="19"/>
      <c r="G38" s="31" t="s">
        <v>847</v>
      </c>
      <c r="H38" s="30"/>
      <c r="I38" s="35"/>
      <c r="J38" s="34" t="s">
        <v>431</v>
      </c>
      <c r="K38" s="34" t="s">
        <v>134</v>
      </c>
      <c r="L38" s="34" t="s">
        <v>568</v>
      </c>
    </row>
    <row r="39" spans="1:12" s="29" customFormat="1">
      <c r="B39" s="49" t="s">
        <v>848</v>
      </c>
      <c r="C39" s="49" t="s">
        <v>136</v>
      </c>
      <c r="D39" s="12" t="s">
        <v>609</v>
      </c>
      <c r="E39" s="30" t="s">
        <v>243</v>
      </c>
      <c r="F39" s="19"/>
      <c r="G39" s="19" t="s">
        <v>849</v>
      </c>
      <c r="H39" s="30"/>
      <c r="I39" s="35"/>
      <c r="J39" s="34" t="s">
        <v>431</v>
      </c>
      <c r="K39" s="34" t="s">
        <v>134</v>
      </c>
      <c r="L39" s="34" t="s">
        <v>610</v>
      </c>
    </row>
    <row r="40" spans="1:12" s="29" customFormat="1">
      <c r="B40" s="49" t="s">
        <v>850</v>
      </c>
      <c r="C40" s="49" t="s">
        <v>245</v>
      </c>
      <c r="D40" s="12" t="s">
        <v>614</v>
      </c>
      <c r="E40" s="30" t="s">
        <v>243</v>
      </c>
      <c r="F40" s="19"/>
      <c r="G40" s="19" t="s">
        <v>851</v>
      </c>
      <c r="H40" s="30"/>
      <c r="I40" s="35"/>
      <c r="J40" s="34" t="s">
        <v>431</v>
      </c>
      <c r="K40" s="34" t="s">
        <v>134</v>
      </c>
      <c r="L40" s="34" t="s">
        <v>615</v>
      </c>
    </row>
    <row r="41" spans="1:12" s="29" customFormat="1">
      <c r="B41" s="49" t="s">
        <v>852</v>
      </c>
      <c r="C41" s="55" t="s">
        <v>136</v>
      </c>
      <c r="D41" s="12" t="s">
        <v>612</v>
      </c>
      <c r="E41" s="30" t="s">
        <v>243</v>
      </c>
      <c r="F41" s="19"/>
      <c r="G41" s="19" t="s">
        <v>853</v>
      </c>
      <c r="H41" s="30"/>
      <c r="I41" s="35"/>
      <c r="J41" s="34" t="s">
        <v>431</v>
      </c>
      <c r="K41" s="34" t="s">
        <v>134</v>
      </c>
      <c r="L41" s="34" t="s">
        <v>439</v>
      </c>
    </row>
    <row r="42" spans="1:12" s="5" customFormat="1">
      <c r="B42" s="49" t="s">
        <v>854</v>
      </c>
      <c r="C42" s="55" t="s">
        <v>136</v>
      </c>
      <c r="D42" s="12" t="s">
        <v>855</v>
      </c>
      <c r="E42" s="30" t="s">
        <v>243</v>
      </c>
      <c r="F42" s="19"/>
      <c r="G42" s="19" t="s">
        <v>856</v>
      </c>
      <c r="H42" s="30"/>
      <c r="I42" s="35"/>
      <c r="J42" s="34" t="s">
        <v>431</v>
      </c>
      <c r="K42" s="34" t="s">
        <v>134</v>
      </c>
      <c r="L42" s="34" t="s">
        <v>439</v>
      </c>
    </row>
    <row r="43" spans="1:12" s="5" customFormat="1">
      <c r="B43" s="49" t="s">
        <v>857</v>
      </c>
      <c r="C43" s="55" t="s">
        <v>136</v>
      </c>
      <c r="D43" s="12" t="s">
        <v>858</v>
      </c>
      <c r="E43" s="30" t="s">
        <v>243</v>
      </c>
      <c r="F43" s="19"/>
      <c r="G43" s="19" t="s">
        <v>859</v>
      </c>
      <c r="H43" s="30"/>
      <c r="I43" s="35"/>
      <c r="J43" s="34" t="s">
        <v>431</v>
      </c>
      <c r="K43" s="34" t="s">
        <v>134</v>
      </c>
      <c r="L43" s="34" t="s">
        <v>439</v>
      </c>
    </row>
    <row r="44" spans="1:12" s="5" customFormat="1">
      <c r="B44" s="49" t="s">
        <v>860</v>
      </c>
      <c r="C44" s="55" t="s">
        <v>136</v>
      </c>
      <c r="D44" s="12" t="s">
        <v>861</v>
      </c>
      <c r="E44" s="30" t="s">
        <v>243</v>
      </c>
      <c r="F44" s="19"/>
      <c r="G44" s="19" t="s">
        <v>862</v>
      </c>
      <c r="H44" s="30"/>
      <c r="I44" s="35"/>
      <c r="J44" s="34" t="s">
        <v>431</v>
      </c>
      <c r="K44" s="34" t="s">
        <v>134</v>
      </c>
      <c r="L44" s="34" t="s">
        <v>439</v>
      </c>
    </row>
    <row r="45" spans="1:12" s="5" customFormat="1">
      <c r="B45" s="49" t="s">
        <v>863</v>
      </c>
      <c r="C45" s="55" t="s">
        <v>136</v>
      </c>
      <c r="D45" s="12" t="s">
        <v>864</v>
      </c>
      <c r="E45" s="30" t="s">
        <v>243</v>
      </c>
      <c r="F45" s="19"/>
      <c r="G45" s="19" t="s">
        <v>865</v>
      </c>
      <c r="H45" s="30"/>
      <c r="I45" s="35"/>
      <c r="J45" s="34" t="s">
        <v>431</v>
      </c>
      <c r="K45" s="34" t="s">
        <v>134</v>
      </c>
      <c r="L45" s="34" t="s">
        <v>439</v>
      </c>
    </row>
    <row r="46" spans="1:12" s="5" customFormat="1">
      <c r="B46" s="49" t="s">
        <v>866</v>
      </c>
      <c r="C46" s="55" t="s">
        <v>136</v>
      </c>
      <c r="D46" s="12" t="s">
        <v>867</v>
      </c>
      <c r="E46" s="30" t="s">
        <v>243</v>
      </c>
      <c r="F46" s="19"/>
      <c r="G46" s="19" t="s">
        <v>868</v>
      </c>
      <c r="H46" s="30"/>
      <c r="I46" s="35"/>
      <c r="J46" s="34" t="s">
        <v>431</v>
      </c>
      <c r="K46" s="34" t="s">
        <v>134</v>
      </c>
      <c r="L46" s="34" t="s">
        <v>439</v>
      </c>
    </row>
    <row r="47" spans="1:12" s="1" customFormat="1">
      <c r="A47" s="25"/>
      <c r="B47" s="26" t="s">
        <v>869</v>
      </c>
      <c r="C47" s="26" t="s">
        <v>136</v>
      </c>
      <c r="D47" s="12" t="s">
        <v>870</v>
      </c>
      <c r="E47" s="30" t="s">
        <v>243</v>
      </c>
      <c r="F47" s="19"/>
      <c r="G47" s="19" t="s">
        <v>871</v>
      </c>
      <c r="H47" s="30"/>
      <c r="I47" s="33"/>
      <c r="J47" s="34" t="s">
        <v>431</v>
      </c>
      <c r="K47" s="34" t="s">
        <v>134</v>
      </c>
      <c r="L47" s="34" t="s">
        <v>439</v>
      </c>
    </row>
    <row r="48" spans="1:12" s="1" customFormat="1">
      <c r="A48" s="25"/>
      <c r="B48" s="26" t="s">
        <v>872</v>
      </c>
      <c r="C48" s="26" t="s">
        <v>136</v>
      </c>
      <c r="D48" s="12" t="s">
        <v>873</v>
      </c>
      <c r="E48" s="30" t="s">
        <v>243</v>
      </c>
      <c r="F48" s="19"/>
      <c r="G48" s="19" t="s">
        <v>874</v>
      </c>
      <c r="H48" s="30"/>
      <c r="I48" s="33"/>
      <c r="J48" s="34" t="s">
        <v>431</v>
      </c>
      <c r="K48" s="34" t="s">
        <v>134</v>
      </c>
      <c r="L48" s="34" t="s">
        <v>439</v>
      </c>
    </row>
    <row r="49" spans="1:12" s="1" customFormat="1">
      <c r="A49" s="25"/>
      <c r="B49" s="26" t="s">
        <v>875</v>
      </c>
      <c r="C49" s="26" t="s">
        <v>136</v>
      </c>
      <c r="D49" s="12" t="s">
        <v>655</v>
      </c>
      <c r="E49" s="30" t="s">
        <v>243</v>
      </c>
      <c r="F49" s="19"/>
      <c r="G49" s="19" t="s">
        <v>876</v>
      </c>
      <c r="H49" s="30"/>
      <c r="I49" s="33"/>
      <c r="J49" s="34" t="s">
        <v>431</v>
      </c>
      <c r="K49" s="34" t="s">
        <v>134</v>
      </c>
      <c r="L49" s="34" t="s">
        <v>439</v>
      </c>
    </row>
    <row r="50" spans="1:12" s="1" customFormat="1">
      <c r="A50" s="25"/>
      <c r="B50" s="26" t="s">
        <v>877</v>
      </c>
      <c r="C50" s="26" t="s">
        <v>245</v>
      </c>
      <c r="D50" s="12" t="s">
        <v>657</v>
      </c>
      <c r="E50" s="30" t="s">
        <v>243</v>
      </c>
      <c r="F50" s="19"/>
      <c r="G50" s="19" t="s">
        <v>878</v>
      </c>
      <c r="H50" s="30"/>
      <c r="I50" s="33"/>
      <c r="J50" s="34" t="s">
        <v>431</v>
      </c>
      <c r="K50" s="34" t="s">
        <v>134</v>
      </c>
      <c r="L50" s="34" t="s">
        <v>568</v>
      </c>
    </row>
    <row r="51" spans="1:12" s="1" customFormat="1">
      <c r="A51" s="25"/>
      <c r="B51" s="26" t="s">
        <v>879</v>
      </c>
      <c r="C51" s="26" t="s">
        <v>136</v>
      </c>
      <c r="D51" s="12" t="s">
        <v>815</v>
      </c>
      <c r="E51" s="30"/>
      <c r="F51" s="19"/>
      <c r="G51" s="19" t="s">
        <v>880</v>
      </c>
      <c r="H51" s="30"/>
      <c r="I51" s="33"/>
      <c r="J51" s="34" t="s">
        <v>431</v>
      </c>
      <c r="K51" s="34" t="s">
        <v>134</v>
      </c>
      <c r="L51" s="34" t="s">
        <v>881</v>
      </c>
    </row>
    <row r="52" spans="1:12" s="1" customFormat="1">
      <c r="A52" s="25"/>
      <c r="B52" s="26" t="s">
        <v>882</v>
      </c>
      <c r="C52" s="26" t="s">
        <v>245</v>
      </c>
      <c r="D52" s="12" t="s">
        <v>818</v>
      </c>
      <c r="E52" s="30"/>
      <c r="F52" s="19"/>
      <c r="G52" s="19" t="s">
        <v>880</v>
      </c>
      <c r="H52" s="30"/>
      <c r="I52" s="33"/>
      <c r="J52" s="34" t="s">
        <v>431</v>
      </c>
      <c r="K52" s="34" t="s">
        <v>134</v>
      </c>
      <c r="L52" s="34" t="s">
        <v>881</v>
      </c>
    </row>
    <row r="53" spans="1:12" s="1" customFormat="1">
      <c r="A53" s="25"/>
      <c r="B53" s="26" t="s">
        <v>883</v>
      </c>
      <c r="C53" s="26" t="s">
        <v>136</v>
      </c>
      <c r="D53" s="12" t="s">
        <v>821</v>
      </c>
      <c r="E53" s="30"/>
      <c r="F53" s="19"/>
      <c r="G53" s="19" t="s">
        <v>880</v>
      </c>
      <c r="H53" s="30"/>
      <c r="I53" s="33"/>
      <c r="J53" s="34" t="s">
        <v>431</v>
      </c>
      <c r="K53" s="34" t="s">
        <v>134</v>
      </c>
      <c r="L53" s="34" t="s">
        <v>881</v>
      </c>
    </row>
    <row r="54" spans="1:12" s="1" customFormat="1">
      <c r="A54" s="25"/>
      <c r="B54" s="26" t="s">
        <v>884</v>
      </c>
      <c r="C54" s="26" t="s">
        <v>136</v>
      </c>
      <c r="D54" s="12" t="s">
        <v>824</v>
      </c>
      <c r="E54" s="30"/>
      <c r="F54" s="19"/>
      <c r="G54" s="19" t="s">
        <v>880</v>
      </c>
      <c r="H54" s="30"/>
      <c r="I54" s="33"/>
      <c r="J54" s="34" t="s">
        <v>431</v>
      </c>
      <c r="K54" s="34" t="s">
        <v>134</v>
      </c>
      <c r="L54" s="34" t="s">
        <v>881</v>
      </c>
    </row>
    <row r="55" spans="1:12" s="1" customFormat="1">
      <c r="A55" s="25"/>
      <c r="B55" s="26" t="s">
        <v>885</v>
      </c>
      <c r="C55" s="26" t="s">
        <v>136</v>
      </c>
      <c r="D55" s="12" t="s">
        <v>827</v>
      </c>
      <c r="E55" s="30"/>
      <c r="F55" s="19"/>
      <c r="G55" s="19" t="s">
        <v>880</v>
      </c>
      <c r="H55" s="30"/>
      <c r="I55" s="33"/>
      <c r="J55" s="34" t="s">
        <v>431</v>
      </c>
      <c r="K55" s="34" t="s">
        <v>134</v>
      </c>
      <c r="L55" s="34" t="s">
        <v>881</v>
      </c>
    </row>
    <row r="56" spans="1:12" s="1" customFormat="1">
      <c r="A56" s="25"/>
      <c r="B56" s="26" t="s">
        <v>886</v>
      </c>
      <c r="C56" s="26" t="s">
        <v>136</v>
      </c>
      <c r="D56" s="12" t="s">
        <v>830</v>
      </c>
      <c r="E56" s="30"/>
      <c r="F56" s="19"/>
      <c r="G56" s="19" t="s">
        <v>880</v>
      </c>
      <c r="H56" s="30"/>
      <c r="I56" s="33"/>
      <c r="J56" s="34" t="s">
        <v>431</v>
      </c>
      <c r="K56" s="34" t="s">
        <v>134</v>
      </c>
      <c r="L56" s="34" t="s">
        <v>881</v>
      </c>
    </row>
    <row r="57" spans="1:12" s="1" customFormat="1">
      <c r="A57" s="25"/>
      <c r="B57" s="26" t="s">
        <v>887</v>
      </c>
      <c r="C57" s="26" t="s">
        <v>136</v>
      </c>
      <c r="D57" s="12" t="s">
        <v>833</v>
      </c>
      <c r="E57" s="30"/>
      <c r="F57" s="19"/>
      <c r="G57" s="19" t="s">
        <v>880</v>
      </c>
      <c r="H57" s="30"/>
      <c r="I57" s="33"/>
      <c r="J57" s="34" t="s">
        <v>431</v>
      </c>
      <c r="K57" s="34" t="s">
        <v>134</v>
      </c>
      <c r="L57" s="34" t="s">
        <v>881</v>
      </c>
    </row>
    <row r="58" spans="1:12" s="1" customFormat="1">
      <c r="A58" s="25"/>
      <c r="B58" s="26" t="s">
        <v>888</v>
      </c>
      <c r="C58" s="26" t="s">
        <v>136</v>
      </c>
      <c r="D58" s="12" t="s">
        <v>836</v>
      </c>
      <c r="E58" s="30"/>
      <c r="F58" s="19"/>
      <c r="G58" s="19" t="s">
        <v>880</v>
      </c>
      <c r="H58" s="30"/>
      <c r="I58" s="33"/>
      <c r="J58" s="34" t="s">
        <v>431</v>
      </c>
      <c r="K58" s="34" t="s">
        <v>134</v>
      </c>
      <c r="L58" s="34" t="s">
        <v>881</v>
      </c>
    </row>
    <row r="59" spans="1:12" s="5" customFormat="1">
      <c r="B59" s="49" t="s">
        <v>889</v>
      </c>
      <c r="C59" s="55" t="s">
        <v>136</v>
      </c>
      <c r="D59" s="12" t="s">
        <v>839</v>
      </c>
      <c r="E59" s="30"/>
      <c r="F59" s="19"/>
      <c r="G59" s="19" t="s">
        <v>880</v>
      </c>
      <c r="H59" s="30"/>
      <c r="I59" s="35"/>
      <c r="J59" s="34" t="s">
        <v>431</v>
      </c>
      <c r="K59" s="34" t="s">
        <v>134</v>
      </c>
      <c r="L59" s="34" t="s">
        <v>881</v>
      </c>
    </row>
    <row r="60" spans="1:12">
      <c r="A60" s="3"/>
      <c r="B60" s="49" t="s">
        <v>890</v>
      </c>
      <c r="C60" s="55" t="s">
        <v>136</v>
      </c>
      <c r="D60" s="12" t="s">
        <v>842</v>
      </c>
      <c r="E60" s="30"/>
      <c r="F60" s="19"/>
      <c r="G60" s="19" t="s">
        <v>880</v>
      </c>
      <c r="H60" s="30"/>
      <c r="I60" s="34"/>
      <c r="J60" s="34" t="s">
        <v>431</v>
      </c>
      <c r="K60" s="34" t="s">
        <v>134</v>
      </c>
      <c r="L60" s="34" t="s">
        <v>881</v>
      </c>
    </row>
    <row r="61" spans="1:12">
      <c r="A61" s="3"/>
      <c r="B61" s="49" t="s">
        <v>891</v>
      </c>
      <c r="C61" s="55" t="s">
        <v>136</v>
      </c>
      <c r="D61" s="12" t="s">
        <v>565</v>
      </c>
      <c r="E61" s="30"/>
      <c r="F61" s="19"/>
      <c r="G61" s="19" t="s">
        <v>880</v>
      </c>
      <c r="H61" s="30"/>
      <c r="I61" s="34"/>
      <c r="J61" s="34" t="s">
        <v>431</v>
      </c>
      <c r="K61" s="34" t="s">
        <v>134</v>
      </c>
      <c r="L61" s="34" t="s">
        <v>881</v>
      </c>
    </row>
    <row r="62" spans="1:12" s="2" customFormat="1">
      <c r="A62" s="29"/>
      <c r="B62" s="49" t="s">
        <v>892</v>
      </c>
      <c r="C62" s="55" t="s">
        <v>245</v>
      </c>
      <c r="D62" s="12" t="s">
        <v>567</v>
      </c>
      <c r="E62" s="30"/>
      <c r="F62" s="19"/>
      <c r="G62" s="19" t="s">
        <v>880</v>
      </c>
      <c r="H62" s="30"/>
      <c r="I62" s="35"/>
      <c r="J62" s="34" t="s">
        <v>431</v>
      </c>
      <c r="K62" s="34" t="s">
        <v>134</v>
      </c>
      <c r="L62" s="34" t="s">
        <v>881</v>
      </c>
    </row>
    <row r="63" spans="1:12">
      <c r="A63" s="3"/>
      <c r="B63" s="49" t="s">
        <v>893</v>
      </c>
      <c r="C63" s="55" t="s">
        <v>136</v>
      </c>
      <c r="D63" s="12" t="s">
        <v>894</v>
      </c>
      <c r="E63" s="30"/>
      <c r="F63" s="19"/>
      <c r="G63" s="19" t="s">
        <v>880</v>
      </c>
      <c r="H63" s="30"/>
      <c r="I63" s="34"/>
      <c r="J63" s="34" t="s">
        <v>431</v>
      </c>
      <c r="K63" s="34" t="s">
        <v>134</v>
      </c>
      <c r="L63" s="34" t="s">
        <v>881</v>
      </c>
    </row>
    <row r="64" spans="1:12" s="2" customFormat="1">
      <c r="A64" s="29"/>
      <c r="B64" s="49" t="s">
        <v>2362</v>
      </c>
      <c r="C64" s="55" t="s">
        <v>136</v>
      </c>
      <c r="D64" s="12" t="s">
        <v>896</v>
      </c>
      <c r="E64" s="30"/>
      <c r="F64" s="19"/>
      <c r="G64" s="19" t="s">
        <v>880</v>
      </c>
      <c r="H64" s="30"/>
      <c r="I64" s="35"/>
      <c r="J64" s="34" t="s">
        <v>431</v>
      </c>
      <c r="K64" s="34" t="s">
        <v>134</v>
      </c>
      <c r="L64" s="34" t="s">
        <v>881</v>
      </c>
    </row>
    <row r="65" spans="1:12" s="2" customFormat="1">
      <c r="A65" s="29"/>
      <c r="B65" s="49" t="s">
        <v>897</v>
      </c>
      <c r="C65" s="55" t="s">
        <v>245</v>
      </c>
      <c r="D65" s="12" t="s">
        <v>898</v>
      </c>
      <c r="E65" s="30"/>
      <c r="F65" s="19"/>
      <c r="G65" s="19" t="s">
        <v>880</v>
      </c>
      <c r="H65" s="30"/>
      <c r="I65" s="35"/>
      <c r="J65" s="34" t="s">
        <v>431</v>
      </c>
      <c r="K65" s="34" t="s">
        <v>134</v>
      </c>
      <c r="L65" s="34" t="s">
        <v>881</v>
      </c>
    </row>
    <row r="66" spans="1:12" s="2" customFormat="1">
      <c r="A66" s="29"/>
      <c r="B66" s="49" t="s">
        <v>899</v>
      </c>
      <c r="C66" s="55" t="s">
        <v>900</v>
      </c>
      <c r="D66" s="12" t="s">
        <v>901</v>
      </c>
      <c r="E66" s="30"/>
      <c r="F66" s="19"/>
      <c r="G66" s="19" t="s">
        <v>880</v>
      </c>
      <c r="H66" s="30"/>
      <c r="I66" s="35"/>
      <c r="J66" s="34" t="s">
        <v>431</v>
      </c>
      <c r="K66" s="34" t="s">
        <v>134</v>
      </c>
      <c r="L66" s="34" t="s">
        <v>881</v>
      </c>
    </row>
    <row r="67" spans="1:12" s="2" customFormat="1">
      <c r="A67" s="29"/>
      <c r="B67" s="49" t="s">
        <v>468</v>
      </c>
      <c r="C67" s="55" t="s">
        <v>136</v>
      </c>
      <c r="D67" s="12" t="s">
        <v>902</v>
      </c>
      <c r="E67" s="30" t="s">
        <v>243</v>
      </c>
      <c r="F67" s="19"/>
      <c r="G67" s="19" t="s">
        <v>903</v>
      </c>
      <c r="H67" s="30"/>
      <c r="I67" s="35"/>
      <c r="J67" s="34" t="s">
        <v>431</v>
      </c>
      <c r="K67" s="34" t="s">
        <v>134</v>
      </c>
      <c r="L67" s="34" t="s">
        <v>533</v>
      </c>
    </row>
    <row r="68" spans="1:12" s="2" customFormat="1">
      <c r="A68" s="29"/>
      <c r="B68" s="49" t="s">
        <v>904</v>
      </c>
      <c r="C68" s="55" t="s">
        <v>136</v>
      </c>
      <c r="D68" s="12" t="s">
        <v>905</v>
      </c>
      <c r="E68" s="30" t="s">
        <v>243</v>
      </c>
      <c r="F68" s="19"/>
      <c r="G68" s="19" t="s">
        <v>906</v>
      </c>
      <c r="H68" s="31"/>
      <c r="I68" s="35"/>
      <c r="J68" s="34" t="s">
        <v>431</v>
      </c>
      <c r="K68" s="34" t="s">
        <v>134</v>
      </c>
      <c r="L68" s="34" t="s">
        <v>439</v>
      </c>
    </row>
    <row r="69" spans="1:12" s="2" customFormat="1" ht="26.4">
      <c r="A69" s="29"/>
      <c r="B69" s="49" t="s">
        <v>907</v>
      </c>
      <c r="C69" s="55" t="s">
        <v>245</v>
      </c>
      <c r="D69" s="12" t="s">
        <v>908</v>
      </c>
      <c r="E69" s="30" t="s">
        <v>243</v>
      </c>
      <c r="F69" s="19"/>
      <c r="G69" s="19" t="s">
        <v>909</v>
      </c>
      <c r="H69" s="31"/>
      <c r="I69" s="35"/>
      <c r="J69" s="34" t="s">
        <v>431</v>
      </c>
      <c r="K69" s="34" t="s">
        <v>134</v>
      </c>
      <c r="L69" s="34" t="s">
        <v>432</v>
      </c>
    </row>
    <row r="70" spans="1:12" s="1" customFormat="1">
      <c r="A70" s="25"/>
      <c r="B70" s="49" t="s">
        <v>910</v>
      </c>
      <c r="C70" s="26" t="s">
        <v>900</v>
      </c>
      <c r="D70" s="12" t="s">
        <v>911</v>
      </c>
      <c r="E70" s="30" t="s">
        <v>243</v>
      </c>
      <c r="F70" s="19"/>
      <c r="G70" s="19" t="s">
        <v>912</v>
      </c>
      <c r="H70" s="30"/>
      <c r="I70" s="33"/>
      <c r="J70" s="34" t="s">
        <v>431</v>
      </c>
      <c r="K70" s="34" t="s">
        <v>134</v>
      </c>
      <c r="L70" s="34" t="s">
        <v>568</v>
      </c>
    </row>
    <row r="71" spans="1:12" s="1" customFormat="1">
      <c r="A71" s="25"/>
      <c r="B71" s="26" t="s">
        <v>471</v>
      </c>
      <c r="C71" s="26" t="s">
        <v>136</v>
      </c>
      <c r="D71" s="12" t="s">
        <v>913</v>
      </c>
      <c r="E71" s="30" t="s">
        <v>248</v>
      </c>
      <c r="F71" s="19"/>
      <c r="G71" s="19" t="s">
        <v>914</v>
      </c>
      <c r="H71" s="30"/>
      <c r="I71" s="33"/>
      <c r="J71" s="34" t="s">
        <v>431</v>
      </c>
      <c r="K71" s="34" t="s">
        <v>134</v>
      </c>
      <c r="L71" s="34" t="s">
        <v>533</v>
      </c>
    </row>
    <row r="72" spans="1:12" s="1" customFormat="1">
      <c r="A72" s="25"/>
      <c r="B72" s="26" t="s">
        <v>2361</v>
      </c>
      <c r="C72" s="26" t="s">
        <v>136</v>
      </c>
      <c r="D72" s="12" t="s">
        <v>916</v>
      </c>
      <c r="E72" s="30" t="s">
        <v>248</v>
      </c>
      <c r="F72" s="19"/>
      <c r="G72" s="19" t="s">
        <v>917</v>
      </c>
      <c r="H72" s="30"/>
      <c r="I72" s="33"/>
      <c r="J72" s="34" t="s">
        <v>431</v>
      </c>
      <c r="K72" s="34" t="s">
        <v>134</v>
      </c>
      <c r="L72" s="34" t="s">
        <v>439</v>
      </c>
    </row>
    <row r="73" spans="1:12" s="1" customFormat="1">
      <c r="A73" s="25"/>
      <c r="B73" s="26" t="s">
        <v>918</v>
      </c>
      <c r="C73" s="26" t="s">
        <v>245</v>
      </c>
      <c r="D73" s="12" t="s">
        <v>919</v>
      </c>
      <c r="E73" s="30" t="s">
        <v>248</v>
      </c>
      <c r="F73" s="19"/>
      <c r="G73" s="19" t="s">
        <v>920</v>
      </c>
      <c r="H73" s="30"/>
      <c r="I73" s="33"/>
      <c r="J73" s="34" t="s">
        <v>431</v>
      </c>
      <c r="K73" s="34" t="s">
        <v>134</v>
      </c>
      <c r="L73" s="34" t="s">
        <v>432</v>
      </c>
    </row>
    <row r="74" spans="1:12" s="1" customFormat="1">
      <c r="A74" s="25"/>
      <c r="B74" s="26" t="s">
        <v>921</v>
      </c>
      <c r="C74" s="26" t="s">
        <v>900</v>
      </c>
      <c r="D74" s="12" t="s">
        <v>922</v>
      </c>
      <c r="E74" s="30" t="s">
        <v>923</v>
      </c>
      <c r="F74" s="19"/>
      <c r="G74" s="19" t="s">
        <v>924</v>
      </c>
      <c r="H74" s="30"/>
      <c r="I74" s="33"/>
      <c r="J74" s="34" t="s">
        <v>431</v>
      </c>
      <c r="K74" s="34" t="s">
        <v>134</v>
      </c>
      <c r="L74" s="34" t="s">
        <v>568</v>
      </c>
    </row>
    <row r="75" spans="1:12" s="1" customFormat="1">
      <c r="A75" s="25"/>
      <c r="B75" s="26" t="s">
        <v>477</v>
      </c>
      <c r="C75" s="26" t="s">
        <v>136</v>
      </c>
      <c r="D75" s="12" t="s">
        <v>925</v>
      </c>
      <c r="E75" s="30" t="s">
        <v>248</v>
      </c>
      <c r="F75" s="19"/>
      <c r="G75" s="19" t="s">
        <v>926</v>
      </c>
      <c r="H75" s="30"/>
      <c r="I75" s="33"/>
      <c r="J75" s="34" t="s">
        <v>431</v>
      </c>
      <c r="K75" s="34" t="s">
        <v>134</v>
      </c>
      <c r="L75" s="34" t="s">
        <v>533</v>
      </c>
    </row>
    <row r="76" spans="1:12" s="1" customFormat="1">
      <c r="A76" s="25"/>
      <c r="B76" s="26" t="s">
        <v>2363</v>
      </c>
      <c r="C76" s="26" t="s">
        <v>136</v>
      </c>
      <c r="D76" s="12" t="s">
        <v>928</v>
      </c>
      <c r="E76" s="30" t="s">
        <v>248</v>
      </c>
      <c r="F76" s="19"/>
      <c r="G76" s="19" t="s">
        <v>929</v>
      </c>
      <c r="H76" s="30"/>
      <c r="I76" s="33"/>
      <c r="J76" s="34" t="s">
        <v>431</v>
      </c>
      <c r="K76" s="34" t="s">
        <v>134</v>
      </c>
      <c r="L76" s="34" t="s">
        <v>439</v>
      </c>
    </row>
    <row r="77" spans="1:12" s="1" customFormat="1">
      <c r="A77" s="25"/>
      <c r="B77" s="26" t="s">
        <v>930</v>
      </c>
      <c r="C77" s="26" t="s">
        <v>245</v>
      </c>
      <c r="D77" s="12" t="s">
        <v>931</v>
      </c>
      <c r="E77" s="30" t="s">
        <v>248</v>
      </c>
      <c r="F77" s="19"/>
      <c r="G77" s="19" t="s">
        <v>932</v>
      </c>
      <c r="H77" s="30"/>
      <c r="I77" s="33"/>
      <c r="J77" s="34" t="s">
        <v>431</v>
      </c>
      <c r="K77" s="34" t="s">
        <v>134</v>
      </c>
      <c r="L77" s="34" t="s">
        <v>432</v>
      </c>
    </row>
    <row r="78" spans="1:12" s="1" customFormat="1">
      <c r="A78" s="25"/>
      <c r="B78" s="26" t="s">
        <v>933</v>
      </c>
      <c r="C78" s="26" t="s">
        <v>900</v>
      </c>
      <c r="D78" s="12" t="s">
        <v>934</v>
      </c>
      <c r="E78" s="30" t="s">
        <v>923</v>
      </c>
      <c r="F78" s="19"/>
      <c r="G78" s="79" t="s">
        <v>935</v>
      </c>
      <c r="H78" s="30"/>
      <c r="I78" s="33"/>
      <c r="J78" s="34" t="s">
        <v>431</v>
      </c>
      <c r="K78" s="34" t="s">
        <v>134</v>
      </c>
      <c r="L78" s="34" t="s">
        <v>568</v>
      </c>
    </row>
    <row r="79" spans="1:12" s="1" customFormat="1">
      <c r="A79" s="25"/>
      <c r="B79" s="26" t="s">
        <v>936</v>
      </c>
      <c r="C79" s="26" t="s">
        <v>245</v>
      </c>
      <c r="D79" s="12" t="s">
        <v>937</v>
      </c>
      <c r="E79" s="30" t="s">
        <v>248</v>
      </c>
      <c r="F79" s="19"/>
      <c r="G79" s="19" t="s">
        <v>938</v>
      </c>
      <c r="H79" s="30"/>
      <c r="I79" s="33"/>
      <c r="J79" s="34" t="s">
        <v>431</v>
      </c>
      <c r="K79" s="34" t="s">
        <v>134</v>
      </c>
      <c r="L79" s="34" t="s">
        <v>439</v>
      </c>
    </row>
    <row r="80" spans="1:12" s="1" customFormat="1">
      <c r="A80" s="25"/>
      <c r="B80" s="26" t="s">
        <v>939</v>
      </c>
      <c r="C80" s="26" t="s">
        <v>136</v>
      </c>
      <c r="D80" s="12" t="s">
        <v>940</v>
      </c>
      <c r="E80" s="30" t="s">
        <v>248</v>
      </c>
      <c r="F80" s="19"/>
      <c r="G80" s="19" t="s">
        <v>941</v>
      </c>
      <c r="H80" s="30"/>
      <c r="I80" s="33"/>
      <c r="J80" s="34" t="s">
        <v>431</v>
      </c>
      <c r="K80" s="34" t="s">
        <v>134</v>
      </c>
      <c r="L80" s="34" t="s">
        <v>439</v>
      </c>
    </row>
    <row r="81" spans="1:12" s="1" customFormat="1">
      <c r="A81" s="25"/>
      <c r="B81" s="26" t="s">
        <v>942</v>
      </c>
      <c r="C81" s="26" t="s">
        <v>245</v>
      </c>
      <c r="D81" s="12" t="s">
        <v>943</v>
      </c>
      <c r="E81" s="30" t="s">
        <v>248</v>
      </c>
      <c r="F81" s="19"/>
      <c r="G81" s="19" t="s">
        <v>944</v>
      </c>
      <c r="H81" s="30"/>
      <c r="I81" s="33"/>
      <c r="J81" s="34" t="s">
        <v>431</v>
      </c>
      <c r="K81" s="34" t="s">
        <v>134</v>
      </c>
      <c r="L81" s="34" t="s">
        <v>439</v>
      </c>
    </row>
    <row r="82" spans="1:12" s="1" customFormat="1">
      <c r="A82" s="25"/>
      <c r="B82" s="26" t="s">
        <v>945</v>
      </c>
      <c r="C82" s="26" t="s">
        <v>136</v>
      </c>
      <c r="D82" s="12" t="s">
        <v>946</v>
      </c>
      <c r="E82" s="30" t="s">
        <v>243</v>
      </c>
      <c r="F82" s="19"/>
      <c r="G82" s="19" t="s">
        <v>947</v>
      </c>
      <c r="H82" s="30"/>
      <c r="I82" s="33"/>
      <c r="J82" s="34" t="s">
        <v>431</v>
      </c>
      <c r="K82" s="34" t="s">
        <v>134</v>
      </c>
      <c r="L82" s="34" t="s">
        <v>439</v>
      </c>
    </row>
    <row r="83" spans="1:12" s="1" customFormat="1">
      <c r="A83" s="25"/>
      <c r="B83" s="26" t="s">
        <v>948</v>
      </c>
      <c r="C83" s="26" t="s">
        <v>136</v>
      </c>
      <c r="D83" s="12" t="s">
        <v>949</v>
      </c>
      <c r="E83" s="30" t="s">
        <v>243</v>
      </c>
      <c r="F83" s="19"/>
      <c r="G83" s="19" t="s">
        <v>950</v>
      </c>
      <c r="H83" s="30"/>
      <c r="I83" s="33"/>
      <c r="J83" s="34" t="s">
        <v>431</v>
      </c>
      <c r="K83" s="34" t="s">
        <v>134</v>
      </c>
      <c r="L83" s="34" t="s">
        <v>439</v>
      </c>
    </row>
    <row r="84" spans="1:12" s="1" customFormat="1" ht="39.6">
      <c r="A84" s="25"/>
      <c r="B84" s="26" t="s">
        <v>951</v>
      </c>
      <c r="C84" s="26" t="s">
        <v>136</v>
      </c>
      <c r="D84" s="12" t="s">
        <v>952</v>
      </c>
      <c r="E84" s="30" t="s">
        <v>243</v>
      </c>
      <c r="F84" s="19"/>
      <c r="G84" s="19" t="s">
        <v>953</v>
      </c>
      <c r="H84" s="30"/>
      <c r="I84" s="33"/>
      <c r="J84" s="34" t="s">
        <v>431</v>
      </c>
      <c r="K84" s="34" t="s">
        <v>134</v>
      </c>
      <c r="L84" s="34" t="s">
        <v>439</v>
      </c>
    </row>
    <row r="85" spans="1:12" s="1" customFormat="1">
      <c r="A85" s="25"/>
      <c r="B85" s="26" t="s">
        <v>954</v>
      </c>
      <c r="C85" s="26" t="s">
        <v>136</v>
      </c>
      <c r="D85" s="12" t="s">
        <v>593</v>
      </c>
      <c r="E85" s="30" t="s">
        <v>243</v>
      </c>
      <c r="F85" s="19"/>
      <c r="G85" s="19" t="s">
        <v>955</v>
      </c>
      <c r="H85" s="30"/>
      <c r="I85" s="33"/>
      <c r="J85" s="34" t="s">
        <v>431</v>
      </c>
      <c r="K85" s="34" t="s">
        <v>134</v>
      </c>
      <c r="L85" s="34" t="s">
        <v>439</v>
      </c>
    </row>
    <row r="86" spans="1:12" s="1" customFormat="1">
      <c r="A86" s="25"/>
      <c r="B86" s="26" t="s">
        <v>956</v>
      </c>
      <c r="C86" s="26" t="s">
        <v>136</v>
      </c>
      <c r="D86" s="12" t="s">
        <v>595</v>
      </c>
      <c r="E86" s="30" t="s">
        <v>243</v>
      </c>
      <c r="F86" s="19"/>
      <c r="G86" s="19" t="s">
        <v>957</v>
      </c>
      <c r="H86" s="30"/>
      <c r="I86" s="33"/>
      <c r="J86" s="34" t="s">
        <v>431</v>
      </c>
      <c r="K86" s="34" t="s">
        <v>134</v>
      </c>
      <c r="L86" s="34" t="s">
        <v>439</v>
      </c>
    </row>
    <row r="87" spans="1:12" s="1" customFormat="1">
      <c r="A87" s="25"/>
      <c r="B87" s="26" t="s">
        <v>958</v>
      </c>
      <c r="C87" s="26" t="s">
        <v>136</v>
      </c>
      <c r="D87" s="12" t="s">
        <v>1983</v>
      </c>
      <c r="E87" s="30" t="s">
        <v>243</v>
      </c>
      <c r="F87" s="19"/>
      <c r="G87" s="19" t="s">
        <v>959</v>
      </c>
      <c r="H87" s="30"/>
      <c r="I87" s="33"/>
      <c r="J87" s="34" t="s">
        <v>431</v>
      </c>
      <c r="K87" s="34" t="s">
        <v>134</v>
      </c>
      <c r="L87" s="34" t="s">
        <v>439</v>
      </c>
    </row>
    <row r="88" spans="1:12" s="1" customFormat="1">
      <c r="A88" s="25"/>
      <c r="B88" s="26" t="s">
        <v>960</v>
      </c>
      <c r="C88" s="26" t="s">
        <v>136</v>
      </c>
      <c r="D88" s="12" t="s">
        <v>1984</v>
      </c>
      <c r="E88" s="30" t="s">
        <v>243</v>
      </c>
      <c r="F88" s="19"/>
      <c r="G88" s="19" t="s">
        <v>961</v>
      </c>
      <c r="H88" s="30"/>
      <c r="I88" s="33"/>
      <c r="J88" s="34" t="s">
        <v>431</v>
      </c>
      <c r="K88" s="34" t="s">
        <v>134</v>
      </c>
      <c r="L88" s="34" t="s">
        <v>439</v>
      </c>
    </row>
    <row r="89" spans="1:12" s="1" customFormat="1">
      <c r="A89" s="25"/>
      <c r="B89" s="26" t="s">
        <v>962</v>
      </c>
      <c r="C89" s="26" t="s">
        <v>136</v>
      </c>
      <c r="D89" s="12" t="s">
        <v>1985</v>
      </c>
      <c r="E89" s="30" t="s">
        <v>243</v>
      </c>
      <c r="F89" s="19"/>
      <c r="G89" s="19" t="s">
        <v>963</v>
      </c>
      <c r="H89" s="30"/>
      <c r="I89" s="33"/>
      <c r="J89" s="34" t="s">
        <v>431</v>
      </c>
      <c r="K89" s="34" t="s">
        <v>134</v>
      </c>
      <c r="L89" s="34" t="s">
        <v>439</v>
      </c>
    </row>
    <row r="90" spans="1:12" s="1" customFormat="1">
      <c r="A90" s="25"/>
      <c r="B90" s="26" t="s">
        <v>964</v>
      </c>
      <c r="C90" s="26" t="s">
        <v>136</v>
      </c>
      <c r="D90" s="12" t="s">
        <v>1986</v>
      </c>
      <c r="E90" s="30" t="s">
        <v>243</v>
      </c>
      <c r="F90" s="19"/>
      <c r="G90" s="19" t="s">
        <v>965</v>
      </c>
      <c r="H90" s="30"/>
      <c r="I90" s="33"/>
      <c r="J90" s="34" t="s">
        <v>431</v>
      </c>
      <c r="K90" s="34" t="s">
        <v>134</v>
      </c>
      <c r="L90" s="34" t="s">
        <v>439</v>
      </c>
    </row>
    <row r="91" spans="1:12" s="1" customFormat="1">
      <c r="A91" s="25"/>
      <c r="B91" s="26" t="s">
        <v>966</v>
      </c>
      <c r="C91" s="26" t="s">
        <v>136</v>
      </c>
      <c r="D91" s="12" t="s">
        <v>967</v>
      </c>
      <c r="E91" s="30"/>
      <c r="F91" s="19"/>
      <c r="G91" s="19" t="s">
        <v>968</v>
      </c>
      <c r="H91" s="30"/>
      <c r="I91" s="33"/>
      <c r="J91" s="34" t="s">
        <v>431</v>
      </c>
      <c r="K91" s="34" t="s">
        <v>134</v>
      </c>
      <c r="L91" s="34" t="s">
        <v>439</v>
      </c>
    </row>
    <row r="92" spans="1:12" s="1" customFormat="1">
      <c r="A92" s="25"/>
      <c r="B92" s="26" t="s">
        <v>969</v>
      </c>
      <c r="C92" s="26" t="s">
        <v>136</v>
      </c>
      <c r="D92" s="12" t="s">
        <v>970</v>
      </c>
      <c r="E92" s="30"/>
      <c r="F92" s="19"/>
      <c r="G92" s="19" t="s">
        <v>968</v>
      </c>
      <c r="H92" s="30"/>
      <c r="I92" s="33"/>
      <c r="J92" s="34" t="s">
        <v>431</v>
      </c>
      <c r="K92" s="34" t="s">
        <v>134</v>
      </c>
      <c r="L92" s="34" t="s">
        <v>439</v>
      </c>
    </row>
    <row r="93" spans="1:12" s="1" customFormat="1">
      <c r="A93" s="25"/>
      <c r="B93" s="26" t="s">
        <v>971</v>
      </c>
      <c r="C93" s="26" t="s">
        <v>136</v>
      </c>
      <c r="D93" s="12" t="s">
        <v>972</v>
      </c>
      <c r="E93" s="30"/>
      <c r="F93" s="19"/>
      <c r="G93" s="19" t="s">
        <v>968</v>
      </c>
      <c r="H93" s="30"/>
      <c r="I93" s="33"/>
      <c r="J93" s="34" t="s">
        <v>431</v>
      </c>
      <c r="K93" s="34" t="s">
        <v>134</v>
      </c>
      <c r="L93" s="34" t="s">
        <v>439</v>
      </c>
    </row>
    <row r="94" spans="1:12" s="1" customFormat="1">
      <c r="A94" s="25"/>
      <c r="B94" s="26" t="s">
        <v>973</v>
      </c>
      <c r="C94" s="26" t="s">
        <v>136</v>
      </c>
      <c r="D94" s="12" t="s">
        <v>974</v>
      </c>
      <c r="E94" s="30"/>
      <c r="F94" s="19"/>
      <c r="G94" s="19" t="s">
        <v>968</v>
      </c>
      <c r="H94" s="30"/>
      <c r="I94" s="33"/>
      <c r="J94" s="34" t="s">
        <v>431</v>
      </c>
      <c r="K94" s="34" t="s">
        <v>134</v>
      </c>
      <c r="L94" s="34" t="s">
        <v>439</v>
      </c>
    </row>
    <row r="95" spans="1:12" s="1" customFormat="1">
      <c r="A95" s="25"/>
      <c r="B95" s="26" t="s">
        <v>975</v>
      </c>
      <c r="C95" s="26" t="s">
        <v>136</v>
      </c>
      <c r="D95" s="12" t="s">
        <v>976</v>
      </c>
      <c r="E95" s="30"/>
      <c r="F95" s="19"/>
      <c r="G95" s="19" t="s">
        <v>968</v>
      </c>
      <c r="H95" s="30"/>
      <c r="I95" s="33"/>
      <c r="J95" s="34" t="s">
        <v>431</v>
      </c>
      <c r="K95" s="34" t="s">
        <v>134</v>
      </c>
      <c r="L95" s="34" t="s">
        <v>439</v>
      </c>
    </row>
    <row r="96" spans="1:12" s="1" customFormat="1">
      <c r="A96" s="25"/>
      <c r="B96" s="26" t="s">
        <v>977</v>
      </c>
      <c r="C96" s="26" t="s">
        <v>136</v>
      </c>
      <c r="D96" s="12" t="s">
        <v>978</v>
      </c>
      <c r="E96" s="30"/>
      <c r="F96" s="19"/>
      <c r="G96" s="19" t="s">
        <v>968</v>
      </c>
      <c r="H96" s="30"/>
      <c r="I96" s="33"/>
      <c r="J96" s="34" t="s">
        <v>431</v>
      </c>
      <c r="K96" s="34" t="s">
        <v>134</v>
      </c>
      <c r="L96" s="34" t="s">
        <v>439</v>
      </c>
    </row>
    <row r="97" spans="1:12" s="1" customFormat="1">
      <c r="A97" s="25"/>
      <c r="B97" s="26" t="s">
        <v>979</v>
      </c>
      <c r="C97" s="26" t="s">
        <v>136</v>
      </c>
      <c r="D97" s="12" t="s">
        <v>980</v>
      </c>
      <c r="E97" s="30"/>
      <c r="F97" s="19"/>
      <c r="G97" s="19" t="s">
        <v>968</v>
      </c>
      <c r="H97" s="30"/>
      <c r="I97" s="33"/>
      <c r="J97" s="34" t="s">
        <v>431</v>
      </c>
      <c r="K97" s="34" t="s">
        <v>134</v>
      </c>
      <c r="L97" s="34" t="s">
        <v>439</v>
      </c>
    </row>
    <row r="98" spans="1:12" s="1" customFormat="1">
      <c r="A98" s="25"/>
      <c r="B98" s="26" t="s">
        <v>981</v>
      </c>
      <c r="C98" s="26" t="s">
        <v>136</v>
      </c>
      <c r="D98" s="12" t="s">
        <v>982</v>
      </c>
      <c r="E98" s="30"/>
      <c r="F98" s="19"/>
      <c r="G98" s="19" t="s">
        <v>968</v>
      </c>
      <c r="H98" s="30"/>
      <c r="I98" s="33"/>
      <c r="J98" s="34" t="s">
        <v>431</v>
      </c>
      <c r="K98" s="34" t="s">
        <v>134</v>
      </c>
      <c r="L98" s="34" t="s">
        <v>439</v>
      </c>
    </row>
    <row r="99" spans="1:12" s="1" customFormat="1">
      <c r="A99" s="25"/>
      <c r="B99" s="26" t="s">
        <v>983</v>
      </c>
      <c r="C99" s="26" t="s">
        <v>136</v>
      </c>
      <c r="D99" s="12" t="s">
        <v>612</v>
      </c>
      <c r="E99" s="30" t="s">
        <v>243</v>
      </c>
      <c r="F99" s="19"/>
      <c r="G99" s="19" t="s">
        <v>853</v>
      </c>
      <c r="H99" s="30"/>
      <c r="I99" s="33"/>
      <c r="J99" s="34" t="s">
        <v>431</v>
      </c>
      <c r="K99" s="34" t="s">
        <v>134</v>
      </c>
      <c r="L99" s="34" t="s">
        <v>439</v>
      </c>
    </row>
    <row r="100" spans="1:12" s="1" customFormat="1">
      <c r="A100" s="25"/>
      <c r="B100" s="26" t="s">
        <v>984</v>
      </c>
      <c r="C100" s="26" t="s">
        <v>136</v>
      </c>
      <c r="D100" s="12" t="s">
        <v>855</v>
      </c>
      <c r="E100" s="30" t="s">
        <v>243</v>
      </c>
      <c r="F100" s="19"/>
      <c r="G100" s="19" t="s">
        <v>856</v>
      </c>
      <c r="H100" s="30"/>
      <c r="I100" s="33"/>
      <c r="J100" s="34" t="s">
        <v>431</v>
      </c>
      <c r="K100" s="34" t="s">
        <v>134</v>
      </c>
      <c r="L100" s="34" t="s">
        <v>439</v>
      </c>
    </row>
    <row r="101" spans="1:12" s="1" customFormat="1">
      <c r="A101" s="25"/>
      <c r="B101" s="26" t="s">
        <v>985</v>
      </c>
      <c r="C101" s="26" t="s">
        <v>136</v>
      </c>
      <c r="D101" s="12" t="s">
        <v>858</v>
      </c>
      <c r="E101" s="30" t="s">
        <v>243</v>
      </c>
      <c r="F101" s="19"/>
      <c r="G101" s="19" t="s">
        <v>859</v>
      </c>
      <c r="H101" s="30"/>
      <c r="I101" s="33"/>
      <c r="J101" s="34" t="s">
        <v>431</v>
      </c>
      <c r="K101" s="34" t="s">
        <v>134</v>
      </c>
      <c r="L101" s="34" t="s">
        <v>439</v>
      </c>
    </row>
    <row r="102" spans="1:12" s="1" customFormat="1">
      <c r="A102" s="25"/>
      <c r="B102" s="26" t="s">
        <v>986</v>
      </c>
      <c r="C102" s="26" t="s">
        <v>136</v>
      </c>
      <c r="D102" s="12" t="s">
        <v>861</v>
      </c>
      <c r="E102" s="30" t="s">
        <v>243</v>
      </c>
      <c r="F102" s="19"/>
      <c r="G102" s="19" t="s">
        <v>862</v>
      </c>
      <c r="H102" s="30"/>
      <c r="I102" s="33"/>
      <c r="J102" s="34" t="s">
        <v>431</v>
      </c>
      <c r="K102" s="34" t="s">
        <v>134</v>
      </c>
      <c r="L102" s="34" t="s">
        <v>439</v>
      </c>
    </row>
    <row r="103" spans="1:12" s="1" customFormat="1">
      <c r="A103" s="25"/>
      <c r="B103" s="26" t="s">
        <v>987</v>
      </c>
      <c r="C103" s="26" t="s">
        <v>136</v>
      </c>
      <c r="D103" s="12" t="s">
        <v>864</v>
      </c>
      <c r="E103" s="30" t="s">
        <v>243</v>
      </c>
      <c r="F103" s="19"/>
      <c r="G103" s="19" t="s">
        <v>865</v>
      </c>
      <c r="H103" s="30"/>
      <c r="I103" s="33"/>
      <c r="J103" s="34" t="s">
        <v>431</v>
      </c>
      <c r="K103" s="34" t="s">
        <v>134</v>
      </c>
      <c r="L103" s="34" t="s">
        <v>439</v>
      </c>
    </row>
    <row r="104" spans="1:12" s="1" customFormat="1">
      <c r="A104" s="25"/>
      <c r="B104" s="26" t="s">
        <v>988</v>
      </c>
      <c r="C104" s="26" t="s">
        <v>136</v>
      </c>
      <c r="D104" s="12" t="s">
        <v>867</v>
      </c>
      <c r="E104" s="30" t="s">
        <v>243</v>
      </c>
      <c r="F104" s="19"/>
      <c r="G104" s="19" t="s">
        <v>868</v>
      </c>
      <c r="H104" s="30"/>
      <c r="I104" s="33"/>
      <c r="J104" s="34" t="s">
        <v>431</v>
      </c>
      <c r="K104" s="34" t="s">
        <v>134</v>
      </c>
      <c r="L104" s="34" t="s">
        <v>439</v>
      </c>
    </row>
    <row r="105" spans="1:12" s="1" customFormat="1">
      <c r="A105" s="25"/>
      <c r="B105" s="26" t="s">
        <v>989</v>
      </c>
      <c r="C105" s="26" t="s">
        <v>136</v>
      </c>
      <c r="D105" s="12" t="s">
        <v>870</v>
      </c>
      <c r="E105" s="30" t="s">
        <v>243</v>
      </c>
      <c r="F105" s="19"/>
      <c r="G105" s="19" t="s">
        <v>871</v>
      </c>
      <c r="H105" s="30"/>
      <c r="I105" s="33"/>
      <c r="J105" s="34" t="s">
        <v>431</v>
      </c>
      <c r="K105" s="34" t="s">
        <v>134</v>
      </c>
      <c r="L105" s="34" t="s">
        <v>439</v>
      </c>
    </row>
    <row r="106" spans="1:12" s="1" customFormat="1">
      <c r="A106" s="25"/>
      <c r="B106" s="26" t="s">
        <v>990</v>
      </c>
      <c r="C106" s="26" t="s">
        <v>136</v>
      </c>
      <c r="D106" s="12" t="s">
        <v>873</v>
      </c>
      <c r="E106" s="30" t="s">
        <v>243</v>
      </c>
      <c r="F106" s="19"/>
      <c r="G106" s="19" t="s">
        <v>874</v>
      </c>
      <c r="H106" s="30"/>
      <c r="I106" s="33"/>
      <c r="J106" s="34" t="s">
        <v>431</v>
      </c>
      <c r="K106" s="34" t="s">
        <v>134</v>
      </c>
      <c r="L106" s="34" t="s">
        <v>439</v>
      </c>
    </row>
    <row r="107" spans="1:12" s="1" customFormat="1">
      <c r="A107" s="25"/>
      <c r="B107" s="26" t="s">
        <v>991</v>
      </c>
      <c r="C107" s="26" t="s">
        <v>136</v>
      </c>
      <c r="D107" s="12" t="s">
        <v>992</v>
      </c>
      <c r="E107" s="30" t="s">
        <v>243</v>
      </c>
      <c r="F107" s="19"/>
      <c r="G107" s="19" t="s">
        <v>968</v>
      </c>
      <c r="H107" s="30"/>
      <c r="I107" s="33"/>
      <c r="J107" s="34" t="s">
        <v>431</v>
      </c>
      <c r="K107" s="34" t="s">
        <v>134</v>
      </c>
      <c r="L107" s="34" t="s">
        <v>439</v>
      </c>
    </row>
    <row r="108" spans="1:12" s="1" customFormat="1">
      <c r="A108" s="25"/>
      <c r="B108" s="26" t="s">
        <v>993</v>
      </c>
      <c r="C108" s="26" t="s">
        <v>136</v>
      </c>
      <c r="D108" s="12" t="s">
        <v>994</v>
      </c>
      <c r="E108" s="30" t="s">
        <v>243</v>
      </c>
      <c r="F108" s="19"/>
      <c r="G108" s="19" t="s">
        <v>968</v>
      </c>
      <c r="H108" s="30"/>
      <c r="I108" s="33"/>
      <c r="J108" s="34" t="s">
        <v>431</v>
      </c>
      <c r="K108" s="34" t="s">
        <v>134</v>
      </c>
      <c r="L108" s="34" t="s">
        <v>439</v>
      </c>
    </row>
    <row r="109" spans="1:12" s="1" customFormat="1">
      <c r="A109" s="25"/>
      <c r="B109" s="26" t="s">
        <v>995</v>
      </c>
      <c r="C109" s="26" t="s">
        <v>136</v>
      </c>
      <c r="D109" s="12" t="s">
        <v>996</v>
      </c>
      <c r="E109" s="30" t="s">
        <v>243</v>
      </c>
      <c r="F109" s="19"/>
      <c r="G109" s="19" t="s">
        <v>968</v>
      </c>
      <c r="H109" s="30"/>
      <c r="I109" s="33"/>
      <c r="J109" s="34" t="s">
        <v>431</v>
      </c>
      <c r="K109" s="34" t="s">
        <v>134</v>
      </c>
      <c r="L109" s="34" t="s">
        <v>439</v>
      </c>
    </row>
    <row r="110" spans="1:12" s="1" customFormat="1">
      <c r="A110" s="25"/>
      <c r="B110" s="26" t="s">
        <v>997</v>
      </c>
      <c r="C110" s="26" t="s">
        <v>136</v>
      </c>
      <c r="D110" s="12" t="s">
        <v>998</v>
      </c>
      <c r="E110" s="30" t="s">
        <v>243</v>
      </c>
      <c r="F110" s="19"/>
      <c r="G110" s="19" t="s">
        <v>968</v>
      </c>
      <c r="H110" s="30"/>
      <c r="I110" s="33"/>
      <c r="J110" s="34" t="s">
        <v>431</v>
      </c>
      <c r="K110" s="34" t="s">
        <v>134</v>
      </c>
      <c r="L110" s="34" t="s">
        <v>439</v>
      </c>
    </row>
    <row r="111" spans="1:12" s="1" customFormat="1">
      <c r="A111" s="25"/>
      <c r="B111" s="26" t="s">
        <v>999</v>
      </c>
      <c r="C111" s="26" t="s">
        <v>136</v>
      </c>
      <c r="D111" s="12" t="s">
        <v>1000</v>
      </c>
      <c r="E111" s="30" t="s">
        <v>243</v>
      </c>
      <c r="F111" s="19"/>
      <c r="G111" s="19" t="s">
        <v>968</v>
      </c>
      <c r="H111" s="30"/>
      <c r="I111" s="33"/>
      <c r="J111" s="34" t="s">
        <v>431</v>
      </c>
      <c r="K111" s="34" t="s">
        <v>134</v>
      </c>
      <c r="L111" s="34" t="s">
        <v>439</v>
      </c>
    </row>
    <row r="112" spans="1:12" s="1" customFormat="1">
      <c r="A112" s="25"/>
      <c r="B112" s="26" t="s">
        <v>1001</v>
      </c>
      <c r="C112" s="26" t="s">
        <v>136</v>
      </c>
      <c r="D112" s="12" t="s">
        <v>1002</v>
      </c>
      <c r="E112" s="30" t="s">
        <v>243</v>
      </c>
      <c r="F112" s="19"/>
      <c r="G112" s="19" t="s">
        <v>968</v>
      </c>
      <c r="H112" s="30"/>
      <c r="I112" s="33"/>
      <c r="J112" s="34" t="s">
        <v>431</v>
      </c>
      <c r="K112" s="34" t="s">
        <v>134</v>
      </c>
      <c r="L112" s="34" t="s">
        <v>439</v>
      </c>
    </row>
    <row r="113" spans="1:12" s="1" customFormat="1">
      <c r="A113" s="25"/>
      <c r="B113" s="26" t="s">
        <v>1003</v>
      </c>
      <c r="C113" s="26" t="s">
        <v>136</v>
      </c>
      <c r="D113" s="12" t="s">
        <v>1004</v>
      </c>
      <c r="E113" s="30" t="s">
        <v>243</v>
      </c>
      <c r="F113" s="19"/>
      <c r="G113" s="19" t="s">
        <v>968</v>
      </c>
      <c r="H113" s="30"/>
      <c r="I113" s="33"/>
      <c r="J113" s="34" t="s">
        <v>431</v>
      </c>
      <c r="K113" s="34" t="s">
        <v>134</v>
      </c>
      <c r="L113" s="34" t="s">
        <v>439</v>
      </c>
    </row>
    <row r="114" spans="1:12" s="1" customFormat="1">
      <c r="A114" s="25"/>
      <c r="B114" s="26" t="s">
        <v>1005</v>
      </c>
      <c r="C114" s="26" t="s">
        <v>136</v>
      </c>
      <c r="D114" s="12" t="s">
        <v>1006</v>
      </c>
      <c r="E114" s="30" t="s">
        <v>243</v>
      </c>
      <c r="F114" s="19"/>
      <c r="G114" s="19" t="s">
        <v>968</v>
      </c>
      <c r="H114" s="30"/>
      <c r="I114" s="33"/>
      <c r="J114" s="34" t="s">
        <v>431</v>
      </c>
      <c r="K114" s="34" t="s">
        <v>134</v>
      </c>
      <c r="L114" s="34" t="s">
        <v>439</v>
      </c>
    </row>
    <row r="115" spans="1:12" s="1" customFormat="1">
      <c r="A115" s="25"/>
      <c r="B115" s="26" t="s">
        <v>1007</v>
      </c>
      <c r="C115" s="26" t="s">
        <v>136</v>
      </c>
      <c r="D115" s="12" t="s">
        <v>1008</v>
      </c>
      <c r="E115" s="30" t="s">
        <v>243</v>
      </c>
      <c r="F115" s="19"/>
      <c r="G115" s="19" t="s">
        <v>968</v>
      </c>
      <c r="H115" s="30"/>
      <c r="I115" s="33"/>
      <c r="J115" s="34" t="s">
        <v>431</v>
      </c>
      <c r="K115" s="34" t="s">
        <v>134</v>
      </c>
      <c r="L115" s="34" t="s">
        <v>439</v>
      </c>
    </row>
    <row r="116" spans="1:12" s="1" customFormat="1">
      <c r="A116" s="25"/>
      <c r="B116" s="26" t="s">
        <v>1009</v>
      </c>
      <c r="C116" s="26" t="s">
        <v>136</v>
      </c>
      <c r="D116" s="12" t="s">
        <v>1010</v>
      </c>
      <c r="E116" s="30" t="s">
        <v>243</v>
      </c>
      <c r="F116" s="19"/>
      <c r="G116" s="19" t="s">
        <v>968</v>
      </c>
      <c r="H116" s="30"/>
      <c r="I116" s="33"/>
      <c r="J116" s="34" t="s">
        <v>431</v>
      </c>
      <c r="K116" s="34" t="s">
        <v>134</v>
      </c>
      <c r="L116" s="34" t="s">
        <v>439</v>
      </c>
    </row>
    <row r="117" spans="1:12" s="1" customFormat="1">
      <c r="A117" s="25"/>
      <c r="B117" s="26" t="s">
        <v>1011</v>
      </c>
      <c r="C117" s="26" t="s">
        <v>136</v>
      </c>
      <c r="D117" s="12" t="s">
        <v>1012</v>
      </c>
      <c r="E117" s="30" t="s">
        <v>243</v>
      </c>
      <c r="F117" s="19"/>
      <c r="G117" s="19" t="s">
        <v>968</v>
      </c>
      <c r="H117" s="30"/>
      <c r="I117" s="33"/>
      <c r="J117" s="34" t="s">
        <v>431</v>
      </c>
      <c r="K117" s="34" t="s">
        <v>134</v>
      </c>
      <c r="L117" s="34" t="s">
        <v>439</v>
      </c>
    </row>
    <row r="118" spans="1:12" s="1" customFormat="1">
      <c r="A118" s="25"/>
      <c r="B118" s="26" t="s">
        <v>1013</v>
      </c>
      <c r="C118" s="26" t="s">
        <v>136</v>
      </c>
      <c r="D118" s="12" t="s">
        <v>1014</v>
      </c>
      <c r="E118" s="30" t="s">
        <v>243</v>
      </c>
      <c r="F118" s="19"/>
      <c r="G118" s="19" t="s">
        <v>968</v>
      </c>
      <c r="H118" s="30"/>
      <c r="I118" s="33"/>
      <c r="J118" s="34" t="s">
        <v>431</v>
      </c>
      <c r="K118" s="34" t="s">
        <v>134</v>
      </c>
      <c r="L118" s="34" t="s">
        <v>439</v>
      </c>
    </row>
    <row r="119" spans="1:12" s="1" customFormat="1">
      <c r="A119" s="25"/>
      <c r="B119" s="26" t="s">
        <v>1015</v>
      </c>
      <c r="C119" s="26" t="s">
        <v>136</v>
      </c>
      <c r="D119" s="12" t="s">
        <v>1016</v>
      </c>
      <c r="E119" s="30" t="s">
        <v>243</v>
      </c>
      <c r="F119" s="19"/>
      <c r="G119" s="19" t="s">
        <v>968</v>
      </c>
      <c r="H119" s="30"/>
      <c r="I119" s="33"/>
      <c r="J119" s="34" t="s">
        <v>431</v>
      </c>
      <c r="K119" s="34" t="s">
        <v>134</v>
      </c>
      <c r="L119" s="34" t="s">
        <v>439</v>
      </c>
    </row>
    <row r="120" spans="1:12" s="1" customFormat="1">
      <c r="A120" s="25"/>
      <c r="B120" s="26" t="s">
        <v>1017</v>
      </c>
      <c r="C120" s="26" t="s">
        <v>136</v>
      </c>
      <c r="D120" s="12" t="s">
        <v>1018</v>
      </c>
      <c r="E120" s="30" t="s">
        <v>243</v>
      </c>
      <c r="F120" s="19"/>
      <c r="G120" s="19" t="s">
        <v>968</v>
      </c>
      <c r="H120" s="30"/>
      <c r="I120" s="33"/>
      <c r="J120" s="34" t="s">
        <v>431</v>
      </c>
      <c r="K120" s="34" t="s">
        <v>134</v>
      </c>
      <c r="L120" s="34" t="s">
        <v>439</v>
      </c>
    </row>
    <row r="121" spans="1:12" s="1" customFormat="1">
      <c r="A121" s="25"/>
      <c r="B121" s="26" t="s">
        <v>1019</v>
      </c>
      <c r="C121" s="26" t="s">
        <v>136</v>
      </c>
      <c r="D121" s="12" t="s">
        <v>1020</v>
      </c>
      <c r="E121" s="30" t="s">
        <v>243</v>
      </c>
      <c r="F121" s="19"/>
      <c r="G121" s="19" t="s">
        <v>968</v>
      </c>
      <c r="H121" s="30"/>
      <c r="I121" s="33"/>
      <c r="J121" s="34" t="s">
        <v>431</v>
      </c>
      <c r="K121" s="34" t="s">
        <v>134</v>
      </c>
      <c r="L121" s="34" t="s">
        <v>439</v>
      </c>
    </row>
    <row r="122" spans="1:12" s="1" customFormat="1">
      <c r="A122" s="25"/>
      <c r="B122" s="26" t="s">
        <v>1021</v>
      </c>
      <c r="C122" s="26" t="s">
        <v>136</v>
      </c>
      <c r="D122" s="12" t="s">
        <v>1022</v>
      </c>
      <c r="E122" s="30" t="s">
        <v>243</v>
      </c>
      <c r="F122" s="19"/>
      <c r="G122" s="19" t="s">
        <v>968</v>
      </c>
      <c r="H122" s="30"/>
      <c r="I122" s="33"/>
      <c r="J122" s="34" t="s">
        <v>431</v>
      </c>
      <c r="K122" s="34" t="s">
        <v>134</v>
      </c>
      <c r="L122" s="34" t="s">
        <v>439</v>
      </c>
    </row>
    <row r="123" spans="1:12" s="1" customFormat="1">
      <c r="A123" s="25"/>
      <c r="B123" s="26" t="s">
        <v>1023</v>
      </c>
      <c r="C123" s="26" t="s">
        <v>136</v>
      </c>
      <c r="D123" s="12" t="s">
        <v>1024</v>
      </c>
      <c r="E123" s="30" t="s">
        <v>243</v>
      </c>
      <c r="F123" s="19"/>
      <c r="G123" s="19" t="s">
        <v>1025</v>
      </c>
      <c r="H123" s="30"/>
      <c r="I123" s="33"/>
      <c r="J123" s="34" t="s">
        <v>431</v>
      </c>
      <c r="K123" s="34" t="s">
        <v>134</v>
      </c>
      <c r="L123" s="34" t="s">
        <v>439</v>
      </c>
    </row>
    <row r="124" spans="1:12" s="1" customFormat="1">
      <c r="A124" s="25"/>
      <c r="B124" s="26" t="s">
        <v>1026</v>
      </c>
      <c r="C124" s="26" t="s">
        <v>136</v>
      </c>
      <c r="D124" s="12" t="s">
        <v>1027</v>
      </c>
      <c r="E124" s="30" t="s">
        <v>243</v>
      </c>
      <c r="F124" s="19"/>
      <c r="G124" s="19" t="s">
        <v>1028</v>
      </c>
      <c r="H124" s="30"/>
      <c r="I124" s="33"/>
      <c r="J124" s="34" t="s">
        <v>431</v>
      </c>
      <c r="K124" s="34" t="s">
        <v>134</v>
      </c>
      <c r="L124" s="34" t="s">
        <v>439</v>
      </c>
    </row>
    <row r="125" spans="1:12" s="1" customFormat="1">
      <c r="A125" s="25"/>
      <c r="B125" s="26" t="s">
        <v>1029</v>
      </c>
      <c r="C125" s="26" t="s">
        <v>136</v>
      </c>
      <c r="D125" s="12" t="s">
        <v>1030</v>
      </c>
      <c r="E125" s="30" t="s">
        <v>243</v>
      </c>
      <c r="F125" s="19"/>
      <c r="G125" s="19" t="s">
        <v>1031</v>
      </c>
      <c r="H125" s="30"/>
      <c r="I125" s="33"/>
      <c r="J125" s="34" t="s">
        <v>431</v>
      </c>
      <c r="K125" s="34" t="s">
        <v>134</v>
      </c>
      <c r="L125" s="34" t="s">
        <v>439</v>
      </c>
    </row>
    <row r="126" spans="1:12" s="1" customFormat="1">
      <c r="A126" s="25"/>
      <c r="B126" s="26" t="s">
        <v>1032</v>
      </c>
      <c r="C126" s="26" t="s">
        <v>136</v>
      </c>
      <c r="D126" s="12" t="s">
        <v>1033</v>
      </c>
      <c r="E126" s="30" t="s">
        <v>243</v>
      </c>
      <c r="F126" s="19"/>
      <c r="G126" s="19" t="s">
        <v>1034</v>
      </c>
      <c r="H126" s="30"/>
      <c r="I126" s="33"/>
      <c r="J126" s="34" t="s">
        <v>431</v>
      </c>
      <c r="K126" s="34" t="s">
        <v>134</v>
      </c>
      <c r="L126" s="34" t="s">
        <v>439</v>
      </c>
    </row>
    <row r="127" spans="1:12" s="1" customFormat="1">
      <c r="A127" s="25"/>
      <c r="B127" s="26" t="s">
        <v>1035</v>
      </c>
      <c r="C127" s="26" t="s">
        <v>136</v>
      </c>
      <c r="D127" s="12" t="s">
        <v>1036</v>
      </c>
      <c r="E127" s="30" t="s">
        <v>243</v>
      </c>
      <c r="F127" s="19"/>
      <c r="G127" s="19" t="s">
        <v>1037</v>
      </c>
      <c r="H127" s="30"/>
      <c r="I127" s="33"/>
      <c r="J127" s="34" t="s">
        <v>431</v>
      </c>
      <c r="K127" s="34" t="s">
        <v>134</v>
      </c>
      <c r="L127" s="34" t="s">
        <v>439</v>
      </c>
    </row>
    <row r="128" spans="1:12" s="1" customFormat="1">
      <c r="A128" s="25"/>
      <c r="B128" s="26" t="s">
        <v>1038</v>
      </c>
      <c r="C128" s="26" t="s">
        <v>136</v>
      </c>
      <c r="D128" s="12" t="s">
        <v>1039</v>
      </c>
      <c r="E128" s="30" t="s">
        <v>243</v>
      </c>
      <c r="F128" s="19"/>
      <c r="G128" s="19" t="s">
        <v>1040</v>
      </c>
      <c r="H128" s="30"/>
      <c r="I128" s="33"/>
      <c r="J128" s="34" t="s">
        <v>431</v>
      </c>
      <c r="K128" s="34" t="s">
        <v>134</v>
      </c>
      <c r="L128" s="34" t="s">
        <v>439</v>
      </c>
    </row>
    <row r="129" spans="1:12" s="1" customFormat="1">
      <c r="A129" s="25"/>
      <c r="B129" s="26" t="s">
        <v>1041</v>
      </c>
      <c r="C129" s="26" t="s">
        <v>136</v>
      </c>
      <c r="D129" s="12" t="s">
        <v>1042</v>
      </c>
      <c r="E129" s="30" t="s">
        <v>243</v>
      </c>
      <c r="F129" s="19"/>
      <c r="G129" s="19" t="s">
        <v>1043</v>
      </c>
      <c r="H129" s="30"/>
      <c r="I129" s="33"/>
      <c r="J129" s="34" t="s">
        <v>431</v>
      </c>
      <c r="K129" s="34" t="s">
        <v>134</v>
      </c>
      <c r="L129" s="34" t="s">
        <v>439</v>
      </c>
    </row>
    <row r="130" spans="1:12" s="1" customFormat="1">
      <c r="A130" s="25"/>
      <c r="B130" s="26" t="s">
        <v>1044</v>
      </c>
      <c r="C130" s="26" t="s">
        <v>136</v>
      </c>
      <c r="D130" s="12" t="s">
        <v>1045</v>
      </c>
      <c r="E130" s="30" t="s">
        <v>243</v>
      </c>
      <c r="F130" s="19"/>
      <c r="G130" s="19" t="s">
        <v>1046</v>
      </c>
      <c r="H130" s="30"/>
      <c r="I130" s="33"/>
      <c r="J130" s="34" t="s">
        <v>431</v>
      </c>
      <c r="K130" s="34" t="s">
        <v>134</v>
      </c>
      <c r="L130" s="34" t="s">
        <v>439</v>
      </c>
    </row>
    <row r="131" spans="1:12" s="1" customFormat="1">
      <c r="A131" s="25"/>
      <c r="B131" s="26" t="s">
        <v>1047</v>
      </c>
      <c r="C131" s="26" t="s">
        <v>139</v>
      </c>
      <c r="D131" s="12" t="s">
        <v>151</v>
      </c>
      <c r="E131" s="30" t="s">
        <v>243</v>
      </c>
      <c r="F131" s="19"/>
      <c r="G131" s="19" t="s">
        <v>880</v>
      </c>
      <c r="H131" s="30"/>
      <c r="I131" s="33"/>
      <c r="J131" s="34" t="s">
        <v>384</v>
      </c>
      <c r="K131" s="34" t="s">
        <v>134</v>
      </c>
      <c r="L131" s="34" t="s">
        <v>134</v>
      </c>
    </row>
    <row r="132" spans="1:12" s="1" customFormat="1">
      <c r="A132" s="25"/>
      <c r="B132" s="26" t="s">
        <v>141</v>
      </c>
      <c r="C132" s="26" t="s">
        <v>132</v>
      </c>
      <c r="D132" s="12" t="s">
        <v>1048</v>
      </c>
      <c r="E132" s="30" t="s">
        <v>243</v>
      </c>
      <c r="F132" s="19" t="str">
        <f>VLOOKUP(B132,'9'!B:B,1,0)</f>
        <v>plmn</v>
      </c>
      <c r="G132" s="19" t="s">
        <v>250</v>
      </c>
      <c r="H132" s="30"/>
      <c r="I132" s="33"/>
      <c r="J132" s="34" t="s">
        <v>384</v>
      </c>
      <c r="K132" s="34" t="s">
        <v>134</v>
      </c>
      <c r="L132" s="34" t="s">
        <v>134</v>
      </c>
    </row>
    <row r="133" spans="1:12" s="1" customFormat="1">
      <c r="A133" s="25"/>
      <c r="B133" s="26" t="s">
        <v>254</v>
      </c>
      <c r="C133" s="26" t="s">
        <v>132</v>
      </c>
      <c r="D133" s="12" t="s">
        <v>1049</v>
      </c>
      <c r="E133" s="30" t="s">
        <v>243</v>
      </c>
      <c r="F133" s="19" t="str">
        <f>VLOOKUP(B133,'9'!B:B,1,0)</f>
        <v>imei</v>
      </c>
      <c r="G133" s="19" t="s">
        <v>250</v>
      </c>
      <c r="H133" s="30"/>
      <c r="I133" s="33"/>
      <c r="J133" s="34" t="s">
        <v>384</v>
      </c>
      <c r="K133" s="34" t="s">
        <v>134</v>
      </c>
      <c r="L133" s="34" t="s">
        <v>134</v>
      </c>
    </row>
    <row r="134" spans="1:12" s="1" customFormat="1">
      <c r="A134" s="25"/>
      <c r="B134" s="26" t="s">
        <v>257</v>
      </c>
      <c r="C134" s="26" t="s">
        <v>132</v>
      </c>
      <c r="D134" s="12" t="s">
        <v>258</v>
      </c>
      <c r="E134" s="30" t="s">
        <v>243</v>
      </c>
      <c r="F134" s="19" t="str">
        <f>VLOOKUP(B134,'9'!B:B,1,0)</f>
        <v>msisdn</v>
      </c>
      <c r="G134" s="19" t="s">
        <v>250</v>
      </c>
      <c r="H134" s="30"/>
      <c r="I134" s="33"/>
      <c r="J134" s="34" t="s">
        <v>384</v>
      </c>
      <c r="K134" s="34" t="s">
        <v>134</v>
      </c>
      <c r="L134" s="34" t="s">
        <v>134</v>
      </c>
    </row>
    <row r="135" spans="1:12" s="1" customFormat="1">
      <c r="A135" s="25"/>
      <c r="B135" s="26" t="s">
        <v>259</v>
      </c>
      <c r="C135" s="26" t="s">
        <v>132</v>
      </c>
      <c r="D135" s="12" t="s">
        <v>1050</v>
      </c>
      <c r="E135" s="30" t="s">
        <v>243</v>
      </c>
      <c r="F135" s="19" t="str">
        <f>VLOOKUP(B135,'9'!B:B,1,0)</f>
        <v>s_nssai_sst</v>
      </c>
      <c r="G135" s="19" t="s">
        <v>880</v>
      </c>
      <c r="H135" s="30"/>
      <c r="I135" s="33"/>
      <c r="J135" s="34" t="s">
        <v>384</v>
      </c>
      <c r="K135" s="34" t="s">
        <v>134</v>
      </c>
      <c r="L135" s="34" t="s">
        <v>134</v>
      </c>
    </row>
    <row r="136" spans="1:12" s="1" customFormat="1">
      <c r="A136" s="25"/>
      <c r="B136" s="26" t="s">
        <v>262</v>
      </c>
      <c r="C136" s="26" t="s">
        <v>132</v>
      </c>
      <c r="D136" s="12" t="s">
        <v>1051</v>
      </c>
      <c r="E136" s="30" t="s">
        <v>243</v>
      </c>
      <c r="F136" s="19" t="str">
        <f>VLOOKUP(B136,'9'!B:B,1,0)</f>
        <v>s_nssai_sd</v>
      </c>
      <c r="G136" s="19" t="s">
        <v>880</v>
      </c>
      <c r="H136" s="30"/>
      <c r="I136" s="33"/>
      <c r="J136" s="34" t="s">
        <v>384</v>
      </c>
      <c r="K136" s="34" t="s">
        <v>134</v>
      </c>
      <c r="L136" s="34" t="s">
        <v>134</v>
      </c>
    </row>
    <row r="137" spans="1:12" s="1" customFormat="1">
      <c r="A137" s="25"/>
      <c r="B137" s="26" t="s">
        <v>227</v>
      </c>
      <c r="C137" s="26" t="s">
        <v>139</v>
      </c>
      <c r="D137" s="12" t="s">
        <v>1052</v>
      </c>
      <c r="E137" s="30" t="s">
        <v>243</v>
      </c>
      <c r="F137" s="19" t="str">
        <f>VLOOKUP(B137,'9'!B:B,1,0)</f>
        <v>data_source</v>
      </c>
      <c r="G137" s="19" t="s">
        <v>250</v>
      </c>
      <c r="H137" s="30"/>
      <c r="I137" s="33"/>
      <c r="J137" s="34" t="s">
        <v>384</v>
      </c>
      <c r="K137" s="34" t="s">
        <v>134</v>
      </c>
      <c r="L137" s="34" t="s">
        <v>134</v>
      </c>
    </row>
    <row r="138" spans="1:12" s="1" customFormat="1">
      <c r="A138" s="25"/>
      <c r="B138" s="26" t="s">
        <v>504</v>
      </c>
      <c r="C138" s="26" t="s">
        <v>245</v>
      </c>
      <c r="D138" s="12" t="s">
        <v>505</v>
      </c>
      <c r="E138" s="30" t="s">
        <v>243</v>
      </c>
      <c r="F138" s="19" t="str">
        <f>VLOOKUP(B138,'9'!B:B,1,0)</f>
        <v>left_up_lon</v>
      </c>
      <c r="G138" s="19" t="s">
        <v>250</v>
      </c>
      <c r="H138" s="30"/>
      <c r="I138" s="33"/>
      <c r="J138" s="34" t="s">
        <v>384</v>
      </c>
      <c r="K138" s="34" t="s">
        <v>134</v>
      </c>
      <c r="L138" s="34" t="s">
        <v>134</v>
      </c>
    </row>
    <row r="139" spans="1:12" s="1" customFormat="1">
      <c r="A139" s="25"/>
      <c r="B139" s="26" t="s">
        <v>506</v>
      </c>
      <c r="C139" s="26" t="s">
        <v>245</v>
      </c>
      <c r="D139" s="12" t="s">
        <v>1053</v>
      </c>
      <c r="E139" s="30" t="s">
        <v>243</v>
      </c>
      <c r="F139" s="19" t="str">
        <f>VLOOKUP(B139,'9'!B:B,1,0)</f>
        <v>left_up_lat</v>
      </c>
      <c r="G139" s="19" t="s">
        <v>250</v>
      </c>
      <c r="H139" s="30"/>
      <c r="I139" s="33"/>
      <c r="J139" s="34" t="s">
        <v>384</v>
      </c>
      <c r="K139" s="34" t="s">
        <v>134</v>
      </c>
      <c r="L139" s="34" t="s">
        <v>134</v>
      </c>
    </row>
    <row r="140" spans="1:12" s="1" customFormat="1">
      <c r="A140" s="25"/>
      <c r="B140" s="26" t="s">
        <v>508</v>
      </c>
      <c r="C140" s="26" t="s">
        <v>245</v>
      </c>
      <c r="D140" s="12" t="s">
        <v>509</v>
      </c>
      <c r="E140" s="30" t="s">
        <v>243</v>
      </c>
      <c r="F140" s="19" t="str">
        <f>VLOOKUP(B140,'9'!B:B,1,0)</f>
        <v>right_down_lon</v>
      </c>
      <c r="G140" s="19" t="s">
        <v>250</v>
      </c>
      <c r="H140" s="30"/>
      <c r="I140" s="33"/>
      <c r="J140" s="34" t="s">
        <v>384</v>
      </c>
      <c r="K140" s="34" t="s">
        <v>134</v>
      </c>
      <c r="L140" s="34" t="s">
        <v>134</v>
      </c>
    </row>
    <row r="141" spans="1:12" s="1" customFormat="1">
      <c r="A141" s="25"/>
      <c r="B141" s="26" t="s">
        <v>510</v>
      </c>
      <c r="C141" s="26" t="s">
        <v>245</v>
      </c>
      <c r="D141" s="12" t="s">
        <v>1054</v>
      </c>
      <c r="E141" s="30" t="s">
        <v>243</v>
      </c>
      <c r="F141" s="19" t="str">
        <f>VLOOKUP(B141,'9'!B:B,1,0)</f>
        <v>right_down_lat</v>
      </c>
      <c r="G141" s="19" t="s">
        <v>250</v>
      </c>
      <c r="H141" s="30"/>
      <c r="I141" s="33"/>
      <c r="J141" s="34" t="s">
        <v>384</v>
      </c>
      <c r="K141" s="34" t="s">
        <v>134</v>
      </c>
      <c r="L141" s="34" t="s">
        <v>134</v>
      </c>
    </row>
    <row r="142" spans="1:12" s="1" customFormat="1">
      <c r="A142" s="25"/>
      <c r="B142" s="26" t="s">
        <v>499</v>
      </c>
      <c r="C142" s="26" t="s">
        <v>245</v>
      </c>
      <c r="D142" s="12" t="s">
        <v>1055</v>
      </c>
      <c r="E142" s="30" t="s">
        <v>243</v>
      </c>
      <c r="F142" s="19" t="str">
        <f>VLOOKUP(B142,'9'!B:B,1,0)</f>
        <v>center_lon</v>
      </c>
      <c r="G142" s="19" t="s">
        <v>250</v>
      </c>
      <c r="H142" s="30"/>
      <c r="I142" s="33"/>
      <c r="J142" s="34" t="s">
        <v>384</v>
      </c>
      <c r="K142" s="34" t="s">
        <v>134</v>
      </c>
      <c r="L142" s="34" t="s">
        <v>134</v>
      </c>
    </row>
    <row r="143" spans="1:12" s="1" customFormat="1">
      <c r="A143" s="25"/>
      <c r="B143" s="26" t="s">
        <v>502</v>
      </c>
      <c r="C143" s="26" t="s">
        <v>245</v>
      </c>
      <c r="D143" s="12" t="s">
        <v>1056</v>
      </c>
      <c r="E143" s="30" t="s">
        <v>243</v>
      </c>
      <c r="F143" s="19" t="str">
        <f>VLOOKUP(B143,'9'!B:B,1,0)</f>
        <v>center_lat</v>
      </c>
      <c r="G143" s="19" t="s">
        <v>250</v>
      </c>
      <c r="H143" s="30"/>
      <c r="I143" s="33"/>
      <c r="J143" s="34" t="s">
        <v>384</v>
      </c>
      <c r="K143" s="34" t="s">
        <v>134</v>
      </c>
      <c r="L143" s="34" t="s">
        <v>134</v>
      </c>
    </row>
    <row r="144" spans="1:12" s="1" customFormat="1">
      <c r="A144" s="25"/>
      <c r="B144" s="26" t="s">
        <v>217</v>
      </c>
      <c r="C144" s="26" t="s">
        <v>139</v>
      </c>
      <c r="D144" s="12" t="s">
        <v>1057</v>
      </c>
      <c r="E144" s="30" t="s">
        <v>243</v>
      </c>
      <c r="F144" s="19" t="str">
        <f>VLOOKUP(B144,'9'!B:B,1,0)</f>
        <v>positionmark</v>
      </c>
      <c r="G144" s="19" t="s">
        <v>250</v>
      </c>
      <c r="H144" s="30"/>
      <c r="I144" s="33"/>
      <c r="J144" s="34" t="s">
        <v>384</v>
      </c>
      <c r="K144" s="34" t="s">
        <v>134</v>
      </c>
      <c r="L144" s="34" t="s">
        <v>134</v>
      </c>
    </row>
    <row r="145" spans="1:12" s="1" customFormat="1">
      <c r="A145" s="25"/>
      <c r="B145" s="26" t="s">
        <v>1058</v>
      </c>
      <c r="C145" s="26" t="s">
        <v>245</v>
      </c>
      <c r="D145" s="31" t="s">
        <v>513</v>
      </c>
      <c r="E145" s="30" t="s">
        <v>243</v>
      </c>
      <c r="F145" s="31"/>
      <c r="G145" s="19" t="s">
        <v>1059</v>
      </c>
      <c r="H145" s="30"/>
      <c r="I145" s="33"/>
      <c r="J145" s="34" t="s">
        <v>431</v>
      </c>
      <c r="K145" s="34" t="s">
        <v>134</v>
      </c>
      <c r="L145" s="34" t="s">
        <v>439</v>
      </c>
    </row>
    <row r="146" spans="1:12" s="1" customFormat="1">
      <c r="A146" s="25"/>
      <c r="B146" s="26" t="s">
        <v>1060</v>
      </c>
      <c r="C146" s="26" t="s">
        <v>245</v>
      </c>
      <c r="D146" s="31" t="s">
        <v>516</v>
      </c>
      <c r="E146" s="30" t="s">
        <v>243</v>
      </c>
      <c r="F146" s="31"/>
      <c r="G146" s="19" t="s">
        <v>1061</v>
      </c>
      <c r="H146" s="30"/>
      <c r="I146" s="33"/>
      <c r="J146" s="34" t="s">
        <v>431</v>
      </c>
      <c r="K146" s="34" t="s">
        <v>134</v>
      </c>
      <c r="L146" s="34" t="s">
        <v>439</v>
      </c>
    </row>
    <row r="147" spans="1:12" s="1" customFormat="1">
      <c r="A147" s="25"/>
      <c r="B147" s="26" t="s">
        <v>1062</v>
      </c>
      <c r="C147" s="26" t="s">
        <v>136</v>
      </c>
      <c r="D147" s="31" t="s">
        <v>519</v>
      </c>
      <c r="E147" s="30" t="s">
        <v>243</v>
      </c>
      <c r="F147" s="31"/>
      <c r="G147" s="19" t="s">
        <v>1063</v>
      </c>
      <c r="H147" s="30"/>
      <c r="I147" s="33"/>
      <c r="J147" s="34" t="s">
        <v>431</v>
      </c>
      <c r="K147" s="34" t="s">
        <v>134</v>
      </c>
      <c r="L147" s="34" t="s">
        <v>439</v>
      </c>
    </row>
    <row r="148" spans="1:12" s="1" customFormat="1">
      <c r="A148" s="25"/>
      <c r="B148" s="26" t="s">
        <v>1064</v>
      </c>
      <c r="C148" s="26" t="s">
        <v>136</v>
      </c>
      <c r="D148" s="12" t="s">
        <v>1065</v>
      </c>
      <c r="E148" s="30" t="s">
        <v>243</v>
      </c>
      <c r="F148" s="31"/>
      <c r="G148" s="19" t="s">
        <v>1066</v>
      </c>
      <c r="H148" s="30"/>
      <c r="I148" s="33"/>
      <c r="J148" s="34" t="s">
        <v>431</v>
      </c>
      <c r="K148" s="34" t="s">
        <v>134</v>
      </c>
      <c r="L148" s="40">
        <v>0</v>
      </c>
    </row>
    <row r="149" spans="1:12" s="1" customFormat="1">
      <c r="A149" s="25"/>
      <c r="B149" s="26" t="s">
        <v>1067</v>
      </c>
      <c r="C149" s="26" t="s">
        <v>136</v>
      </c>
      <c r="D149" s="12" t="s">
        <v>1068</v>
      </c>
      <c r="E149" s="30" t="s">
        <v>243</v>
      </c>
      <c r="F149" s="31"/>
      <c r="G149" s="19" t="s">
        <v>1066</v>
      </c>
      <c r="H149" s="30"/>
      <c r="I149" s="33"/>
      <c r="J149" s="34" t="s">
        <v>431</v>
      </c>
      <c r="K149" s="34" t="s">
        <v>134</v>
      </c>
      <c r="L149" s="40">
        <v>0</v>
      </c>
    </row>
    <row r="150" spans="1:12" s="1" customFormat="1">
      <c r="A150" s="25"/>
      <c r="B150" s="26" t="s">
        <v>1069</v>
      </c>
      <c r="C150" s="26" t="s">
        <v>136</v>
      </c>
      <c r="D150" s="12" t="s">
        <v>1070</v>
      </c>
      <c r="E150" s="30" t="s">
        <v>243</v>
      </c>
      <c r="F150" s="31"/>
      <c r="G150" s="19" t="s">
        <v>1071</v>
      </c>
      <c r="H150" s="30"/>
      <c r="I150" s="33"/>
      <c r="J150" s="34" t="s">
        <v>431</v>
      </c>
      <c r="K150" s="34" t="s">
        <v>134</v>
      </c>
      <c r="L150" s="34" t="s">
        <v>439</v>
      </c>
    </row>
    <row r="151" spans="1:12" s="1" customFormat="1">
      <c r="A151" s="25"/>
      <c r="B151" s="26" t="s">
        <v>1072</v>
      </c>
      <c r="C151" s="26" t="s">
        <v>136</v>
      </c>
      <c r="D151" s="12" t="s">
        <v>1073</v>
      </c>
      <c r="E151" s="30" t="s">
        <v>243</v>
      </c>
      <c r="F151" s="31"/>
      <c r="G151" s="19" t="s">
        <v>1074</v>
      </c>
      <c r="H151" s="30"/>
      <c r="I151" s="33"/>
      <c r="J151" s="34" t="s">
        <v>431</v>
      </c>
      <c r="K151" s="34" t="s">
        <v>134</v>
      </c>
      <c r="L151" s="34" t="s">
        <v>439</v>
      </c>
    </row>
    <row r="152" spans="1:12" s="1" customFormat="1">
      <c r="A152" s="25"/>
      <c r="B152" s="26" t="s">
        <v>1075</v>
      </c>
      <c r="C152" s="26" t="s">
        <v>136</v>
      </c>
      <c r="D152" s="12" t="s">
        <v>1076</v>
      </c>
      <c r="E152" s="30" t="s">
        <v>243</v>
      </c>
      <c r="F152" s="31"/>
      <c r="G152" s="19" t="s">
        <v>1077</v>
      </c>
      <c r="H152" s="30"/>
      <c r="I152" s="33"/>
      <c r="J152" s="34" t="s">
        <v>431</v>
      </c>
      <c r="K152" s="34" t="s">
        <v>134</v>
      </c>
      <c r="L152" s="34" t="s">
        <v>439</v>
      </c>
    </row>
    <row r="153" spans="1:12" s="1" customFormat="1">
      <c r="A153" s="25"/>
      <c r="B153" s="26" t="s">
        <v>2366</v>
      </c>
      <c r="C153" s="26" t="s">
        <v>136</v>
      </c>
      <c r="D153" s="12" t="s">
        <v>1079</v>
      </c>
      <c r="E153" s="30" t="s">
        <v>243</v>
      </c>
      <c r="F153" s="31"/>
      <c r="G153" s="19" t="s">
        <v>837</v>
      </c>
      <c r="H153" s="30"/>
      <c r="I153" s="33"/>
      <c r="J153" s="34" t="s">
        <v>431</v>
      </c>
      <c r="K153" s="34" t="s">
        <v>134</v>
      </c>
      <c r="L153" s="34" t="s">
        <v>439</v>
      </c>
    </row>
    <row r="154" spans="1:12" s="1" customFormat="1">
      <c r="A154" s="25"/>
      <c r="B154" s="26" t="s">
        <v>1080</v>
      </c>
      <c r="C154" s="26" t="s">
        <v>136</v>
      </c>
      <c r="D154" s="12" t="s">
        <v>1081</v>
      </c>
      <c r="E154" s="30" t="s">
        <v>243</v>
      </c>
      <c r="F154" s="31"/>
      <c r="G154" s="19" t="s">
        <v>834</v>
      </c>
      <c r="H154" s="30"/>
      <c r="I154" s="33"/>
      <c r="J154" s="34" t="s">
        <v>431</v>
      </c>
      <c r="K154" s="34" t="s">
        <v>134</v>
      </c>
      <c r="L154" s="34" t="s">
        <v>439</v>
      </c>
    </row>
    <row r="155" spans="1:12" s="1" customFormat="1">
      <c r="A155" s="25"/>
      <c r="B155" s="26" t="s">
        <v>1082</v>
      </c>
      <c r="C155" s="26" t="s">
        <v>136</v>
      </c>
      <c r="D155" s="12" t="s">
        <v>1083</v>
      </c>
      <c r="E155" s="30" t="s">
        <v>243</v>
      </c>
      <c r="F155" s="31"/>
      <c r="G155" s="19" t="s">
        <v>1084</v>
      </c>
      <c r="H155" s="30"/>
      <c r="I155" s="33"/>
      <c r="J155" s="34" t="s">
        <v>431</v>
      </c>
      <c r="K155" s="34" t="s">
        <v>134</v>
      </c>
      <c r="L155" s="34" t="s">
        <v>439</v>
      </c>
    </row>
    <row r="156" spans="1:12" s="1" customFormat="1">
      <c r="A156" s="25"/>
      <c r="B156" s="26" t="s">
        <v>1085</v>
      </c>
      <c r="C156" s="26" t="s">
        <v>136</v>
      </c>
      <c r="D156" s="12" t="s">
        <v>1086</v>
      </c>
      <c r="E156" s="30" t="s">
        <v>243</v>
      </c>
      <c r="F156" s="31"/>
      <c r="G156" s="19" t="s">
        <v>1087</v>
      </c>
      <c r="H156" s="30"/>
      <c r="I156" s="33"/>
      <c r="J156" s="34" t="s">
        <v>431</v>
      </c>
      <c r="K156" s="34" t="s">
        <v>134</v>
      </c>
      <c r="L156" s="34" t="s">
        <v>439</v>
      </c>
    </row>
    <row r="157" spans="1:12" s="1" customFormat="1">
      <c r="A157" s="25"/>
      <c r="B157" s="26" t="s">
        <v>1088</v>
      </c>
      <c r="C157" s="26" t="s">
        <v>136</v>
      </c>
      <c r="D157" s="12" t="s">
        <v>1089</v>
      </c>
      <c r="E157" s="30" t="s">
        <v>243</v>
      </c>
      <c r="F157" s="31"/>
      <c r="G157" s="19" t="s">
        <v>1090</v>
      </c>
      <c r="H157" s="30"/>
      <c r="I157" s="33"/>
      <c r="J157" s="34" t="s">
        <v>431</v>
      </c>
      <c r="K157" s="34" t="s">
        <v>134</v>
      </c>
      <c r="L157" s="34" t="s">
        <v>439</v>
      </c>
    </row>
    <row r="158" spans="1:12" s="1" customFormat="1">
      <c r="A158" s="25"/>
      <c r="B158" s="26" t="s">
        <v>1091</v>
      </c>
      <c r="C158" s="26" t="s">
        <v>136</v>
      </c>
      <c r="D158" s="12" t="s">
        <v>1092</v>
      </c>
      <c r="E158" s="30" t="s">
        <v>243</v>
      </c>
      <c r="F158" s="31"/>
      <c r="G158" s="19" t="s">
        <v>1093</v>
      </c>
      <c r="H158" s="30"/>
      <c r="I158" s="33"/>
      <c r="J158" s="34" t="s">
        <v>431</v>
      </c>
      <c r="K158" s="34" t="s">
        <v>134</v>
      </c>
      <c r="L158" s="34" t="s">
        <v>439</v>
      </c>
    </row>
    <row r="159" spans="1:12" s="1" customFormat="1">
      <c r="A159" s="25"/>
      <c r="B159" s="26" t="s">
        <v>1094</v>
      </c>
      <c r="C159" s="26" t="s">
        <v>136</v>
      </c>
      <c r="D159" s="12" t="s">
        <v>1095</v>
      </c>
      <c r="E159" s="30" t="s">
        <v>243</v>
      </c>
      <c r="F159" s="31"/>
      <c r="G159" s="19" t="s">
        <v>1096</v>
      </c>
      <c r="H159" s="30"/>
      <c r="I159" s="33"/>
      <c r="J159" s="34" t="s">
        <v>431</v>
      </c>
      <c r="K159" s="34" t="s">
        <v>134</v>
      </c>
      <c r="L159" s="34" t="s">
        <v>439</v>
      </c>
    </row>
    <row r="160" spans="1:12" s="1" customFormat="1">
      <c r="A160" s="25"/>
      <c r="B160" s="26" t="s">
        <v>1097</v>
      </c>
      <c r="C160" s="26" t="s">
        <v>136</v>
      </c>
      <c r="D160" s="12" t="s">
        <v>1098</v>
      </c>
      <c r="E160" s="30" t="s">
        <v>243</v>
      </c>
      <c r="F160" s="31"/>
      <c r="G160" s="19" t="s">
        <v>1099</v>
      </c>
      <c r="H160" s="30"/>
      <c r="I160" s="33"/>
      <c r="J160" s="34" t="s">
        <v>431</v>
      </c>
      <c r="K160" s="34" t="s">
        <v>134</v>
      </c>
      <c r="L160" s="34" t="s">
        <v>439</v>
      </c>
    </row>
    <row r="161" spans="1:12" s="1" customFormat="1">
      <c r="A161" s="25"/>
      <c r="B161" s="26" t="s">
        <v>1100</v>
      </c>
      <c r="C161" s="26" t="s">
        <v>136</v>
      </c>
      <c r="D161" s="12" t="s">
        <v>1101</v>
      </c>
      <c r="E161" s="30" t="s">
        <v>243</v>
      </c>
      <c r="F161" s="31"/>
      <c r="G161" s="19" t="s">
        <v>1102</v>
      </c>
      <c r="H161" s="30"/>
      <c r="I161" s="33"/>
      <c r="J161" s="34" t="s">
        <v>431</v>
      </c>
      <c r="K161" s="34" t="s">
        <v>134</v>
      </c>
      <c r="L161" s="34" t="s">
        <v>439</v>
      </c>
    </row>
    <row r="162" spans="1:12" s="1" customFormat="1">
      <c r="A162" s="25"/>
      <c r="B162" s="26" t="s">
        <v>1103</v>
      </c>
      <c r="C162" s="26" t="s">
        <v>245</v>
      </c>
      <c r="D162" s="12" t="s">
        <v>1104</v>
      </c>
      <c r="E162" s="30" t="s">
        <v>243</v>
      </c>
      <c r="F162" s="31"/>
      <c r="G162" s="19" t="s">
        <v>1105</v>
      </c>
      <c r="H162" s="30"/>
      <c r="I162" s="33"/>
      <c r="J162" s="34" t="s">
        <v>431</v>
      </c>
      <c r="K162" s="34" t="s">
        <v>134</v>
      </c>
      <c r="L162" s="34" t="s">
        <v>533</v>
      </c>
    </row>
    <row r="163" spans="1:12" s="1" customFormat="1">
      <c r="A163" s="25"/>
      <c r="B163" s="26" t="s">
        <v>1106</v>
      </c>
      <c r="C163" s="26" t="s">
        <v>245</v>
      </c>
      <c r="D163" s="12" t="s">
        <v>1107</v>
      </c>
      <c r="E163" s="30" t="s">
        <v>243</v>
      </c>
      <c r="F163" s="31"/>
      <c r="G163" s="19" t="s">
        <v>1108</v>
      </c>
      <c r="H163" s="30"/>
      <c r="I163" s="33"/>
      <c r="J163" s="34" t="s">
        <v>431</v>
      </c>
      <c r="K163" s="34" t="s">
        <v>134</v>
      </c>
      <c r="L163" s="34" t="s">
        <v>579</v>
      </c>
    </row>
    <row r="164" spans="1:12" s="1" customFormat="1">
      <c r="A164" s="25"/>
      <c r="B164" s="26" t="s">
        <v>1109</v>
      </c>
      <c r="C164" s="26" t="s">
        <v>136</v>
      </c>
      <c r="D164" s="31" t="s">
        <v>1110</v>
      </c>
      <c r="E164" s="30" t="s">
        <v>243</v>
      </c>
      <c r="F164" s="31"/>
      <c r="G164" s="19" t="s">
        <v>965</v>
      </c>
      <c r="H164" s="30"/>
      <c r="I164" s="33"/>
      <c r="J164" s="34" t="s">
        <v>431</v>
      </c>
      <c r="K164" s="34" t="s">
        <v>134</v>
      </c>
      <c r="L164" s="34" t="s">
        <v>439</v>
      </c>
    </row>
    <row r="165" spans="1:12" s="1" customFormat="1">
      <c r="A165" s="25"/>
      <c r="B165" s="26" t="s">
        <v>1111</v>
      </c>
      <c r="C165" s="26" t="s">
        <v>136</v>
      </c>
      <c r="D165" s="31" t="s">
        <v>1112</v>
      </c>
      <c r="E165" s="30" t="s">
        <v>243</v>
      </c>
      <c r="F165" s="31"/>
      <c r="G165" s="19" t="s">
        <v>963</v>
      </c>
      <c r="H165" s="30"/>
      <c r="I165" s="33"/>
      <c r="J165" s="34" t="s">
        <v>431</v>
      </c>
      <c r="K165" s="34" t="s">
        <v>134</v>
      </c>
      <c r="L165" s="34" t="s">
        <v>439</v>
      </c>
    </row>
    <row r="166" spans="1:12" s="1" customFormat="1">
      <c r="A166" s="25"/>
      <c r="B166" s="26" t="s">
        <v>1113</v>
      </c>
      <c r="C166" s="26" t="s">
        <v>136</v>
      </c>
      <c r="D166" s="31" t="s">
        <v>1114</v>
      </c>
      <c r="E166" s="30" t="s">
        <v>243</v>
      </c>
      <c r="F166" s="31"/>
      <c r="G166" s="19" t="s">
        <v>961</v>
      </c>
      <c r="H166" s="30"/>
      <c r="I166" s="33"/>
      <c r="J166" s="34" t="s">
        <v>431</v>
      </c>
      <c r="K166" s="34" t="s">
        <v>134</v>
      </c>
      <c r="L166" s="34" t="s">
        <v>439</v>
      </c>
    </row>
    <row r="167" spans="1:12" s="1" customFormat="1">
      <c r="A167" s="25"/>
      <c r="B167" s="26" t="s">
        <v>1115</v>
      </c>
      <c r="C167" s="26" t="s">
        <v>136</v>
      </c>
      <c r="D167" s="31" t="s">
        <v>1116</v>
      </c>
      <c r="E167" s="30" t="s">
        <v>243</v>
      </c>
      <c r="F167" s="31"/>
      <c r="G167" s="19" t="s">
        <v>959</v>
      </c>
      <c r="H167" s="30"/>
      <c r="I167" s="33"/>
      <c r="J167" s="34" t="s">
        <v>431</v>
      </c>
      <c r="K167" s="34" t="s">
        <v>134</v>
      </c>
      <c r="L167" s="34" t="s">
        <v>439</v>
      </c>
    </row>
    <row r="168" spans="1:12" s="1" customFormat="1">
      <c r="A168" s="25"/>
      <c r="B168" s="26" t="s">
        <v>1117</v>
      </c>
      <c r="C168" s="26" t="s">
        <v>136</v>
      </c>
      <c r="D168" s="31" t="s">
        <v>1118</v>
      </c>
      <c r="E168" s="30" t="s">
        <v>243</v>
      </c>
      <c r="F168" s="31"/>
      <c r="G168" s="19" t="s">
        <v>957</v>
      </c>
      <c r="H168" s="30"/>
      <c r="I168" s="33"/>
      <c r="J168" s="34" t="s">
        <v>431</v>
      </c>
      <c r="K168" s="34" t="s">
        <v>134</v>
      </c>
      <c r="L168" s="34" t="s">
        <v>439</v>
      </c>
    </row>
    <row r="169" spans="1:12" s="1" customFormat="1">
      <c r="A169" s="25"/>
      <c r="B169" s="26" t="s">
        <v>1119</v>
      </c>
      <c r="C169" s="26" t="s">
        <v>136</v>
      </c>
      <c r="D169" s="31" t="s">
        <v>1120</v>
      </c>
      <c r="E169" s="30" t="s">
        <v>243</v>
      </c>
      <c r="F169" s="31"/>
      <c r="G169" s="19" t="s">
        <v>955</v>
      </c>
      <c r="H169" s="30"/>
      <c r="I169" s="33"/>
      <c r="J169" s="34" t="s">
        <v>431</v>
      </c>
      <c r="K169" s="34" t="s">
        <v>134</v>
      </c>
      <c r="L169" s="34" t="s">
        <v>439</v>
      </c>
    </row>
    <row r="170" spans="1:12" s="1" customFormat="1">
      <c r="A170" s="25"/>
      <c r="B170" s="26" t="s">
        <v>1121</v>
      </c>
      <c r="C170" s="26" t="s">
        <v>136</v>
      </c>
      <c r="D170" s="31" t="s">
        <v>1122</v>
      </c>
      <c r="E170" s="30" t="s">
        <v>243</v>
      </c>
      <c r="F170" s="31"/>
      <c r="G170" s="19" t="s">
        <v>1123</v>
      </c>
      <c r="H170" s="30"/>
      <c r="I170" s="33"/>
      <c r="J170" s="34" t="s">
        <v>431</v>
      </c>
      <c r="K170" s="34" t="s">
        <v>134</v>
      </c>
      <c r="L170" s="34" t="s">
        <v>439</v>
      </c>
    </row>
    <row r="171" spans="1:12" s="1" customFormat="1">
      <c r="A171" s="25"/>
      <c r="B171" s="26" t="s">
        <v>1124</v>
      </c>
      <c r="C171" s="26" t="s">
        <v>136</v>
      </c>
      <c r="D171" s="31" t="s">
        <v>1125</v>
      </c>
      <c r="E171" s="30" t="s">
        <v>243</v>
      </c>
      <c r="F171" s="31"/>
      <c r="G171" s="19" t="s">
        <v>1126</v>
      </c>
      <c r="H171" s="30"/>
      <c r="I171" s="33"/>
      <c r="J171" s="34" t="s">
        <v>431</v>
      </c>
      <c r="K171" s="34" t="s">
        <v>134</v>
      </c>
      <c r="L171" s="34" t="s">
        <v>439</v>
      </c>
    </row>
    <row r="172" spans="1:12" s="1" customFormat="1">
      <c r="A172" s="25"/>
      <c r="B172" s="26" t="s">
        <v>1127</v>
      </c>
      <c r="C172" s="26" t="s">
        <v>136</v>
      </c>
      <c r="D172" s="31" t="s">
        <v>1128</v>
      </c>
      <c r="E172" s="30" t="s">
        <v>243</v>
      </c>
      <c r="F172" s="31"/>
      <c r="G172" s="19" t="s">
        <v>1129</v>
      </c>
      <c r="H172" s="30"/>
      <c r="I172" s="33"/>
      <c r="J172" s="34" t="s">
        <v>431</v>
      </c>
      <c r="K172" s="34" t="s">
        <v>134</v>
      </c>
      <c r="L172" s="34" t="s">
        <v>439</v>
      </c>
    </row>
    <row r="173" spans="1:12" s="1" customFormat="1">
      <c r="A173" s="25"/>
      <c r="B173" s="26" t="s">
        <v>1130</v>
      </c>
      <c r="C173" s="26" t="s">
        <v>136</v>
      </c>
      <c r="D173" s="31" t="s">
        <v>1131</v>
      </c>
      <c r="E173" s="30" t="s">
        <v>243</v>
      </c>
      <c r="F173" s="31"/>
      <c r="G173" s="19" t="s">
        <v>1132</v>
      </c>
      <c r="H173" s="30"/>
      <c r="I173" s="33"/>
      <c r="J173" s="34" t="s">
        <v>431</v>
      </c>
      <c r="K173" s="34" t="s">
        <v>134</v>
      </c>
      <c r="L173" s="34" t="s">
        <v>439</v>
      </c>
    </row>
    <row r="174" spans="1:12" s="1" customFormat="1">
      <c r="A174" s="25"/>
      <c r="B174" s="26" t="s">
        <v>1133</v>
      </c>
      <c r="C174" s="26" t="s">
        <v>136</v>
      </c>
      <c r="D174" s="31" t="s">
        <v>1134</v>
      </c>
      <c r="E174" s="30" t="s">
        <v>243</v>
      </c>
      <c r="F174" s="31"/>
      <c r="G174" s="19" t="s">
        <v>1135</v>
      </c>
      <c r="H174" s="30"/>
      <c r="I174" s="33"/>
      <c r="J174" s="34" t="s">
        <v>431</v>
      </c>
      <c r="K174" s="34" t="s">
        <v>134</v>
      </c>
      <c r="L174" s="34" t="s">
        <v>439</v>
      </c>
    </row>
    <row r="175" spans="1:12" s="1" customFormat="1">
      <c r="A175" s="25"/>
      <c r="B175" s="26" t="s">
        <v>1136</v>
      </c>
      <c r="C175" s="26" t="s">
        <v>136</v>
      </c>
      <c r="D175" s="31" t="s">
        <v>1137</v>
      </c>
      <c r="E175" s="30" t="s">
        <v>243</v>
      </c>
      <c r="F175" s="31"/>
      <c r="G175" s="19" t="s">
        <v>1138</v>
      </c>
      <c r="H175" s="30"/>
      <c r="I175" s="33"/>
      <c r="J175" s="34" t="s">
        <v>431</v>
      </c>
      <c r="K175" s="34" t="s">
        <v>134</v>
      </c>
      <c r="L175" s="34" t="s">
        <v>439</v>
      </c>
    </row>
    <row r="176" spans="1:12" s="1" customFormat="1">
      <c r="A176" s="25"/>
      <c r="B176" s="26" t="s">
        <v>1139</v>
      </c>
      <c r="C176" s="26" t="s">
        <v>136</v>
      </c>
      <c r="D176" s="12" t="s">
        <v>1140</v>
      </c>
      <c r="E176" s="30" t="s">
        <v>243</v>
      </c>
      <c r="F176" s="31"/>
      <c r="G176" s="19" t="s">
        <v>1141</v>
      </c>
      <c r="H176" s="30"/>
      <c r="I176" s="33"/>
      <c r="J176" s="34" t="s">
        <v>431</v>
      </c>
      <c r="K176" s="34" t="s">
        <v>134</v>
      </c>
      <c r="L176" s="34" t="s">
        <v>439</v>
      </c>
    </row>
    <row r="177" spans="1:12" s="1" customFormat="1">
      <c r="A177" s="25"/>
      <c r="B177" s="26" t="s">
        <v>1142</v>
      </c>
      <c r="C177" s="26" t="s">
        <v>245</v>
      </c>
      <c r="D177" s="12" t="s">
        <v>1143</v>
      </c>
      <c r="E177" s="30" t="s">
        <v>243</v>
      </c>
      <c r="F177" s="31"/>
      <c r="G177" s="19" t="s">
        <v>1144</v>
      </c>
      <c r="H177" s="30"/>
      <c r="I177" s="33"/>
      <c r="J177" s="34" t="s">
        <v>431</v>
      </c>
      <c r="K177" s="34" t="s">
        <v>134</v>
      </c>
      <c r="L177" s="34" t="s">
        <v>568</v>
      </c>
    </row>
    <row r="178" spans="1:12" s="1" customFormat="1">
      <c r="A178" s="25"/>
      <c r="B178" s="26" t="s">
        <v>2368</v>
      </c>
      <c r="C178" s="26" t="s">
        <v>136</v>
      </c>
      <c r="D178" s="12" t="s">
        <v>1146</v>
      </c>
      <c r="E178" s="30" t="s">
        <v>243</v>
      </c>
      <c r="F178" s="31"/>
      <c r="G178" s="19" t="s">
        <v>853</v>
      </c>
      <c r="H178" s="30"/>
      <c r="I178" s="33"/>
      <c r="J178" s="34" t="s">
        <v>431</v>
      </c>
      <c r="K178" s="34" t="s">
        <v>134</v>
      </c>
      <c r="L178" s="34" t="s">
        <v>439</v>
      </c>
    </row>
    <row r="179" spans="1:12" s="1" customFormat="1">
      <c r="A179" s="25"/>
      <c r="B179" s="26" t="s">
        <v>1147</v>
      </c>
      <c r="C179" s="26" t="s">
        <v>245</v>
      </c>
      <c r="D179" s="12" t="s">
        <v>1148</v>
      </c>
      <c r="E179" s="30" t="s">
        <v>243</v>
      </c>
      <c r="F179" s="31"/>
      <c r="G179" s="19" t="s">
        <v>849</v>
      </c>
      <c r="H179" s="30"/>
      <c r="I179" s="33"/>
      <c r="J179" s="34" t="s">
        <v>431</v>
      </c>
      <c r="K179" s="34" t="s">
        <v>134</v>
      </c>
      <c r="L179" s="34" t="s">
        <v>610</v>
      </c>
    </row>
    <row r="180" spans="1:12" s="1" customFormat="1">
      <c r="A180" s="25"/>
      <c r="B180" s="26" t="s">
        <v>2367</v>
      </c>
      <c r="C180" s="26" t="s">
        <v>245</v>
      </c>
      <c r="D180" s="12" t="s">
        <v>1150</v>
      </c>
      <c r="E180" s="30" t="s">
        <v>243</v>
      </c>
      <c r="F180" s="31"/>
      <c r="G180" s="19" t="s">
        <v>851</v>
      </c>
      <c r="H180" s="30"/>
      <c r="I180" s="33"/>
      <c r="J180" s="34" t="s">
        <v>431</v>
      </c>
      <c r="K180" s="34" t="s">
        <v>134</v>
      </c>
      <c r="L180" s="34" t="s">
        <v>615</v>
      </c>
    </row>
    <row r="181" spans="1:12" s="1" customFormat="1">
      <c r="A181" s="25"/>
      <c r="B181" s="26" t="s">
        <v>1151</v>
      </c>
      <c r="C181" s="26" t="s">
        <v>136</v>
      </c>
      <c r="D181" s="12" t="s">
        <v>1152</v>
      </c>
      <c r="E181" s="30" t="s">
        <v>243</v>
      </c>
      <c r="F181" s="31"/>
      <c r="G181" s="19" t="s">
        <v>1153</v>
      </c>
      <c r="H181" s="30"/>
      <c r="I181" s="33"/>
      <c r="J181" s="34" t="s">
        <v>431</v>
      </c>
      <c r="K181" s="34" t="s">
        <v>134</v>
      </c>
      <c r="L181" s="34" t="s">
        <v>439</v>
      </c>
    </row>
    <row r="182" spans="1:12" s="1" customFormat="1">
      <c r="A182" s="25"/>
      <c r="B182" s="26" t="s">
        <v>1154</v>
      </c>
      <c r="C182" s="26" t="s">
        <v>136</v>
      </c>
      <c r="D182" s="12" t="s">
        <v>1155</v>
      </c>
      <c r="E182" s="30" t="s">
        <v>243</v>
      </c>
      <c r="F182" s="31"/>
      <c r="G182" s="19" t="s">
        <v>1156</v>
      </c>
      <c r="H182" s="30"/>
      <c r="I182" s="33"/>
      <c r="J182" s="34" t="s">
        <v>431</v>
      </c>
      <c r="K182" s="34" t="s">
        <v>134</v>
      </c>
      <c r="L182" s="34" t="s">
        <v>439</v>
      </c>
    </row>
    <row r="183" spans="1:12" s="1" customFormat="1">
      <c r="A183" s="25"/>
      <c r="B183" s="26" t="s">
        <v>1157</v>
      </c>
      <c r="C183" s="26" t="s">
        <v>136</v>
      </c>
      <c r="D183" s="12" t="s">
        <v>1158</v>
      </c>
      <c r="E183" s="30" t="s">
        <v>243</v>
      </c>
      <c r="F183" s="31"/>
      <c r="G183" s="19" t="s">
        <v>1159</v>
      </c>
      <c r="H183" s="30"/>
      <c r="I183" s="33"/>
      <c r="J183" s="34" t="s">
        <v>431</v>
      </c>
      <c r="K183" s="34" t="s">
        <v>134</v>
      </c>
      <c r="L183" s="34" t="s">
        <v>439</v>
      </c>
    </row>
    <row r="184" spans="1:12" s="1" customFormat="1">
      <c r="A184" s="25"/>
      <c r="B184" s="26" t="s">
        <v>1160</v>
      </c>
      <c r="C184" s="26" t="s">
        <v>136</v>
      </c>
      <c r="D184" s="12" t="s">
        <v>1161</v>
      </c>
      <c r="E184" s="30" t="s">
        <v>243</v>
      </c>
      <c r="F184" s="31"/>
      <c r="G184" s="19" t="s">
        <v>1162</v>
      </c>
      <c r="H184" s="30"/>
      <c r="I184" s="33"/>
      <c r="J184" s="34" t="s">
        <v>431</v>
      </c>
      <c r="K184" s="34" t="s">
        <v>134</v>
      </c>
      <c r="L184" s="34" t="s">
        <v>439</v>
      </c>
    </row>
    <row r="185" spans="1:12" s="1" customFormat="1">
      <c r="A185" s="25"/>
      <c r="B185" s="26" t="s">
        <v>1163</v>
      </c>
      <c r="C185" s="26" t="s">
        <v>136</v>
      </c>
      <c r="D185" s="12" t="s">
        <v>1164</v>
      </c>
      <c r="E185" s="30" t="s">
        <v>243</v>
      </c>
      <c r="F185" s="31"/>
      <c r="G185" s="19" t="s">
        <v>1165</v>
      </c>
      <c r="H185" s="30"/>
      <c r="I185" s="33"/>
      <c r="J185" s="34" t="s">
        <v>431</v>
      </c>
      <c r="K185" s="34" t="s">
        <v>134</v>
      </c>
      <c r="L185" s="34" t="s">
        <v>439</v>
      </c>
    </row>
    <row r="186" spans="1:12" s="1" customFormat="1">
      <c r="A186" s="25"/>
      <c r="B186" s="26" t="s">
        <v>2369</v>
      </c>
      <c r="C186" s="26" t="s">
        <v>136</v>
      </c>
      <c r="D186" s="12" t="s">
        <v>1167</v>
      </c>
      <c r="E186" s="30" t="s">
        <v>243</v>
      </c>
      <c r="F186" s="31"/>
      <c r="G186" s="19" t="s">
        <v>1168</v>
      </c>
      <c r="H186" s="30"/>
      <c r="I186" s="33"/>
      <c r="J186" s="34" t="s">
        <v>431</v>
      </c>
      <c r="K186" s="34" t="s">
        <v>134</v>
      </c>
      <c r="L186" s="34" t="s">
        <v>439</v>
      </c>
    </row>
    <row r="187" spans="1:12" s="1" customFormat="1">
      <c r="A187" s="25"/>
      <c r="B187" s="26" t="s">
        <v>1169</v>
      </c>
      <c r="C187" s="26" t="s">
        <v>136</v>
      </c>
      <c r="D187" s="12" t="s">
        <v>1170</v>
      </c>
      <c r="E187" s="30" t="s">
        <v>243</v>
      </c>
      <c r="F187" s="31"/>
      <c r="G187" s="19" t="s">
        <v>1171</v>
      </c>
      <c r="H187" s="30"/>
      <c r="I187" s="33"/>
      <c r="J187" s="34" t="s">
        <v>431</v>
      </c>
      <c r="K187" s="34" t="s">
        <v>134</v>
      </c>
      <c r="L187" s="34" t="s">
        <v>439</v>
      </c>
    </row>
    <row r="188" spans="1:12" s="1" customFormat="1">
      <c r="A188" s="25"/>
      <c r="B188" s="26" t="s">
        <v>1172</v>
      </c>
      <c r="C188" s="26" t="s">
        <v>136</v>
      </c>
      <c r="D188" s="12" t="s">
        <v>1173</v>
      </c>
      <c r="E188" s="30" t="s">
        <v>243</v>
      </c>
      <c r="F188" s="31"/>
      <c r="G188" s="19" t="s">
        <v>1174</v>
      </c>
      <c r="H188" s="30"/>
      <c r="I188" s="33"/>
      <c r="J188" s="34" t="s">
        <v>431</v>
      </c>
      <c r="K188" s="34" t="s">
        <v>134</v>
      </c>
      <c r="L188" s="34" t="s">
        <v>439</v>
      </c>
    </row>
    <row r="189" spans="1:12" s="1" customFormat="1">
      <c r="A189" s="25"/>
      <c r="B189" s="26" t="s">
        <v>1175</v>
      </c>
      <c r="C189" s="26" t="s">
        <v>136</v>
      </c>
      <c r="D189" s="12" t="s">
        <v>1176</v>
      </c>
      <c r="E189" s="30" t="s">
        <v>243</v>
      </c>
      <c r="F189" s="31"/>
      <c r="G189" s="19" t="s">
        <v>1177</v>
      </c>
      <c r="H189" s="30"/>
      <c r="I189" s="33"/>
      <c r="J189" s="34" t="s">
        <v>431</v>
      </c>
      <c r="K189" s="34" t="s">
        <v>134</v>
      </c>
      <c r="L189" s="34" t="s">
        <v>439</v>
      </c>
    </row>
    <row r="190" spans="1:12" s="1" customFormat="1">
      <c r="A190" s="25"/>
      <c r="B190" s="26" t="s">
        <v>1178</v>
      </c>
      <c r="C190" s="26" t="s">
        <v>136</v>
      </c>
      <c r="D190" s="12" t="s">
        <v>1179</v>
      </c>
      <c r="E190" s="30" t="s">
        <v>243</v>
      </c>
      <c r="F190" s="31"/>
      <c r="G190" s="19" t="s">
        <v>1180</v>
      </c>
      <c r="H190" s="30"/>
      <c r="I190" s="33"/>
      <c r="J190" s="34" t="s">
        <v>431</v>
      </c>
      <c r="K190" s="34" t="s">
        <v>134</v>
      </c>
      <c r="L190" s="34" t="s">
        <v>439</v>
      </c>
    </row>
    <row r="191" spans="1:12" s="1" customFormat="1">
      <c r="A191" s="25"/>
      <c r="B191" s="26" t="s">
        <v>1181</v>
      </c>
      <c r="C191" s="26" t="s">
        <v>136</v>
      </c>
      <c r="D191" s="12" t="s">
        <v>1182</v>
      </c>
      <c r="E191" s="30" t="s">
        <v>243</v>
      </c>
      <c r="F191" s="31"/>
      <c r="G191" s="19" t="s">
        <v>1183</v>
      </c>
      <c r="H191" s="30"/>
      <c r="I191" s="33"/>
      <c r="J191" s="34" t="s">
        <v>431</v>
      </c>
      <c r="K191" s="34" t="s">
        <v>134</v>
      </c>
      <c r="L191" s="34" t="s">
        <v>439</v>
      </c>
    </row>
    <row r="192" spans="1:12" s="1" customFormat="1">
      <c r="A192" s="25"/>
      <c r="B192" s="26" t="s">
        <v>1184</v>
      </c>
      <c r="C192" s="26" t="s">
        <v>136</v>
      </c>
      <c r="D192" s="12" t="s">
        <v>1185</v>
      </c>
      <c r="E192" s="30" t="s">
        <v>243</v>
      </c>
      <c r="F192" s="31"/>
      <c r="G192" s="19" t="s">
        <v>1186</v>
      </c>
      <c r="H192" s="30"/>
      <c r="I192" s="33"/>
      <c r="J192" s="34" t="s">
        <v>431</v>
      </c>
      <c r="K192" s="34" t="s">
        <v>134</v>
      </c>
      <c r="L192" s="34" t="s">
        <v>439</v>
      </c>
    </row>
    <row r="193" spans="1:12" s="1" customFormat="1">
      <c r="A193" s="25"/>
      <c r="B193" s="26" t="s">
        <v>1187</v>
      </c>
      <c r="C193" s="26" t="s">
        <v>136</v>
      </c>
      <c r="D193" s="12" t="s">
        <v>1188</v>
      </c>
      <c r="E193" s="30" t="s">
        <v>243</v>
      </c>
      <c r="F193" s="31"/>
      <c r="G193" s="19" t="s">
        <v>876</v>
      </c>
      <c r="H193" s="30"/>
      <c r="I193" s="33"/>
      <c r="J193" s="34" t="s">
        <v>431</v>
      </c>
      <c r="K193" s="34" t="s">
        <v>134</v>
      </c>
      <c r="L193" s="34" t="s">
        <v>439</v>
      </c>
    </row>
    <row r="194" spans="1:12" s="1" customFormat="1">
      <c r="A194" s="25"/>
      <c r="B194" s="26" t="s">
        <v>1189</v>
      </c>
      <c r="C194" s="26" t="s">
        <v>245</v>
      </c>
      <c r="D194" s="12" t="s">
        <v>1190</v>
      </c>
      <c r="E194" s="30" t="s">
        <v>243</v>
      </c>
      <c r="F194" s="31"/>
      <c r="G194" s="19" t="s">
        <v>878</v>
      </c>
      <c r="H194" s="30"/>
      <c r="I194" s="33"/>
      <c r="J194" s="34" t="s">
        <v>431</v>
      </c>
      <c r="K194" s="34" t="s">
        <v>134</v>
      </c>
      <c r="L194" s="34" t="s">
        <v>568</v>
      </c>
    </row>
    <row r="195" spans="1:12" s="1" customFormat="1">
      <c r="A195" s="25"/>
      <c r="B195" s="26" t="s">
        <v>1191</v>
      </c>
      <c r="C195" s="26" t="s">
        <v>245</v>
      </c>
      <c r="D195" s="12" t="s">
        <v>1192</v>
      </c>
      <c r="E195" s="30" t="s">
        <v>243</v>
      </c>
      <c r="F195" s="31"/>
      <c r="G195" s="19" t="s">
        <v>1193</v>
      </c>
      <c r="H195" s="30"/>
      <c r="I195" s="33"/>
      <c r="J195" s="34" t="s">
        <v>431</v>
      </c>
      <c r="K195" s="34" t="s">
        <v>134</v>
      </c>
      <c r="L195" s="34" t="s">
        <v>439</v>
      </c>
    </row>
    <row r="196" spans="1:12" s="1" customFormat="1">
      <c r="A196" s="25"/>
      <c r="B196" s="26" t="s">
        <v>1194</v>
      </c>
      <c r="C196" s="26" t="s">
        <v>245</v>
      </c>
      <c r="D196" s="12" t="s">
        <v>1195</v>
      </c>
      <c r="E196" s="30" t="s">
        <v>243</v>
      </c>
      <c r="F196" s="31"/>
      <c r="G196" s="19" t="s">
        <v>1196</v>
      </c>
      <c r="H196" s="30"/>
      <c r="I196" s="33"/>
      <c r="J196" s="34" t="s">
        <v>431</v>
      </c>
      <c r="K196" s="34" t="s">
        <v>134</v>
      </c>
      <c r="L196" s="34" t="s">
        <v>439</v>
      </c>
    </row>
    <row r="197" spans="1:12" s="1" customFormat="1">
      <c r="A197" s="25"/>
      <c r="B197" s="26" t="s">
        <v>1197</v>
      </c>
      <c r="C197" s="26" t="s">
        <v>136</v>
      </c>
      <c r="D197" s="12" t="s">
        <v>1198</v>
      </c>
      <c r="E197" s="30" t="s">
        <v>243</v>
      </c>
      <c r="F197" s="31"/>
      <c r="G197" s="19" t="s">
        <v>1028</v>
      </c>
      <c r="H197" s="30"/>
      <c r="I197" s="33"/>
      <c r="J197" s="34" t="s">
        <v>431</v>
      </c>
      <c r="K197" s="34" t="s">
        <v>134</v>
      </c>
      <c r="L197" s="34" t="s">
        <v>439</v>
      </c>
    </row>
    <row r="198" spans="1:12" s="1" customFormat="1">
      <c r="A198" s="25"/>
      <c r="B198" s="26" t="s">
        <v>1199</v>
      </c>
      <c r="C198" s="26" t="s">
        <v>136</v>
      </c>
      <c r="D198" s="12" t="s">
        <v>1200</v>
      </c>
      <c r="E198" s="30" t="s">
        <v>243</v>
      </c>
      <c r="F198" s="31"/>
      <c r="G198" s="19" t="s">
        <v>1031</v>
      </c>
      <c r="H198" s="30"/>
      <c r="I198" s="33"/>
      <c r="J198" s="34" t="s">
        <v>431</v>
      </c>
      <c r="K198" s="34" t="s">
        <v>134</v>
      </c>
      <c r="L198" s="34" t="s">
        <v>439</v>
      </c>
    </row>
    <row r="199" spans="1:12" s="1" customFormat="1">
      <c r="A199" s="25"/>
      <c r="B199" s="26" t="s">
        <v>1201</v>
      </c>
      <c r="C199" s="26" t="s">
        <v>136</v>
      </c>
      <c r="D199" s="12" t="s">
        <v>1202</v>
      </c>
      <c r="E199" s="30" t="s">
        <v>243</v>
      </c>
      <c r="F199" s="31"/>
      <c r="G199" s="19" t="s">
        <v>1034</v>
      </c>
      <c r="H199" s="30"/>
      <c r="I199" s="33"/>
      <c r="J199" s="34" t="s">
        <v>431</v>
      </c>
      <c r="K199" s="34" t="s">
        <v>134</v>
      </c>
      <c r="L199" s="34" t="s">
        <v>439</v>
      </c>
    </row>
    <row r="200" spans="1:12" s="1" customFormat="1">
      <c r="A200" s="25"/>
      <c r="B200" s="26" t="s">
        <v>1203</v>
      </c>
      <c r="C200" s="26" t="s">
        <v>136</v>
      </c>
      <c r="D200" s="12" t="s">
        <v>1204</v>
      </c>
      <c r="E200" s="30" t="s">
        <v>243</v>
      </c>
      <c r="F200" s="31"/>
      <c r="G200" s="19" t="s">
        <v>1037</v>
      </c>
      <c r="H200" s="30"/>
      <c r="I200" s="33"/>
      <c r="J200" s="34" t="s">
        <v>431</v>
      </c>
      <c r="K200" s="34" t="s">
        <v>134</v>
      </c>
      <c r="L200" s="34" t="s">
        <v>439</v>
      </c>
    </row>
    <row r="201" spans="1:12" s="1" customFormat="1">
      <c r="A201" s="25"/>
      <c r="B201" s="26" t="s">
        <v>1205</v>
      </c>
      <c r="C201" s="26" t="s">
        <v>136</v>
      </c>
      <c r="D201" s="12" t="s">
        <v>1206</v>
      </c>
      <c r="E201" s="30" t="s">
        <v>243</v>
      </c>
      <c r="F201" s="31"/>
      <c r="G201" s="19" t="s">
        <v>1040</v>
      </c>
      <c r="H201" s="30"/>
      <c r="I201" s="33"/>
      <c r="J201" s="34" t="s">
        <v>431</v>
      </c>
      <c r="K201" s="34" t="s">
        <v>134</v>
      </c>
      <c r="L201" s="34" t="s">
        <v>439</v>
      </c>
    </row>
    <row r="202" spans="1:12" s="1" customFormat="1">
      <c r="A202" s="25"/>
      <c r="B202" s="26" t="s">
        <v>1207</v>
      </c>
      <c r="C202" s="26" t="s">
        <v>136</v>
      </c>
      <c r="D202" s="12" t="s">
        <v>1208</v>
      </c>
      <c r="E202" s="30" t="s">
        <v>243</v>
      </c>
      <c r="F202" s="31"/>
      <c r="G202" s="19" t="s">
        <v>1043</v>
      </c>
      <c r="H202" s="30"/>
      <c r="I202" s="33"/>
      <c r="J202" s="34" t="s">
        <v>431</v>
      </c>
      <c r="K202" s="34" t="s">
        <v>134</v>
      </c>
      <c r="L202" s="34" t="s">
        <v>439</v>
      </c>
    </row>
    <row r="203" spans="1:12" s="1" customFormat="1">
      <c r="A203" s="25"/>
      <c r="B203" s="26" t="s">
        <v>1209</v>
      </c>
      <c r="C203" s="26" t="s">
        <v>136</v>
      </c>
      <c r="D203" s="12" t="s">
        <v>762</v>
      </c>
      <c r="E203" s="30" t="s">
        <v>243</v>
      </c>
      <c r="F203" s="31"/>
      <c r="G203" s="19" t="s">
        <v>1210</v>
      </c>
      <c r="H203" s="30"/>
      <c r="I203" s="33"/>
      <c r="J203" s="34" t="s">
        <v>431</v>
      </c>
      <c r="K203" s="34" t="s">
        <v>134</v>
      </c>
      <c r="L203" s="34" t="s">
        <v>439</v>
      </c>
    </row>
    <row r="204" spans="1:12" s="1" customFormat="1">
      <c r="A204" s="25"/>
      <c r="B204" s="26" t="s">
        <v>1211</v>
      </c>
      <c r="C204" s="26" t="s">
        <v>136</v>
      </c>
      <c r="D204" s="12" t="s">
        <v>765</v>
      </c>
      <c r="E204" s="30" t="s">
        <v>243</v>
      </c>
      <c r="F204" s="31"/>
      <c r="G204" s="19" t="s">
        <v>1212</v>
      </c>
      <c r="H204" s="30"/>
      <c r="I204" s="33"/>
      <c r="J204" s="34" t="s">
        <v>431</v>
      </c>
      <c r="K204" s="34" t="s">
        <v>134</v>
      </c>
      <c r="L204" s="34" t="s">
        <v>439</v>
      </c>
    </row>
    <row r="205" spans="1:12" s="1" customFormat="1">
      <c r="A205" s="25"/>
      <c r="B205" s="26" t="s">
        <v>1213</v>
      </c>
      <c r="C205" s="26" t="s">
        <v>136</v>
      </c>
      <c r="D205" s="12" t="s">
        <v>768</v>
      </c>
      <c r="E205" s="30" t="s">
        <v>243</v>
      </c>
      <c r="F205" s="31"/>
      <c r="G205" s="19" t="s">
        <v>1214</v>
      </c>
      <c r="H205" s="30"/>
      <c r="I205" s="33"/>
      <c r="J205" s="34" t="s">
        <v>431</v>
      </c>
      <c r="K205" s="34" t="s">
        <v>134</v>
      </c>
      <c r="L205" s="34" t="s">
        <v>439</v>
      </c>
    </row>
    <row r="206" spans="1:12" s="1" customFormat="1">
      <c r="A206" s="25"/>
      <c r="B206" s="26" t="s">
        <v>1215</v>
      </c>
      <c r="C206" s="26" t="s">
        <v>136</v>
      </c>
      <c r="D206" s="12" t="s">
        <v>771</v>
      </c>
      <c r="E206" s="30" t="s">
        <v>243</v>
      </c>
      <c r="F206" s="31"/>
      <c r="G206" s="19" t="s">
        <v>1216</v>
      </c>
      <c r="H206" s="30"/>
      <c r="I206" s="33"/>
      <c r="J206" s="34" t="s">
        <v>431</v>
      </c>
      <c r="K206" s="34" t="s">
        <v>134</v>
      </c>
      <c r="L206" s="34" t="s">
        <v>439</v>
      </c>
    </row>
    <row r="207" spans="1:12" s="1" customFormat="1">
      <c r="A207" s="25"/>
      <c r="B207" s="26" t="s">
        <v>1217</v>
      </c>
      <c r="C207" s="26" t="s">
        <v>136</v>
      </c>
      <c r="D207" s="12" t="s">
        <v>774</v>
      </c>
      <c r="E207" s="30" t="s">
        <v>243</v>
      </c>
      <c r="F207" s="31"/>
      <c r="G207" s="19" t="s">
        <v>1218</v>
      </c>
      <c r="H207" s="30"/>
      <c r="I207" s="33"/>
      <c r="J207" s="34" t="s">
        <v>431</v>
      </c>
      <c r="K207" s="34" t="s">
        <v>134</v>
      </c>
      <c r="L207" s="34" t="s">
        <v>439</v>
      </c>
    </row>
    <row r="208" spans="1:12" s="1" customFormat="1">
      <c r="A208" s="25"/>
      <c r="B208" s="26" t="s">
        <v>1219</v>
      </c>
      <c r="C208" s="26" t="s">
        <v>136</v>
      </c>
      <c r="D208" s="12" t="s">
        <v>777</v>
      </c>
      <c r="E208" s="30" t="s">
        <v>243</v>
      </c>
      <c r="F208" s="31"/>
      <c r="G208" s="19" t="s">
        <v>1220</v>
      </c>
      <c r="H208" s="30"/>
      <c r="I208" s="33"/>
      <c r="J208" s="34" t="s">
        <v>431</v>
      </c>
      <c r="K208" s="34" t="s">
        <v>134</v>
      </c>
      <c r="L208" s="34" t="s">
        <v>439</v>
      </c>
    </row>
    <row r="209" spans="1:12" s="1" customFormat="1">
      <c r="A209" s="25"/>
      <c r="B209" s="26" t="s">
        <v>1221</v>
      </c>
      <c r="C209" s="26" t="s">
        <v>136</v>
      </c>
      <c r="D209" s="12" t="s">
        <v>1222</v>
      </c>
      <c r="E209" s="30" t="s">
        <v>243</v>
      </c>
      <c r="F209" s="31"/>
      <c r="G209" s="19" t="s">
        <v>903</v>
      </c>
      <c r="H209" s="30"/>
      <c r="I209" s="33"/>
      <c r="J209" s="34" t="s">
        <v>431</v>
      </c>
      <c r="K209" s="34" t="s">
        <v>134</v>
      </c>
      <c r="L209" s="34" t="s">
        <v>610</v>
      </c>
    </row>
    <row r="210" spans="1:12" s="1" customFormat="1" ht="26.4">
      <c r="A210" s="25"/>
      <c r="B210" s="26" t="s">
        <v>1223</v>
      </c>
      <c r="C210" s="26" t="s">
        <v>245</v>
      </c>
      <c r="D210" s="12" t="s">
        <v>1224</v>
      </c>
      <c r="E210" s="30" t="s">
        <v>243</v>
      </c>
      <c r="F210" s="31"/>
      <c r="G210" s="19" t="s">
        <v>909</v>
      </c>
      <c r="H210" s="30"/>
      <c r="I210" s="33"/>
      <c r="J210" s="34" t="s">
        <v>431</v>
      </c>
      <c r="K210" s="34" t="s">
        <v>134</v>
      </c>
      <c r="L210" s="34" t="s">
        <v>432</v>
      </c>
    </row>
    <row r="211" spans="1:12" s="1" customFormat="1">
      <c r="A211" s="25"/>
      <c r="B211" s="26" t="s">
        <v>1225</v>
      </c>
      <c r="C211" s="26" t="s">
        <v>136</v>
      </c>
      <c r="D211" s="12" t="s">
        <v>1226</v>
      </c>
      <c r="E211" s="30" t="s">
        <v>248</v>
      </c>
      <c r="F211" s="31"/>
      <c r="G211" s="19" t="s">
        <v>914</v>
      </c>
      <c r="H211" s="30"/>
      <c r="I211" s="33"/>
      <c r="J211" s="34" t="s">
        <v>431</v>
      </c>
      <c r="K211" s="34" t="s">
        <v>134</v>
      </c>
      <c r="L211" s="34" t="s">
        <v>610</v>
      </c>
    </row>
    <row r="212" spans="1:12" s="1" customFormat="1">
      <c r="A212" s="25"/>
      <c r="B212" s="26" t="s">
        <v>1227</v>
      </c>
      <c r="C212" s="26" t="s">
        <v>245</v>
      </c>
      <c r="D212" s="12" t="s">
        <v>1228</v>
      </c>
      <c r="E212" s="30" t="s">
        <v>248</v>
      </c>
      <c r="F212" s="31"/>
      <c r="G212" s="19" t="s">
        <v>920</v>
      </c>
      <c r="H212" s="30"/>
      <c r="I212" s="33"/>
      <c r="J212" s="34" t="s">
        <v>431</v>
      </c>
      <c r="K212" s="34" t="s">
        <v>134</v>
      </c>
      <c r="L212" s="34" t="s">
        <v>432</v>
      </c>
    </row>
    <row r="213" spans="1:12" s="1" customFormat="1">
      <c r="A213" s="25"/>
      <c r="B213" s="26" t="s">
        <v>1229</v>
      </c>
      <c r="C213" s="26" t="s">
        <v>136</v>
      </c>
      <c r="D213" s="12" t="s">
        <v>1230</v>
      </c>
      <c r="E213" s="30" t="s">
        <v>248</v>
      </c>
      <c r="F213" s="31"/>
      <c r="G213" s="19" t="s">
        <v>926</v>
      </c>
      <c r="H213" s="30"/>
      <c r="I213" s="33"/>
      <c r="J213" s="34" t="s">
        <v>431</v>
      </c>
      <c r="K213" s="34" t="s">
        <v>134</v>
      </c>
      <c r="L213" s="34" t="s">
        <v>610</v>
      </c>
    </row>
    <row r="214" spans="1:12" s="1" customFormat="1">
      <c r="A214" s="25"/>
      <c r="B214" s="26" t="s">
        <v>1231</v>
      </c>
      <c r="C214" s="26" t="s">
        <v>245</v>
      </c>
      <c r="D214" s="12" t="s">
        <v>1232</v>
      </c>
      <c r="E214" s="30" t="s">
        <v>248</v>
      </c>
      <c r="F214" s="31"/>
      <c r="G214" s="19" t="s">
        <v>932</v>
      </c>
      <c r="H214" s="30"/>
      <c r="I214" s="33"/>
      <c r="J214" s="34" t="s">
        <v>431</v>
      </c>
      <c r="K214" s="34" t="s">
        <v>134</v>
      </c>
      <c r="L214" s="34" t="s">
        <v>432</v>
      </c>
    </row>
    <row r="215" spans="1:12" s="1" customFormat="1">
      <c r="A215" s="25"/>
      <c r="B215" s="26" t="s">
        <v>474</v>
      </c>
      <c r="C215" s="26" t="s">
        <v>136</v>
      </c>
      <c r="D215" s="12" t="s">
        <v>1233</v>
      </c>
      <c r="E215" s="30" t="s">
        <v>248</v>
      </c>
      <c r="F215" s="31"/>
      <c r="G215" s="19" t="s">
        <v>1234</v>
      </c>
      <c r="H215" s="30"/>
      <c r="I215" s="33"/>
      <c r="J215" s="34" t="s">
        <v>431</v>
      </c>
      <c r="K215" s="34" t="s">
        <v>134</v>
      </c>
      <c r="L215" s="34" t="s">
        <v>533</v>
      </c>
    </row>
    <row r="216" spans="1:12" s="1" customFormat="1">
      <c r="A216" s="25"/>
      <c r="B216" s="26" t="s">
        <v>2528</v>
      </c>
      <c r="C216" s="26" t="s">
        <v>136</v>
      </c>
      <c r="D216" s="12" t="s">
        <v>1236</v>
      </c>
      <c r="E216" s="30" t="s">
        <v>248</v>
      </c>
      <c r="F216" s="31"/>
      <c r="G216" s="19" t="s">
        <v>1237</v>
      </c>
      <c r="H216" s="30"/>
      <c r="I216" s="33"/>
      <c r="J216" s="34" t="s">
        <v>431</v>
      </c>
      <c r="K216" s="34" t="s">
        <v>134</v>
      </c>
      <c r="L216" s="34" t="s">
        <v>439</v>
      </c>
    </row>
    <row r="217" spans="1:12" s="1" customFormat="1" ht="26.4">
      <c r="A217" s="25"/>
      <c r="B217" s="26" t="s">
        <v>1238</v>
      </c>
      <c r="C217" s="26" t="s">
        <v>245</v>
      </c>
      <c r="D217" s="12" t="s">
        <v>1239</v>
      </c>
      <c r="E217" s="30" t="s">
        <v>248</v>
      </c>
      <c r="F217" s="31"/>
      <c r="G217" s="19" t="s">
        <v>1240</v>
      </c>
      <c r="H217" s="30"/>
      <c r="I217" s="33"/>
      <c r="J217" s="34" t="s">
        <v>431</v>
      </c>
      <c r="K217" s="34" t="s">
        <v>134</v>
      </c>
      <c r="L217" s="34" t="s">
        <v>432</v>
      </c>
    </row>
    <row r="218" spans="1:12" s="1" customFormat="1">
      <c r="A218" s="25"/>
      <c r="B218" s="26" t="s">
        <v>1241</v>
      </c>
      <c r="C218" s="26" t="s">
        <v>245</v>
      </c>
      <c r="D218" s="12" t="s">
        <v>1242</v>
      </c>
      <c r="E218" s="30" t="s">
        <v>923</v>
      </c>
      <c r="F218" s="31"/>
      <c r="G218" s="19" t="s">
        <v>1243</v>
      </c>
      <c r="H218" s="30"/>
      <c r="I218" s="33"/>
      <c r="J218" s="34" t="s">
        <v>431</v>
      </c>
      <c r="K218" s="34" t="s">
        <v>134</v>
      </c>
      <c r="L218" s="34" t="s">
        <v>568</v>
      </c>
    </row>
    <row r="219" spans="1:12" s="1" customFormat="1">
      <c r="A219" s="25"/>
      <c r="B219" s="26" t="s">
        <v>1244</v>
      </c>
      <c r="C219" s="26" t="s">
        <v>136</v>
      </c>
      <c r="D219" s="12" t="s">
        <v>1245</v>
      </c>
      <c r="E219" s="30" t="s">
        <v>243</v>
      </c>
      <c r="F219" s="31"/>
      <c r="G219" s="19" t="s">
        <v>1246</v>
      </c>
      <c r="H219" s="30"/>
      <c r="I219" s="33"/>
      <c r="J219" s="34" t="s">
        <v>431</v>
      </c>
      <c r="K219" s="34" t="s">
        <v>134</v>
      </c>
      <c r="L219" s="34" t="s">
        <v>439</v>
      </c>
    </row>
    <row r="220" spans="1:12" s="1" customFormat="1">
      <c r="A220" s="25"/>
      <c r="B220" s="26" t="s">
        <v>1247</v>
      </c>
      <c r="C220" s="26" t="s">
        <v>136</v>
      </c>
      <c r="D220" s="12" t="s">
        <v>780</v>
      </c>
      <c r="E220" s="30" t="s">
        <v>243</v>
      </c>
      <c r="F220" s="31"/>
      <c r="G220" s="19" t="s">
        <v>1248</v>
      </c>
      <c r="H220" s="30"/>
      <c r="I220" s="33"/>
      <c r="J220" s="34" t="s">
        <v>431</v>
      </c>
      <c r="K220" s="34" t="s">
        <v>134</v>
      </c>
      <c r="L220" s="34" t="s">
        <v>439</v>
      </c>
    </row>
    <row r="221" spans="1:12" s="1" customFormat="1">
      <c r="A221" s="25"/>
      <c r="B221" s="26" t="s">
        <v>1249</v>
      </c>
      <c r="C221" s="26" t="s">
        <v>136</v>
      </c>
      <c r="D221" s="12" t="s">
        <v>782</v>
      </c>
      <c r="E221" s="30" t="s">
        <v>243</v>
      </c>
      <c r="F221" s="31"/>
      <c r="G221" s="19" t="s">
        <v>1250</v>
      </c>
      <c r="H221" s="30"/>
      <c r="I221" s="33"/>
      <c r="J221" s="34" t="s">
        <v>431</v>
      </c>
      <c r="K221" s="34" t="s">
        <v>134</v>
      </c>
      <c r="L221" s="34" t="s">
        <v>439</v>
      </c>
    </row>
    <row r="222" spans="1:12" s="1" customFormat="1">
      <c r="A222" s="25"/>
      <c r="B222" s="26" t="s">
        <v>1251</v>
      </c>
      <c r="C222" s="26" t="s">
        <v>136</v>
      </c>
      <c r="D222" s="12" t="s">
        <v>784</v>
      </c>
      <c r="E222" s="30" t="s">
        <v>243</v>
      </c>
      <c r="F222" s="31"/>
      <c r="G222" s="19" t="s">
        <v>1252</v>
      </c>
      <c r="H222" s="30"/>
      <c r="I222" s="33"/>
      <c r="J222" s="34" t="s">
        <v>431</v>
      </c>
      <c r="K222" s="34" t="s">
        <v>134</v>
      </c>
      <c r="L222" s="34" t="s">
        <v>439</v>
      </c>
    </row>
    <row r="223" spans="1:12" s="1" customFormat="1">
      <c r="A223" s="25"/>
      <c r="B223" s="26" t="s">
        <v>1253</v>
      </c>
      <c r="C223" s="26" t="s">
        <v>136</v>
      </c>
      <c r="D223" s="12" t="s">
        <v>786</v>
      </c>
      <c r="E223" s="30" t="s">
        <v>243</v>
      </c>
      <c r="F223" s="31"/>
      <c r="G223" s="19" t="s">
        <v>1254</v>
      </c>
      <c r="H223" s="30"/>
      <c r="I223" s="33"/>
      <c r="J223" s="34" t="s">
        <v>431</v>
      </c>
      <c r="K223" s="34" t="s">
        <v>134</v>
      </c>
      <c r="L223" s="34" t="s">
        <v>439</v>
      </c>
    </row>
    <row r="224" spans="1:12" s="1" customFormat="1">
      <c r="A224" s="25"/>
      <c r="B224" s="26" t="s">
        <v>1255</v>
      </c>
      <c r="C224" s="26" t="s">
        <v>136</v>
      </c>
      <c r="D224" s="12" t="s">
        <v>788</v>
      </c>
      <c r="E224" s="30" t="s">
        <v>243</v>
      </c>
      <c r="F224" s="31"/>
      <c r="G224" s="19" t="s">
        <v>1256</v>
      </c>
      <c r="H224" s="30"/>
      <c r="I224" s="33"/>
      <c r="J224" s="34" t="s">
        <v>431</v>
      </c>
      <c r="K224" s="34" t="s">
        <v>134</v>
      </c>
      <c r="L224" s="34" t="s">
        <v>439</v>
      </c>
    </row>
    <row r="225" spans="1:12" s="1" customFormat="1">
      <c r="A225" s="25"/>
      <c r="B225" s="26" t="s">
        <v>1257</v>
      </c>
      <c r="C225" s="26" t="s">
        <v>136</v>
      </c>
      <c r="D225" s="12" t="s">
        <v>790</v>
      </c>
      <c r="E225" s="30" t="s">
        <v>243</v>
      </c>
      <c r="F225" s="31"/>
      <c r="G225" s="19" t="s">
        <v>1258</v>
      </c>
      <c r="H225" s="30"/>
      <c r="I225" s="33"/>
      <c r="J225" s="34" t="s">
        <v>431</v>
      </c>
      <c r="K225" s="34" t="s">
        <v>134</v>
      </c>
      <c r="L225" s="34" t="s">
        <v>439</v>
      </c>
    </row>
    <row r="226" spans="1:12" s="1" customFormat="1">
      <c r="A226" s="25"/>
      <c r="B226" s="26" t="s">
        <v>1259</v>
      </c>
      <c r="C226" s="26" t="s">
        <v>136</v>
      </c>
      <c r="D226" s="12" t="s">
        <v>792</v>
      </c>
      <c r="E226" s="30" t="s">
        <v>243</v>
      </c>
      <c r="F226" s="31"/>
      <c r="G226" s="19" t="s">
        <v>1260</v>
      </c>
      <c r="H226" s="30"/>
      <c r="I226" s="33"/>
      <c r="J226" s="34" t="s">
        <v>431</v>
      </c>
      <c r="K226" s="34" t="s">
        <v>134</v>
      </c>
      <c r="L226" s="34" t="s">
        <v>439</v>
      </c>
    </row>
    <row r="227" spans="1:12" s="1" customFormat="1">
      <c r="A227" s="25"/>
      <c r="B227" s="26" t="s">
        <v>1261</v>
      </c>
      <c r="C227" s="26" t="s">
        <v>136</v>
      </c>
      <c r="D227" s="12" t="s">
        <v>794</v>
      </c>
      <c r="E227" s="30" t="s">
        <v>243</v>
      </c>
      <c r="F227" s="31"/>
      <c r="G227" s="19" t="s">
        <v>1262</v>
      </c>
      <c r="H227" s="30"/>
      <c r="I227" s="33"/>
      <c r="J227" s="34" t="s">
        <v>431</v>
      </c>
      <c r="K227" s="34" t="s">
        <v>134</v>
      </c>
      <c r="L227" s="34" t="s">
        <v>439</v>
      </c>
    </row>
    <row r="228" spans="1:12" s="1" customFormat="1">
      <c r="A228" s="25"/>
      <c r="B228" s="26" t="s">
        <v>1263</v>
      </c>
      <c r="C228" s="26" t="s">
        <v>136</v>
      </c>
      <c r="D228" s="12" t="s">
        <v>796</v>
      </c>
      <c r="E228" s="30" t="s">
        <v>243</v>
      </c>
      <c r="F228" s="31"/>
      <c r="G228" s="19" t="s">
        <v>1264</v>
      </c>
      <c r="H228" s="30"/>
      <c r="I228" s="33"/>
      <c r="J228" s="34" t="s">
        <v>431</v>
      </c>
      <c r="K228" s="34" t="s">
        <v>134</v>
      </c>
      <c r="L228" s="34" t="s">
        <v>439</v>
      </c>
    </row>
    <row r="229" spans="1:12" s="1" customFormat="1">
      <c r="A229" s="25"/>
      <c r="B229" s="26" t="s">
        <v>1265</v>
      </c>
      <c r="C229" s="26" t="s">
        <v>136</v>
      </c>
      <c r="D229" s="12" t="s">
        <v>798</v>
      </c>
      <c r="E229" s="30" t="s">
        <v>243</v>
      </c>
      <c r="F229" s="31"/>
      <c r="G229" s="19" t="s">
        <v>1266</v>
      </c>
      <c r="H229" s="30"/>
      <c r="I229" s="33"/>
      <c r="J229" s="34" t="s">
        <v>431</v>
      </c>
      <c r="K229" s="34" t="s">
        <v>134</v>
      </c>
      <c r="L229" s="34" t="s">
        <v>439</v>
      </c>
    </row>
    <row r="230" spans="1:12" s="1" customFormat="1">
      <c r="A230" s="25"/>
      <c r="B230" s="26" t="s">
        <v>1267</v>
      </c>
      <c r="C230" s="26" t="s">
        <v>136</v>
      </c>
      <c r="D230" s="12" t="s">
        <v>800</v>
      </c>
      <c r="E230" s="30" t="s">
        <v>243</v>
      </c>
      <c r="F230" s="31"/>
      <c r="G230" s="19" t="s">
        <v>1246</v>
      </c>
      <c r="H230" s="30"/>
      <c r="I230" s="33"/>
      <c r="J230" s="34" t="s">
        <v>431</v>
      </c>
      <c r="K230" s="34" t="s">
        <v>134</v>
      </c>
      <c r="L230" s="34" t="s">
        <v>439</v>
      </c>
    </row>
    <row r="231" spans="1:12" s="1" customFormat="1">
      <c r="A231" s="25"/>
      <c r="B231" s="26" t="s">
        <v>1268</v>
      </c>
      <c r="C231" s="26" t="s">
        <v>136</v>
      </c>
      <c r="D231" s="12" t="s">
        <v>802</v>
      </c>
      <c r="E231" s="30" t="s">
        <v>243</v>
      </c>
      <c r="F231" s="31"/>
      <c r="G231" s="19" t="s">
        <v>1269</v>
      </c>
      <c r="H231" s="30"/>
      <c r="I231" s="33"/>
      <c r="J231" s="34" t="s">
        <v>431</v>
      </c>
      <c r="K231" s="34" t="s">
        <v>134</v>
      </c>
      <c r="L231" s="34" t="s">
        <v>439</v>
      </c>
    </row>
    <row r="232" spans="1:12" s="1" customFormat="1">
      <c r="A232" s="25"/>
      <c r="B232" s="26" t="s">
        <v>1270</v>
      </c>
      <c r="C232" s="26" t="s">
        <v>136</v>
      </c>
      <c r="D232" s="12" t="s">
        <v>804</v>
      </c>
      <c r="E232" s="30" t="s">
        <v>243</v>
      </c>
      <c r="F232" s="31"/>
      <c r="G232" s="19" t="s">
        <v>1271</v>
      </c>
      <c r="H232" s="30"/>
      <c r="I232" s="33"/>
      <c r="J232" s="34" t="s">
        <v>431</v>
      </c>
      <c r="K232" s="34" t="s">
        <v>134</v>
      </c>
      <c r="L232" s="34" t="s">
        <v>439</v>
      </c>
    </row>
    <row r="233" spans="1:12" s="1" customFormat="1">
      <c r="A233" s="25"/>
      <c r="B233" s="26" t="s">
        <v>2014</v>
      </c>
      <c r="C233" s="26" t="s">
        <v>136</v>
      </c>
      <c r="D233" s="12" t="s">
        <v>1273</v>
      </c>
      <c r="E233" s="30" t="s">
        <v>243</v>
      </c>
      <c r="F233" s="31"/>
      <c r="G233" s="19" t="s">
        <v>1274</v>
      </c>
      <c r="H233" s="30"/>
      <c r="I233" s="33"/>
      <c r="J233" s="34" t="s">
        <v>431</v>
      </c>
      <c r="K233" s="34" t="s">
        <v>134</v>
      </c>
      <c r="L233" s="34" t="s">
        <v>439</v>
      </c>
    </row>
    <row r="234" spans="1:12" s="64" customFormat="1">
      <c r="A234" s="67"/>
      <c r="B234" s="68" t="s">
        <v>385</v>
      </c>
      <c r="C234" s="69" t="s">
        <v>139</v>
      </c>
      <c r="D234" s="43" t="s">
        <v>487</v>
      </c>
      <c r="E234" s="44" t="s">
        <v>243</v>
      </c>
      <c r="F234" s="70" t="s">
        <v>385</v>
      </c>
      <c r="G234" s="70" t="s">
        <v>250</v>
      </c>
      <c r="H234" s="44"/>
      <c r="I234" s="66" t="s">
        <v>662</v>
      </c>
      <c r="J234" s="66" t="s">
        <v>384</v>
      </c>
      <c r="K234" s="47" t="s">
        <v>134</v>
      </c>
      <c r="L234" s="47" t="s">
        <v>134</v>
      </c>
    </row>
    <row r="235" spans="1:12" s="64" customFormat="1">
      <c r="A235" s="67"/>
      <c r="B235" s="68" t="s">
        <v>388</v>
      </c>
      <c r="C235" s="69" t="s">
        <v>139</v>
      </c>
      <c r="D235" s="43" t="s">
        <v>488</v>
      </c>
      <c r="E235" s="44" t="s">
        <v>243</v>
      </c>
      <c r="F235" s="70" t="s">
        <v>388</v>
      </c>
      <c r="G235" s="70" t="s">
        <v>250</v>
      </c>
      <c r="H235" s="44"/>
      <c r="I235" s="66" t="s">
        <v>662</v>
      </c>
      <c r="J235" s="66" t="s">
        <v>384</v>
      </c>
      <c r="K235" s="47" t="s">
        <v>134</v>
      </c>
      <c r="L235" s="47" t="s">
        <v>134</v>
      </c>
    </row>
    <row r="236" spans="1:12" s="64" customFormat="1">
      <c r="A236" s="67"/>
      <c r="B236" s="68" t="s">
        <v>392</v>
      </c>
      <c r="C236" s="69" t="s">
        <v>132</v>
      </c>
      <c r="D236" s="43" t="s">
        <v>391</v>
      </c>
      <c r="E236" s="44" t="s">
        <v>243</v>
      </c>
      <c r="F236" s="70" t="s">
        <v>390</v>
      </c>
      <c r="G236" s="70" t="s">
        <v>250</v>
      </c>
      <c r="H236" s="44"/>
      <c r="I236" s="66" t="s">
        <v>662</v>
      </c>
      <c r="J236" s="66" t="s">
        <v>384</v>
      </c>
      <c r="K236" s="47" t="s">
        <v>134</v>
      </c>
      <c r="L236" s="47" t="s">
        <v>134</v>
      </c>
    </row>
    <row r="237" spans="1:12" s="64" customFormat="1">
      <c r="A237" s="67"/>
      <c r="B237" s="68" t="s">
        <v>395</v>
      </c>
      <c r="C237" s="69" t="s">
        <v>132</v>
      </c>
      <c r="D237" s="43" t="s">
        <v>489</v>
      </c>
      <c r="E237" s="44" t="s">
        <v>243</v>
      </c>
      <c r="F237" s="70" t="s">
        <v>393</v>
      </c>
      <c r="G237" s="70" t="s">
        <v>250</v>
      </c>
      <c r="H237" s="44"/>
      <c r="I237" s="66" t="s">
        <v>662</v>
      </c>
      <c r="J237" s="66" t="s">
        <v>384</v>
      </c>
      <c r="K237" s="47" t="s">
        <v>134</v>
      </c>
      <c r="L237" s="47" t="s">
        <v>134</v>
      </c>
    </row>
    <row r="238" spans="1:12" s="64" customFormat="1">
      <c r="A238" s="67"/>
      <c r="B238" s="68" t="s">
        <v>398</v>
      </c>
      <c r="C238" s="69" t="s">
        <v>132</v>
      </c>
      <c r="D238" s="43" t="s">
        <v>490</v>
      </c>
      <c r="E238" s="44" t="s">
        <v>243</v>
      </c>
      <c r="F238" s="70" t="s">
        <v>396</v>
      </c>
      <c r="G238" s="70" t="s">
        <v>250</v>
      </c>
      <c r="H238" s="44"/>
      <c r="I238" s="66" t="s">
        <v>662</v>
      </c>
      <c r="J238" s="66" t="s">
        <v>384</v>
      </c>
      <c r="K238" s="47" t="s">
        <v>134</v>
      </c>
      <c r="L238" s="47" t="s">
        <v>134</v>
      </c>
    </row>
    <row r="239" spans="1:12" s="64" customFormat="1">
      <c r="A239" s="67"/>
      <c r="B239" s="68" t="s">
        <v>377</v>
      </c>
      <c r="C239" s="69" t="s">
        <v>132</v>
      </c>
      <c r="D239" s="43" t="s">
        <v>482</v>
      </c>
      <c r="E239" s="44" t="s">
        <v>243</v>
      </c>
      <c r="F239" s="70" t="s">
        <v>377</v>
      </c>
      <c r="G239" s="70" t="s">
        <v>250</v>
      </c>
      <c r="H239" s="44"/>
      <c r="I239" s="66" t="s">
        <v>662</v>
      </c>
      <c r="J239" s="66" t="s">
        <v>384</v>
      </c>
      <c r="K239" s="47" t="s">
        <v>134</v>
      </c>
      <c r="L239" s="47" t="s">
        <v>134</v>
      </c>
    </row>
    <row r="240" spans="1:12" s="64" customFormat="1">
      <c r="A240" s="67"/>
      <c r="B240" s="68" t="s">
        <v>400</v>
      </c>
      <c r="C240" s="69" t="s">
        <v>132</v>
      </c>
      <c r="D240" s="43" t="s">
        <v>485</v>
      </c>
      <c r="E240" s="44" t="s">
        <v>243</v>
      </c>
      <c r="F240" s="70" t="s">
        <v>400</v>
      </c>
      <c r="G240" s="70" t="s">
        <v>250</v>
      </c>
      <c r="H240" s="44"/>
      <c r="I240" s="66" t="s">
        <v>662</v>
      </c>
      <c r="J240" s="66" t="s">
        <v>384</v>
      </c>
      <c r="K240" s="47" t="s">
        <v>134</v>
      </c>
      <c r="L240" s="47" t="s">
        <v>134</v>
      </c>
    </row>
    <row r="241" spans="1:12" s="64" customFormat="1">
      <c r="A241" s="67"/>
      <c r="B241" s="68" t="s">
        <v>1275</v>
      </c>
      <c r="C241" s="68" t="s">
        <v>245</v>
      </c>
      <c r="D241" s="43" t="s">
        <v>522</v>
      </c>
      <c r="E241" s="44" t="s">
        <v>243</v>
      </c>
      <c r="F241" s="70"/>
      <c r="G241" s="70" t="s">
        <v>1276</v>
      </c>
      <c r="H241" s="44"/>
      <c r="I241" s="66" t="s">
        <v>662</v>
      </c>
      <c r="J241" s="47" t="s">
        <v>431</v>
      </c>
      <c r="K241" s="47" t="s">
        <v>134</v>
      </c>
      <c r="L241" s="47" t="s">
        <v>524</v>
      </c>
    </row>
    <row r="242" spans="1:12" s="64" customFormat="1">
      <c r="A242" s="67"/>
      <c r="B242" s="68" t="s">
        <v>1277</v>
      </c>
      <c r="C242" s="68" t="s">
        <v>245</v>
      </c>
      <c r="D242" s="43" t="s">
        <v>526</v>
      </c>
      <c r="E242" s="44" t="s">
        <v>243</v>
      </c>
      <c r="F242" s="70"/>
      <c r="G242" s="70" t="s">
        <v>1278</v>
      </c>
      <c r="H242" s="44"/>
      <c r="I242" s="66" t="s">
        <v>662</v>
      </c>
      <c r="J242" s="47" t="s">
        <v>431</v>
      </c>
      <c r="K242" s="47" t="s">
        <v>134</v>
      </c>
      <c r="L242" s="47" t="s">
        <v>528</v>
      </c>
    </row>
    <row r="243" spans="1:12" s="64" customFormat="1">
      <c r="A243" s="67"/>
      <c r="B243" s="68" t="s">
        <v>556</v>
      </c>
      <c r="C243" s="69" t="s">
        <v>136</v>
      </c>
      <c r="D243" s="43" t="s">
        <v>557</v>
      </c>
      <c r="E243" s="44" t="s">
        <v>243</v>
      </c>
      <c r="F243" s="70"/>
      <c r="G243" s="70" t="s">
        <v>1279</v>
      </c>
      <c r="H243" s="44"/>
      <c r="I243" s="66" t="s">
        <v>662</v>
      </c>
      <c r="J243" s="47" t="s">
        <v>431</v>
      </c>
      <c r="K243" s="47" t="s">
        <v>134</v>
      </c>
      <c r="L243" s="47" t="s">
        <v>439</v>
      </c>
    </row>
    <row r="244" spans="1:12" s="64" customFormat="1">
      <c r="A244" s="67"/>
      <c r="B244" s="68" t="s">
        <v>558</v>
      </c>
      <c r="C244" s="69" t="s">
        <v>136</v>
      </c>
      <c r="D244" s="43" t="s">
        <v>559</v>
      </c>
      <c r="E244" s="44" t="s">
        <v>243</v>
      </c>
      <c r="F244" s="70"/>
      <c r="G244" s="70" t="s">
        <v>1280</v>
      </c>
      <c r="H244" s="44"/>
      <c r="I244" s="66" t="s">
        <v>662</v>
      </c>
      <c r="J244" s="47" t="s">
        <v>431</v>
      </c>
      <c r="K244" s="47" t="s">
        <v>134</v>
      </c>
      <c r="L244" s="47" t="s">
        <v>439</v>
      </c>
    </row>
    <row r="245" spans="1:12" s="64" customFormat="1">
      <c r="A245" s="67"/>
      <c r="B245" s="68" t="s">
        <v>560</v>
      </c>
      <c r="C245" s="69" t="s">
        <v>136</v>
      </c>
      <c r="D245" s="43" t="s">
        <v>561</v>
      </c>
      <c r="E245" s="44" t="s">
        <v>243</v>
      </c>
      <c r="F245" s="70"/>
      <c r="G245" s="70" t="s">
        <v>1281</v>
      </c>
      <c r="H245" s="44"/>
      <c r="I245" s="66" t="s">
        <v>662</v>
      </c>
      <c r="J245" s="47" t="s">
        <v>431</v>
      </c>
      <c r="K245" s="47" t="s">
        <v>134</v>
      </c>
      <c r="L245" s="47" t="s">
        <v>439</v>
      </c>
    </row>
    <row r="246" spans="1:12" s="64" customFormat="1">
      <c r="A246" s="67"/>
      <c r="B246" s="68" t="s">
        <v>562</v>
      </c>
      <c r="C246" s="69" t="s">
        <v>136</v>
      </c>
      <c r="D246" s="43" t="s">
        <v>563</v>
      </c>
      <c r="E246" s="44" t="s">
        <v>243</v>
      </c>
      <c r="F246" s="70"/>
      <c r="G246" s="70" t="s">
        <v>1282</v>
      </c>
      <c r="H246" s="44"/>
      <c r="I246" s="66" t="s">
        <v>662</v>
      </c>
      <c r="J246" s="47" t="s">
        <v>431</v>
      </c>
      <c r="K246" s="47" t="s">
        <v>134</v>
      </c>
      <c r="L246" s="47" t="s">
        <v>439</v>
      </c>
    </row>
    <row r="247" spans="1:12" s="64" customFormat="1" ht="39.6">
      <c r="A247" s="67"/>
      <c r="B247" s="68" t="s">
        <v>462</v>
      </c>
      <c r="C247" s="69" t="s">
        <v>136</v>
      </c>
      <c r="D247" s="43" t="s">
        <v>463</v>
      </c>
      <c r="E247" s="44" t="s">
        <v>923</v>
      </c>
      <c r="F247" s="70"/>
      <c r="G247" s="70" t="s">
        <v>1283</v>
      </c>
      <c r="H247" s="44"/>
      <c r="I247" s="66" t="s">
        <v>662</v>
      </c>
      <c r="J247" s="47" t="s">
        <v>431</v>
      </c>
      <c r="K247" s="47" t="s">
        <v>134</v>
      </c>
      <c r="L247" s="47" t="s">
        <v>439</v>
      </c>
    </row>
    <row r="248" spans="1:12" s="64" customFormat="1">
      <c r="A248" s="67"/>
      <c r="B248" s="68" t="s">
        <v>673</v>
      </c>
      <c r="C248" s="69" t="s">
        <v>136</v>
      </c>
      <c r="D248" s="43" t="s">
        <v>674</v>
      </c>
      <c r="E248" s="44" t="s">
        <v>243</v>
      </c>
      <c r="F248" s="70"/>
      <c r="G248" s="70" t="s">
        <v>1284</v>
      </c>
      <c r="H248" s="44"/>
      <c r="I248" s="66" t="s">
        <v>662</v>
      </c>
      <c r="J248" s="47" t="s">
        <v>431</v>
      </c>
      <c r="K248" s="47" t="s">
        <v>134</v>
      </c>
      <c r="L248" s="47" t="s">
        <v>439</v>
      </c>
    </row>
    <row r="249" spans="1:12" s="64" customFormat="1">
      <c r="A249" s="67"/>
      <c r="B249" s="68" t="s">
        <v>676</v>
      </c>
      <c r="C249" s="69" t="s">
        <v>136</v>
      </c>
      <c r="D249" s="43" t="s">
        <v>677</v>
      </c>
      <c r="E249" s="44" t="s">
        <v>243</v>
      </c>
      <c r="F249" s="70"/>
      <c r="G249" s="70" t="s">
        <v>1285</v>
      </c>
      <c r="H249" s="44"/>
      <c r="I249" s="66" t="s">
        <v>662</v>
      </c>
      <c r="J249" s="47" t="s">
        <v>431</v>
      </c>
      <c r="K249" s="47" t="s">
        <v>134</v>
      </c>
      <c r="L249" s="47" t="s">
        <v>439</v>
      </c>
    </row>
    <row r="250" spans="1:12" s="64" customFormat="1">
      <c r="A250" s="67"/>
      <c r="B250" s="68" t="s">
        <v>679</v>
      </c>
      <c r="C250" s="69" t="s">
        <v>136</v>
      </c>
      <c r="D250" s="43" t="s">
        <v>680</v>
      </c>
      <c r="E250" s="44" t="s">
        <v>243</v>
      </c>
      <c r="F250" s="70"/>
      <c r="G250" s="70" t="s">
        <v>1286</v>
      </c>
      <c r="H250" s="44"/>
      <c r="I250" s="66" t="s">
        <v>662</v>
      </c>
      <c r="J250" s="47" t="s">
        <v>431</v>
      </c>
      <c r="K250" s="47" t="s">
        <v>134</v>
      </c>
      <c r="L250" s="47" t="s">
        <v>439</v>
      </c>
    </row>
    <row r="251" spans="1:12" s="64" customFormat="1">
      <c r="A251" s="67"/>
      <c r="B251" s="68" t="s">
        <v>682</v>
      </c>
      <c r="C251" s="69" t="s">
        <v>136</v>
      </c>
      <c r="D251" s="43" t="s">
        <v>683</v>
      </c>
      <c r="E251" s="44" t="s">
        <v>243</v>
      </c>
      <c r="F251" s="70"/>
      <c r="G251" s="70" t="s">
        <v>1287</v>
      </c>
      <c r="H251" s="44"/>
      <c r="I251" s="66" t="s">
        <v>662</v>
      </c>
      <c r="J251" s="47" t="s">
        <v>431</v>
      </c>
      <c r="K251" s="47" t="s">
        <v>134</v>
      </c>
      <c r="L251" s="47" t="s">
        <v>439</v>
      </c>
    </row>
    <row r="252" spans="1:12" s="64" customFormat="1">
      <c r="A252" s="67"/>
      <c r="B252" s="68" t="s">
        <v>685</v>
      </c>
      <c r="C252" s="69" t="s">
        <v>136</v>
      </c>
      <c r="D252" s="43" t="s">
        <v>686</v>
      </c>
      <c r="E252" s="44" t="s">
        <v>243</v>
      </c>
      <c r="F252" s="70"/>
      <c r="G252" s="70" t="s">
        <v>1288</v>
      </c>
      <c r="H252" s="44"/>
      <c r="I252" s="66" t="s">
        <v>662</v>
      </c>
      <c r="J252" s="47" t="s">
        <v>431</v>
      </c>
      <c r="K252" s="47" t="s">
        <v>134</v>
      </c>
      <c r="L252" s="47" t="s">
        <v>439</v>
      </c>
    </row>
    <row r="253" spans="1:12" s="64" customFormat="1">
      <c r="A253" s="67"/>
      <c r="B253" s="68" t="s">
        <v>688</v>
      </c>
      <c r="C253" s="69" t="s">
        <v>136</v>
      </c>
      <c r="D253" s="43" t="s">
        <v>689</v>
      </c>
      <c r="E253" s="44" t="s">
        <v>243</v>
      </c>
      <c r="F253" s="70"/>
      <c r="G253" s="70" t="s">
        <v>1289</v>
      </c>
      <c r="H253" s="44"/>
      <c r="I253" s="66" t="s">
        <v>662</v>
      </c>
      <c r="J253" s="47" t="s">
        <v>431</v>
      </c>
      <c r="K253" s="47" t="s">
        <v>134</v>
      </c>
      <c r="L253" s="47" t="s">
        <v>439</v>
      </c>
    </row>
    <row r="254" spans="1:12" s="64" customFormat="1">
      <c r="A254" s="67"/>
      <c r="B254" s="68" t="s">
        <v>691</v>
      </c>
      <c r="C254" s="69" t="s">
        <v>136</v>
      </c>
      <c r="D254" s="43" t="s">
        <v>692</v>
      </c>
      <c r="E254" s="44" t="s">
        <v>243</v>
      </c>
      <c r="F254" s="70"/>
      <c r="G254" s="70" t="s">
        <v>1290</v>
      </c>
      <c r="H254" s="44"/>
      <c r="I254" s="66" t="s">
        <v>662</v>
      </c>
      <c r="J254" s="47" t="s">
        <v>431</v>
      </c>
      <c r="K254" s="47" t="s">
        <v>134</v>
      </c>
      <c r="L254" s="47" t="s">
        <v>439</v>
      </c>
    </row>
    <row r="255" spans="1:12" s="64" customFormat="1">
      <c r="A255" s="67"/>
      <c r="B255" s="68" t="s">
        <v>694</v>
      </c>
      <c r="C255" s="69" t="s">
        <v>136</v>
      </c>
      <c r="D255" s="43" t="s">
        <v>695</v>
      </c>
      <c r="E255" s="44" t="s">
        <v>243</v>
      </c>
      <c r="F255" s="70"/>
      <c r="G255" s="70" t="s">
        <v>1291</v>
      </c>
      <c r="H255" s="44"/>
      <c r="I255" s="66" t="s">
        <v>662</v>
      </c>
      <c r="J255" s="47" t="s">
        <v>431</v>
      </c>
      <c r="K255" s="47" t="s">
        <v>134</v>
      </c>
      <c r="L255" s="47" t="s">
        <v>439</v>
      </c>
    </row>
    <row r="256" spans="1:12" s="64" customFormat="1">
      <c r="A256" s="67"/>
      <c r="B256" s="68" t="s">
        <v>698</v>
      </c>
      <c r="C256" s="69" t="s">
        <v>136</v>
      </c>
      <c r="D256" s="43" t="s">
        <v>699</v>
      </c>
      <c r="E256" s="44" t="s">
        <v>243</v>
      </c>
      <c r="F256" s="70"/>
      <c r="G256" s="70" t="s">
        <v>1292</v>
      </c>
      <c r="H256" s="44"/>
      <c r="I256" s="66" t="s">
        <v>662</v>
      </c>
      <c r="J256" s="47" t="s">
        <v>431</v>
      </c>
      <c r="K256" s="47" t="s">
        <v>134</v>
      </c>
      <c r="L256" s="47" t="s">
        <v>439</v>
      </c>
    </row>
    <row r="257" spans="1:12" s="64" customFormat="1">
      <c r="A257" s="67"/>
      <c r="B257" s="68" t="s">
        <v>702</v>
      </c>
      <c r="C257" s="69" t="s">
        <v>136</v>
      </c>
      <c r="D257" s="43" t="s">
        <v>703</v>
      </c>
      <c r="E257" s="44" t="s">
        <v>243</v>
      </c>
      <c r="F257" s="70"/>
      <c r="G257" s="70" t="s">
        <v>1293</v>
      </c>
      <c r="H257" s="44"/>
      <c r="I257" s="66" t="s">
        <v>662</v>
      </c>
      <c r="J257" s="47" t="s">
        <v>431</v>
      </c>
      <c r="K257" s="47" t="s">
        <v>134</v>
      </c>
      <c r="L257" s="47" t="s">
        <v>439</v>
      </c>
    </row>
    <row r="258" spans="1:12" s="64" customFormat="1">
      <c r="A258" s="67"/>
      <c r="B258" s="68" t="s">
        <v>706</v>
      </c>
      <c r="C258" s="69" t="s">
        <v>136</v>
      </c>
      <c r="D258" s="43" t="s">
        <v>707</v>
      </c>
      <c r="E258" s="44" t="s">
        <v>243</v>
      </c>
      <c r="F258" s="70"/>
      <c r="G258" s="70" t="s">
        <v>1294</v>
      </c>
      <c r="H258" s="44"/>
      <c r="I258" s="66" t="s">
        <v>662</v>
      </c>
      <c r="J258" s="47" t="s">
        <v>431</v>
      </c>
      <c r="K258" s="47" t="s">
        <v>134</v>
      </c>
      <c r="L258" s="47" t="s">
        <v>439</v>
      </c>
    </row>
    <row r="259" spans="1:12" s="64" customFormat="1">
      <c r="A259" s="67"/>
      <c r="B259" s="68" t="s">
        <v>709</v>
      </c>
      <c r="C259" s="69" t="s">
        <v>136</v>
      </c>
      <c r="D259" s="43" t="s">
        <v>710</v>
      </c>
      <c r="E259" s="44" t="s">
        <v>243</v>
      </c>
      <c r="F259" s="70"/>
      <c r="G259" s="70" t="s">
        <v>1295</v>
      </c>
      <c r="H259" s="44"/>
      <c r="I259" s="66" t="s">
        <v>662</v>
      </c>
      <c r="J259" s="47" t="s">
        <v>431</v>
      </c>
      <c r="K259" s="47" t="s">
        <v>134</v>
      </c>
      <c r="L259" s="47" t="s">
        <v>439</v>
      </c>
    </row>
    <row r="260" spans="1:12" s="64" customFormat="1">
      <c r="A260" s="67"/>
      <c r="B260" s="68" t="s">
        <v>713</v>
      </c>
      <c r="C260" s="69" t="s">
        <v>136</v>
      </c>
      <c r="D260" s="43" t="s">
        <v>714</v>
      </c>
      <c r="E260" s="44" t="s">
        <v>243</v>
      </c>
      <c r="F260" s="70"/>
      <c r="G260" s="70" t="s">
        <v>1296</v>
      </c>
      <c r="H260" s="44"/>
      <c r="I260" s="66" t="s">
        <v>662</v>
      </c>
      <c r="J260" s="47" t="s">
        <v>431</v>
      </c>
      <c r="K260" s="47" t="s">
        <v>134</v>
      </c>
      <c r="L260" s="47" t="s">
        <v>439</v>
      </c>
    </row>
    <row r="261" spans="1:12" s="64" customFormat="1">
      <c r="A261" s="67"/>
      <c r="B261" s="68" t="s">
        <v>716</v>
      </c>
      <c r="C261" s="69" t="s">
        <v>136</v>
      </c>
      <c r="D261" s="43" t="s">
        <v>717</v>
      </c>
      <c r="E261" s="44" t="s">
        <v>243</v>
      </c>
      <c r="F261" s="70"/>
      <c r="G261" s="70" t="s">
        <v>1297</v>
      </c>
      <c r="H261" s="44"/>
      <c r="I261" s="66" t="s">
        <v>662</v>
      </c>
      <c r="J261" s="47" t="s">
        <v>431</v>
      </c>
      <c r="K261" s="47" t="s">
        <v>134</v>
      </c>
      <c r="L261" s="47" t="s">
        <v>439</v>
      </c>
    </row>
    <row r="262" spans="1:12" s="64" customFormat="1">
      <c r="A262" s="67"/>
      <c r="B262" s="68" t="s">
        <v>719</v>
      </c>
      <c r="C262" s="69" t="s">
        <v>136</v>
      </c>
      <c r="D262" s="43" t="s">
        <v>720</v>
      </c>
      <c r="E262" s="44" t="s">
        <v>243</v>
      </c>
      <c r="F262" s="70"/>
      <c r="G262" s="70" t="s">
        <v>1298</v>
      </c>
      <c r="H262" s="44"/>
      <c r="I262" s="66" t="s">
        <v>662</v>
      </c>
      <c r="J262" s="47" t="s">
        <v>431</v>
      </c>
      <c r="K262" s="47" t="s">
        <v>134</v>
      </c>
      <c r="L262" s="47" t="s">
        <v>439</v>
      </c>
    </row>
    <row r="263" spans="1:12" s="64" customFormat="1">
      <c r="A263" s="67"/>
      <c r="B263" s="68" t="s">
        <v>722</v>
      </c>
      <c r="C263" s="69" t="s">
        <v>136</v>
      </c>
      <c r="D263" s="43" t="s">
        <v>723</v>
      </c>
      <c r="E263" s="44" t="s">
        <v>243</v>
      </c>
      <c r="F263" s="70"/>
      <c r="G263" s="70" t="s">
        <v>1299</v>
      </c>
      <c r="H263" s="44"/>
      <c r="I263" s="66" t="s">
        <v>662</v>
      </c>
      <c r="J263" s="47" t="s">
        <v>431</v>
      </c>
      <c r="K263" s="47" t="s">
        <v>134</v>
      </c>
      <c r="L263" s="47" t="s">
        <v>439</v>
      </c>
    </row>
    <row r="264" spans="1:12" s="64" customFormat="1">
      <c r="A264" s="67"/>
      <c r="B264" s="68" t="s">
        <v>725</v>
      </c>
      <c r="C264" s="69" t="s">
        <v>136</v>
      </c>
      <c r="D264" s="43" t="s">
        <v>726</v>
      </c>
      <c r="E264" s="44" t="s">
        <v>243</v>
      </c>
      <c r="F264" s="70"/>
      <c r="G264" s="70" t="s">
        <v>1300</v>
      </c>
      <c r="H264" s="44"/>
      <c r="I264" s="66" t="s">
        <v>662</v>
      </c>
      <c r="J264" s="47" t="s">
        <v>431</v>
      </c>
      <c r="K264" s="47" t="s">
        <v>134</v>
      </c>
      <c r="L264" s="47" t="s">
        <v>439</v>
      </c>
    </row>
    <row r="265" spans="1:12" s="64" customFormat="1">
      <c r="A265" s="67"/>
      <c r="B265" s="68" t="s">
        <v>728</v>
      </c>
      <c r="C265" s="69" t="s">
        <v>136</v>
      </c>
      <c r="D265" s="43" t="s">
        <v>729</v>
      </c>
      <c r="E265" s="44" t="s">
        <v>243</v>
      </c>
      <c r="F265" s="70"/>
      <c r="G265" s="70" t="s">
        <v>1301</v>
      </c>
      <c r="H265" s="44"/>
      <c r="I265" s="66" t="s">
        <v>662</v>
      </c>
      <c r="J265" s="47" t="s">
        <v>431</v>
      </c>
      <c r="K265" s="47" t="s">
        <v>134</v>
      </c>
      <c r="L265" s="47" t="s">
        <v>439</v>
      </c>
    </row>
    <row r="266" spans="1:12" s="64" customFormat="1">
      <c r="A266" s="67"/>
      <c r="B266" s="68" t="s">
        <v>731</v>
      </c>
      <c r="C266" s="69" t="s">
        <v>136</v>
      </c>
      <c r="D266" s="43" t="s">
        <v>732</v>
      </c>
      <c r="E266" s="44" t="s">
        <v>243</v>
      </c>
      <c r="F266" s="70"/>
      <c r="G266" s="70" t="s">
        <v>1302</v>
      </c>
      <c r="H266" s="44"/>
      <c r="I266" s="66" t="s">
        <v>662</v>
      </c>
      <c r="J266" s="47" t="s">
        <v>431</v>
      </c>
      <c r="K266" s="47" t="s">
        <v>134</v>
      </c>
      <c r="L266" s="47" t="s">
        <v>439</v>
      </c>
    </row>
    <row r="267" spans="1:12" s="64" customFormat="1">
      <c r="A267" s="67"/>
      <c r="B267" s="68" t="s">
        <v>734</v>
      </c>
      <c r="C267" s="69" t="s">
        <v>136</v>
      </c>
      <c r="D267" s="43" t="s">
        <v>735</v>
      </c>
      <c r="E267" s="44" t="s">
        <v>243</v>
      </c>
      <c r="F267" s="70"/>
      <c r="G267" s="70" t="s">
        <v>1303</v>
      </c>
      <c r="H267" s="44"/>
      <c r="I267" s="66" t="s">
        <v>662</v>
      </c>
      <c r="J267" s="47" t="s">
        <v>431</v>
      </c>
      <c r="K267" s="47" t="s">
        <v>134</v>
      </c>
      <c r="L267" s="47" t="s">
        <v>439</v>
      </c>
    </row>
    <row r="268" spans="1:12" s="64" customFormat="1">
      <c r="A268" s="67"/>
      <c r="B268" s="68" t="s">
        <v>737</v>
      </c>
      <c r="C268" s="69" t="s">
        <v>136</v>
      </c>
      <c r="D268" s="43" t="s">
        <v>738</v>
      </c>
      <c r="E268" s="44" t="s">
        <v>243</v>
      </c>
      <c r="F268" s="70"/>
      <c r="G268" s="70" t="s">
        <v>1304</v>
      </c>
      <c r="H268" s="44"/>
      <c r="I268" s="66" t="s">
        <v>662</v>
      </c>
      <c r="J268" s="47" t="s">
        <v>431</v>
      </c>
      <c r="K268" s="47" t="s">
        <v>134</v>
      </c>
      <c r="L268" s="47" t="s">
        <v>439</v>
      </c>
    </row>
    <row r="269" spans="1:12" s="64" customFormat="1">
      <c r="A269" s="67"/>
      <c r="B269" s="68" t="s">
        <v>740</v>
      </c>
      <c r="C269" s="69" t="s">
        <v>136</v>
      </c>
      <c r="D269" s="43" t="s">
        <v>741</v>
      </c>
      <c r="E269" s="44" t="s">
        <v>243</v>
      </c>
      <c r="F269" s="70"/>
      <c r="G269" s="70" t="s">
        <v>1305</v>
      </c>
      <c r="H269" s="44"/>
      <c r="I269" s="66" t="s">
        <v>662</v>
      </c>
      <c r="J269" s="47" t="s">
        <v>431</v>
      </c>
      <c r="K269" s="47" t="s">
        <v>134</v>
      </c>
      <c r="L269" s="47" t="s">
        <v>439</v>
      </c>
    </row>
    <row r="270" spans="1:12" s="64" customFormat="1">
      <c r="A270" s="67"/>
      <c r="B270" s="68" t="s">
        <v>2056</v>
      </c>
      <c r="C270" s="68" t="s">
        <v>136</v>
      </c>
      <c r="D270" s="43" t="s">
        <v>2055</v>
      </c>
      <c r="E270" s="44" t="s">
        <v>243</v>
      </c>
      <c r="F270" s="70"/>
      <c r="G270" s="70" t="s">
        <v>2062</v>
      </c>
      <c r="H270" s="71"/>
      <c r="I270" s="66" t="s">
        <v>662</v>
      </c>
      <c r="J270" s="47" t="s">
        <v>431</v>
      </c>
      <c r="K270" s="47" t="s">
        <v>134</v>
      </c>
      <c r="L270" s="47" t="s">
        <v>439</v>
      </c>
    </row>
    <row r="271" spans="1:12" s="64" customFormat="1">
      <c r="A271" s="67"/>
      <c r="B271" s="68" t="s">
        <v>2060</v>
      </c>
      <c r="C271" s="68" t="s">
        <v>136</v>
      </c>
      <c r="D271" s="43" t="s">
        <v>2061</v>
      </c>
      <c r="E271" s="44" t="s">
        <v>243</v>
      </c>
      <c r="F271" s="70"/>
      <c r="G271" s="70" t="s">
        <v>2063</v>
      </c>
      <c r="H271" s="71"/>
      <c r="I271" s="66" t="s">
        <v>662</v>
      </c>
      <c r="J271" s="47" t="s">
        <v>431</v>
      </c>
      <c r="K271" s="47" t="s">
        <v>134</v>
      </c>
      <c r="L271" s="47" t="s">
        <v>439</v>
      </c>
    </row>
    <row r="272" spans="1:12" s="39" customFormat="1">
      <c r="A272" s="41"/>
      <c r="B272" s="41" t="s">
        <v>2080</v>
      </c>
      <c r="C272" s="41" t="s">
        <v>132</v>
      </c>
      <c r="D272" s="42" t="s">
        <v>2068</v>
      </c>
      <c r="E272" s="41" t="s">
        <v>243</v>
      </c>
      <c r="F272" s="41"/>
      <c r="G272" s="42" t="s">
        <v>2081</v>
      </c>
      <c r="H272" s="41"/>
      <c r="I272" s="66" t="s">
        <v>662</v>
      </c>
      <c r="J272" s="41" t="s">
        <v>431</v>
      </c>
      <c r="K272" s="41" t="s">
        <v>134</v>
      </c>
      <c r="L272" s="46" t="s">
        <v>1623</v>
      </c>
    </row>
    <row r="273" spans="1:17" s="39" customFormat="1">
      <c r="A273" s="41"/>
      <c r="B273" s="41" t="s">
        <v>2082</v>
      </c>
      <c r="C273" s="41" t="s">
        <v>132</v>
      </c>
      <c r="D273" s="42" t="s">
        <v>2071</v>
      </c>
      <c r="E273" s="41" t="s">
        <v>243</v>
      </c>
      <c r="F273" s="41"/>
      <c r="G273" s="42" t="s">
        <v>2083</v>
      </c>
      <c r="H273" s="41"/>
      <c r="I273" s="66" t="s">
        <v>662</v>
      </c>
      <c r="J273" s="41" t="s">
        <v>431</v>
      </c>
      <c r="K273" s="41" t="s">
        <v>134</v>
      </c>
      <c r="L273" s="46" t="s">
        <v>1623</v>
      </c>
    </row>
    <row r="274" spans="1:17" s="64" customFormat="1">
      <c r="A274" s="67"/>
      <c r="B274" s="68" t="s">
        <v>2591</v>
      </c>
      <c r="C274" s="69" t="s">
        <v>136</v>
      </c>
      <c r="D274" s="43" t="s">
        <v>2592</v>
      </c>
      <c r="E274" s="44" t="s">
        <v>248</v>
      </c>
      <c r="F274" s="70"/>
      <c r="G274" s="70" t="s">
        <v>2597</v>
      </c>
      <c r="H274" s="44"/>
      <c r="I274" s="66" t="s">
        <v>662</v>
      </c>
      <c r="J274" s="47" t="s">
        <v>431</v>
      </c>
      <c r="K274" s="47" t="s">
        <v>134</v>
      </c>
      <c r="L274" s="47" t="s">
        <v>439</v>
      </c>
    </row>
    <row r="275" spans="1:17" s="64" customFormat="1" ht="26.4">
      <c r="A275" s="67"/>
      <c r="B275" s="68" t="s">
        <v>2594</v>
      </c>
      <c r="C275" s="69" t="s">
        <v>136</v>
      </c>
      <c r="D275" s="43" t="s">
        <v>2595</v>
      </c>
      <c r="E275" s="44" t="s">
        <v>248</v>
      </c>
      <c r="F275" s="70"/>
      <c r="G275" s="70" t="s">
        <v>2598</v>
      </c>
      <c r="H275" s="44"/>
      <c r="I275" s="66" t="s">
        <v>662</v>
      </c>
      <c r="J275" s="47" t="s">
        <v>431</v>
      </c>
      <c r="K275" s="47" t="s">
        <v>134</v>
      </c>
      <c r="L275" s="47" t="s">
        <v>533</v>
      </c>
    </row>
    <row r="276" spans="1:17" s="4" customFormat="1">
      <c r="B276" s="50" t="s">
        <v>233</v>
      </c>
      <c r="C276" s="51" t="s">
        <v>139</v>
      </c>
      <c r="D276" s="37" t="s">
        <v>234</v>
      </c>
      <c r="E276" s="52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</row>
    <row r="277" spans="1:17" s="4" customFormat="1">
      <c r="B277" s="50" t="s">
        <v>235</v>
      </c>
      <c r="C277" s="51" t="s">
        <v>132</v>
      </c>
      <c r="D277" s="37" t="s">
        <v>236</v>
      </c>
      <c r="E277" s="52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</row>
    <row r="278" spans="1:17" s="4" customFormat="1">
      <c r="B278" s="50" t="s">
        <v>237</v>
      </c>
      <c r="C278" s="51" t="s">
        <v>139</v>
      </c>
      <c r="D278" s="37" t="s">
        <v>238</v>
      </c>
      <c r="E278" s="52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</row>
    <row r="279" spans="1:17" s="4" customFormat="1">
      <c r="B279" s="50" t="s">
        <v>241</v>
      </c>
      <c r="C279" s="51" t="s">
        <v>139</v>
      </c>
      <c r="D279" s="37" t="s">
        <v>242</v>
      </c>
      <c r="E279" s="52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</row>
  </sheetData>
  <autoFilter ref="A14:Q279" xr:uid="{00000000-0009-0000-0000-00000B000000}"/>
  <mergeCells count="5">
    <mergeCell ref="B2:H2"/>
    <mergeCell ref="B3:H3"/>
    <mergeCell ref="B7:H7"/>
    <mergeCell ref="B13:L13"/>
    <mergeCell ref="F9:G10"/>
  </mergeCells>
  <phoneticPr fontId="19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77"/>
  <sheetViews>
    <sheetView zoomScale="85" zoomScaleNormal="85" workbookViewId="0">
      <pane ySplit="5" topLeftCell="A6" activePane="bottomLeft" state="frozen"/>
      <selection activeCell="F6" sqref="F6"/>
      <selection pane="bottomLeft" activeCell="C9" sqref="C9"/>
    </sheetView>
  </sheetViews>
  <sheetFormatPr defaultColWidth="9" defaultRowHeight="13.2"/>
  <cols>
    <col min="1" max="1" width="1.33203125" style="5" customWidth="1"/>
    <col min="2" max="2" width="23.6640625" style="5" customWidth="1"/>
    <col min="3" max="3" width="32.109375" style="5" customWidth="1"/>
    <col min="4" max="4" width="32.21875" style="5" customWidth="1"/>
    <col min="5" max="5" width="16.21875" style="5" customWidth="1"/>
    <col min="6" max="6" width="24.88671875" style="5" customWidth="1"/>
    <col min="7" max="7" width="39.5546875" style="5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2:12">
      <c r="B1" s="7" t="str">
        <f>HYPERLINK("#导航!a2","返回")</f>
        <v>返回</v>
      </c>
    </row>
    <row r="2" spans="2:12">
      <c r="B2" s="156"/>
      <c r="C2" s="156"/>
      <c r="D2" s="156"/>
      <c r="E2" s="156"/>
      <c r="F2" s="156"/>
      <c r="G2" s="156"/>
      <c r="H2" s="156"/>
    </row>
    <row r="3" spans="2:12">
      <c r="B3" s="157" t="s">
        <v>106</v>
      </c>
      <c r="C3" s="157"/>
      <c r="D3" s="157"/>
      <c r="E3" s="157"/>
      <c r="F3" s="157"/>
      <c r="G3" s="157"/>
      <c r="H3" s="157"/>
    </row>
    <row r="4" spans="2:12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2:12">
      <c r="B5" s="11" t="s">
        <v>55</v>
      </c>
      <c r="C5" s="12" t="s">
        <v>2313</v>
      </c>
      <c r="D5" s="13" t="s">
        <v>63</v>
      </c>
      <c r="E5" s="14" t="s">
        <v>379</v>
      </c>
      <c r="F5" s="15"/>
      <c r="G5" s="14"/>
      <c r="H5" s="14"/>
    </row>
    <row r="6" spans="2:12">
      <c r="B6" s="8"/>
      <c r="C6" s="8"/>
      <c r="D6" s="8"/>
      <c r="E6" s="8"/>
      <c r="F6" s="8"/>
      <c r="G6" s="8"/>
      <c r="H6" s="8"/>
    </row>
    <row r="7" spans="2:12">
      <c r="B7" s="157" t="s">
        <v>113</v>
      </c>
      <c r="C7" s="157"/>
      <c r="D7" s="157"/>
      <c r="E7" s="157"/>
      <c r="F7" s="157"/>
      <c r="G7" s="157"/>
      <c r="H7" s="157"/>
    </row>
    <row r="8" spans="2:12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2:12">
      <c r="B9" s="14"/>
      <c r="C9" s="12" t="s">
        <v>2312</v>
      </c>
      <c r="D9" s="12" t="s">
        <v>61</v>
      </c>
      <c r="E9" s="14" t="s">
        <v>243</v>
      </c>
      <c r="F9" s="19"/>
      <c r="G9" s="19"/>
      <c r="H9" s="21" t="s">
        <v>38</v>
      </c>
    </row>
    <row r="10" spans="2:12">
      <c r="B10" s="14"/>
      <c r="C10" s="12"/>
      <c r="D10" s="12"/>
      <c r="E10" s="14"/>
      <c r="F10" s="19"/>
      <c r="G10" s="19"/>
      <c r="H10" s="14"/>
    </row>
    <row r="11" spans="2:12">
      <c r="G11" s="48"/>
    </row>
    <row r="12" spans="2:12">
      <c r="B12" s="5" t="s">
        <v>120</v>
      </c>
    </row>
    <row r="13" spans="2:12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2:12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2:12" s="2" customFormat="1">
      <c r="B15" s="49" t="s">
        <v>273</v>
      </c>
      <c r="C15" s="49" t="s">
        <v>139</v>
      </c>
      <c r="D15" s="12" t="s">
        <v>274</v>
      </c>
      <c r="E15" s="30" t="s">
        <v>243</v>
      </c>
      <c r="F15" s="19" t="s">
        <v>233</v>
      </c>
      <c r="G15" s="19" t="s">
        <v>250</v>
      </c>
      <c r="H15" s="73"/>
      <c r="I15" s="34"/>
      <c r="J15" s="34" t="s">
        <v>384</v>
      </c>
      <c r="K15" s="34" t="s">
        <v>134</v>
      </c>
      <c r="L15" s="34" t="s">
        <v>134</v>
      </c>
    </row>
    <row r="16" spans="2:12" s="2" customFormat="1">
      <c r="B16" s="49" t="s">
        <v>383</v>
      </c>
      <c r="C16" s="49" t="s">
        <v>132</v>
      </c>
      <c r="D16" s="12" t="s">
        <v>480</v>
      </c>
      <c r="E16" s="30" t="s">
        <v>243</v>
      </c>
      <c r="F16" s="19" t="s">
        <v>235</v>
      </c>
      <c r="G16" s="19" t="s">
        <v>250</v>
      </c>
      <c r="H16" s="73"/>
      <c r="I16" s="34"/>
      <c r="J16" s="34" t="s">
        <v>384</v>
      </c>
      <c r="K16" s="34" t="s">
        <v>134</v>
      </c>
      <c r="L16" s="34" t="s">
        <v>134</v>
      </c>
    </row>
    <row r="17" spans="1:12" s="2" customFormat="1">
      <c r="B17" s="49" t="s">
        <v>379</v>
      </c>
      <c r="C17" s="49" t="s">
        <v>139</v>
      </c>
      <c r="D17" s="12" t="s">
        <v>48</v>
      </c>
      <c r="E17" s="30" t="s">
        <v>243</v>
      </c>
      <c r="F17" s="19" t="s">
        <v>237</v>
      </c>
      <c r="G17" s="19" t="s">
        <v>250</v>
      </c>
      <c r="H17" s="73"/>
      <c r="I17" s="34"/>
      <c r="J17" s="34" t="s">
        <v>384</v>
      </c>
      <c r="K17" s="34" t="s">
        <v>134</v>
      </c>
      <c r="L17" s="34" t="s">
        <v>134</v>
      </c>
    </row>
    <row r="18" spans="1:12" s="2" customFormat="1">
      <c r="A18" s="29"/>
      <c r="B18" s="49" t="s">
        <v>284</v>
      </c>
      <c r="C18" s="49" t="s">
        <v>132</v>
      </c>
      <c r="D18" s="12" t="s">
        <v>285</v>
      </c>
      <c r="E18" s="30" t="s">
        <v>243</v>
      </c>
      <c r="F18" s="19" t="s">
        <v>284</v>
      </c>
      <c r="G18" s="19" t="s">
        <v>250</v>
      </c>
      <c r="H18" s="73"/>
      <c r="I18" s="34"/>
      <c r="J18" s="34" t="s">
        <v>384</v>
      </c>
      <c r="K18" s="34" t="s">
        <v>134</v>
      </c>
      <c r="L18" s="34" t="s">
        <v>134</v>
      </c>
    </row>
    <row r="19" spans="1:12" s="2" customFormat="1">
      <c r="A19" s="29"/>
      <c r="B19" s="49" t="s">
        <v>287</v>
      </c>
      <c r="C19" s="49" t="s">
        <v>139</v>
      </c>
      <c r="D19" s="12" t="s">
        <v>808</v>
      </c>
      <c r="E19" s="30" t="s">
        <v>243</v>
      </c>
      <c r="F19" s="19" t="s">
        <v>287</v>
      </c>
      <c r="G19" s="19" t="s">
        <v>250</v>
      </c>
      <c r="H19" s="73"/>
      <c r="I19" s="34"/>
      <c r="J19" s="34" t="s">
        <v>384</v>
      </c>
      <c r="K19" s="34" t="s">
        <v>134</v>
      </c>
      <c r="L19" s="34" t="s">
        <v>134</v>
      </c>
    </row>
    <row r="20" spans="1:12" s="2" customFormat="1">
      <c r="A20" s="29"/>
      <c r="B20" s="14" t="s">
        <v>491</v>
      </c>
      <c r="C20" s="14" t="s">
        <v>139</v>
      </c>
      <c r="D20" s="12" t="s">
        <v>809</v>
      </c>
      <c r="E20" s="30" t="s">
        <v>243</v>
      </c>
      <c r="F20" s="19" t="s">
        <v>491</v>
      </c>
      <c r="G20" s="19" t="s">
        <v>250</v>
      </c>
      <c r="H20" s="73"/>
      <c r="I20" s="34"/>
      <c r="J20" s="34" t="s">
        <v>384</v>
      </c>
      <c r="K20" s="34" t="s">
        <v>134</v>
      </c>
      <c r="L20" s="34" t="s">
        <v>134</v>
      </c>
    </row>
    <row r="21" spans="1:12" s="2" customFormat="1">
      <c r="A21" s="29"/>
      <c r="B21" s="14" t="s">
        <v>251</v>
      </c>
      <c r="C21" s="14" t="s">
        <v>132</v>
      </c>
      <c r="D21" s="12" t="s">
        <v>252</v>
      </c>
      <c r="E21" s="30" t="s">
        <v>243</v>
      </c>
      <c r="F21" s="19" t="s">
        <v>251</v>
      </c>
      <c r="G21" s="19" t="s">
        <v>250</v>
      </c>
      <c r="H21" s="73"/>
      <c r="I21" s="34"/>
      <c r="J21" s="34" t="s">
        <v>384</v>
      </c>
      <c r="K21" s="34" t="s">
        <v>134</v>
      </c>
      <c r="L21" s="34" t="s">
        <v>134</v>
      </c>
    </row>
    <row r="22" spans="1:12" s="2" customFormat="1">
      <c r="A22" s="29"/>
      <c r="B22" s="14" t="s">
        <v>211</v>
      </c>
      <c r="C22" s="14" t="s">
        <v>139</v>
      </c>
      <c r="D22" s="12" t="s">
        <v>810</v>
      </c>
      <c r="E22" s="30" t="s">
        <v>243</v>
      </c>
      <c r="F22" s="19" t="s">
        <v>211</v>
      </c>
      <c r="G22" s="19" t="s">
        <v>250</v>
      </c>
      <c r="H22" s="73"/>
      <c r="I22" s="34"/>
      <c r="J22" s="34" t="s">
        <v>384</v>
      </c>
      <c r="K22" s="34" t="s">
        <v>134</v>
      </c>
      <c r="L22" s="34" t="s">
        <v>134</v>
      </c>
    </row>
    <row r="23" spans="1:12" s="2" customFormat="1">
      <c r="A23" s="29"/>
      <c r="B23" s="14" t="s">
        <v>371</v>
      </c>
      <c r="C23" s="14" t="s">
        <v>139</v>
      </c>
      <c r="D23" s="12" t="s">
        <v>497</v>
      </c>
      <c r="E23" s="30" t="s">
        <v>243</v>
      </c>
      <c r="F23" s="19" t="s">
        <v>371</v>
      </c>
      <c r="G23" s="19" t="s">
        <v>250</v>
      </c>
      <c r="H23" s="73"/>
      <c r="I23" s="34"/>
      <c r="J23" s="34" t="s">
        <v>384</v>
      </c>
      <c r="K23" s="34" t="s">
        <v>134</v>
      </c>
      <c r="L23" s="34" t="s">
        <v>134</v>
      </c>
    </row>
    <row r="24" spans="1:12" s="2" customFormat="1">
      <c r="A24" s="29"/>
      <c r="B24" s="14" t="s">
        <v>373</v>
      </c>
      <c r="C24" s="14" t="s">
        <v>139</v>
      </c>
      <c r="D24" s="12" t="s">
        <v>498</v>
      </c>
      <c r="E24" s="30" t="s">
        <v>243</v>
      </c>
      <c r="F24" s="19" t="s">
        <v>373</v>
      </c>
      <c r="G24" s="19" t="s">
        <v>250</v>
      </c>
      <c r="H24" s="73"/>
      <c r="I24" s="34"/>
      <c r="J24" s="34" t="s">
        <v>384</v>
      </c>
      <c r="K24" s="34" t="s">
        <v>134</v>
      </c>
      <c r="L24" s="34" t="s">
        <v>134</v>
      </c>
    </row>
    <row r="25" spans="1:12" s="2" customFormat="1">
      <c r="A25" s="29"/>
      <c r="B25" s="49" t="s">
        <v>811</v>
      </c>
      <c r="C25" s="49" t="s">
        <v>136</v>
      </c>
      <c r="D25" s="12" t="s">
        <v>812</v>
      </c>
      <c r="E25" s="30" t="s">
        <v>243</v>
      </c>
      <c r="F25" s="19"/>
      <c r="G25" s="19" t="s">
        <v>1306</v>
      </c>
      <c r="H25" s="73"/>
      <c r="I25" s="34"/>
      <c r="J25" s="34" t="s">
        <v>431</v>
      </c>
      <c r="K25" s="34" t="s">
        <v>134</v>
      </c>
      <c r="L25" s="34" t="s">
        <v>439</v>
      </c>
    </row>
    <row r="26" spans="1:12" s="2" customFormat="1">
      <c r="A26" s="29"/>
      <c r="B26" s="14" t="s">
        <v>814</v>
      </c>
      <c r="C26" s="14" t="s">
        <v>136</v>
      </c>
      <c r="D26" s="12" t="s">
        <v>815</v>
      </c>
      <c r="E26" s="30" t="s">
        <v>243</v>
      </c>
      <c r="F26" s="19"/>
      <c r="G26" s="19" t="s">
        <v>1307</v>
      </c>
      <c r="H26" s="73"/>
      <c r="I26" s="34"/>
      <c r="J26" s="34" t="s">
        <v>431</v>
      </c>
      <c r="K26" s="34" t="s">
        <v>134</v>
      </c>
      <c r="L26" s="34" t="s">
        <v>533</v>
      </c>
    </row>
    <row r="27" spans="1:12" s="2" customFormat="1">
      <c r="A27" s="29"/>
      <c r="B27" s="14" t="s">
        <v>817</v>
      </c>
      <c r="C27" s="14" t="s">
        <v>245</v>
      </c>
      <c r="D27" s="12" t="s">
        <v>818</v>
      </c>
      <c r="E27" s="30" t="s">
        <v>243</v>
      </c>
      <c r="F27" s="19"/>
      <c r="G27" s="19" t="s">
        <v>1308</v>
      </c>
      <c r="H27" s="73"/>
      <c r="I27" s="34"/>
      <c r="J27" s="34" t="s">
        <v>431</v>
      </c>
      <c r="K27" s="34" t="s">
        <v>134</v>
      </c>
      <c r="L27" s="34" t="s">
        <v>432</v>
      </c>
    </row>
    <row r="28" spans="1:12" s="2" customFormat="1">
      <c r="A28" s="29"/>
      <c r="B28" s="14" t="s">
        <v>820</v>
      </c>
      <c r="C28" s="14" t="s">
        <v>136</v>
      </c>
      <c r="D28" s="12" t="s">
        <v>821</v>
      </c>
      <c r="E28" s="30" t="s">
        <v>243</v>
      </c>
      <c r="F28" s="19"/>
      <c r="G28" s="19" t="s">
        <v>1309</v>
      </c>
      <c r="H28" s="73"/>
      <c r="I28" s="34"/>
      <c r="J28" s="34" t="s">
        <v>431</v>
      </c>
      <c r="K28" s="34" t="s">
        <v>134</v>
      </c>
      <c r="L28" s="34" t="s">
        <v>439</v>
      </c>
    </row>
    <row r="29" spans="1:12" s="2" customFormat="1">
      <c r="A29" s="29"/>
      <c r="B29" s="14" t="s">
        <v>823</v>
      </c>
      <c r="C29" s="14" t="s">
        <v>136</v>
      </c>
      <c r="D29" s="12" t="s">
        <v>824</v>
      </c>
      <c r="E29" s="30" t="s">
        <v>243</v>
      </c>
      <c r="F29" s="19"/>
      <c r="G29" s="19" t="s">
        <v>1310</v>
      </c>
      <c r="H29" s="73"/>
      <c r="I29" s="34"/>
      <c r="J29" s="34" t="s">
        <v>431</v>
      </c>
      <c r="K29" s="34" t="s">
        <v>134</v>
      </c>
      <c r="L29" s="34" t="s">
        <v>439</v>
      </c>
    </row>
    <row r="30" spans="1:12" s="2" customFormat="1">
      <c r="A30" s="29"/>
      <c r="B30" s="49" t="s">
        <v>826</v>
      </c>
      <c r="C30" s="49" t="s">
        <v>136</v>
      </c>
      <c r="D30" s="12" t="s">
        <v>827</v>
      </c>
      <c r="E30" s="30" t="s">
        <v>243</v>
      </c>
      <c r="F30" s="19"/>
      <c r="G30" s="19" t="s">
        <v>1311</v>
      </c>
      <c r="H30" s="73"/>
      <c r="I30" s="34"/>
      <c r="J30" s="34" t="s">
        <v>431</v>
      </c>
      <c r="K30" s="34" t="s">
        <v>134</v>
      </c>
      <c r="L30" s="34" t="s">
        <v>439</v>
      </c>
    </row>
    <row r="31" spans="1:12" s="2" customFormat="1">
      <c r="B31" s="49" t="s">
        <v>829</v>
      </c>
      <c r="C31" s="49" t="s">
        <v>136</v>
      </c>
      <c r="D31" s="12" t="s">
        <v>830</v>
      </c>
      <c r="E31" s="30" t="s">
        <v>243</v>
      </c>
      <c r="F31" s="19"/>
      <c r="G31" s="19" t="s">
        <v>1312</v>
      </c>
      <c r="H31" s="73"/>
      <c r="I31" s="34"/>
      <c r="J31" s="34" t="s">
        <v>431</v>
      </c>
      <c r="K31" s="34" t="s">
        <v>134</v>
      </c>
      <c r="L31" s="34" t="s">
        <v>439</v>
      </c>
    </row>
    <row r="32" spans="1:12" s="2" customFormat="1">
      <c r="B32" s="49" t="s">
        <v>832</v>
      </c>
      <c r="C32" s="49" t="s">
        <v>136</v>
      </c>
      <c r="D32" s="12" t="s">
        <v>833</v>
      </c>
      <c r="E32" s="30" t="s">
        <v>243</v>
      </c>
      <c r="F32" s="19"/>
      <c r="G32" s="19" t="s">
        <v>1313</v>
      </c>
      <c r="H32" s="73"/>
      <c r="I32" s="34"/>
      <c r="J32" s="34" t="s">
        <v>431</v>
      </c>
      <c r="K32" s="34" t="s">
        <v>134</v>
      </c>
      <c r="L32" s="34" t="s">
        <v>439</v>
      </c>
    </row>
    <row r="33" spans="1:12" s="29" customFormat="1">
      <c r="B33" s="49" t="s">
        <v>835</v>
      </c>
      <c r="C33" s="49" t="s">
        <v>136</v>
      </c>
      <c r="D33" s="54" t="s">
        <v>836</v>
      </c>
      <c r="E33" s="30" t="s">
        <v>243</v>
      </c>
      <c r="F33" s="20"/>
      <c r="G33" s="19" t="s">
        <v>1314</v>
      </c>
      <c r="H33" s="73"/>
      <c r="I33" s="34"/>
      <c r="J33" s="34" t="s">
        <v>431</v>
      </c>
      <c r="K33" s="34" t="s">
        <v>134</v>
      </c>
      <c r="L33" s="34" t="s">
        <v>439</v>
      </c>
    </row>
    <row r="34" spans="1:12" s="29" customFormat="1">
      <c r="B34" s="49" t="s">
        <v>838</v>
      </c>
      <c r="C34" s="49" t="s">
        <v>136</v>
      </c>
      <c r="D34" s="12" t="s">
        <v>839</v>
      </c>
      <c r="E34" s="30" t="s">
        <v>243</v>
      </c>
      <c r="F34" s="20"/>
      <c r="G34" s="19" t="s">
        <v>1315</v>
      </c>
      <c r="H34" s="73"/>
      <c r="I34" s="34"/>
      <c r="J34" s="34" t="s">
        <v>431</v>
      </c>
      <c r="K34" s="34" t="s">
        <v>134</v>
      </c>
      <c r="L34" s="34" t="s">
        <v>439</v>
      </c>
    </row>
    <row r="35" spans="1:12" s="1" customFormat="1">
      <c r="A35" s="25"/>
      <c r="B35" s="26" t="s">
        <v>841</v>
      </c>
      <c r="C35" s="26" t="s">
        <v>136</v>
      </c>
      <c r="D35" s="12" t="s">
        <v>842</v>
      </c>
      <c r="E35" s="30" t="s">
        <v>243</v>
      </c>
      <c r="F35" s="19"/>
      <c r="G35" s="19" t="s">
        <v>1316</v>
      </c>
      <c r="H35" s="73"/>
      <c r="I35" s="34"/>
      <c r="J35" s="34" t="s">
        <v>431</v>
      </c>
      <c r="K35" s="34" t="s">
        <v>134</v>
      </c>
      <c r="L35" s="34" t="s">
        <v>439</v>
      </c>
    </row>
    <row r="36" spans="1:12" s="2" customFormat="1">
      <c r="A36" s="29"/>
      <c r="B36" s="14" t="s">
        <v>844</v>
      </c>
      <c r="C36" s="14" t="s">
        <v>136</v>
      </c>
      <c r="D36" s="12" t="s">
        <v>565</v>
      </c>
      <c r="E36" s="30" t="s">
        <v>243</v>
      </c>
      <c r="F36" s="19"/>
      <c r="G36" s="19" t="s">
        <v>1317</v>
      </c>
      <c r="H36" s="73"/>
      <c r="I36" s="34"/>
      <c r="J36" s="34" t="s">
        <v>431</v>
      </c>
      <c r="K36" s="34" t="s">
        <v>134</v>
      </c>
      <c r="L36" s="34" t="s">
        <v>439</v>
      </c>
    </row>
    <row r="37" spans="1:12" s="29" customFormat="1">
      <c r="B37" s="49" t="s">
        <v>846</v>
      </c>
      <c r="C37" s="49" t="s">
        <v>245</v>
      </c>
      <c r="D37" s="54" t="s">
        <v>567</v>
      </c>
      <c r="E37" s="30" t="s">
        <v>243</v>
      </c>
      <c r="F37" s="19"/>
      <c r="G37" s="19" t="s">
        <v>1318</v>
      </c>
      <c r="H37" s="63"/>
      <c r="I37" s="34"/>
      <c r="J37" s="34" t="s">
        <v>431</v>
      </c>
      <c r="K37" s="34" t="s">
        <v>134</v>
      </c>
      <c r="L37" s="34" t="s">
        <v>568</v>
      </c>
    </row>
    <row r="38" spans="1:12" s="29" customFormat="1">
      <c r="B38" s="49" t="s">
        <v>848</v>
      </c>
      <c r="C38" s="49" t="s">
        <v>136</v>
      </c>
      <c r="D38" s="12" t="s">
        <v>609</v>
      </c>
      <c r="E38" s="30" t="s">
        <v>243</v>
      </c>
      <c r="F38" s="19"/>
      <c r="G38" s="19" t="s">
        <v>1319</v>
      </c>
      <c r="H38" s="73"/>
      <c r="I38" s="34"/>
      <c r="J38" s="34" t="s">
        <v>431</v>
      </c>
      <c r="K38" s="34" t="s">
        <v>134</v>
      </c>
      <c r="L38" s="34" t="s">
        <v>610</v>
      </c>
    </row>
    <row r="39" spans="1:12" s="29" customFormat="1">
      <c r="B39" s="49" t="s">
        <v>850</v>
      </c>
      <c r="C39" s="49" t="s">
        <v>245</v>
      </c>
      <c r="D39" s="12" t="s">
        <v>614</v>
      </c>
      <c r="E39" s="30" t="s">
        <v>243</v>
      </c>
      <c r="F39" s="19"/>
      <c r="G39" s="19" t="s">
        <v>1320</v>
      </c>
      <c r="H39" s="63"/>
      <c r="I39" s="34"/>
      <c r="J39" s="34" t="s">
        <v>431</v>
      </c>
      <c r="K39" s="34" t="s">
        <v>134</v>
      </c>
      <c r="L39" s="34" t="s">
        <v>615</v>
      </c>
    </row>
    <row r="40" spans="1:12" s="29" customFormat="1">
      <c r="B40" s="49" t="s">
        <v>852</v>
      </c>
      <c r="C40" s="55" t="s">
        <v>136</v>
      </c>
      <c r="D40" s="12" t="s">
        <v>612</v>
      </c>
      <c r="E40" s="30" t="s">
        <v>243</v>
      </c>
      <c r="F40" s="19"/>
      <c r="G40" s="19" t="s">
        <v>1321</v>
      </c>
      <c r="H40" s="73"/>
      <c r="I40" s="34"/>
      <c r="J40" s="34" t="s">
        <v>431</v>
      </c>
      <c r="K40" s="34" t="s">
        <v>134</v>
      </c>
      <c r="L40" s="34" t="s">
        <v>439</v>
      </c>
    </row>
    <row r="41" spans="1:12" s="5" customFormat="1">
      <c r="B41" s="49" t="s">
        <v>854</v>
      </c>
      <c r="C41" s="55" t="s">
        <v>136</v>
      </c>
      <c r="D41" s="12" t="s">
        <v>855</v>
      </c>
      <c r="E41" s="30" t="s">
        <v>243</v>
      </c>
      <c r="F41" s="19"/>
      <c r="G41" s="19" t="s">
        <v>1322</v>
      </c>
      <c r="H41" s="73"/>
      <c r="I41" s="34"/>
      <c r="J41" s="34" t="s">
        <v>431</v>
      </c>
      <c r="K41" s="34" t="s">
        <v>134</v>
      </c>
      <c r="L41" s="34" t="s">
        <v>439</v>
      </c>
    </row>
    <row r="42" spans="1:12" s="5" customFormat="1">
      <c r="B42" s="49" t="s">
        <v>857</v>
      </c>
      <c r="C42" s="55" t="s">
        <v>136</v>
      </c>
      <c r="D42" s="12" t="s">
        <v>858</v>
      </c>
      <c r="E42" s="30" t="s">
        <v>243</v>
      </c>
      <c r="F42" s="19"/>
      <c r="G42" s="19" t="s">
        <v>1323</v>
      </c>
      <c r="H42" s="73"/>
      <c r="I42" s="34"/>
      <c r="J42" s="34" t="s">
        <v>431</v>
      </c>
      <c r="K42" s="34" t="s">
        <v>134</v>
      </c>
      <c r="L42" s="34" t="s">
        <v>439</v>
      </c>
    </row>
    <row r="43" spans="1:12" s="5" customFormat="1">
      <c r="B43" s="49" t="s">
        <v>860</v>
      </c>
      <c r="C43" s="55" t="s">
        <v>136</v>
      </c>
      <c r="D43" s="12" t="s">
        <v>861</v>
      </c>
      <c r="E43" s="30" t="s">
        <v>243</v>
      </c>
      <c r="F43" s="19"/>
      <c r="G43" s="19" t="s">
        <v>1324</v>
      </c>
      <c r="H43" s="73"/>
      <c r="I43" s="34"/>
      <c r="J43" s="34" t="s">
        <v>431</v>
      </c>
      <c r="K43" s="34" t="s">
        <v>134</v>
      </c>
      <c r="L43" s="34" t="s">
        <v>439</v>
      </c>
    </row>
    <row r="44" spans="1:12" s="5" customFormat="1">
      <c r="B44" s="49" t="s">
        <v>863</v>
      </c>
      <c r="C44" s="55" t="s">
        <v>136</v>
      </c>
      <c r="D44" s="12" t="s">
        <v>864</v>
      </c>
      <c r="E44" s="30" t="s">
        <v>243</v>
      </c>
      <c r="F44" s="19"/>
      <c r="G44" s="19" t="s">
        <v>1325</v>
      </c>
      <c r="H44" s="73"/>
      <c r="I44" s="34"/>
      <c r="J44" s="34" t="s">
        <v>431</v>
      </c>
      <c r="K44" s="34" t="s">
        <v>134</v>
      </c>
      <c r="L44" s="34" t="s">
        <v>439</v>
      </c>
    </row>
    <row r="45" spans="1:12" s="5" customFormat="1">
      <c r="B45" s="49" t="s">
        <v>866</v>
      </c>
      <c r="C45" s="55" t="s">
        <v>136</v>
      </c>
      <c r="D45" s="12" t="s">
        <v>867</v>
      </c>
      <c r="E45" s="30" t="s">
        <v>243</v>
      </c>
      <c r="F45" s="19"/>
      <c r="G45" s="19" t="s">
        <v>1326</v>
      </c>
      <c r="H45" s="73"/>
      <c r="I45" s="34"/>
      <c r="J45" s="34" t="s">
        <v>431</v>
      </c>
      <c r="K45" s="34" t="s">
        <v>134</v>
      </c>
      <c r="L45" s="34" t="s">
        <v>439</v>
      </c>
    </row>
    <row r="46" spans="1:12" s="1" customFormat="1">
      <c r="A46" s="25"/>
      <c r="B46" s="26" t="s">
        <v>869</v>
      </c>
      <c r="C46" s="26" t="s">
        <v>136</v>
      </c>
      <c r="D46" s="12" t="s">
        <v>870</v>
      </c>
      <c r="E46" s="30" t="s">
        <v>243</v>
      </c>
      <c r="F46" s="19"/>
      <c r="G46" s="19" t="s">
        <v>1327</v>
      </c>
      <c r="H46" s="73"/>
      <c r="I46" s="34"/>
      <c r="J46" s="34" t="s">
        <v>431</v>
      </c>
      <c r="K46" s="34" t="s">
        <v>134</v>
      </c>
      <c r="L46" s="34" t="s">
        <v>439</v>
      </c>
    </row>
    <row r="47" spans="1:12" s="1" customFormat="1">
      <c r="A47" s="25"/>
      <c r="B47" s="26" t="s">
        <v>872</v>
      </c>
      <c r="C47" s="26" t="s">
        <v>136</v>
      </c>
      <c r="D47" s="12" t="s">
        <v>873</v>
      </c>
      <c r="E47" s="30" t="s">
        <v>243</v>
      </c>
      <c r="F47" s="19"/>
      <c r="G47" s="19" t="s">
        <v>1328</v>
      </c>
      <c r="H47" s="73"/>
      <c r="I47" s="34"/>
      <c r="J47" s="34" t="s">
        <v>431</v>
      </c>
      <c r="K47" s="34" t="s">
        <v>134</v>
      </c>
      <c r="L47" s="34" t="s">
        <v>439</v>
      </c>
    </row>
    <row r="48" spans="1:12" s="1" customFormat="1">
      <c r="A48" s="25"/>
      <c r="B48" s="26" t="s">
        <v>875</v>
      </c>
      <c r="C48" s="26" t="s">
        <v>136</v>
      </c>
      <c r="D48" s="12" t="s">
        <v>655</v>
      </c>
      <c r="E48" s="30" t="s">
        <v>243</v>
      </c>
      <c r="F48" s="19"/>
      <c r="G48" s="19" t="s">
        <v>1329</v>
      </c>
      <c r="H48" s="73"/>
      <c r="I48" s="34"/>
      <c r="J48" s="34" t="s">
        <v>431</v>
      </c>
      <c r="K48" s="34" t="s">
        <v>134</v>
      </c>
      <c r="L48" s="34" t="s">
        <v>439</v>
      </c>
    </row>
    <row r="49" spans="1:12" s="1" customFormat="1">
      <c r="A49" s="25"/>
      <c r="B49" s="26" t="s">
        <v>877</v>
      </c>
      <c r="C49" s="26" t="s">
        <v>245</v>
      </c>
      <c r="D49" s="12" t="s">
        <v>657</v>
      </c>
      <c r="E49" s="30" t="s">
        <v>243</v>
      </c>
      <c r="F49" s="19"/>
      <c r="G49" s="19" t="s">
        <v>1330</v>
      </c>
      <c r="H49" s="63"/>
      <c r="I49" s="34"/>
      <c r="J49" s="34" t="s">
        <v>431</v>
      </c>
      <c r="K49" s="34" t="s">
        <v>134</v>
      </c>
      <c r="L49" s="34" t="s">
        <v>568</v>
      </c>
    </row>
    <row r="50" spans="1:12" s="1" customFormat="1">
      <c r="A50" s="25"/>
      <c r="B50" s="26" t="s">
        <v>879</v>
      </c>
      <c r="C50" s="26" t="s">
        <v>136</v>
      </c>
      <c r="D50" s="12" t="s">
        <v>815</v>
      </c>
      <c r="E50" s="30"/>
      <c r="F50" s="19"/>
      <c r="G50" s="19" t="s">
        <v>880</v>
      </c>
      <c r="H50" s="63"/>
      <c r="I50" s="34"/>
      <c r="J50" s="34" t="s">
        <v>431</v>
      </c>
      <c r="K50" s="34" t="s">
        <v>134</v>
      </c>
      <c r="L50" s="34" t="s">
        <v>881</v>
      </c>
    </row>
    <row r="51" spans="1:12" s="1" customFormat="1">
      <c r="A51" s="25"/>
      <c r="B51" s="26" t="s">
        <v>882</v>
      </c>
      <c r="C51" s="26" t="s">
        <v>245</v>
      </c>
      <c r="D51" s="12" t="s">
        <v>818</v>
      </c>
      <c r="E51" s="30"/>
      <c r="F51" s="19"/>
      <c r="G51" s="19" t="s">
        <v>880</v>
      </c>
      <c r="H51" s="63"/>
      <c r="I51" s="34"/>
      <c r="J51" s="34" t="s">
        <v>431</v>
      </c>
      <c r="K51" s="34" t="s">
        <v>134</v>
      </c>
      <c r="L51" s="34" t="s">
        <v>881</v>
      </c>
    </row>
    <row r="52" spans="1:12" s="1" customFormat="1">
      <c r="A52" s="25"/>
      <c r="B52" s="26" t="s">
        <v>883</v>
      </c>
      <c r="C52" s="26" t="s">
        <v>136</v>
      </c>
      <c r="D52" s="12" t="s">
        <v>821</v>
      </c>
      <c r="E52" s="30"/>
      <c r="F52" s="19"/>
      <c r="G52" s="19" t="s">
        <v>880</v>
      </c>
      <c r="H52" s="63"/>
      <c r="I52" s="34"/>
      <c r="J52" s="34" t="s">
        <v>431</v>
      </c>
      <c r="K52" s="34" t="s">
        <v>134</v>
      </c>
      <c r="L52" s="34" t="s">
        <v>881</v>
      </c>
    </row>
    <row r="53" spans="1:12" s="1" customFormat="1">
      <c r="A53" s="25"/>
      <c r="B53" s="26" t="s">
        <v>884</v>
      </c>
      <c r="C53" s="26" t="s">
        <v>136</v>
      </c>
      <c r="D53" s="12" t="s">
        <v>824</v>
      </c>
      <c r="E53" s="30"/>
      <c r="F53" s="19"/>
      <c r="G53" s="19" t="s">
        <v>880</v>
      </c>
      <c r="H53" s="63"/>
      <c r="I53" s="34"/>
      <c r="J53" s="34" t="s">
        <v>431</v>
      </c>
      <c r="K53" s="34" t="s">
        <v>134</v>
      </c>
      <c r="L53" s="34" t="s">
        <v>881</v>
      </c>
    </row>
    <row r="54" spans="1:12" s="1" customFormat="1">
      <c r="A54" s="25"/>
      <c r="B54" s="26" t="s">
        <v>885</v>
      </c>
      <c r="C54" s="26" t="s">
        <v>136</v>
      </c>
      <c r="D54" s="12" t="s">
        <v>827</v>
      </c>
      <c r="E54" s="30"/>
      <c r="F54" s="19"/>
      <c r="G54" s="19" t="s">
        <v>880</v>
      </c>
      <c r="H54" s="63"/>
      <c r="I54" s="34"/>
      <c r="J54" s="34" t="s">
        <v>431</v>
      </c>
      <c r="K54" s="34" t="s">
        <v>134</v>
      </c>
      <c r="L54" s="34" t="s">
        <v>881</v>
      </c>
    </row>
    <row r="55" spans="1:12" s="1" customFormat="1">
      <c r="A55" s="25"/>
      <c r="B55" s="26" t="s">
        <v>886</v>
      </c>
      <c r="C55" s="26" t="s">
        <v>136</v>
      </c>
      <c r="D55" s="12" t="s">
        <v>830</v>
      </c>
      <c r="E55" s="30"/>
      <c r="F55" s="19"/>
      <c r="G55" s="19" t="s">
        <v>880</v>
      </c>
      <c r="H55" s="63"/>
      <c r="I55" s="34"/>
      <c r="J55" s="34" t="s">
        <v>431</v>
      </c>
      <c r="K55" s="34" t="s">
        <v>134</v>
      </c>
      <c r="L55" s="34" t="s">
        <v>881</v>
      </c>
    </row>
    <row r="56" spans="1:12" s="1" customFormat="1">
      <c r="A56" s="25"/>
      <c r="B56" s="26" t="s">
        <v>887</v>
      </c>
      <c r="C56" s="26" t="s">
        <v>136</v>
      </c>
      <c r="D56" s="12" t="s">
        <v>833</v>
      </c>
      <c r="E56" s="30"/>
      <c r="F56" s="19"/>
      <c r="G56" s="19" t="s">
        <v>880</v>
      </c>
      <c r="H56" s="63"/>
      <c r="I56" s="34"/>
      <c r="J56" s="34" t="s">
        <v>431</v>
      </c>
      <c r="K56" s="34" t="s">
        <v>134</v>
      </c>
      <c r="L56" s="34" t="s">
        <v>881</v>
      </c>
    </row>
    <row r="57" spans="1:12" s="1" customFormat="1">
      <c r="A57" s="25"/>
      <c r="B57" s="26" t="s">
        <v>888</v>
      </c>
      <c r="C57" s="26" t="s">
        <v>136</v>
      </c>
      <c r="D57" s="12" t="s">
        <v>836</v>
      </c>
      <c r="E57" s="30"/>
      <c r="F57" s="19"/>
      <c r="G57" s="19" t="s">
        <v>880</v>
      </c>
      <c r="H57" s="63"/>
      <c r="I57" s="34"/>
      <c r="J57" s="34" t="s">
        <v>431</v>
      </c>
      <c r="K57" s="34" t="s">
        <v>134</v>
      </c>
      <c r="L57" s="34" t="s">
        <v>881</v>
      </c>
    </row>
    <row r="58" spans="1:12" s="5" customFormat="1">
      <c r="B58" s="49" t="s">
        <v>889</v>
      </c>
      <c r="C58" s="55" t="s">
        <v>136</v>
      </c>
      <c r="D58" s="12" t="s">
        <v>839</v>
      </c>
      <c r="E58" s="30"/>
      <c r="F58" s="19"/>
      <c r="G58" s="19" t="s">
        <v>880</v>
      </c>
      <c r="H58" s="63"/>
      <c r="I58" s="34"/>
      <c r="J58" s="34" t="s">
        <v>431</v>
      </c>
      <c r="K58" s="34" t="s">
        <v>134</v>
      </c>
      <c r="L58" s="34" t="s">
        <v>881</v>
      </c>
    </row>
    <row r="59" spans="1:12">
      <c r="A59" s="3"/>
      <c r="B59" s="49" t="s">
        <v>890</v>
      </c>
      <c r="C59" s="55" t="s">
        <v>136</v>
      </c>
      <c r="D59" s="12" t="s">
        <v>842</v>
      </c>
      <c r="E59" s="30"/>
      <c r="F59" s="19"/>
      <c r="G59" s="19" t="s">
        <v>880</v>
      </c>
      <c r="H59" s="63"/>
      <c r="I59" s="34"/>
      <c r="J59" s="34" t="s">
        <v>431</v>
      </c>
      <c r="K59" s="34" t="s">
        <v>134</v>
      </c>
      <c r="L59" s="34" t="s">
        <v>881</v>
      </c>
    </row>
    <row r="60" spans="1:12">
      <c r="A60" s="3"/>
      <c r="B60" s="49" t="s">
        <v>891</v>
      </c>
      <c r="C60" s="55" t="s">
        <v>136</v>
      </c>
      <c r="D60" s="12" t="s">
        <v>565</v>
      </c>
      <c r="E60" s="30"/>
      <c r="F60" s="19"/>
      <c r="G60" s="19" t="s">
        <v>880</v>
      </c>
      <c r="H60" s="63"/>
      <c r="I60" s="34"/>
      <c r="J60" s="34" t="s">
        <v>431</v>
      </c>
      <c r="K60" s="34" t="s">
        <v>134</v>
      </c>
      <c r="L60" s="34" t="s">
        <v>881</v>
      </c>
    </row>
    <row r="61" spans="1:12" s="2" customFormat="1">
      <c r="A61" s="29"/>
      <c r="B61" s="49" t="s">
        <v>892</v>
      </c>
      <c r="C61" s="55" t="s">
        <v>245</v>
      </c>
      <c r="D61" s="12" t="s">
        <v>567</v>
      </c>
      <c r="E61" s="30"/>
      <c r="F61" s="19"/>
      <c r="G61" s="19" t="s">
        <v>880</v>
      </c>
      <c r="H61" s="63"/>
      <c r="I61" s="34"/>
      <c r="J61" s="34" t="s">
        <v>431</v>
      </c>
      <c r="K61" s="34" t="s">
        <v>134</v>
      </c>
      <c r="L61" s="34" t="s">
        <v>881</v>
      </c>
    </row>
    <row r="62" spans="1:12">
      <c r="A62" s="3"/>
      <c r="B62" s="49" t="s">
        <v>893</v>
      </c>
      <c r="C62" s="55" t="s">
        <v>136</v>
      </c>
      <c r="D62" s="12" t="s">
        <v>894</v>
      </c>
      <c r="E62" s="30"/>
      <c r="F62" s="19"/>
      <c r="G62" s="19" t="s">
        <v>880</v>
      </c>
      <c r="H62" s="63"/>
      <c r="I62" s="34"/>
      <c r="J62" s="34" t="s">
        <v>431</v>
      </c>
      <c r="K62" s="34" t="s">
        <v>134</v>
      </c>
      <c r="L62" s="34" t="s">
        <v>881</v>
      </c>
    </row>
    <row r="63" spans="1:12" s="2" customFormat="1">
      <c r="A63" s="29"/>
      <c r="B63" s="49" t="s">
        <v>895</v>
      </c>
      <c r="C63" s="55" t="s">
        <v>136</v>
      </c>
      <c r="D63" s="12" t="s">
        <v>896</v>
      </c>
      <c r="E63" s="30"/>
      <c r="F63" s="19"/>
      <c r="G63" s="19" t="s">
        <v>880</v>
      </c>
      <c r="H63" s="63"/>
      <c r="I63" s="34"/>
      <c r="J63" s="34" t="s">
        <v>431</v>
      </c>
      <c r="K63" s="34" t="s">
        <v>134</v>
      </c>
      <c r="L63" s="34" t="s">
        <v>881</v>
      </c>
    </row>
    <row r="64" spans="1:12" s="2" customFormat="1">
      <c r="A64" s="29"/>
      <c r="B64" s="49" t="s">
        <v>897</v>
      </c>
      <c r="C64" s="55" t="s">
        <v>245</v>
      </c>
      <c r="D64" s="12" t="s">
        <v>898</v>
      </c>
      <c r="E64" s="30"/>
      <c r="F64" s="19"/>
      <c r="G64" s="19" t="s">
        <v>880</v>
      </c>
      <c r="H64" s="63"/>
      <c r="I64" s="34"/>
      <c r="J64" s="34" t="s">
        <v>431</v>
      </c>
      <c r="K64" s="34" t="s">
        <v>134</v>
      </c>
      <c r="L64" s="34" t="s">
        <v>881</v>
      </c>
    </row>
    <row r="65" spans="1:12" s="2" customFormat="1">
      <c r="A65" s="29"/>
      <c r="B65" s="49" t="s">
        <v>899</v>
      </c>
      <c r="C65" s="55" t="s">
        <v>900</v>
      </c>
      <c r="D65" s="12" t="s">
        <v>901</v>
      </c>
      <c r="E65" s="30"/>
      <c r="F65" s="19"/>
      <c r="G65" s="19" t="s">
        <v>880</v>
      </c>
      <c r="H65" s="63"/>
      <c r="I65" s="34"/>
      <c r="J65" s="34" t="s">
        <v>431</v>
      </c>
      <c r="K65" s="34" t="s">
        <v>134</v>
      </c>
      <c r="L65" s="34" t="s">
        <v>881</v>
      </c>
    </row>
    <row r="66" spans="1:12" s="2" customFormat="1">
      <c r="A66" s="29"/>
      <c r="B66" s="49" t="s">
        <v>468</v>
      </c>
      <c r="C66" s="55" t="s">
        <v>136</v>
      </c>
      <c r="D66" s="12" t="s">
        <v>902</v>
      </c>
      <c r="E66" s="30" t="s">
        <v>243</v>
      </c>
      <c r="F66" s="19"/>
      <c r="G66" s="19" t="s">
        <v>1331</v>
      </c>
      <c r="H66" s="73"/>
      <c r="I66" s="34"/>
      <c r="J66" s="34" t="s">
        <v>431</v>
      </c>
      <c r="K66" s="34" t="s">
        <v>134</v>
      </c>
      <c r="L66" s="34" t="s">
        <v>533</v>
      </c>
    </row>
    <row r="67" spans="1:12" s="2" customFormat="1">
      <c r="A67" s="29"/>
      <c r="B67" s="49" t="s">
        <v>904</v>
      </c>
      <c r="C67" s="55" t="s">
        <v>136</v>
      </c>
      <c r="D67" s="12" t="s">
        <v>905</v>
      </c>
      <c r="E67" s="30" t="s">
        <v>243</v>
      </c>
      <c r="F67" s="19"/>
      <c r="G67" s="19" t="s">
        <v>1332</v>
      </c>
      <c r="H67" s="73"/>
      <c r="I67" s="34"/>
      <c r="J67" s="34" t="s">
        <v>431</v>
      </c>
      <c r="K67" s="34" t="s">
        <v>134</v>
      </c>
      <c r="L67" s="34" t="s">
        <v>439</v>
      </c>
    </row>
    <row r="68" spans="1:12" s="2" customFormat="1" ht="26.4">
      <c r="A68" s="29"/>
      <c r="B68" s="49" t="s">
        <v>907</v>
      </c>
      <c r="C68" s="55" t="s">
        <v>245</v>
      </c>
      <c r="D68" s="12" t="s">
        <v>908</v>
      </c>
      <c r="E68" s="30" t="s">
        <v>243</v>
      </c>
      <c r="F68" s="19"/>
      <c r="G68" s="19" t="s">
        <v>1333</v>
      </c>
      <c r="H68" s="31"/>
      <c r="I68" s="34"/>
      <c r="J68" s="34" t="s">
        <v>431</v>
      </c>
      <c r="K68" s="34" t="s">
        <v>134</v>
      </c>
      <c r="L68" s="34" t="s">
        <v>432</v>
      </c>
    </row>
    <row r="69" spans="1:12" s="1" customFormat="1">
      <c r="A69" s="25"/>
      <c r="B69" s="49" t="s">
        <v>910</v>
      </c>
      <c r="C69" s="26" t="s">
        <v>900</v>
      </c>
      <c r="D69" s="12" t="s">
        <v>911</v>
      </c>
      <c r="E69" s="30" t="s">
        <v>243</v>
      </c>
      <c r="F69" s="19"/>
      <c r="G69" s="19" t="s">
        <v>1334</v>
      </c>
      <c r="H69" s="63"/>
      <c r="I69" s="34"/>
      <c r="J69" s="34" t="s">
        <v>431</v>
      </c>
      <c r="K69" s="34" t="s">
        <v>134</v>
      </c>
      <c r="L69" s="34" t="s">
        <v>568</v>
      </c>
    </row>
    <row r="70" spans="1:12" s="1" customFormat="1">
      <c r="A70" s="25"/>
      <c r="B70" s="26" t="s">
        <v>471</v>
      </c>
      <c r="C70" s="26" t="s">
        <v>136</v>
      </c>
      <c r="D70" s="12" t="s">
        <v>913</v>
      </c>
      <c r="E70" s="30" t="s">
        <v>243</v>
      </c>
      <c r="F70" s="19"/>
      <c r="G70" s="19" t="s">
        <v>914</v>
      </c>
      <c r="H70" s="73"/>
      <c r="I70" s="34"/>
      <c r="J70" s="34" t="s">
        <v>431</v>
      </c>
      <c r="K70" s="34" t="s">
        <v>134</v>
      </c>
      <c r="L70" s="34" t="s">
        <v>533</v>
      </c>
    </row>
    <row r="71" spans="1:12" s="1" customFormat="1">
      <c r="A71" s="25"/>
      <c r="B71" s="26" t="s">
        <v>915</v>
      </c>
      <c r="C71" s="26" t="s">
        <v>136</v>
      </c>
      <c r="D71" s="12" t="s">
        <v>916</v>
      </c>
      <c r="E71" s="30" t="s">
        <v>243</v>
      </c>
      <c r="F71" s="19"/>
      <c r="G71" s="19" t="s">
        <v>1335</v>
      </c>
      <c r="H71" s="73"/>
      <c r="I71" s="34"/>
      <c r="J71" s="34" t="s">
        <v>431</v>
      </c>
      <c r="K71" s="34" t="s">
        <v>134</v>
      </c>
      <c r="L71" s="34" t="s">
        <v>439</v>
      </c>
    </row>
    <row r="72" spans="1:12" s="1" customFormat="1">
      <c r="A72" s="25"/>
      <c r="B72" s="26" t="s">
        <v>918</v>
      </c>
      <c r="C72" s="26" t="s">
        <v>245</v>
      </c>
      <c r="D72" s="12" t="s">
        <v>919</v>
      </c>
      <c r="E72" s="30" t="s">
        <v>243</v>
      </c>
      <c r="F72" s="19"/>
      <c r="G72" s="19" t="s">
        <v>1336</v>
      </c>
      <c r="H72" s="63"/>
      <c r="I72" s="34"/>
      <c r="J72" s="34" t="s">
        <v>431</v>
      </c>
      <c r="K72" s="34" t="s">
        <v>134</v>
      </c>
      <c r="L72" s="34" t="s">
        <v>432</v>
      </c>
    </row>
    <row r="73" spans="1:12" s="1" customFormat="1">
      <c r="A73" s="25"/>
      <c r="B73" s="26" t="s">
        <v>921</v>
      </c>
      <c r="C73" s="26" t="s">
        <v>900</v>
      </c>
      <c r="D73" s="12" t="s">
        <v>922</v>
      </c>
      <c r="E73" s="30" t="s">
        <v>243</v>
      </c>
      <c r="F73" s="19"/>
      <c r="G73" s="19" t="s">
        <v>1337</v>
      </c>
      <c r="H73" s="63"/>
      <c r="I73" s="34"/>
      <c r="J73" s="34" t="s">
        <v>431</v>
      </c>
      <c r="K73" s="34" t="s">
        <v>134</v>
      </c>
      <c r="L73" s="34" t="s">
        <v>568</v>
      </c>
    </row>
    <row r="74" spans="1:12" s="1" customFormat="1">
      <c r="A74" s="25"/>
      <c r="B74" s="26" t="s">
        <v>477</v>
      </c>
      <c r="C74" s="26" t="s">
        <v>136</v>
      </c>
      <c r="D74" s="12" t="s">
        <v>925</v>
      </c>
      <c r="E74" s="30" t="s">
        <v>243</v>
      </c>
      <c r="F74" s="19"/>
      <c r="G74" s="19" t="s">
        <v>926</v>
      </c>
      <c r="H74" s="73"/>
      <c r="I74" s="34"/>
      <c r="J74" s="34" t="s">
        <v>431</v>
      </c>
      <c r="K74" s="34" t="s">
        <v>134</v>
      </c>
      <c r="L74" s="34" t="s">
        <v>533</v>
      </c>
    </row>
    <row r="75" spans="1:12" s="1" customFormat="1">
      <c r="A75" s="25"/>
      <c r="B75" s="26" t="s">
        <v>927</v>
      </c>
      <c r="C75" s="26" t="s">
        <v>136</v>
      </c>
      <c r="D75" s="12" t="s">
        <v>928</v>
      </c>
      <c r="E75" s="30" t="s">
        <v>243</v>
      </c>
      <c r="F75" s="19"/>
      <c r="G75" s="19" t="s">
        <v>1338</v>
      </c>
      <c r="H75" s="73"/>
      <c r="I75" s="34"/>
      <c r="J75" s="34" t="s">
        <v>431</v>
      </c>
      <c r="K75" s="34" t="s">
        <v>134</v>
      </c>
      <c r="L75" s="34" t="s">
        <v>439</v>
      </c>
    </row>
    <row r="76" spans="1:12" s="1" customFormat="1" ht="26.4">
      <c r="A76" s="25"/>
      <c r="B76" s="26" t="s">
        <v>930</v>
      </c>
      <c r="C76" s="26" t="s">
        <v>245</v>
      </c>
      <c r="D76" s="12" t="s">
        <v>931</v>
      </c>
      <c r="E76" s="30" t="s">
        <v>243</v>
      </c>
      <c r="F76" s="19"/>
      <c r="G76" s="19" t="s">
        <v>1339</v>
      </c>
      <c r="H76" s="63"/>
      <c r="I76" s="34"/>
      <c r="J76" s="34" t="s">
        <v>431</v>
      </c>
      <c r="K76" s="34" t="s">
        <v>134</v>
      </c>
      <c r="L76" s="34" t="s">
        <v>432</v>
      </c>
    </row>
    <row r="77" spans="1:12" s="1" customFormat="1">
      <c r="A77" s="25"/>
      <c r="B77" s="26" t="s">
        <v>933</v>
      </c>
      <c r="C77" s="26" t="s">
        <v>900</v>
      </c>
      <c r="D77" s="12" t="s">
        <v>934</v>
      </c>
      <c r="E77" s="30" t="s">
        <v>243</v>
      </c>
      <c r="F77" s="19"/>
      <c r="G77" s="19" t="s">
        <v>1619</v>
      </c>
      <c r="H77" s="63"/>
      <c r="I77" s="34"/>
      <c r="J77" s="34" t="s">
        <v>431</v>
      </c>
      <c r="K77" s="34" t="s">
        <v>134</v>
      </c>
      <c r="L77" s="34" t="s">
        <v>568</v>
      </c>
    </row>
    <row r="78" spans="1:12" s="1" customFormat="1">
      <c r="A78" s="25"/>
      <c r="B78" s="26" t="s">
        <v>936</v>
      </c>
      <c r="C78" s="26" t="s">
        <v>245</v>
      </c>
      <c r="D78" s="12" t="s">
        <v>937</v>
      </c>
      <c r="E78" s="30" t="s">
        <v>243</v>
      </c>
      <c r="F78" s="19"/>
      <c r="G78" s="19" t="s">
        <v>1340</v>
      </c>
      <c r="H78" s="73"/>
      <c r="I78" s="34"/>
      <c r="J78" s="34" t="s">
        <v>431</v>
      </c>
      <c r="K78" s="34" t="s">
        <v>134</v>
      </c>
      <c r="L78" s="34" t="s">
        <v>439</v>
      </c>
    </row>
    <row r="79" spans="1:12" s="1" customFormat="1">
      <c r="A79" s="25"/>
      <c r="B79" s="26" t="s">
        <v>939</v>
      </c>
      <c r="C79" s="26" t="s">
        <v>136</v>
      </c>
      <c r="D79" s="12" t="s">
        <v>940</v>
      </c>
      <c r="E79" s="30" t="s">
        <v>243</v>
      </c>
      <c r="F79" s="19"/>
      <c r="G79" s="19" t="s">
        <v>1341</v>
      </c>
      <c r="H79" s="73"/>
      <c r="I79" s="34"/>
      <c r="J79" s="34" t="s">
        <v>431</v>
      </c>
      <c r="K79" s="34" t="s">
        <v>134</v>
      </c>
      <c r="L79" s="34" t="s">
        <v>439</v>
      </c>
    </row>
    <row r="80" spans="1:12" s="1" customFormat="1">
      <c r="A80" s="25"/>
      <c r="B80" s="26" t="s">
        <v>942</v>
      </c>
      <c r="C80" s="26" t="s">
        <v>245</v>
      </c>
      <c r="D80" s="12" t="s">
        <v>943</v>
      </c>
      <c r="E80" s="30" t="s">
        <v>243</v>
      </c>
      <c r="F80" s="19"/>
      <c r="G80" s="19" t="s">
        <v>1342</v>
      </c>
      <c r="H80" s="63"/>
      <c r="I80" s="34"/>
      <c r="J80" s="34" t="s">
        <v>431</v>
      </c>
      <c r="K80" s="34" t="s">
        <v>134</v>
      </c>
      <c r="L80" s="34" t="s">
        <v>439</v>
      </c>
    </row>
    <row r="81" spans="1:12" s="1" customFormat="1">
      <c r="A81" s="25"/>
      <c r="B81" s="26" t="s">
        <v>945</v>
      </c>
      <c r="C81" s="26" t="s">
        <v>136</v>
      </c>
      <c r="D81" s="12" t="s">
        <v>946</v>
      </c>
      <c r="E81" s="30" t="s">
        <v>243</v>
      </c>
      <c r="F81" s="19"/>
      <c r="G81" s="19" t="s">
        <v>1343</v>
      </c>
      <c r="H81" s="73"/>
      <c r="I81" s="34"/>
      <c r="J81" s="34" t="s">
        <v>431</v>
      </c>
      <c r="K81" s="34" t="s">
        <v>134</v>
      </c>
      <c r="L81" s="34" t="s">
        <v>439</v>
      </c>
    </row>
    <row r="82" spans="1:12" s="1" customFormat="1">
      <c r="A82" s="25"/>
      <c r="B82" s="26" t="s">
        <v>948</v>
      </c>
      <c r="C82" s="26" t="s">
        <v>136</v>
      </c>
      <c r="D82" s="12" t="s">
        <v>949</v>
      </c>
      <c r="E82" s="30" t="s">
        <v>243</v>
      </c>
      <c r="F82" s="19"/>
      <c r="G82" s="19" t="s">
        <v>1344</v>
      </c>
      <c r="H82" s="73"/>
      <c r="I82" s="34"/>
      <c r="J82" s="34" t="s">
        <v>431</v>
      </c>
      <c r="K82" s="34" t="s">
        <v>134</v>
      </c>
      <c r="L82" s="34" t="s">
        <v>439</v>
      </c>
    </row>
    <row r="83" spans="1:12" s="1" customFormat="1">
      <c r="A83" s="25"/>
      <c r="B83" s="26" t="s">
        <v>951</v>
      </c>
      <c r="C83" s="26" t="s">
        <v>136</v>
      </c>
      <c r="D83" s="12" t="s">
        <v>952</v>
      </c>
      <c r="E83" s="30" t="s">
        <v>243</v>
      </c>
      <c r="F83" s="19"/>
      <c r="G83" s="19" t="s">
        <v>1345</v>
      </c>
      <c r="H83" s="73"/>
      <c r="I83" s="34"/>
      <c r="J83" s="34" t="s">
        <v>431</v>
      </c>
      <c r="K83" s="34" t="s">
        <v>134</v>
      </c>
      <c r="L83" s="34" t="s">
        <v>439</v>
      </c>
    </row>
    <row r="84" spans="1:12" s="1" customFormat="1">
      <c r="A84" s="25"/>
      <c r="B84" s="26" t="s">
        <v>954</v>
      </c>
      <c r="C84" s="26" t="s">
        <v>136</v>
      </c>
      <c r="D84" s="12" t="s">
        <v>593</v>
      </c>
      <c r="E84" s="30" t="s">
        <v>243</v>
      </c>
      <c r="F84" s="19"/>
      <c r="G84" s="19" t="s">
        <v>1346</v>
      </c>
      <c r="H84" s="73"/>
      <c r="I84" s="34"/>
      <c r="J84" s="34" t="s">
        <v>431</v>
      </c>
      <c r="K84" s="34" t="s">
        <v>134</v>
      </c>
      <c r="L84" s="34" t="s">
        <v>439</v>
      </c>
    </row>
    <row r="85" spans="1:12" s="1" customFormat="1">
      <c r="A85" s="25"/>
      <c r="B85" s="26" t="s">
        <v>956</v>
      </c>
      <c r="C85" s="26" t="s">
        <v>136</v>
      </c>
      <c r="D85" s="12" t="s">
        <v>595</v>
      </c>
      <c r="E85" s="30" t="s">
        <v>243</v>
      </c>
      <c r="F85" s="19"/>
      <c r="G85" s="19" t="s">
        <v>1347</v>
      </c>
      <c r="H85" s="73"/>
      <c r="I85" s="34"/>
      <c r="J85" s="34" t="s">
        <v>431</v>
      </c>
      <c r="K85" s="34" t="s">
        <v>134</v>
      </c>
      <c r="L85" s="34" t="s">
        <v>439</v>
      </c>
    </row>
    <row r="86" spans="1:12" s="1" customFormat="1">
      <c r="A86" s="25"/>
      <c r="B86" s="26" t="s">
        <v>958</v>
      </c>
      <c r="C86" s="26" t="s">
        <v>136</v>
      </c>
      <c r="D86" s="12" t="s">
        <v>597</v>
      </c>
      <c r="E86" s="30" t="s">
        <v>243</v>
      </c>
      <c r="F86" s="19"/>
      <c r="G86" s="19" t="s">
        <v>1348</v>
      </c>
      <c r="H86" s="73"/>
      <c r="I86" s="34"/>
      <c r="J86" s="34" t="s">
        <v>431</v>
      </c>
      <c r="K86" s="34" t="s">
        <v>134</v>
      </c>
      <c r="L86" s="34" t="s">
        <v>439</v>
      </c>
    </row>
    <row r="87" spans="1:12" s="1" customFormat="1">
      <c r="A87" s="25"/>
      <c r="B87" s="26" t="s">
        <v>960</v>
      </c>
      <c r="C87" s="26" t="s">
        <v>136</v>
      </c>
      <c r="D87" s="12" t="s">
        <v>599</v>
      </c>
      <c r="E87" s="30" t="s">
        <v>243</v>
      </c>
      <c r="F87" s="19"/>
      <c r="G87" s="19" t="s">
        <v>1349</v>
      </c>
      <c r="H87" s="73"/>
      <c r="I87" s="34"/>
      <c r="J87" s="34" t="s">
        <v>431</v>
      </c>
      <c r="K87" s="34" t="s">
        <v>134</v>
      </c>
      <c r="L87" s="34" t="s">
        <v>439</v>
      </c>
    </row>
    <row r="88" spans="1:12" s="1" customFormat="1">
      <c r="A88" s="25"/>
      <c r="B88" s="26" t="s">
        <v>962</v>
      </c>
      <c r="C88" s="26" t="s">
        <v>136</v>
      </c>
      <c r="D88" s="12" t="s">
        <v>601</v>
      </c>
      <c r="E88" s="30" t="s">
        <v>243</v>
      </c>
      <c r="F88" s="19"/>
      <c r="G88" s="19" t="s">
        <v>1350</v>
      </c>
      <c r="H88" s="73"/>
      <c r="I88" s="34"/>
      <c r="J88" s="34" t="s">
        <v>431</v>
      </c>
      <c r="K88" s="34" t="s">
        <v>134</v>
      </c>
      <c r="L88" s="34" t="s">
        <v>439</v>
      </c>
    </row>
    <row r="89" spans="1:12" s="1" customFormat="1">
      <c r="A89" s="25"/>
      <c r="B89" s="26" t="s">
        <v>964</v>
      </c>
      <c r="C89" s="26" t="s">
        <v>136</v>
      </c>
      <c r="D89" s="12" t="s">
        <v>603</v>
      </c>
      <c r="E89" s="30" t="s">
        <v>243</v>
      </c>
      <c r="F89" s="19"/>
      <c r="G89" s="19" t="s">
        <v>1351</v>
      </c>
      <c r="H89" s="73"/>
      <c r="I89" s="34"/>
      <c r="J89" s="34" t="s">
        <v>431</v>
      </c>
      <c r="K89" s="34" t="s">
        <v>134</v>
      </c>
      <c r="L89" s="34" t="s">
        <v>439</v>
      </c>
    </row>
    <row r="90" spans="1:12" s="1" customFormat="1">
      <c r="A90" s="25"/>
      <c r="B90" s="26" t="s">
        <v>966</v>
      </c>
      <c r="C90" s="26" t="s">
        <v>136</v>
      </c>
      <c r="D90" s="12" t="s">
        <v>967</v>
      </c>
      <c r="E90" s="30"/>
      <c r="F90" s="19"/>
      <c r="G90" s="19" t="s">
        <v>968</v>
      </c>
      <c r="H90" s="63"/>
      <c r="I90" s="34"/>
      <c r="J90" s="34" t="s">
        <v>431</v>
      </c>
      <c r="K90" s="34" t="s">
        <v>134</v>
      </c>
      <c r="L90" s="34" t="s">
        <v>439</v>
      </c>
    </row>
    <row r="91" spans="1:12" s="1" customFormat="1">
      <c r="A91" s="25"/>
      <c r="B91" s="26" t="s">
        <v>969</v>
      </c>
      <c r="C91" s="26" t="s">
        <v>136</v>
      </c>
      <c r="D91" s="12" t="s">
        <v>970</v>
      </c>
      <c r="E91" s="30"/>
      <c r="F91" s="19"/>
      <c r="G91" s="19" t="s">
        <v>968</v>
      </c>
      <c r="H91" s="63"/>
      <c r="I91" s="34"/>
      <c r="J91" s="34" t="s">
        <v>431</v>
      </c>
      <c r="K91" s="34" t="s">
        <v>134</v>
      </c>
      <c r="L91" s="34" t="s">
        <v>439</v>
      </c>
    </row>
    <row r="92" spans="1:12" s="1" customFormat="1">
      <c r="A92" s="25"/>
      <c r="B92" s="26" t="s">
        <v>971</v>
      </c>
      <c r="C92" s="26" t="s">
        <v>136</v>
      </c>
      <c r="D92" s="12" t="s">
        <v>972</v>
      </c>
      <c r="E92" s="30"/>
      <c r="F92" s="19"/>
      <c r="G92" s="19" t="s">
        <v>968</v>
      </c>
      <c r="H92" s="63"/>
      <c r="I92" s="34"/>
      <c r="J92" s="34" t="s">
        <v>431</v>
      </c>
      <c r="K92" s="34" t="s">
        <v>134</v>
      </c>
      <c r="L92" s="34" t="s">
        <v>439</v>
      </c>
    </row>
    <row r="93" spans="1:12" s="1" customFormat="1">
      <c r="A93" s="25"/>
      <c r="B93" s="26" t="s">
        <v>973</v>
      </c>
      <c r="C93" s="26" t="s">
        <v>136</v>
      </c>
      <c r="D93" s="12" t="s">
        <v>974</v>
      </c>
      <c r="E93" s="30"/>
      <c r="F93" s="19"/>
      <c r="G93" s="19" t="s">
        <v>968</v>
      </c>
      <c r="H93" s="63"/>
      <c r="I93" s="34"/>
      <c r="J93" s="34" t="s">
        <v>431</v>
      </c>
      <c r="K93" s="34" t="s">
        <v>134</v>
      </c>
      <c r="L93" s="34" t="s">
        <v>439</v>
      </c>
    </row>
    <row r="94" spans="1:12" s="1" customFormat="1">
      <c r="A94" s="25"/>
      <c r="B94" s="26" t="s">
        <v>975</v>
      </c>
      <c r="C94" s="26" t="s">
        <v>136</v>
      </c>
      <c r="D94" s="12" t="s">
        <v>976</v>
      </c>
      <c r="E94" s="30"/>
      <c r="F94" s="19"/>
      <c r="G94" s="19" t="s">
        <v>968</v>
      </c>
      <c r="H94" s="63"/>
      <c r="I94" s="34"/>
      <c r="J94" s="34" t="s">
        <v>431</v>
      </c>
      <c r="K94" s="34" t="s">
        <v>134</v>
      </c>
      <c r="L94" s="34" t="s">
        <v>439</v>
      </c>
    </row>
    <row r="95" spans="1:12" s="1" customFormat="1">
      <c r="A95" s="25"/>
      <c r="B95" s="26" t="s">
        <v>977</v>
      </c>
      <c r="C95" s="26" t="s">
        <v>136</v>
      </c>
      <c r="D95" s="12" t="s">
        <v>978</v>
      </c>
      <c r="E95" s="30"/>
      <c r="F95" s="19"/>
      <c r="G95" s="19" t="s">
        <v>968</v>
      </c>
      <c r="H95" s="63"/>
      <c r="I95" s="34"/>
      <c r="J95" s="34" t="s">
        <v>431</v>
      </c>
      <c r="K95" s="34" t="s">
        <v>134</v>
      </c>
      <c r="L95" s="34" t="s">
        <v>439</v>
      </c>
    </row>
    <row r="96" spans="1:12" s="1" customFormat="1">
      <c r="A96" s="25"/>
      <c r="B96" s="26" t="s">
        <v>979</v>
      </c>
      <c r="C96" s="26" t="s">
        <v>136</v>
      </c>
      <c r="D96" s="12" t="s">
        <v>980</v>
      </c>
      <c r="E96" s="30"/>
      <c r="F96" s="19"/>
      <c r="G96" s="19" t="s">
        <v>968</v>
      </c>
      <c r="H96" s="63"/>
      <c r="I96" s="34"/>
      <c r="J96" s="34" t="s">
        <v>431</v>
      </c>
      <c r="K96" s="34" t="s">
        <v>134</v>
      </c>
      <c r="L96" s="34" t="s">
        <v>439</v>
      </c>
    </row>
    <row r="97" spans="1:12" s="1" customFormat="1">
      <c r="A97" s="25"/>
      <c r="B97" s="26" t="s">
        <v>981</v>
      </c>
      <c r="C97" s="26" t="s">
        <v>136</v>
      </c>
      <c r="D97" s="12" t="s">
        <v>982</v>
      </c>
      <c r="E97" s="30"/>
      <c r="F97" s="19"/>
      <c r="G97" s="19" t="s">
        <v>968</v>
      </c>
      <c r="H97" s="63"/>
      <c r="I97" s="34"/>
      <c r="J97" s="34" t="s">
        <v>431</v>
      </c>
      <c r="K97" s="34" t="s">
        <v>134</v>
      </c>
      <c r="L97" s="34" t="s">
        <v>439</v>
      </c>
    </row>
    <row r="98" spans="1:12" s="1" customFormat="1">
      <c r="A98" s="25"/>
      <c r="B98" s="26" t="s">
        <v>983</v>
      </c>
      <c r="C98" s="26" t="s">
        <v>136</v>
      </c>
      <c r="D98" s="12" t="s">
        <v>612</v>
      </c>
      <c r="E98" s="30" t="s">
        <v>243</v>
      </c>
      <c r="F98" s="19"/>
      <c r="G98" s="19" t="s">
        <v>1352</v>
      </c>
      <c r="H98" s="73"/>
      <c r="I98" s="34"/>
      <c r="J98" s="34" t="s">
        <v>431</v>
      </c>
      <c r="K98" s="34" t="s">
        <v>134</v>
      </c>
      <c r="L98" s="34" t="s">
        <v>439</v>
      </c>
    </row>
    <row r="99" spans="1:12" s="1" customFormat="1">
      <c r="A99" s="25"/>
      <c r="B99" s="26" t="s">
        <v>984</v>
      </c>
      <c r="C99" s="26" t="s">
        <v>136</v>
      </c>
      <c r="D99" s="12" t="s">
        <v>855</v>
      </c>
      <c r="E99" s="30" t="s">
        <v>243</v>
      </c>
      <c r="F99" s="19"/>
      <c r="G99" s="19" t="s">
        <v>1353</v>
      </c>
      <c r="H99" s="73"/>
      <c r="I99" s="34"/>
      <c r="J99" s="34" t="s">
        <v>431</v>
      </c>
      <c r="K99" s="34" t="s">
        <v>134</v>
      </c>
      <c r="L99" s="34" t="s">
        <v>439</v>
      </c>
    </row>
    <row r="100" spans="1:12" s="1" customFormat="1">
      <c r="A100" s="25"/>
      <c r="B100" s="26" t="s">
        <v>985</v>
      </c>
      <c r="C100" s="26" t="s">
        <v>136</v>
      </c>
      <c r="D100" s="12" t="s">
        <v>858</v>
      </c>
      <c r="E100" s="30" t="s">
        <v>243</v>
      </c>
      <c r="F100" s="19"/>
      <c r="G100" s="19" t="s">
        <v>1354</v>
      </c>
      <c r="H100" s="73"/>
      <c r="I100" s="34"/>
      <c r="J100" s="34" t="s">
        <v>431</v>
      </c>
      <c r="K100" s="34" t="s">
        <v>134</v>
      </c>
      <c r="L100" s="34" t="s">
        <v>439</v>
      </c>
    </row>
    <row r="101" spans="1:12" s="1" customFormat="1">
      <c r="A101" s="25"/>
      <c r="B101" s="26" t="s">
        <v>986</v>
      </c>
      <c r="C101" s="26" t="s">
        <v>136</v>
      </c>
      <c r="D101" s="12" t="s">
        <v>861</v>
      </c>
      <c r="E101" s="30" t="s">
        <v>243</v>
      </c>
      <c r="F101" s="19"/>
      <c r="G101" s="19" t="s">
        <v>1355</v>
      </c>
      <c r="H101" s="73"/>
      <c r="I101" s="34"/>
      <c r="J101" s="34" t="s">
        <v>431</v>
      </c>
      <c r="K101" s="34" t="s">
        <v>134</v>
      </c>
      <c r="L101" s="34" t="s">
        <v>439</v>
      </c>
    </row>
    <row r="102" spans="1:12" s="1" customFormat="1">
      <c r="A102" s="25"/>
      <c r="B102" s="26" t="s">
        <v>987</v>
      </c>
      <c r="C102" s="26" t="s">
        <v>136</v>
      </c>
      <c r="D102" s="12" t="s">
        <v>864</v>
      </c>
      <c r="E102" s="30" t="s">
        <v>243</v>
      </c>
      <c r="F102" s="19"/>
      <c r="G102" s="19" t="s">
        <v>1356</v>
      </c>
      <c r="H102" s="73"/>
      <c r="I102" s="34"/>
      <c r="J102" s="34" t="s">
        <v>431</v>
      </c>
      <c r="K102" s="34" t="s">
        <v>134</v>
      </c>
      <c r="L102" s="34" t="s">
        <v>439</v>
      </c>
    </row>
    <row r="103" spans="1:12" s="1" customFormat="1">
      <c r="A103" s="25"/>
      <c r="B103" s="26" t="s">
        <v>988</v>
      </c>
      <c r="C103" s="26" t="s">
        <v>136</v>
      </c>
      <c r="D103" s="12" t="s">
        <v>867</v>
      </c>
      <c r="E103" s="30" t="s">
        <v>243</v>
      </c>
      <c r="F103" s="19"/>
      <c r="G103" s="19" t="s">
        <v>1357</v>
      </c>
      <c r="H103" s="73"/>
      <c r="I103" s="34"/>
      <c r="J103" s="34" t="s">
        <v>431</v>
      </c>
      <c r="K103" s="34" t="s">
        <v>134</v>
      </c>
      <c r="L103" s="34" t="s">
        <v>439</v>
      </c>
    </row>
    <row r="104" spans="1:12" s="1" customFormat="1">
      <c r="A104" s="25"/>
      <c r="B104" s="26" t="s">
        <v>989</v>
      </c>
      <c r="C104" s="26" t="s">
        <v>136</v>
      </c>
      <c r="D104" s="12" t="s">
        <v>870</v>
      </c>
      <c r="E104" s="30" t="s">
        <v>243</v>
      </c>
      <c r="F104" s="19"/>
      <c r="G104" s="19" t="s">
        <v>1358</v>
      </c>
      <c r="H104" s="73"/>
      <c r="I104" s="34"/>
      <c r="J104" s="34" t="s">
        <v>431</v>
      </c>
      <c r="K104" s="34" t="s">
        <v>134</v>
      </c>
      <c r="L104" s="34" t="s">
        <v>439</v>
      </c>
    </row>
    <row r="105" spans="1:12" s="1" customFormat="1">
      <c r="A105" s="25"/>
      <c r="B105" s="26" t="s">
        <v>990</v>
      </c>
      <c r="C105" s="26" t="s">
        <v>136</v>
      </c>
      <c r="D105" s="12" t="s">
        <v>873</v>
      </c>
      <c r="E105" s="30" t="s">
        <v>243</v>
      </c>
      <c r="F105" s="19"/>
      <c r="G105" s="19" t="s">
        <v>1359</v>
      </c>
      <c r="H105" s="73"/>
      <c r="I105" s="34"/>
      <c r="J105" s="34" t="s">
        <v>431</v>
      </c>
      <c r="K105" s="34" t="s">
        <v>134</v>
      </c>
      <c r="L105" s="34" t="s">
        <v>439</v>
      </c>
    </row>
    <row r="106" spans="1:12" s="1" customFormat="1">
      <c r="A106" s="25"/>
      <c r="B106" s="26" t="s">
        <v>991</v>
      </c>
      <c r="C106" s="26" t="s">
        <v>136</v>
      </c>
      <c r="D106" s="12" t="s">
        <v>992</v>
      </c>
      <c r="E106" s="30" t="s">
        <v>243</v>
      </c>
      <c r="F106" s="19"/>
      <c r="G106" s="19" t="s">
        <v>968</v>
      </c>
      <c r="H106" s="63"/>
      <c r="I106" s="34"/>
      <c r="J106" s="34" t="s">
        <v>431</v>
      </c>
      <c r="K106" s="34" t="s">
        <v>134</v>
      </c>
      <c r="L106" s="34" t="s">
        <v>439</v>
      </c>
    </row>
    <row r="107" spans="1:12" s="1" customFormat="1">
      <c r="A107" s="25"/>
      <c r="B107" s="26" t="s">
        <v>993</v>
      </c>
      <c r="C107" s="26" t="s">
        <v>136</v>
      </c>
      <c r="D107" s="12" t="s">
        <v>994</v>
      </c>
      <c r="E107" s="30" t="s">
        <v>243</v>
      </c>
      <c r="F107" s="19"/>
      <c r="G107" s="19" t="s">
        <v>968</v>
      </c>
      <c r="H107" s="63"/>
      <c r="I107" s="34"/>
      <c r="J107" s="34" t="s">
        <v>431</v>
      </c>
      <c r="K107" s="34" t="s">
        <v>134</v>
      </c>
      <c r="L107" s="34" t="s">
        <v>439</v>
      </c>
    </row>
    <row r="108" spans="1:12" s="1" customFormat="1">
      <c r="A108" s="25"/>
      <c r="B108" s="26" t="s">
        <v>995</v>
      </c>
      <c r="C108" s="26" t="s">
        <v>136</v>
      </c>
      <c r="D108" s="12" t="s">
        <v>996</v>
      </c>
      <c r="E108" s="30" t="s">
        <v>243</v>
      </c>
      <c r="F108" s="19"/>
      <c r="G108" s="19" t="s">
        <v>968</v>
      </c>
      <c r="H108" s="63"/>
      <c r="I108" s="34"/>
      <c r="J108" s="34" t="s">
        <v>431</v>
      </c>
      <c r="K108" s="34" t="s">
        <v>134</v>
      </c>
      <c r="L108" s="34" t="s">
        <v>439</v>
      </c>
    </row>
    <row r="109" spans="1:12" s="1" customFormat="1">
      <c r="A109" s="25"/>
      <c r="B109" s="26" t="s">
        <v>997</v>
      </c>
      <c r="C109" s="26" t="s">
        <v>136</v>
      </c>
      <c r="D109" s="12" t="s">
        <v>998</v>
      </c>
      <c r="E109" s="30" t="s">
        <v>243</v>
      </c>
      <c r="F109" s="19"/>
      <c r="G109" s="19" t="s">
        <v>968</v>
      </c>
      <c r="H109" s="63"/>
      <c r="I109" s="34"/>
      <c r="J109" s="34" t="s">
        <v>431</v>
      </c>
      <c r="K109" s="34" t="s">
        <v>134</v>
      </c>
      <c r="L109" s="34" t="s">
        <v>439</v>
      </c>
    </row>
    <row r="110" spans="1:12" s="1" customFormat="1">
      <c r="A110" s="25"/>
      <c r="B110" s="26" t="s">
        <v>999</v>
      </c>
      <c r="C110" s="26" t="s">
        <v>136</v>
      </c>
      <c r="D110" s="12" t="s">
        <v>1000</v>
      </c>
      <c r="E110" s="30" t="s">
        <v>243</v>
      </c>
      <c r="F110" s="19"/>
      <c r="G110" s="19" t="s">
        <v>968</v>
      </c>
      <c r="H110" s="63"/>
      <c r="I110" s="34"/>
      <c r="J110" s="34" t="s">
        <v>431</v>
      </c>
      <c r="K110" s="34" t="s">
        <v>134</v>
      </c>
      <c r="L110" s="34" t="s">
        <v>439</v>
      </c>
    </row>
    <row r="111" spans="1:12" s="1" customFormat="1">
      <c r="A111" s="25"/>
      <c r="B111" s="26" t="s">
        <v>1001</v>
      </c>
      <c r="C111" s="26" t="s">
        <v>136</v>
      </c>
      <c r="D111" s="12" t="s">
        <v>1002</v>
      </c>
      <c r="E111" s="30" t="s">
        <v>243</v>
      </c>
      <c r="F111" s="19"/>
      <c r="G111" s="19" t="s">
        <v>968</v>
      </c>
      <c r="H111" s="63"/>
      <c r="I111" s="34"/>
      <c r="J111" s="34" t="s">
        <v>431</v>
      </c>
      <c r="K111" s="34" t="s">
        <v>134</v>
      </c>
      <c r="L111" s="34" t="s">
        <v>439</v>
      </c>
    </row>
    <row r="112" spans="1:12" s="1" customFormat="1">
      <c r="A112" s="25"/>
      <c r="B112" s="26" t="s">
        <v>1003</v>
      </c>
      <c r="C112" s="26" t="s">
        <v>136</v>
      </c>
      <c r="D112" s="12" t="s">
        <v>1004</v>
      </c>
      <c r="E112" s="30" t="s">
        <v>243</v>
      </c>
      <c r="F112" s="19"/>
      <c r="G112" s="19" t="s">
        <v>968</v>
      </c>
      <c r="H112" s="63"/>
      <c r="I112" s="34"/>
      <c r="J112" s="34" t="s">
        <v>431</v>
      </c>
      <c r="K112" s="34" t="s">
        <v>134</v>
      </c>
      <c r="L112" s="34" t="s">
        <v>439</v>
      </c>
    </row>
    <row r="113" spans="1:12" s="1" customFormat="1">
      <c r="A113" s="25"/>
      <c r="B113" s="26" t="s">
        <v>1005</v>
      </c>
      <c r="C113" s="26" t="s">
        <v>136</v>
      </c>
      <c r="D113" s="12" t="s">
        <v>1006</v>
      </c>
      <c r="E113" s="30" t="s">
        <v>243</v>
      </c>
      <c r="F113" s="19"/>
      <c r="G113" s="19" t="s">
        <v>968</v>
      </c>
      <c r="H113" s="63"/>
      <c r="I113" s="34"/>
      <c r="J113" s="34" t="s">
        <v>431</v>
      </c>
      <c r="K113" s="34" t="s">
        <v>134</v>
      </c>
      <c r="L113" s="34" t="s">
        <v>439</v>
      </c>
    </row>
    <row r="114" spans="1:12" s="1" customFormat="1">
      <c r="A114" s="25"/>
      <c r="B114" s="26" t="s">
        <v>1007</v>
      </c>
      <c r="C114" s="26" t="s">
        <v>136</v>
      </c>
      <c r="D114" s="12" t="s">
        <v>1008</v>
      </c>
      <c r="E114" s="30" t="s">
        <v>243</v>
      </c>
      <c r="F114" s="19"/>
      <c r="G114" s="19" t="s">
        <v>968</v>
      </c>
      <c r="H114" s="63"/>
      <c r="I114" s="34"/>
      <c r="J114" s="34" t="s">
        <v>431</v>
      </c>
      <c r="K114" s="34" t="s">
        <v>134</v>
      </c>
      <c r="L114" s="34" t="s">
        <v>439</v>
      </c>
    </row>
    <row r="115" spans="1:12" s="1" customFormat="1">
      <c r="A115" s="25"/>
      <c r="B115" s="26" t="s">
        <v>1009</v>
      </c>
      <c r="C115" s="26" t="s">
        <v>136</v>
      </c>
      <c r="D115" s="12" t="s">
        <v>1010</v>
      </c>
      <c r="E115" s="30" t="s">
        <v>243</v>
      </c>
      <c r="F115" s="19"/>
      <c r="G115" s="19" t="s">
        <v>968</v>
      </c>
      <c r="H115" s="63"/>
      <c r="I115" s="34"/>
      <c r="J115" s="34" t="s">
        <v>431</v>
      </c>
      <c r="K115" s="34" t="s">
        <v>134</v>
      </c>
      <c r="L115" s="34" t="s">
        <v>439</v>
      </c>
    </row>
    <row r="116" spans="1:12" s="1" customFormat="1">
      <c r="A116" s="25"/>
      <c r="B116" s="26" t="s">
        <v>1011</v>
      </c>
      <c r="C116" s="26" t="s">
        <v>136</v>
      </c>
      <c r="D116" s="12" t="s">
        <v>1012</v>
      </c>
      <c r="E116" s="30" t="s">
        <v>243</v>
      </c>
      <c r="F116" s="19"/>
      <c r="G116" s="19" t="s">
        <v>968</v>
      </c>
      <c r="H116" s="63"/>
      <c r="I116" s="34"/>
      <c r="J116" s="34" t="s">
        <v>431</v>
      </c>
      <c r="K116" s="34" t="s">
        <v>134</v>
      </c>
      <c r="L116" s="34" t="s">
        <v>439</v>
      </c>
    </row>
    <row r="117" spans="1:12" s="1" customFormat="1">
      <c r="A117" s="25"/>
      <c r="B117" s="26" t="s">
        <v>1013</v>
      </c>
      <c r="C117" s="26" t="s">
        <v>136</v>
      </c>
      <c r="D117" s="12" t="s">
        <v>1014</v>
      </c>
      <c r="E117" s="30" t="s">
        <v>243</v>
      </c>
      <c r="F117" s="19"/>
      <c r="G117" s="19" t="s">
        <v>968</v>
      </c>
      <c r="H117" s="63"/>
      <c r="I117" s="34"/>
      <c r="J117" s="34" t="s">
        <v>431</v>
      </c>
      <c r="K117" s="34" t="s">
        <v>134</v>
      </c>
      <c r="L117" s="34" t="s">
        <v>439</v>
      </c>
    </row>
    <row r="118" spans="1:12" s="1" customFormat="1">
      <c r="A118" s="25"/>
      <c r="B118" s="26" t="s">
        <v>1015</v>
      </c>
      <c r="C118" s="26" t="s">
        <v>136</v>
      </c>
      <c r="D118" s="12" t="s">
        <v>1016</v>
      </c>
      <c r="E118" s="30" t="s">
        <v>243</v>
      </c>
      <c r="F118" s="19"/>
      <c r="G118" s="19" t="s">
        <v>968</v>
      </c>
      <c r="H118" s="63"/>
      <c r="I118" s="34"/>
      <c r="J118" s="34" t="s">
        <v>431</v>
      </c>
      <c r="K118" s="34" t="s">
        <v>134</v>
      </c>
      <c r="L118" s="34" t="s">
        <v>439</v>
      </c>
    </row>
    <row r="119" spans="1:12" s="1" customFormat="1">
      <c r="A119" s="25"/>
      <c r="B119" s="26" t="s">
        <v>1017</v>
      </c>
      <c r="C119" s="26" t="s">
        <v>136</v>
      </c>
      <c r="D119" s="12" t="s">
        <v>1018</v>
      </c>
      <c r="E119" s="30" t="s">
        <v>243</v>
      </c>
      <c r="F119" s="19"/>
      <c r="G119" s="19" t="s">
        <v>968</v>
      </c>
      <c r="H119" s="63"/>
      <c r="I119" s="34"/>
      <c r="J119" s="34" t="s">
        <v>431</v>
      </c>
      <c r="K119" s="34" t="s">
        <v>134</v>
      </c>
      <c r="L119" s="34" t="s">
        <v>439</v>
      </c>
    </row>
    <row r="120" spans="1:12" s="1" customFormat="1">
      <c r="A120" s="25"/>
      <c r="B120" s="26" t="s">
        <v>1019</v>
      </c>
      <c r="C120" s="26" t="s">
        <v>136</v>
      </c>
      <c r="D120" s="12" t="s">
        <v>1020</v>
      </c>
      <c r="E120" s="30" t="s">
        <v>243</v>
      </c>
      <c r="F120" s="19"/>
      <c r="G120" s="19" t="s">
        <v>968</v>
      </c>
      <c r="H120" s="63"/>
      <c r="I120" s="34"/>
      <c r="J120" s="34" t="s">
        <v>431</v>
      </c>
      <c r="K120" s="34" t="s">
        <v>134</v>
      </c>
      <c r="L120" s="34" t="s">
        <v>439</v>
      </c>
    </row>
    <row r="121" spans="1:12" s="1" customFormat="1">
      <c r="A121" s="25"/>
      <c r="B121" s="26" t="s">
        <v>1021</v>
      </c>
      <c r="C121" s="26" t="s">
        <v>136</v>
      </c>
      <c r="D121" s="12" t="s">
        <v>1022</v>
      </c>
      <c r="E121" s="30" t="s">
        <v>243</v>
      </c>
      <c r="F121" s="19"/>
      <c r="G121" s="19" t="s">
        <v>968</v>
      </c>
      <c r="H121" s="63"/>
      <c r="I121" s="34"/>
      <c r="J121" s="34" t="s">
        <v>431</v>
      </c>
      <c r="K121" s="34" t="s">
        <v>134</v>
      </c>
      <c r="L121" s="34" t="s">
        <v>439</v>
      </c>
    </row>
    <row r="122" spans="1:12" s="1" customFormat="1">
      <c r="A122" s="25"/>
      <c r="B122" s="26" t="s">
        <v>1023</v>
      </c>
      <c r="C122" s="26" t="s">
        <v>136</v>
      </c>
      <c r="D122" s="12" t="s">
        <v>1024</v>
      </c>
      <c r="E122" s="30" t="s">
        <v>243</v>
      </c>
      <c r="F122" s="19"/>
      <c r="G122" s="19" t="s">
        <v>1360</v>
      </c>
      <c r="H122" s="73"/>
      <c r="I122" s="34"/>
      <c r="J122" s="34" t="s">
        <v>431</v>
      </c>
      <c r="K122" s="34" t="s">
        <v>134</v>
      </c>
      <c r="L122" s="34" t="s">
        <v>439</v>
      </c>
    </row>
    <row r="123" spans="1:12" s="1" customFormat="1">
      <c r="A123" s="25"/>
      <c r="B123" s="26" t="s">
        <v>1026</v>
      </c>
      <c r="C123" s="26" t="s">
        <v>136</v>
      </c>
      <c r="D123" s="12" t="s">
        <v>1027</v>
      </c>
      <c r="E123" s="30" t="s">
        <v>243</v>
      </c>
      <c r="F123" s="19"/>
      <c r="G123" s="19" t="s">
        <v>1361</v>
      </c>
      <c r="H123" s="73"/>
      <c r="I123" s="34"/>
      <c r="J123" s="34" t="s">
        <v>431</v>
      </c>
      <c r="K123" s="34" t="s">
        <v>134</v>
      </c>
      <c r="L123" s="34" t="s">
        <v>439</v>
      </c>
    </row>
    <row r="124" spans="1:12" s="1" customFormat="1">
      <c r="A124" s="25"/>
      <c r="B124" s="26" t="s">
        <v>1029</v>
      </c>
      <c r="C124" s="26" t="s">
        <v>136</v>
      </c>
      <c r="D124" s="12" t="s">
        <v>1030</v>
      </c>
      <c r="E124" s="30" t="s">
        <v>243</v>
      </c>
      <c r="F124" s="19"/>
      <c r="G124" s="19" t="s">
        <v>1362</v>
      </c>
      <c r="H124" s="73"/>
      <c r="I124" s="34"/>
      <c r="J124" s="34" t="s">
        <v>431</v>
      </c>
      <c r="K124" s="34" t="s">
        <v>134</v>
      </c>
      <c r="L124" s="34" t="s">
        <v>439</v>
      </c>
    </row>
    <row r="125" spans="1:12" s="1" customFormat="1">
      <c r="A125" s="25"/>
      <c r="B125" s="26" t="s">
        <v>1032</v>
      </c>
      <c r="C125" s="26" t="s">
        <v>136</v>
      </c>
      <c r="D125" s="12" t="s">
        <v>1033</v>
      </c>
      <c r="E125" s="30" t="s">
        <v>243</v>
      </c>
      <c r="F125" s="19"/>
      <c r="G125" s="19" t="s">
        <v>1363</v>
      </c>
      <c r="H125" s="73"/>
      <c r="I125" s="34"/>
      <c r="J125" s="34" t="s">
        <v>431</v>
      </c>
      <c r="K125" s="34" t="s">
        <v>134</v>
      </c>
      <c r="L125" s="34" t="s">
        <v>439</v>
      </c>
    </row>
    <row r="126" spans="1:12" s="1" customFormat="1">
      <c r="A126" s="25"/>
      <c r="B126" s="26" t="s">
        <v>1035</v>
      </c>
      <c r="C126" s="26" t="s">
        <v>136</v>
      </c>
      <c r="D126" s="12" t="s">
        <v>1036</v>
      </c>
      <c r="E126" s="30" t="s">
        <v>243</v>
      </c>
      <c r="F126" s="19"/>
      <c r="G126" s="19" t="s">
        <v>1364</v>
      </c>
      <c r="H126" s="73"/>
      <c r="I126" s="34"/>
      <c r="J126" s="34" t="s">
        <v>431</v>
      </c>
      <c r="K126" s="34" t="s">
        <v>134</v>
      </c>
      <c r="L126" s="34" t="s">
        <v>439</v>
      </c>
    </row>
    <row r="127" spans="1:12" s="1" customFormat="1">
      <c r="A127" s="25"/>
      <c r="B127" s="26" t="s">
        <v>1038</v>
      </c>
      <c r="C127" s="26" t="s">
        <v>136</v>
      </c>
      <c r="D127" s="12" t="s">
        <v>1039</v>
      </c>
      <c r="E127" s="30" t="s">
        <v>243</v>
      </c>
      <c r="F127" s="19"/>
      <c r="G127" s="19" t="s">
        <v>1365</v>
      </c>
      <c r="H127" s="73"/>
      <c r="I127" s="34"/>
      <c r="J127" s="34" t="s">
        <v>431</v>
      </c>
      <c r="K127" s="34" t="s">
        <v>134</v>
      </c>
      <c r="L127" s="34" t="s">
        <v>439</v>
      </c>
    </row>
    <row r="128" spans="1:12" s="1" customFormat="1">
      <c r="A128" s="25"/>
      <c r="B128" s="26" t="s">
        <v>1041</v>
      </c>
      <c r="C128" s="26" t="s">
        <v>136</v>
      </c>
      <c r="D128" s="12" t="s">
        <v>1042</v>
      </c>
      <c r="E128" s="30" t="s">
        <v>243</v>
      </c>
      <c r="F128" s="19"/>
      <c r="G128" s="19" t="s">
        <v>1366</v>
      </c>
      <c r="H128" s="73"/>
      <c r="I128" s="34"/>
      <c r="J128" s="34" t="s">
        <v>431</v>
      </c>
      <c r="K128" s="34" t="s">
        <v>134</v>
      </c>
      <c r="L128" s="34" t="s">
        <v>439</v>
      </c>
    </row>
    <row r="129" spans="1:12" s="1" customFormat="1">
      <c r="A129" s="25"/>
      <c r="B129" s="26" t="s">
        <v>1044</v>
      </c>
      <c r="C129" s="26" t="s">
        <v>136</v>
      </c>
      <c r="D129" s="12" t="s">
        <v>1045</v>
      </c>
      <c r="E129" s="30" t="s">
        <v>243</v>
      </c>
      <c r="F129" s="19"/>
      <c r="G129" s="19" t="s">
        <v>1367</v>
      </c>
      <c r="H129" s="73"/>
      <c r="I129" s="34"/>
      <c r="J129" s="34" t="s">
        <v>431</v>
      </c>
      <c r="K129" s="34" t="s">
        <v>134</v>
      </c>
      <c r="L129" s="34" t="s">
        <v>439</v>
      </c>
    </row>
    <row r="130" spans="1:12" s="1" customFormat="1">
      <c r="A130" s="25"/>
      <c r="B130" s="26" t="s">
        <v>141</v>
      </c>
      <c r="C130" s="26" t="s">
        <v>132</v>
      </c>
      <c r="D130" s="12" t="s">
        <v>1048</v>
      </c>
      <c r="E130" s="30" t="s">
        <v>243</v>
      </c>
      <c r="F130" s="19" t="str">
        <f>VLOOKUP(B130,'9'!B:B,1,0)</f>
        <v>plmn</v>
      </c>
      <c r="G130" s="19" t="s">
        <v>250</v>
      </c>
      <c r="H130" s="63"/>
      <c r="I130" s="34"/>
      <c r="J130" s="34" t="s">
        <v>384</v>
      </c>
      <c r="K130" s="34" t="s">
        <v>134</v>
      </c>
      <c r="L130" s="34" t="s">
        <v>134</v>
      </c>
    </row>
    <row r="131" spans="1:12" s="1" customFormat="1">
      <c r="A131" s="25"/>
      <c r="B131" s="26" t="s">
        <v>254</v>
      </c>
      <c r="C131" s="26" t="s">
        <v>132</v>
      </c>
      <c r="D131" s="12" t="s">
        <v>1049</v>
      </c>
      <c r="E131" s="30" t="s">
        <v>243</v>
      </c>
      <c r="F131" s="19" t="str">
        <f>VLOOKUP(B131,'9'!B:B,1,0)</f>
        <v>imei</v>
      </c>
      <c r="G131" s="19" t="s">
        <v>250</v>
      </c>
      <c r="H131" s="63"/>
      <c r="I131" s="34"/>
      <c r="J131" s="34" t="s">
        <v>384</v>
      </c>
      <c r="K131" s="34" t="s">
        <v>134</v>
      </c>
      <c r="L131" s="34" t="s">
        <v>134</v>
      </c>
    </row>
    <row r="132" spans="1:12" s="1" customFormat="1">
      <c r="A132" s="25"/>
      <c r="B132" s="26" t="s">
        <v>257</v>
      </c>
      <c r="C132" s="26" t="s">
        <v>132</v>
      </c>
      <c r="D132" s="12" t="s">
        <v>258</v>
      </c>
      <c r="E132" s="30" t="s">
        <v>243</v>
      </c>
      <c r="F132" s="19" t="str">
        <f>VLOOKUP(B132,'9'!B:B,1,0)</f>
        <v>msisdn</v>
      </c>
      <c r="G132" s="19" t="s">
        <v>250</v>
      </c>
      <c r="H132" s="63"/>
      <c r="I132" s="34"/>
      <c r="J132" s="34" t="s">
        <v>384</v>
      </c>
      <c r="K132" s="34" t="s">
        <v>134</v>
      </c>
      <c r="L132" s="34" t="s">
        <v>134</v>
      </c>
    </row>
    <row r="133" spans="1:12" s="1" customFormat="1">
      <c r="A133" s="25"/>
      <c r="B133" s="26" t="s">
        <v>499</v>
      </c>
      <c r="C133" s="26" t="s">
        <v>245</v>
      </c>
      <c r="D133" s="12" t="s">
        <v>1055</v>
      </c>
      <c r="E133" s="30" t="s">
        <v>243</v>
      </c>
      <c r="F133" s="19" t="str">
        <f>VLOOKUP(B133,'9'!B:B,1,0)</f>
        <v>center_lon</v>
      </c>
      <c r="G133" s="19" t="s">
        <v>250</v>
      </c>
      <c r="H133" s="63"/>
      <c r="I133" s="34"/>
      <c r="J133" s="34" t="s">
        <v>384</v>
      </c>
      <c r="K133" s="34" t="s">
        <v>134</v>
      </c>
      <c r="L133" s="34" t="s">
        <v>134</v>
      </c>
    </row>
    <row r="134" spans="1:12" s="1" customFormat="1">
      <c r="A134" s="25"/>
      <c r="B134" s="26" t="s">
        <v>502</v>
      </c>
      <c r="C134" s="26" t="s">
        <v>245</v>
      </c>
      <c r="D134" s="12" t="s">
        <v>1056</v>
      </c>
      <c r="E134" s="30" t="s">
        <v>243</v>
      </c>
      <c r="F134" s="19" t="str">
        <f>VLOOKUP(B134,'9'!B:B,1,0)</f>
        <v>center_lat</v>
      </c>
      <c r="G134" s="19" t="s">
        <v>250</v>
      </c>
      <c r="H134" s="63"/>
      <c r="I134" s="34"/>
      <c r="J134" s="34" t="s">
        <v>384</v>
      </c>
      <c r="K134" s="34" t="s">
        <v>134</v>
      </c>
      <c r="L134" s="34" t="s">
        <v>134</v>
      </c>
    </row>
    <row r="135" spans="1:12" s="1" customFormat="1">
      <c r="A135" s="25"/>
      <c r="B135" s="26" t="s">
        <v>504</v>
      </c>
      <c r="C135" s="26" t="s">
        <v>245</v>
      </c>
      <c r="D135" s="12" t="s">
        <v>505</v>
      </c>
      <c r="E135" s="30" t="s">
        <v>243</v>
      </c>
      <c r="F135" s="19" t="str">
        <f>VLOOKUP(B135,'9'!B:B,1,0)</f>
        <v>left_up_lon</v>
      </c>
      <c r="G135" s="19" t="s">
        <v>250</v>
      </c>
      <c r="I135" s="34"/>
      <c r="J135" s="34" t="s">
        <v>384</v>
      </c>
      <c r="K135" s="34" t="s">
        <v>134</v>
      </c>
      <c r="L135" s="34" t="s">
        <v>134</v>
      </c>
    </row>
    <row r="136" spans="1:12" s="1" customFormat="1">
      <c r="A136" s="25"/>
      <c r="B136" s="26" t="s">
        <v>506</v>
      </c>
      <c r="C136" s="26" t="s">
        <v>245</v>
      </c>
      <c r="D136" s="12" t="s">
        <v>1053</v>
      </c>
      <c r="E136" s="30" t="s">
        <v>243</v>
      </c>
      <c r="F136" s="19" t="str">
        <f>VLOOKUP(B136,'9'!B:B,1,0)</f>
        <v>left_up_lat</v>
      </c>
      <c r="G136" s="19" t="s">
        <v>250</v>
      </c>
      <c r="H136" s="63"/>
      <c r="I136" s="34"/>
      <c r="J136" s="34" t="s">
        <v>384</v>
      </c>
      <c r="K136" s="34" t="s">
        <v>134</v>
      </c>
      <c r="L136" s="34" t="s">
        <v>134</v>
      </c>
    </row>
    <row r="137" spans="1:12" s="1" customFormat="1">
      <c r="A137" s="25"/>
      <c r="B137" s="26" t="s">
        <v>508</v>
      </c>
      <c r="C137" s="26" t="s">
        <v>245</v>
      </c>
      <c r="D137" s="12" t="s">
        <v>509</v>
      </c>
      <c r="E137" s="30" t="s">
        <v>243</v>
      </c>
      <c r="F137" s="19" t="str">
        <f>VLOOKUP(B137,'9'!B:B,1,0)</f>
        <v>right_down_lon</v>
      </c>
      <c r="G137" s="19" t="s">
        <v>250</v>
      </c>
      <c r="H137" s="63"/>
      <c r="I137" s="34"/>
      <c r="J137" s="34" t="s">
        <v>384</v>
      </c>
      <c r="K137" s="34" t="s">
        <v>134</v>
      </c>
      <c r="L137" s="34" t="s">
        <v>134</v>
      </c>
    </row>
    <row r="138" spans="1:12" s="1" customFormat="1">
      <c r="A138" s="25"/>
      <c r="B138" s="26" t="s">
        <v>510</v>
      </c>
      <c r="C138" s="26" t="s">
        <v>245</v>
      </c>
      <c r="D138" s="12" t="s">
        <v>1054</v>
      </c>
      <c r="E138" s="30" t="s">
        <v>243</v>
      </c>
      <c r="F138" s="19" t="str">
        <f>VLOOKUP(B138,'9'!B:B,1,0)</f>
        <v>right_down_lat</v>
      </c>
      <c r="G138" s="19" t="s">
        <v>250</v>
      </c>
      <c r="H138" s="63"/>
      <c r="I138" s="34"/>
      <c r="J138" s="34" t="s">
        <v>384</v>
      </c>
      <c r="K138" s="34" t="s">
        <v>134</v>
      </c>
      <c r="L138" s="34" t="s">
        <v>134</v>
      </c>
    </row>
    <row r="139" spans="1:12" s="1" customFormat="1">
      <c r="A139" s="25"/>
      <c r="B139" s="26" t="s">
        <v>1058</v>
      </c>
      <c r="C139" s="26" t="s">
        <v>245</v>
      </c>
      <c r="D139" s="31" t="s">
        <v>513</v>
      </c>
      <c r="E139" s="30" t="s">
        <v>243</v>
      </c>
      <c r="F139" s="31"/>
      <c r="G139" s="19" t="s">
        <v>1368</v>
      </c>
      <c r="H139" s="63"/>
      <c r="I139" s="34"/>
      <c r="J139" s="34" t="s">
        <v>431</v>
      </c>
      <c r="K139" s="34" t="s">
        <v>134</v>
      </c>
      <c r="L139" s="34" t="s">
        <v>439</v>
      </c>
    </row>
    <row r="140" spans="1:12" s="1" customFormat="1">
      <c r="A140" s="25"/>
      <c r="B140" s="26" t="s">
        <v>1060</v>
      </c>
      <c r="C140" s="26" t="s">
        <v>245</v>
      </c>
      <c r="D140" s="31" t="s">
        <v>516</v>
      </c>
      <c r="E140" s="30" t="s">
        <v>243</v>
      </c>
      <c r="F140" s="31"/>
      <c r="G140" s="19" t="s">
        <v>1369</v>
      </c>
      <c r="H140" s="63"/>
      <c r="I140" s="34"/>
      <c r="J140" s="34" t="s">
        <v>431</v>
      </c>
      <c r="K140" s="34" t="s">
        <v>134</v>
      </c>
      <c r="L140" s="34" t="s">
        <v>439</v>
      </c>
    </row>
    <row r="141" spans="1:12" s="1" customFormat="1">
      <c r="A141" s="25"/>
      <c r="B141" s="26" t="s">
        <v>1062</v>
      </c>
      <c r="C141" s="26" t="s">
        <v>136</v>
      </c>
      <c r="D141" s="31" t="s">
        <v>519</v>
      </c>
      <c r="E141" s="30" t="s">
        <v>243</v>
      </c>
      <c r="F141" s="31"/>
      <c r="G141" s="19" t="s">
        <v>1370</v>
      </c>
      <c r="H141" s="63"/>
      <c r="I141" s="34"/>
      <c r="J141" s="34" t="s">
        <v>431</v>
      </c>
      <c r="K141" s="34" t="s">
        <v>134</v>
      </c>
      <c r="L141" s="34" t="s">
        <v>439</v>
      </c>
    </row>
    <row r="142" spans="1:12" s="1" customFormat="1">
      <c r="A142" s="25"/>
      <c r="B142" s="26" t="s">
        <v>1064</v>
      </c>
      <c r="C142" s="26" t="s">
        <v>136</v>
      </c>
      <c r="D142" s="12" t="s">
        <v>1065</v>
      </c>
      <c r="E142" s="30" t="s">
        <v>243</v>
      </c>
      <c r="F142" s="31"/>
      <c r="G142" s="19" t="s">
        <v>1066</v>
      </c>
      <c r="H142" s="63"/>
      <c r="I142" s="34"/>
      <c r="J142" s="34" t="s">
        <v>431</v>
      </c>
      <c r="K142" s="34" t="s">
        <v>134</v>
      </c>
      <c r="L142" s="40">
        <v>0</v>
      </c>
    </row>
    <row r="143" spans="1:12" s="1" customFormat="1">
      <c r="A143" s="25"/>
      <c r="B143" s="26" t="s">
        <v>1067</v>
      </c>
      <c r="C143" s="26" t="s">
        <v>136</v>
      </c>
      <c r="D143" s="12" t="s">
        <v>1068</v>
      </c>
      <c r="E143" s="30" t="s">
        <v>243</v>
      </c>
      <c r="F143" s="31"/>
      <c r="G143" s="19" t="s">
        <v>1066</v>
      </c>
      <c r="H143" s="63"/>
      <c r="I143" s="34"/>
      <c r="J143" s="34" t="s">
        <v>431</v>
      </c>
      <c r="K143" s="34" t="s">
        <v>134</v>
      </c>
      <c r="L143" s="40">
        <v>0</v>
      </c>
    </row>
    <row r="144" spans="1:12" s="1" customFormat="1">
      <c r="A144" s="25"/>
      <c r="B144" s="26" t="s">
        <v>1069</v>
      </c>
      <c r="C144" s="26" t="s">
        <v>136</v>
      </c>
      <c r="D144" s="12" t="s">
        <v>1070</v>
      </c>
      <c r="E144" s="30" t="s">
        <v>243</v>
      </c>
      <c r="F144" s="31"/>
      <c r="G144" s="19" t="s">
        <v>1371</v>
      </c>
      <c r="H144" s="63"/>
      <c r="I144" s="34"/>
      <c r="J144" s="34" t="s">
        <v>431</v>
      </c>
      <c r="K144" s="34" t="s">
        <v>134</v>
      </c>
      <c r="L144" s="34" t="s">
        <v>439</v>
      </c>
    </row>
    <row r="145" spans="1:12" s="1" customFormat="1">
      <c r="A145" s="25"/>
      <c r="B145" s="26" t="s">
        <v>1072</v>
      </c>
      <c r="C145" s="26" t="s">
        <v>136</v>
      </c>
      <c r="D145" s="12" t="s">
        <v>1073</v>
      </c>
      <c r="E145" s="30" t="s">
        <v>243</v>
      </c>
      <c r="F145" s="31"/>
      <c r="G145" s="19" t="s">
        <v>1372</v>
      </c>
      <c r="H145" s="63"/>
      <c r="I145" s="34"/>
      <c r="J145" s="34" t="s">
        <v>431</v>
      </c>
      <c r="K145" s="34" t="s">
        <v>134</v>
      </c>
      <c r="L145" s="34" t="s">
        <v>439</v>
      </c>
    </row>
    <row r="146" spans="1:12" s="1" customFormat="1">
      <c r="A146" s="25"/>
      <c r="B146" s="26" t="s">
        <v>1075</v>
      </c>
      <c r="C146" s="26" t="s">
        <v>136</v>
      </c>
      <c r="D146" s="12" t="s">
        <v>1076</v>
      </c>
      <c r="E146" s="30" t="s">
        <v>243</v>
      </c>
      <c r="F146" s="31"/>
      <c r="G146" s="19" t="s">
        <v>1373</v>
      </c>
      <c r="H146" s="63"/>
      <c r="I146" s="34"/>
      <c r="J146" s="34" t="s">
        <v>431</v>
      </c>
      <c r="K146" s="34" t="s">
        <v>134</v>
      </c>
      <c r="L146" s="34" t="s">
        <v>439</v>
      </c>
    </row>
    <row r="147" spans="1:12" s="1" customFormat="1">
      <c r="A147" s="25"/>
      <c r="B147" s="26" t="s">
        <v>1078</v>
      </c>
      <c r="C147" s="26" t="s">
        <v>136</v>
      </c>
      <c r="D147" s="12" t="s">
        <v>1079</v>
      </c>
      <c r="E147" s="30" t="s">
        <v>243</v>
      </c>
      <c r="F147" s="31"/>
      <c r="G147" s="19" t="s">
        <v>1374</v>
      </c>
      <c r="H147" s="63"/>
      <c r="I147" s="34"/>
      <c r="J147" s="34" t="s">
        <v>431</v>
      </c>
      <c r="K147" s="34" t="s">
        <v>134</v>
      </c>
      <c r="L147" s="34" t="s">
        <v>439</v>
      </c>
    </row>
    <row r="148" spans="1:12" s="1" customFormat="1">
      <c r="A148" s="25"/>
      <c r="B148" s="26" t="s">
        <v>1080</v>
      </c>
      <c r="C148" s="26" t="s">
        <v>136</v>
      </c>
      <c r="D148" s="12" t="s">
        <v>1081</v>
      </c>
      <c r="E148" s="30" t="s">
        <v>243</v>
      </c>
      <c r="F148" s="31"/>
      <c r="G148" s="19" t="s">
        <v>1375</v>
      </c>
      <c r="H148" s="63"/>
      <c r="I148" s="34"/>
      <c r="J148" s="34" t="s">
        <v>431</v>
      </c>
      <c r="K148" s="34" t="s">
        <v>134</v>
      </c>
      <c r="L148" s="34" t="s">
        <v>439</v>
      </c>
    </row>
    <row r="149" spans="1:12" s="1" customFormat="1">
      <c r="A149" s="25"/>
      <c r="B149" s="26" t="s">
        <v>1082</v>
      </c>
      <c r="C149" s="26" t="s">
        <v>136</v>
      </c>
      <c r="D149" s="12" t="s">
        <v>1083</v>
      </c>
      <c r="E149" s="30" t="s">
        <v>243</v>
      </c>
      <c r="F149" s="31"/>
      <c r="G149" s="19" t="s">
        <v>1376</v>
      </c>
      <c r="H149" s="63"/>
      <c r="I149" s="34"/>
      <c r="J149" s="34" t="s">
        <v>431</v>
      </c>
      <c r="K149" s="34" t="s">
        <v>134</v>
      </c>
      <c r="L149" s="34" t="s">
        <v>439</v>
      </c>
    </row>
    <row r="150" spans="1:12" s="1" customFormat="1">
      <c r="A150" s="25"/>
      <c r="B150" s="26" t="s">
        <v>1085</v>
      </c>
      <c r="C150" s="26" t="s">
        <v>136</v>
      </c>
      <c r="D150" s="12" t="s">
        <v>1086</v>
      </c>
      <c r="E150" s="30" t="s">
        <v>243</v>
      </c>
      <c r="F150" s="31"/>
      <c r="G150" s="19" t="s">
        <v>1377</v>
      </c>
      <c r="H150" s="63"/>
      <c r="I150" s="34"/>
      <c r="J150" s="34" t="s">
        <v>431</v>
      </c>
      <c r="K150" s="34" t="s">
        <v>134</v>
      </c>
      <c r="L150" s="34" t="s">
        <v>439</v>
      </c>
    </row>
    <row r="151" spans="1:12" s="1" customFormat="1">
      <c r="A151" s="25"/>
      <c r="B151" s="26" t="s">
        <v>1088</v>
      </c>
      <c r="C151" s="26" t="s">
        <v>136</v>
      </c>
      <c r="D151" s="12" t="s">
        <v>1089</v>
      </c>
      <c r="E151" s="30" t="s">
        <v>243</v>
      </c>
      <c r="F151" s="31"/>
      <c r="G151" s="19" t="s">
        <v>1378</v>
      </c>
      <c r="H151" s="63"/>
      <c r="I151" s="34"/>
      <c r="J151" s="34" t="s">
        <v>431</v>
      </c>
      <c r="K151" s="34" t="s">
        <v>134</v>
      </c>
      <c r="L151" s="34" t="s">
        <v>439</v>
      </c>
    </row>
    <row r="152" spans="1:12" s="1" customFormat="1">
      <c r="A152" s="25"/>
      <c r="B152" s="26" t="s">
        <v>1091</v>
      </c>
      <c r="C152" s="26" t="s">
        <v>136</v>
      </c>
      <c r="D152" s="12" t="s">
        <v>1092</v>
      </c>
      <c r="E152" s="30" t="s">
        <v>243</v>
      </c>
      <c r="F152" s="31"/>
      <c r="G152" s="19" t="s">
        <v>1379</v>
      </c>
      <c r="H152" s="63"/>
      <c r="I152" s="34"/>
      <c r="J152" s="34" t="s">
        <v>431</v>
      </c>
      <c r="K152" s="34" t="s">
        <v>134</v>
      </c>
      <c r="L152" s="34" t="s">
        <v>439</v>
      </c>
    </row>
    <row r="153" spans="1:12" s="1" customFormat="1">
      <c r="A153" s="25"/>
      <c r="B153" s="26" t="s">
        <v>1094</v>
      </c>
      <c r="C153" s="26" t="s">
        <v>136</v>
      </c>
      <c r="D153" s="12" t="s">
        <v>1095</v>
      </c>
      <c r="E153" s="30" t="s">
        <v>243</v>
      </c>
      <c r="F153" s="31"/>
      <c r="G153" s="19" t="s">
        <v>1380</v>
      </c>
      <c r="H153" s="63"/>
      <c r="I153" s="34"/>
      <c r="J153" s="34" t="s">
        <v>431</v>
      </c>
      <c r="K153" s="34" t="s">
        <v>134</v>
      </c>
      <c r="L153" s="34" t="s">
        <v>439</v>
      </c>
    </row>
    <row r="154" spans="1:12" s="1" customFormat="1">
      <c r="A154" s="25"/>
      <c r="B154" s="26" t="s">
        <v>1097</v>
      </c>
      <c r="C154" s="26" t="s">
        <v>136</v>
      </c>
      <c r="D154" s="12" t="s">
        <v>1098</v>
      </c>
      <c r="E154" s="30" t="s">
        <v>243</v>
      </c>
      <c r="F154" s="31"/>
      <c r="G154" s="19" t="s">
        <v>1381</v>
      </c>
      <c r="H154" s="63"/>
      <c r="I154" s="34"/>
      <c r="J154" s="34" t="s">
        <v>431</v>
      </c>
      <c r="K154" s="34" t="s">
        <v>134</v>
      </c>
      <c r="L154" s="34" t="s">
        <v>439</v>
      </c>
    </row>
    <row r="155" spans="1:12" s="1" customFormat="1">
      <c r="A155" s="25"/>
      <c r="B155" s="26" t="s">
        <v>1100</v>
      </c>
      <c r="C155" s="26" t="s">
        <v>136</v>
      </c>
      <c r="D155" s="12" t="s">
        <v>1101</v>
      </c>
      <c r="E155" s="30" t="s">
        <v>243</v>
      </c>
      <c r="F155" s="31"/>
      <c r="G155" s="19" t="s">
        <v>1382</v>
      </c>
      <c r="H155" s="63"/>
      <c r="I155" s="34"/>
      <c r="J155" s="34" t="s">
        <v>431</v>
      </c>
      <c r="K155" s="34" t="s">
        <v>134</v>
      </c>
      <c r="L155" s="34" t="s">
        <v>439</v>
      </c>
    </row>
    <row r="156" spans="1:12" s="1" customFormat="1">
      <c r="A156" s="25"/>
      <c r="B156" s="26" t="s">
        <v>1103</v>
      </c>
      <c r="C156" s="26" t="s">
        <v>245</v>
      </c>
      <c r="D156" s="12" t="s">
        <v>1104</v>
      </c>
      <c r="E156" s="30" t="s">
        <v>243</v>
      </c>
      <c r="F156" s="31"/>
      <c r="G156" s="19" t="s">
        <v>1383</v>
      </c>
      <c r="H156" s="63"/>
      <c r="I156" s="34"/>
      <c r="J156" s="34" t="s">
        <v>431</v>
      </c>
      <c r="K156" s="34" t="s">
        <v>134</v>
      </c>
      <c r="L156" s="34" t="s">
        <v>533</v>
      </c>
    </row>
    <row r="157" spans="1:12" s="1" customFormat="1">
      <c r="A157" s="25"/>
      <c r="B157" s="26" t="s">
        <v>1106</v>
      </c>
      <c r="C157" s="26" t="s">
        <v>245</v>
      </c>
      <c r="D157" s="12" t="s">
        <v>1107</v>
      </c>
      <c r="E157" s="30" t="s">
        <v>243</v>
      </c>
      <c r="F157" s="31"/>
      <c r="G157" s="19" t="s">
        <v>1384</v>
      </c>
      <c r="H157" s="63"/>
      <c r="I157" s="34"/>
      <c r="J157" s="34" t="s">
        <v>431</v>
      </c>
      <c r="K157" s="34" t="s">
        <v>134</v>
      </c>
      <c r="L157" s="34" t="s">
        <v>579</v>
      </c>
    </row>
    <row r="158" spans="1:12" s="1" customFormat="1">
      <c r="A158" s="25"/>
      <c r="B158" s="26" t="s">
        <v>1109</v>
      </c>
      <c r="C158" s="26" t="s">
        <v>136</v>
      </c>
      <c r="D158" s="31" t="s">
        <v>1110</v>
      </c>
      <c r="E158" s="30" t="s">
        <v>243</v>
      </c>
      <c r="F158" s="31"/>
      <c r="G158" s="19" t="s">
        <v>1385</v>
      </c>
      <c r="H158" s="63"/>
      <c r="I158" s="34"/>
      <c r="J158" s="34" t="s">
        <v>431</v>
      </c>
      <c r="K158" s="34" t="s">
        <v>134</v>
      </c>
      <c r="L158" s="34" t="s">
        <v>439</v>
      </c>
    </row>
    <row r="159" spans="1:12" s="1" customFormat="1">
      <c r="A159" s="25"/>
      <c r="B159" s="26" t="s">
        <v>1111</v>
      </c>
      <c r="C159" s="26" t="s">
        <v>136</v>
      </c>
      <c r="D159" s="31" t="s">
        <v>1112</v>
      </c>
      <c r="E159" s="30" t="s">
        <v>243</v>
      </c>
      <c r="F159" s="31"/>
      <c r="G159" s="19" t="s">
        <v>1386</v>
      </c>
      <c r="H159" s="63"/>
      <c r="I159" s="34"/>
      <c r="J159" s="34" t="s">
        <v>431</v>
      </c>
      <c r="K159" s="34" t="s">
        <v>134</v>
      </c>
      <c r="L159" s="34" t="s">
        <v>439</v>
      </c>
    </row>
    <row r="160" spans="1:12" s="1" customFormat="1">
      <c r="A160" s="25"/>
      <c r="B160" s="26" t="s">
        <v>1113</v>
      </c>
      <c r="C160" s="26" t="s">
        <v>136</v>
      </c>
      <c r="D160" s="31" t="s">
        <v>1114</v>
      </c>
      <c r="E160" s="30" t="s">
        <v>243</v>
      </c>
      <c r="F160" s="31"/>
      <c r="G160" s="19" t="s">
        <v>1387</v>
      </c>
      <c r="H160" s="63"/>
      <c r="I160" s="34"/>
      <c r="J160" s="34" t="s">
        <v>431</v>
      </c>
      <c r="K160" s="34" t="s">
        <v>134</v>
      </c>
      <c r="L160" s="34" t="s">
        <v>439</v>
      </c>
    </row>
    <row r="161" spans="1:12" s="1" customFormat="1">
      <c r="A161" s="25"/>
      <c r="B161" s="26" t="s">
        <v>1115</v>
      </c>
      <c r="C161" s="26" t="s">
        <v>136</v>
      </c>
      <c r="D161" s="31" t="s">
        <v>1116</v>
      </c>
      <c r="E161" s="30" t="s">
        <v>243</v>
      </c>
      <c r="F161" s="31"/>
      <c r="G161" s="19" t="s">
        <v>1388</v>
      </c>
      <c r="H161" s="63"/>
      <c r="I161" s="34"/>
      <c r="J161" s="34" t="s">
        <v>431</v>
      </c>
      <c r="K161" s="34" t="s">
        <v>134</v>
      </c>
      <c r="L161" s="34" t="s">
        <v>439</v>
      </c>
    </row>
    <row r="162" spans="1:12" s="1" customFormat="1">
      <c r="A162" s="25"/>
      <c r="B162" s="26" t="s">
        <v>1117</v>
      </c>
      <c r="C162" s="26" t="s">
        <v>136</v>
      </c>
      <c r="D162" s="31" t="s">
        <v>1118</v>
      </c>
      <c r="E162" s="30" t="s">
        <v>243</v>
      </c>
      <c r="F162" s="31"/>
      <c r="G162" s="19" t="s">
        <v>1389</v>
      </c>
      <c r="H162" s="63"/>
      <c r="I162" s="34"/>
      <c r="J162" s="34" t="s">
        <v>431</v>
      </c>
      <c r="K162" s="34" t="s">
        <v>134</v>
      </c>
      <c r="L162" s="34" t="s">
        <v>439</v>
      </c>
    </row>
    <row r="163" spans="1:12" s="1" customFormat="1">
      <c r="A163" s="25"/>
      <c r="B163" s="26" t="s">
        <v>1119</v>
      </c>
      <c r="C163" s="26" t="s">
        <v>136</v>
      </c>
      <c r="D163" s="31" t="s">
        <v>1120</v>
      </c>
      <c r="E163" s="30" t="s">
        <v>243</v>
      </c>
      <c r="F163" s="31"/>
      <c r="G163" s="19" t="s">
        <v>1390</v>
      </c>
      <c r="H163" s="63"/>
      <c r="I163" s="34"/>
      <c r="J163" s="34" t="s">
        <v>431</v>
      </c>
      <c r="K163" s="34" t="s">
        <v>134</v>
      </c>
      <c r="L163" s="34" t="s">
        <v>439</v>
      </c>
    </row>
    <row r="164" spans="1:12" s="1" customFormat="1">
      <c r="A164" s="25"/>
      <c r="B164" s="26" t="s">
        <v>1121</v>
      </c>
      <c r="C164" s="26" t="s">
        <v>136</v>
      </c>
      <c r="D164" s="31" t="s">
        <v>1122</v>
      </c>
      <c r="E164" s="30" t="s">
        <v>243</v>
      </c>
      <c r="F164" s="31"/>
      <c r="G164" s="19" t="s">
        <v>1391</v>
      </c>
      <c r="H164" s="63"/>
      <c r="I164" s="34"/>
      <c r="J164" s="34" t="s">
        <v>431</v>
      </c>
      <c r="K164" s="34" t="s">
        <v>134</v>
      </c>
      <c r="L164" s="34" t="s">
        <v>439</v>
      </c>
    </row>
    <row r="165" spans="1:12" s="1" customFormat="1">
      <c r="A165" s="25"/>
      <c r="B165" s="26" t="s">
        <v>1124</v>
      </c>
      <c r="C165" s="26" t="s">
        <v>136</v>
      </c>
      <c r="D165" s="31" t="s">
        <v>1125</v>
      </c>
      <c r="E165" s="30" t="s">
        <v>243</v>
      </c>
      <c r="F165" s="31"/>
      <c r="G165" s="19" t="s">
        <v>1392</v>
      </c>
      <c r="H165" s="63"/>
      <c r="I165" s="34"/>
      <c r="J165" s="34" t="s">
        <v>431</v>
      </c>
      <c r="K165" s="34" t="s">
        <v>134</v>
      </c>
      <c r="L165" s="34" t="s">
        <v>439</v>
      </c>
    </row>
    <row r="166" spans="1:12" s="1" customFormat="1">
      <c r="A166" s="25"/>
      <c r="B166" s="26" t="s">
        <v>1127</v>
      </c>
      <c r="C166" s="26" t="s">
        <v>136</v>
      </c>
      <c r="D166" s="31" t="s">
        <v>1128</v>
      </c>
      <c r="E166" s="30" t="s">
        <v>243</v>
      </c>
      <c r="F166" s="31"/>
      <c r="G166" s="19" t="s">
        <v>1393</v>
      </c>
      <c r="H166" s="63"/>
      <c r="I166" s="34"/>
      <c r="J166" s="34" t="s">
        <v>431</v>
      </c>
      <c r="K166" s="34" t="s">
        <v>134</v>
      </c>
      <c r="L166" s="34" t="s">
        <v>439</v>
      </c>
    </row>
    <row r="167" spans="1:12" s="1" customFormat="1">
      <c r="A167" s="25"/>
      <c r="B167" s="26" t="s">
        <v>1130</v>
      </c>
      <c r="C167" s="26" t="s">
        <v>136</v>
      </c>
      <c r="D167" s="31" t="s">
        <v>1131</v>
      </c>
      <c r="E167" s="30" t="s">
        <v>243</v>
      </c>
      <c r="F167" s="31"/>
      <c r="G167" s="19" t="s">
        <v>1394</v>
      </c>
      <c r="H167" s="63"/>
      <c r="I167" s="34"/>
      <c r="J167" s="34" t="s">
        <v>431</v>
      </c>
      <c r="K167" s="34" t="s">
        <v>134</v>
      </c>
      <c r="L167" s="34" t="s">
        <v>439</v>
      </c>
    </row>
    <row r="168" spans="1:12" s="1" customFormat="1">
      <c r="A168" s="25"/>
      <c r="B168" s="26" t="s">
        <v>1133</v>
      </c>
      <c r="C168" s="26" t="s">
        <v>136</v>
      </c>
      <c r="D168" s="31" t="s">
        <v>1134</v>
      </c>
      <c r="E168" s="30" t="s">
        <v>243</v>
      </c>
      <c r="F168" s="31"/>
      <c r="G168" s="19" t="s">
        <v>1395</v>
      </c>
      <c r="H168" s="63"/>
      <c r="I168" s="34"/>
      <c r="J168" s="34" t="s">
        <v>431</v>
      </c>
      <c r="K168" s="34" t="s">
        <v>134</v>
      </c>
      <c r="L168" s="34" t="s">
        <v>439</v>
      </c>
    </row>
    <row r="169" spans="1:12" s="1" customFormat="1">
      <c r="A169" s="25"/>
      <c r="B169" s="26" t="s">
        <v>1136</v>
      </c>
      <c r="C169" s="26" t="s">
        <v>136</v>
      </c>
      <c r="D169" s="31" t="s">
        <v>1137</v>
      </c>
      <c r="E169" s="30" t="s">
        <v>243</v>
      </c>
      <c r="F169" s="31"/>
      <c r="G169" s="19" t="s">
        <v>1396</v>
      </c>
      <c r="H169" s="63"/>
      <c r="I169" s="34"/>
      <c r="J169" s="34" t="s">
        <v>431</v>
      </c>
      <c r="K169" s="34" t="s">
        <v>134</v>
      </c>
      <c r="L169" s="34" t="s">
        <v>439</v>
      </c>
    </row>
    <row r="170" spans="1:12" s="1" customFormat="1">
      <c r="A170" s="25"/>
      <c r="B170" s="26" t="s">
        <v>1139</v>
      </c>
      <c r="C170" s="26" t="s">
        <v>136</v>
      </c>
      <c r="D170" s="12" t="s">
        <v>1140</v>
      </c>
      <c r="E170" s="30" t="s">
        <v>243</v>
      </c>
      <c r="F170" s="31"/>
      <c r="G170" s="19" t="s">
        <v>1397</v>
      </c>
      <c r="H170" s="63"/>
      <c r="I170" s="34"/>
      <c r="J170" s="34" t="s">
        <v>431</v>
      </c>
      <c r="K170" s="34" t="s">
        <v>134</v>
      </c>
      <c r="L170" s="34" t="s">
        <v>439</v>
      </c>
    </row>
    <row r="171" spans="1:12" s="1" customFormat="1">
      <c r="A171" s="25"/>
      <c r="B171" s="26" t="s">
        <v>1142</v>
      </c>
      <c r="C171" s="26" t="s">
        <v>245</v>
      </c>
      <c r="D171" s="12" t="s">
        <v>1143</v>
      </c>
      <c r="E171" s="30" t="s">
        <v>243</v>
      </c>
      <c r="F171" s="31"/>
      <c r="G171" s="19" t="s">
        <v>1398</v>
      </c>
      <c r="H171" s="63"/>
      <c r="I171" s="34"/>
      <c r="J171" s="34" t="s">
        <v>431</v>
      </c>
      <c r="K171" s="34" t="s">
        <v>134</v>
      </c>
      <c r="L171" s="34" t="s">
        <v>568</v>
      </c>
    </row>
    <row r="172" spans="1:12" s="1" customFormat="1">
      <c r="A172" s="25"/>
      <c r="B172" s="26" t="s">
        <v>1145</v>
      </c>
      <c r="C172" s="26" t="s">
        <v>136</v>
      </c>
      <c r="D172" s="12" t="s">
        <v>1146</v>
      </c>
      <c r="E172" s="30" t="s">
        <v>243</v>
      </c>
      <c r="F172" s="31"/>
      <c r="G172" s="19" t="s">
        <v>1399</v>
      </c>
      <c r="H172" s="63"/>
      <c r="I172" s="34"/>
      <c r="J172" s="34" t="s">
        <v>431</v>
      </c>
      <c r="K172" s="34" t="s">
        <v>134</v>
      </c>
      <c r="L172" s="34" t="s">
        <v>439</v>
      </c>
    </row>
    <row r="173" spans="1:12" s="1" customFormat="1">
      <c r="A173" s="25"/>
      <c r="B173" s="26" t="s">
        <v>1147</v>
      </c>
      <c r="C173" s="26" t="s">
        <v>245</v>
      </c>
      <c r="D173" s="12" t="s">
        <v>1148</v>
      </c>
      <c r="E173" s="30" t="s">
        <v>243</v>
      </c>
      <c r="F173" s="31"/>
      <c r="G173" s="19" t="s">
        <v>1400</v>
      </c>
      <c r="H173" s="63"/>
      <c r="I173" s="34"/>
      <c r="J173" s="34" t="s">
        <v>431</v>
      </c>
      <c r="K173" s="34" t="s">
        <v>134</v>
      </c>
      <c r="L173" s="34" t="s">
        <v>610</v>
      </c>
    </row>
    <row r="174" spans="1:12" s="1" customFormat="1">
      <c r="A174" s="25"/>
      <c r="B174" s="26" t="s">
        <v>1149</v>
      </c>
      <c r="C174" s="26" t="s">
        <v>245</v>
      </c>
      <c r="D174" s="12" t="s">
        <v>1150</v>
      </c>
      <c r="E174" s="30" t="s">
        <v>243</v>
      </c>
      <c r="F174" s="31"/>
      <c r="G174" s="19" t="s">
        <v>1401</v>
      </c>
      <c r="H174" s="63"/>
      <c r="I174" s="34"/>
      <c r="J174" s="34" t="s">
        <v>431</v>
      </c>
      <c r="K174" s="34" t="s">
        <v>134</v>
      </c>
      <c r="L174" s="34" t="s">
        <v>615</v>
      </c>
    </row>
    <row r="175" spans="1:12" s="1" customFormat="1">
      <c r="A175" s="25"/>
      <c r="B175" s="26" t="s">
        <v>1151</v>
      </c>
      <c r="C175" s="26" t="s">
        <v>136</v>
      </c>
      <c r="D175" s="12" t="s">
        <v>1152</v>
      </c>
      <c r="E175" s="30" t="s">
        <v>243</v>
      </c>
      <c r="F175" s="31"/>
      <c r="G175" s="19" t="s">
        <v>1402</v>
      </c>
      <c r="H175" s="63"/>
      <c r="I175" s="34"/>
      <c r="J175" s="34" t="s">
        <v>431</v>
      </c>
      <c r="K175" s="34" t="s">
        <v>134</v>
      </c>
      <c r="L175" s="34" t="s">
        <v>439</v>
      </c>
    </row>
    <row r="176" spans="1:12" s="1" customFormat="1">
      <c r="A176" s="25"/>
      <c r="B176" s="26" t="s">
        <v>1154</v>
      </c>
      <c r="C176" s="26" t="s">
        <v>136</v>
      </c>
      <c r="D176" s="12" t="s">
        <v>1155</v>
      </c>
      <c r="E176" s="30" t="s">
        <v>243</v>
      </c>
      <c r="F176" s="31"/>
      <c r="G176" s="19" t="s">
        <v>1403</v>
      </c>
      <c r="H176" s="63"/>
      <c r="I176" s="34"/>
      <c r="J176" s="34" t="s">
        <v>431</v>
      </c>
      <c r="K176" s="34" t="s">
        <v>134</v>
      </c>
      <c r="L176" s="34" t="s">
        <v>439</v>
      </c>
    </row>
    <row r="177" spans="1:12" s="1" customFormat="1">
      <c r="A177" s="25"/>
      <c r="B177" s="26" t="s">
        <v>1157</v>
      </c>
      <c r="C177" s="26" t="s">
        <v>136</v>
      </c>
      <c r="D177" s="12" t="s">
        <v>1158</v>
      </c>
      <c r="E177" s="30" t="s">
        <v>243</v>
      </c>
      <c r="F177" s="31"/>
      <c r="G177" s="19" t="s">
        <v>1404</v>
      </c>
      <c r="H177" s="63"/>
      <c r="I177" s="34"/>
      <c r="J177" s="34" t="s">
        <v>431</v>
      </c>
      <c r="K177" s="34" t="s">
        <v>134</v>
      </c>
      <c r="L177" s="34" t="s">
        <v>439</v>
      </c>
    </row>
    <row r="178" spans="1:12" s="1" customFormat="1">
      <c r="A178" s="25"/>
      <c r="B178" s="26" t="s">
        <v>1160</v>
      </c>
      <c r="C178" s="26" t="s">
        <v>136</v>
      </c>
      <c r="D178" s="12" t="s">
        <v>1161</v>
      </c>
      <c r="E178" s="30" t="s">
        <v>243</v>
      </c>
      <c r="F178" s="31"/>
      <c r="G178" s="19" t="s">
        <v>1405</v>
      </c>
      <c r="H178" s="63"/>
      <c r="I178" s="34"/>
      <c r="J178" s="34" t="s">
        <v>431</v>
      </c>
      <c r="K178" s="34" t="s">
        <v>134</v>
      </c>
      <c r="L178" s="34" t="s">
        <v>439</v>
      </c>
    </row>
    <row r="179" spans="1:12" s="1" customFormat="1">
      <c r="A179" s="25"/>
      <c r="B179" s="26" t="s">
        <v>1163</v>
      </c>
      <c r="C179" s="26" t="s">
        <v>136</v>
      </c>
      <c r="D179" s="12" t="s">
        <v>1164</v>
      </c>
      <c r="E179" s="30" t="s">
        <v>243</v>
      </c>
      <c r="F179" s="31"/>
      <c r="G179" s="19" t="s">
        <v>1406</v>
      </c>
      <c r="H179" s="63"/>
      <c r="I179" s="34"/>
      <c r="J179" s="34" t="s">
        <v>431</v>
      </c>
      <c r="K179" s="34" t="s">
        <v>134</v>
      </c>
      <c r="L179" s="34" t="s">
        <v>439</v>
      </c>
    </row>
    <row r="180" spans="1:12" s="1" customFormat="1">
      <c r="A180" s="25"/>
      <c r="B180" s="26" t="s">
        <v>1166</v>
      </c>
      <c r="C180" s="26" t="s">
        <v>136</v>
      </c>
      <c r="D180" s="12" t="s">
        <v>1167</v>
      </c>
      <c r="E180" s="30" t="s">
        <v>243</v>
      </c>
      <c r="F180" s="31"/>
      <c r="G180" s="19" t="s">
        <v>1407</v>
      </c>
      <c r="H180" s="63"/>
      <c r="I180" s="34"/>
      <c r="J180" s="34" t="s">
        <v>431</v>
      </c>
      <c r="K180" s="34" t="s">
        <v>134</v>
      </c>
      <c r="L180" s="34" t="s">
        <v>439</v>
      </c>
    </row>
    <row r="181" spans="1:12" s="1" customFormat="1">
      <c r="A181" s="25"/>
      <c r="B181" s="26" t="s">
        <v>1169</v>
      </c>
      <c r="C181" s="26" t="s">
        <v>136</v>
      </c>
      <c r="D181" s="12" t="s">
        <v>1170</v>
      </c>
      <c r="E181" s="30" t="s">
        <v>243</v>
      </c>
      <c r="F181" s="31"/>
      <c r="G181" s="19" t="s">
        <v>1408</v>
      </c>
      <c r="H181" s="63"/>
      <c r="I181" s="34"/>
      <c r="J181" s="34" t="s">
        <v>431</v>
      </c>
      <c r="K181" s="34" t="s">
        <v>134</v>
      </c>
      <c r="L181" s="34" t="s">
        <v>439</v>
      </c>
    </row>
    <row r="182" spans="1:12" s="1" customFormat="1">
      <c r="A182" s="25"/>
      <c r="B182" s="26" t="s">
        <v>1172</v>
      </c>
      <c r="C182" s="26" t="s">
        <v>136</v>
      </c>
      <c r="D182" s="12" t="s">
        <v>1173</v>
      </c>
      <c r="E182" s="30" t="s">
        <v>243</v>
      </c>
      <c r="F182" s="31"/>
      <c r="G182" s="19" t="s">
        <v>1409</v>
      </c>
      <c r="H182" s="63"/>
      <c r="I182" s="34"/>
      <c r="J182" s="34" t="s">
        <v>431</v>
      </c>
      <c r="K182" s="34" t="s">
        <v>134</v>
      </c>
      <c r="L182" s="34" t="s">
        <v>439</v>
      </c>
    </row>
    <row r="183" spans="1:12" s="1" customFormat="1">
      <c r="A183" s="25"/>
      <c r="B183" s="26" t="s">
        <v>1175</v>
      </c>
      <c r="C183" s="26" t="s">
        <v>136</v>
      </c>
      <c r="D183" s="12" t="s">
        <v>1176</v>
      </c>
      <c r="E183" s="30" t="s">
        <v>243</v>
      </c>
      <c r="F183" s="31"/>
      <c r="G183" s="19" t="s">
        <v>1410</v>
      </c>
      <c r="H183" s="63"/>
      <c r="I183" s="34"/>
      <c r="J183" s="34" t="s">
        <v>431</v>
      </c>
      <c r="K183" s="34" t="s">
        <v>134</v>
      </c>
      <c r="L183" s="34" t="s">
        <v>439</v>
      </c>
    </row>
    <row r="184" spans="1:12" s="1" customFormat="1">
      <c r="A184" s="25"/>
      <c r="B184" s="26" t="s">
        <v>1178</v>
      </c>
      <c r="C184" s="26" t="s">
        <v>136</v>
      </c>
      <c r="D184" s="12" t="s">
        <v>1179</v>
      </c>
      <c r="E184" s="30" t="s">
        <v>243</v>
      </c>
      <c r="F184" s="31"/>
      <c r="G184" s="19" t="s">
        <v>1411</v>
      </c>
      <c r="H184" s="63"/>
      <c r="I184" s="34"/>
      <c r="J184" s="34" t="s">
        <v>431</v>
      </c>
      <c r="K184" s="34" t="s">
        <v>134</v>
      </c>
      <c r="L184" s="34" t="s">
        <v>439</v>
      </c>
    </row>
    <row r="185" spans="1:12" s="1" customFormat="1">
      <c r="A185" s="25"/>
      <c r="B185" s="26" t="s">
        <v>1181</v>
      </c>
      <c r="C185" s="26" t="s">
        <v>136</v>
      </c>
      <c r="D185" s="12" t="s">
        <v>1182</v>
      </c>
      <c r="E185" s="30" t="s">
        <v>243</v>
      </c>
      <c r="F185" s="31"/>
      <c r="G185" s="19" t="s">
        <v>1412</v>
      </c>
      <c r="H185" s="63"/>
      <c r="I185" s="34"/>
      <c r="J185" s="34" t="s">
        <v>431</v>
      </c>
      <c r="K185" s="34" t="s">
        <v>134</v>
      </c>
      <c r="L185" s="34" t="s">
        <v>439</v>
      </c>
    </row>
    <row r="186" spans="1:12" s="1" customFormat="1">
      <c r="A186" s="25"/>
      <c r="B186" s="26" t="s">
        <v>1184</v>
      </c>
      <c r="C186" s="26" t="s">
        <v>136</v>
      </c>
      <c r="D186" s="12" t="s">
        <v>1185</v>
      </c>
      <c r="E186" s="30" t="s">
        <v>243</v>
      </c>
      <c r="F186" s="31"/>
      <c r="G186" s="19" t="s">
        <v>1413</v>
      </c>
      <c r="H186" s="63"/>
      <c r="I186" s="34"/>
      <c r="J186" s="34" t="s">
        <v>431</v>
      </c>
      <c r="K186" s="34" t="s">
        <v>134</v>
      </c>
      <c r="L186" s="34" t="s">
        <v>439</v>
      </c>
    </row>
    <row r="187" spans="1:12" s="1" customFormat="1">
      <c r="A187" s="25"/>
      <c r="B187" s="26" t="s">
        <v>1187</v>
      </c>
      <c r="C187" s="26" t="s">
        <v>136</v>
      </c>
      <c r="D187" s="12" t="s">
        <v>1188</v>
      </c>
      <c r="E187" s="30" t="s">
        <v>243</v>
      </c>
      <c r="F187" s="31"/>
      <c r="G187" s="19" t="s">
        <v>1414</v>
      </c>
      <c r="H187" s="63"/>
      <c r="I187" s="34"/>
      <c r="J187" s="34" t="s">
        <v>431</v>
      </c>
      <c r="K187" s="34" t="s">
        <v>134</v>
      </c>
      <c r="L187" s="34" t="s">
        <v>439</v>
      </c>
    </row>
    <row r="188" spans="1:12" s="1" customFormat="1">
      <c r="A188" s="25"/>
      <c r="B188" s="26" t="s">
        <v>1189</v>
      </c>
      <c r="C188" s="26" t="s">
        <v>245</v>
      </c>
      <c r="D188" s="12" t="s">
        <v>1190</v>
      </c>
      <c r="E188" s="30" t="s">
        <v>243</v>
      </c>
      <c r="F188" s="31"/>
      <c r="G188" s="19" t="s">
        <v>1415</v>
      </c>
      <c r="H188" s="63"/>
      <c r="I188" s="34"/>
      <c r="J188" s="34" t="s">
        <v>431</v>
      </c>
      <c r="K188" s="34" t="s">
        <v>134</v>
      </c>
      <c r="L188" s="34" t="s">
        <v>568</v>
      </c>
    </row>
    <row r="189" spans="1:12" s="1" customFormat="1">
      <c r="A189" s="25"/>
      <c r="B189" s="26" t="s">
        <v>1191</v>
      </c>
      <c r="C189" s="26" t="s">
        <v>245</v>
      </c>
      <c r="D189" s="12" t="s">
        <v>1192</v>
      </c>
      <c r="E189" s="30" t="s">
        <v>243</v>
      </c>
      <c r="F189" s="31"/>
      <c r="G189" s="19" t="s">
        <v>1416</v>
      </c>
      <c r="H189" s="63"/>
      <c r="I189" s="34"/>
      <c r="J189" s="34" t="s">
        <v>431</v>
      </c>
      <c r="K189" s="34" t="s">
        <v>134</v>
      </c>
      <c r="L189" s="34" t="s">
        <v>439</v>
      </c>
    </row>
    <row r="190" spans="1:12" s="1" customFormat="1">
      <c r="A190" s="25"/>
      <c r="B190" s="26" t="s">
        <v>1194</v>
      </c>
      <c r="C190" s="26" t="s">
        <v>245</v>
      </c>
      <c r="D190" s="12" t="s">
        <v>1195</v>
      </c>
      <c r="E190" s="30" t="s">
        <v>243</v>
      </c>
      <c r="F190" s="31"/>
      <c r="G190" s="19" t="s">
        <v>1417</v>
      </c>
      <c r="H190" s="63"/>
      <c r="I190" s="34"/>
      <c r="J190" s="34" t="s">
        <v>431</v>
      </c>
      <c r="K190" s="34" t="s">
        <v>134</v>
      </c>
      <c r="L190" s="34" t="s">
        <v>439</v>
      </c>
    </row>
    <row r="191" spans="1:12" s="1" customFormat="1">
      <c r="A191" s="25"/>
      <c r="B191" s="26" t="s">
        <v>1197</v>
      </c>
      <c r="C191" s="26" t="s">
        <v>136</v>
      </c>
      <c r="D191" s="12" t="s">
        <v>1198</v>
      </c>
      <c r="E191" s="30" t="s">
        <v>243</v>
      </c>
      <c r="F191" s="31"/>
      <c r="G191" s="19" t="s">
        <v>1418</v>
      </c>
      <c r="H191" s="63"/>
      <c r="I191" s="34"/>
      <c r="J191" s="34" t="s">
        <v>431</v>
      </c>
      <c r="K191" s="34" t="s">
        <v>134</v>
      </c>
      <c r="L191" s="34" t="s">
        <v>439</v>
      </c>
    </row>
    <row r="192" spans="1:12" s="1" customFormat="1">
      <c r="A192" s="25"/>
      <c r="B192" s="26" t="s">
        <v>1199</v>
      </c>
      <c r="C192" s="26" t="s">
        <v>136</v>
      </c>
      <c r="D192" s="12" t="s">
        <v>1200</v>
      </c>
      <c r="E192" s="30" t="s">
        <v>243</v>
      </c>
      <c r="F192" s="31"/>
      <c r="G192" s="19" t="s">
        <v>1419</v>
      </c>
      <c r="H192" s="63"/>
      <c r="I192" s="34"/>
      <c r="J192" s="34" t="s">
        <v>431</v>
      </c>
      <c r="K192" s="34" t="s">
        <v>134</v>
      </c>
      <c r="L192" s="34" t="s">
        <v>439</v>
      </c>
    </row>
    <row r="193" spans="1:12" s="1" customFormat="1">
      <c r="A193" s="25"/>
      <c r="B193" s="26" t="s">
        <v>1201</v>
      </c>
      <c r="C193" s="26" t="s">
        <v>136</v>
      </c>
      <c r="D193" s="12" t="s">
        <v>1202</v>
      </c>
      <c r="E193" s="30" t="s">
        <v>243</v>
      </c>
      <c r="F193" s="31"/>
      <c r="G193" s="19" t="s">
        <v>1420</v>
      </c>
      <c r="H193" s="63"/>
      <c r="I193" s="34"/>
      <c r="J193" s="34" t="s">
        <v>431</v>
      </c>
      <c r="K193" s="34" t="s">
        <v>134</v>
      </c>
      <c r="L193" s="34" t="s">
        <v>439</v>
      </c>
    </row>
    <row r="194" spans="1:12" s="1" customFormat="1">
      <c r="A194" s="25"/>
      <c r="B194" s="26" t="s">
        <v>1203</v>
      </c>
      <c r="C194" s="26" t="s">
        <v>136</v>
      </c>
      <c r="D194" s="12" t="s">
        <v>1204</v>
      </c>
      <c r="E194" s="30" t="s">
        <v>243</v>
      </c>
      <c r="F194" s="31"/>
      <c r="G194" s="19" t="s">
        <v>1421</v>
      </c>
      <c r="H194" s="63"/>
      <c r="I194" s="34"/>
      <c r="J194" s="34" t="s">
        <v>431</v>
      </c>
      <c r="K194" s="34" t="s">
        <v>134</v>
      </c>
      <c r="L194" s="34" t="s">
        <v>439</v>
      </c>
    </row>
    <row r="195" spans="1:12" s="1" customFormat="1">
      <c r="A195" s="25"/>
      <c r="B195" s="26" t="s">
        <v>1205</v>
      </c>
      <c r="C195" s="26" t="s">
        <v>136</v>
      </c>
      <c r="D195" s="12" t="s">
        <v>1206</v>
      </c>
      <c r="E195" s="30" t="s">
        <v>243</v>
      </c>
      <c r="F195" s="31"/>
      <c r="G195" s="19" t="s">
        <v>1422</v>
      </c>
      <c r="H195" s="63"/>
      <c r="I195" s="34"/>
      <c r="J195" s="34" t="s">
        <v>431</v>
      </c>
      <c r="K195" s="34" t="s">
        <v>134</v>
      </c>
      <c r="L195" s="34" t="s">
        <v>439</v>
      </c>
    </row>
    <row r="196" spans="1:12" s="1" customFormat="1">
      <c r="A196" s="25"/>
      <c r="B196" s="26" t="s">
        <v>1207</v>
      </c>
      <c r="C196" s="26" t="s">
        <v>136</v>
      </c>
      <c r="D196" s="12" t="s">
        <v>1208</v>
      </c>
      <c r="E196" s="30" t="s">
        <v>243</v>
      </c>
      <c r="F196" s="31"/>
      <c r="G196" s="19" t="s">
        <v>1423</v>
      </c>
      <c r="H196" s="63"/>
      <c r="I196" s="34"/>
      <c r="J196" s="34" t="s">
        <v>431</v>
      </c>
      <c r="K196" s="34" t="s">
        <v>134</v>
      </c>
      <c r="L196" s="34" t="s">
        <v>439</v>
      </c>
    </row>
    <row r="197" spans="1:12" s="1" customFormat="1">
      <c r="A197" s="25"/>
      <c r="B197" s="26" t="s">
        <v>1209</v>
      </c>
      <c r="C197" s="26" t="s">
        <v>136</v>
      </c>
      <c r="D197" s="12" t="s">
        <v>762</v>
      </c>
      <c r="E197" s="30" t="s">
        <v>243</v>
      </c>
      <c r="F197" s="31"/>
      <c r="G197" s="19" t="s">
        <v>1424</v>
      </c>
      <c r="H197" s="63"/>
      <c r="I197" s="34"/>
      <c r="J197" s="34" t="s">
        <v>431</v>
      </c>
      <c r="K197" s="34" t="s">
        <v>134</v>
      </c>
      <c r="L197" s="34" t="s">
        <v>439</v>
      </c>
    </row>
    <row r="198" spans="1:12" s="1" customFormat="1">
      <c r="A198" s="25"/>
      <c r="B198" s="26" t="s">
        <v>1211</v>
      </c>
      <c r="C198" s="26" t="s">
        <v>136</v>
      </c>
      <c r="D198" s="12" t="s">
        <v>765</v>
      </c>
      <c r="E198" s="30" t="s">
        <v>243</v>
      </c>
      <c r="F198" s="31"/>
      <c r="G198" s="19" t="s">
        <v>1425</v>
      </c>
      <c r="H198" s="63"/>
      <c r="I198" s="34"/>
      <c r="J198" s="34" t="s">
        <v>431</v>
      </c>
      <c r="K198" s="34" t="s">
        <v>134</v>
      </c>
      <c r="L198" s="34" t="s">
        <v>439</v>
      </c>
    </row>
    <row r="199" spans="1:12" s="1" customFormat="1">
      <c r="A199" s="25"/>
      <c r="B199" s="26" t="s">
        <v>1213</v>
      </c>
      <c r="C199" s="26" t="s">
        <v>136</v>
      </c>
      <c r="D199" s="12" t="s">
        <v>768</v>
      </c>
      <c r="E199" s="30" t="s">
        <v>243</v>
      </c>
      <c r="F199" s="31"/>
      <c r="G199" s="19" t="s">
        <v>1426</v>
      </c>
      <c r="H199" s="63"/>
      <c r="I199" s="34"/>
      <c r="J199" s="34" t="s">
        <v>431</v>
      </c>
      <c r="K199" s="34" t="s">
        <v>134</v>
      </c>
      <c r="L199" s="34" t="s">
        <v>439</v>
      </c>
    </row>
    <row r="200" spans="1:12" s="1" customFormat="1">
      <c r="A200" s="25"/>
      <c r="B200" s="26" t="s">
        <v>1215</v>
      </c>
      <c r="C200" s="26" t="s">
        <v>136</v>
      </c>
      <c r="D200" s="12" t="s">
        <v>771</v>
      </c>
      <c r="E200" s="30" t="s">
        <v>243</v>
      </c>
      <c r="F200" s="31"/>
      <c r="G200" s="19" t="s">
        <v>1427</v>
      </c>
      <c r="H200" s="63"/>
      <c r="I200" s="34"/>
      <c r="J200" s="34" t="s">
        <v>431</v>
      </c>
      <c r="K200" s="34" t="s">
        <v>134</v>
      </c>
      <c r="L200" s="34" t="s">
        <v>439</v>
      </c>
    </row>
    <row r="201" spans="1:12" s="1" customFormat="1">
      <c r="A201" s="25"/>
      <c r="B201" s="26" t="s">
        <v>1217</v>
      </c>
      <c r="C201" s="26" t="s">
        <v>136</v>
      </c>
      <c r="D201" s="12" t="s">
        <v>774</v>
      </c>
      <c r="E201" s="30" t="s">
        <v>243</v>
      </c>
      <c r="F201" s="31"/>
      <c r="G201" s="19" t="s">
        <v>1428</v>
      </c>
      <c r="H201" s="63"/>
      <c r="I201" s="34"/>
      <c r="J201" s="34" t="s">
        <v>431</v>
      </c>
      <c r="K201" s="34" t="s">
        <v>134</v>
      </c>
      <c r="L201" s="34" t="s">
        <v>439</v>
      </c>
    </row>
    <row r="202" spans="1:12" s="1" customFormat="1">
      <c r="A202" s="25"/>
      <c r="B202" s="26" t="s">
        <v>1219</v>
      </c>
      <c r="C202" s="26" t="s">
        <v>136</v>
      </c>
      <c r="D202" s="12" t="s">
        <v>777</v>
      </c>
      <c r="E202" s="30" t="s">
        <v>243</v>
      </c>
      <c r="F202" s="31"/>
      <c r="G202" s="19" t="s">
        <v>1429</v>
      </c>
      <c r="H202" s="63"/>
      <c r="I202" s="34"/>
      <c r="J202" s="34" t="s">
        <v>431</v>
      </c>
      <c r="K202" s="34" t="s">
        <v>134</v>
      </c>
      <c r="L202" s="34" t="s">
        <v>439</v>
      </c>
    </row>
    <row r="203" spans="1:12" s="1" customFormat="1">
      <c r="A203" s="25"/>
      <c r="B203" s="26" t="s">
        <v>1221</v>
      </c>
      <c r="C203" s="26" t="s">
        <v>136</v>
      </c>
      <c r="D203" s="12" t="s">
        <v>1222</v>
      </c>
      <c r="E203" s="30" t="s">
        <v>243</v>
      </c>
      <c r="F203" s="31"/>
      <c r="G203" s="19" t="s">
        <v>1430</v>
      </c>
      <c r="H203" s="63"/>
      <c r="I203" s="34"/>
      <c r="J203" s="34" t="s">
        <v>431</v>
      </c>
      <c r="K203" s="34" t="s">
        <v>134</v>
      </c>
      <c r="L203" s="34" t="s">
        <v>610</v>
      </c>
    </row>
    <row r="204" spans="1:12" s="1" customFormat="1" ht="26.4">
      <c r="A204" s="25"/>
      <c r="B204" s="26" t="s">
        <v>1223</v>
      </c>
      <c r="C204" s="26" t="s">
        <v>245</v>
      </c>
      <c r="D204" s="12" t="s">
        <v>1224</v>
      </c>
      <c r="E204" s="30" t="s">
        <v>243</v>
      </c>
      <c r="F204" s="31"/>
      <c r="G204" s="19" t="s">
        <v>1431</v>
      </c>
      <c r="H204" s="63"/>
      <c r="I204" s="34"/>
      <c r="J204" s="34" t="s">
        <v>431</v>
      </c>
      <c r="K204" s="34" t="s">
        <v>134</v>
      </c>
      <c r="L204" s="34" t="s">
        <v>432</v>
      </c>
    </row>
    <row r="205" spans="1:12" s="1" customFormat="1">
      <c r="A205" s="25"/>
      <c r="B205" s="26" t="s">
        <v>1225</v>
      </c>
      <c r="C205" s="26" t="s">
        <v>136</v>
      </c>
      <c r="D205" s="12" t="s">
        <v>1226</v>
      </c>
      <c r="E205" s="30" t="s">
        <v>248</v>
      </c>
      <c r="F205" s="31"/>
      <c r="G205" s="19" t="s">
        <v>1432</v>
      </c>
      <c r="H205" s="63"/>
      <c r="I205" s="34"/>
      <c r="J205" s="34" t="s">
        <v>431</v>
      </c>
      <c r="K205" s="34" t="s">
        <v>134</v>
      </c>
      <c r="L205" s="34" t="s">
        <v>610</v>
      </c>
    </row>
    <row r="206" spans="1:12" s="1" customFormat="1">
      <c r="A206" s="25"/>
      <c r="B206" s="26" t="s">
        <v>1227</v>
      </c>
      <c r="C206" s="26" t="s">
        <v>245</v>
      </c>
      <c r="D206" s="12" t="s">
        <v>1228</v>
      </c>
      <c r="E206" s="30" t="s">
        <v>248</v>
      </c>
      <c r="F206" s="31"/>
      <c r="G206" s="19" t="s">
        <v>1433</v>
      </c>
      <c r="H206" s="63"/>
      <c r="I206" s="34"/>
      <c r="J206" s="34" t="s">
        <v>431</v>
      </c>
      <c r="K206" s="34" t="s">
        <v>134</v>
      </c>
      <c r="L206" s="34" t="s">
        <v>432</v>
      </c>
    </row>
    <row r="207" spans="1:12" s="1" customFormat="1">
      <c r="A207" s="25"/>
      <c r="B207" s="26" t="s">
        <v>1229</v>
      </c>
      <c r="C207" s="26" t="s">
        <v>136</v>
      </c>
      <c r="D207" s="12" t="s">
        <v>1230</v>
      </c>
      <c r="E207" s="30" t="s">
        <v>248</v>
      </c>
      <c r="F207" s="31"/>
      <c r="G207" s="19" t="s">
        <v>1434</v>
      </c>
      <c r="H207" s="63"/>
      <c r="I207" s="34"/>
      <c r="J207" s="34" t="s">
        <v>431</v>
      </c>
      <c r="K207" s="34" t="s">
        <v>134</v>
      </c>
      <c r="L207" s="34" t="s">
        <v>610</v>
      </c>
    </row>
    <row r="208" spans="1:12" s="1" customFormat="1" ht="26.4">
      <c r="A208" s="25"/>
      <c r="B208" s="26" t="s">
        <v>1231</v>
      </c>
      <c r="C208" s="26" t="s">
        <v>245</v>
      </c>
      <c r="D208" s="12" t="s">
        <v>1232</v>
      </c>
      <c r="E208" s="30" t="s">
        <v>248</v>
      </c>
      <c r="F208" s="31"/>
      <c r="G208" s="19" t="s">
        <v>1435</v>
      </c>
      <c r="H208" s="63"/>
      <c r="I208" s="34"/>
      <c r="J208" s="34" t="s">
        <v>431</v>
      </c>
      <c r="K208" s="34" t="s">
        <v>134</v>
      </c>
      <c r="L208" s="34" t="s">
        <v>432</v>
      </c>
    </row>
    <row r="209" spans="1:12" s="1" customFormat="1">
      <c r="A209" s="25"/>
      <c r="B209" s="26" t="s">
        <v>474</v>
      </c>
      <c r="C209" s="26" t="s">
        <v>136</v>
      </c>
      <c r="D209" s="12" t="s">
        <v>1233</v>
      </c>
      <c r="E209" s="30" t="s">
        <v>243</v>
      </c>
      <c r="F209" s="31"/>
      <c r="G209" s="19" t="s">
        <v>1234</v>
      </c>
      <c r="H209" s="63"/>
      <c r="I209" s="34"/>
      <c r="J209" s="34" t="s">
        <v>431</v>
      </c>
      <c r="K209" s="34" t="s">
        <v>134</v>
      </c>
      <c r="L209" s="34" t="s">
        <v>533</v>
      </c>
    </row>
    <row r="210" spans="1:12" s="1" customFormat="1">
      <c r="A210" s="25"/>
      <c r="B210" s="26" t="s">
        <v>1235</v>
      </c>
      <c r="C210" s="26" t="s">
        <v>136</v>
      </c>
      <c r="D210" s="12" t="s">
        <v>1236</v>
      </c>
      <c r="E210" s="30" t="s">
        <v>243</v>
      </c>
      <c r="F210" s="31"/>
      <c r="G210" s="19" t="s">
        <v>1436</v>
      </c>
      <c r="H210" s="63"/>
      <c r="I210" s="34"/>
      <c r="J210" s="34" t="s">
        <v>431</v>
      </c>
      <c r="K210" s="34" t="s">
        <v>134</v>
      </c>
      <c r="L210" s="34" t="s">
        <v>439</v>
      </c>
    </row>
    <row r="211" spans="1:12" s="1" customFormat="1" ht="26.4">
      <c r="A211" s="25"/>
      <c r="B211" s="26" t="s">
        <v>1238</v>
      </c>
      <c r="C211" s="26" t="s">
        <v>245</v>
      </c>
      <c r="D211" s="12" t="s">
        <v>1239</v>
      </c>
      <c r="E211" s="30" t="s">
        <v>243</v>
      </c>
      <c r="F211" s="31"/>
      <c r="G211" s="19" t="s">
        <v>1437</v>
      </c>
      <c r="H211" s="63"/>
      <c r="I211" s="34"/>
      <c r="J211" s="34" t="s">
        <v>431</v>
      </c>
      <c r="K211" s="34" t="s">
        <v>134</v>
      </c>
      <c r="L211" s="34" t="s">
        <v>432</v>
      </c>
    </row>
    <row r="212" spans="1:12" s="1" customFormat="1">
      <c r="A212" s="25"/>
      <c r="B212" s="26" t="s">
        <v>1241</v>
      </c>
      <c r="C212" s="26" t="s">
        <v>245</v>
      </c>
      <c r="D212" s="12" t="s">
        <v>1242</v>
      </c>
      <c r="E212" s="30" t="s">
        <v>923</v>
      </c>
      <c r="F212" s="31"/>
      <c r="G212" s="19" t="s">
        <v>1438</v>
      </c>
      <c r="H212" s="63"/>
      <c r="I212" s="34"/>
      <c r="J212" s="34" t="s">
        <v>431</v>
      </c>
      <c r="K212" s="34" t="s">
        <v>134</v>
      </c>
      <c r="L212" s="34" t="s">
        <v>568</v>
      </c>
    </row>
    <row r="213" spans="1:12" s="1" customFormat="1">
      <c r="A213" s="25"/>
      <c r="B213" s="26" t="s">
        <v>1244</v>
      </c>
      <c r="C213" s="26" t="s">
        <v>136</v>
      </c>
      <c r="D213" s="12" t="s">
        <v>1245</v>
      </c>
      <c r="E213" s="30" t="s">
        <v>243</v>
      </c>
      <c r="F213" s="31"/>
      <c r="G213" s="19" t="s">
        <v>1439</v>
      </c>
      <c r="H213" s="63"/>
      <c r="I213" s="34"/>
      <c r="J213" s="34" t="s">
        <v>431</v>
      </c>
      <c r="K213" s="34" t="s">
        <v>134</v>
      </c>
      <c r="L213" s="34" t="s">
        <v>439</v>
      </c>
    </row>
    <row r="214" spans="1:12" s="1" customFormat="1">
      <c r="A214" s="25"/>
      <c r="B214" s="26" t="s">
        <v>1247</v>
      </c>
      <c r="C214" s="26" t="s">
        <v>136</v>
      </c>
      <c r="D214" s="12" t="s">
        <v>780</v>
      </c>
      <c r="E214" s="30" t="s">
        <v>243</v>
      </c>
      <c r="F214" s="31"/>
      <c r="G214" s="19" t="s">
        <v>1440</v>
      </c>
      <c r="H214" s="63"/>
      <c r="I214" s="34"/>
      <c r="J214" s="34" t="s">
        <v>431</v>
      </c>
      <c r="K214" s="34" t="s">
        <v>134</v>
      </c>
      <c r="L214" s="34" t="s">
        <v>439</v>
      </c>
    </row>
    <row r="215" spans="1:12" s="1" customFormat="1">
      <c r="A215" s="25"/>
      <c r="B215" s="26" t="s">
        <v>1249</v>
      </c>
      <c r="C215" s="26" t="s">
        <v>136</v>
      </c>
      <c r="D215" s="12" t="s">
        <v>782</v>
      </c>
      <c r="E215" s="30" t="s">
        <v>243</v>
      </c>
      <c r="F215" s="31"/>
      <c r="G215" s="19" t="s">
        <v>1441</v>
      </c>
      <c r="H215" s="63"/>
      <c r="I215" s="34"/>
      <c r="J215" s="34" t="s">
        <v>431</v>
      </c>
      <c r="K215" s="34" t="s">
        <v>134</v>
      </c>
      <c r="L215" s="34" t="s">
        <v>439</v>
      </c>
    </row>
    <row r="216" spans="1:12" s="1" customFormat="1">
      <c r="A216" s="25"/>
      <c r="B216" s="26" t="s">
        <v>1251</v>
      </c>
      <c r="C216" s="26" t="s">
        <v>136</v>
      </c>
      <c r="D216" s="12" t="s">
        <v>784</v>
      </c>
      <c r="E216" s="30" t="s">
        <v>243</v>
      </c>
      <c r="F216" s="31"/>
      <c r="G216" s="19" t="s">
        <v>1442</v>
      </c>
      <c r="H216" s="63"/>
      <c r="I216" s="34"/>
      <c r="J216" s="34" t="s">
        <v>431</v>
      </c>
      <c r="K216" s="34" t="s">
        <v>134</v>
      </c>
      <c r="L216" s="34" t="s">
        <v>439</v>
      </c>
    </row>
    <row r="217" spans="1:12" s="1" customFormat="1">
      <c r="A217" s="25"/>
      <c r="B217" s="26" t="s">
        <v>1253</v>
      </c>
      <c r="C217" s="26" t="s">
        <v>136</v>
      </c>
      <c r="D217" s="12" t="s">
        <v>786</v>
      </c>
      <c r="E217" s="30" t="s">
        <v>243</v>
      </c>
      <c r="F217" s="31"/>
      <c r="G217" s="19" t="s">
        <v>1443</v>
      </c>
      <c r="H217" s="63"/>
      <c r="I217" s="34"/>
      <c r="J217" s="34" t="s">
        <v>431</v>
      </c>
      <c r="K217" s="34" t="s">
        <v>134</v>
      </c>
      <c r="L217" s="34" t="s">
        <v>439</v>
      </c>
    </row>
    <row r="218" spans="1:12" s="1" customFormat="1">
      <c r="A218" s="25"/>
      <c r="B218" s="26" t="s">
        <v>1255</v>
      </c>
      <c r="C218" s="26" t="s">
        <v>136</v>
      </c>
      <c r="D218" s="12" t="s">
        <v>788</v>
      </c>
      <c r="E218" s="30" t="s">
        <v>243</v>
      </c>
      <c r="F218" s="31"/>
      <c r="G218" s="19" t="s">
        <v>1444</v>
      </c>
      <c r="H218" s="63"/>
      <c r="I218" s="34"/>
      <c r="J218" s="34" t="s">
        <v>431</v>
      </c>
      <c r="K218" s="34" t="s">
        <v>134</v>
      </c>
      <c r="L218" s="34" t="s">
        <v>439</v>
      </c>
    </row>
    <row r="219" spans="1:12" s="1" customFormat="1">
      <c r="A219" s="25"/>
      <c r="B219" s="26" t="s">
        <v>1257</v>
      </c>
      <c r="C219" s="26" t="s">
        <v>136</v>
      </c>
      <c r="D219" s="12" t="s">
        <v>790</v>
      </c>
      <c r="E219" s="30" t="s">
        <v>243</v>
      </c>
      <c r="F219" s="31"/>
      <c r="G219" s="19" t="s">
        <v>1445</v>
      </c>
      <c r="H219" s="63"/>
      <c r="I219" s="34"/>
      <c r="J219" s="34" t="s">
        <v>431</v>
      </c>
      <c r="K219" s="34" t="s">
        <v>134</v>
      </c>
      <c r="L219" s="34" t="s">
        <v>439</v>
      </c>
    </row>
    <row r="220" spans="1:12" s="1" customFormat="1">
      <c r="A220" s="25"/>
      <c r="B220" s="26" t="s">
        <v>1259</v>
      </c>
      <c r="C220" s="26" t="s">
        <v>136</v>
      </c>
      <c r="D220" s="12" t="s">
        <v>792</v>
      </c>
      <c r="E220" s="30" t="s">
        <v>243</v>
      </c>
      <c r="F220" s="31"/>
      <c r="G220" s="19" t="s">
        <v>1446</v>
      </c>
      <c r="H220" s="63"/>
      <c r="I220" s="34"/>
      <c r="J220" s="34" t="s">
        <v>431</v>
      </c>
      <c r="K220" s="34" t="s">
        <v>134</v>
      </c>
      <c r="L220" s="34" t="s">
        <v>439</v>
      </c>
    </row>
    <row r="221" spans="1:12" s="1" customFormat="1">
      <c r="A221" s="25"/>
      <c r="B221" s="26" t="s">
        <v>1261</v>
      </c>
      <c r="C221" s="26" t="s">
        <v>136</v>
      </c>
      <c r="D221" s="12" t="s">
        <v>794</v>
      </c>
      <c r="E221" s="30" t="s">
        <v>243</v>
      </c>
      <c r="F221" s="31"/>
      <c r="G221" s="19" t="s">
        <v>1447</v>
      </c>
      <c r="H221" s="63"/>
      <c r="I221" s="34"/>
      <c r="J221" s="34" t="s">
        <v>431</v>
      </c>
      <c r="K221" s="34" t="s">
        <v>134</v>
      </c>
      <c r="L221" s="34" t="s">
        <v>439</v>
      </c>
    </row>
    <row r="222" spans="1:12" s="1" customFormat="1">
      <c r="A222" s="25"/>
      <c r="B222" s="26" t="s">
        <v>1263</v>
      </c>
      <c r="C222" s="26" t="s">
        <v>136</v>
      </c>
      <c r="D222" s="12" t="s">
        <v>796</v>
      </c>
      <c r="E222" s="30" t="s">
        <v>243</v>
      </c>
      <c r="F222" s="31"/>
      <c r="G222" s="19" t="s">
        <v>1448</v>
      </c>
      <c r="H222" s="63"/>
      <c r="I222" s="34"/>
      <c r="J222" s="34" t="s">
        <v>431</v>
      </c>
      <c r="K222" s="34" t="s">
        <v>134</v>
      </c>
      <c r="L222" s="34" t="s">
        <v>439</v>
      </c>
    </row>
    <row r="223" spans="1:12" s="1" customFormat="1">
      <c r="A223" s="25"/>
      <c r="B223" s="26" t="s">
        <v>1265</v>
      </c>
      <c r="C223" s="26" t="s">
        <v>136</v>
      </c>
      <c r="D223" s="12" t="s">
        <v>798</v>
      </c>
      <c r="E223" s="30" t="s">
        <v>243</v>
      </c>
      <c r="F223" s="31"/>
      <c r="G223" s="19" t="s">
        <v>1449</v>
      </c>
      <c r="H223" s="63"/>
      <c r="I223" s="34"/>
      <c r="J223" s="34" t="s">
        <v>431</v>
      </c>
      <c r="K223" s="34" t="s">
        <v>134</v>
      </c>
      <c r="L223" s="34" t="s">
        <v>439</v>
      </c>
    </row>
    <row r="224" spans="1:12" s="1" customFormat="1">
      <c r="A224" s="25"/>
      <c r="B224" s="26" t="s">
        <v>1267</v>
      </c>
      <c r="C224" s="26" t="s">
        <v>136</v>
      </c>
      <c r="D224" s="12" t="s">
        <v>800</v>
      </c>
      <c r="E224" s="30" t="s">
        <v>243</v>
      </c>
      <c r="F224" s="31"/>
      <c r="G224" s="19" t="s">
        <v>1450</v>
      </c>
      <c r="H224" s="63"/>
      <c r="I224" s="34"/>
      <c r="J224" s="34" t="s">
        <v>431</v>
      </c>
      <c r="K224" s="34" t="s">
        <v>134</v>
      </c>
      <c r="L224" s="34" t="s">
        <v>439</v>
      </c>
    </row>
    <row r="225" spans="1:12" s="1" customFormat="1">
      <c r="A225" s="25"/>
      <c r="B225" s="26" t="s">
        <v>1268</v>
      </c>
      <c r="C225" s="26" t="s">
        <v>136</v>
      </c>
      <c r="D225" s="12" t="s">
        <v>802</v>
      </c>
      <c r="E225" s="30" t="s">
        <v>243</v>
      </c>
      <c r="F225" s="31"/>
      <c r="G225" s="19" t="s">
        <v>1451</v>
      </c>
      <c r="H225" s="63"/>
      <c r="I225" s="34"/>
      <c r="J225" s="34" t="s">
        <v>431</v>
      </c>
      <c r="K225" s="34" t="s">
        <v>134</v>
      </c>
      <c r="L225" s="34" t="s">
        <v>439</v>
      </c>
    </row>
    <row r="226" spans="1:12" s="1" customFormat="1">
      <c r="A226" s="25"/>
      <c r="B226" s="26" t="s">
        <v>1270</v>
      </c>
      <c r="C226" s="26" t="s">
        <v>136</v>
      </c>
      <c r="D226" s="12" t="s">
        <v>804</v>
      </c>
      <c r="E226" s="30" t="s">
        <v>243</v>
      </c>
      <c r="F226" s="31"/>
      <c r="G226" s="19" t="s">
        <v>1452</v>
      </c>
      <c r="H226" s="63"/>
      <c r="I226" s="34"/>
      <c r="J226" s="34" t="s">
        <v>431</v>
      </c>
      <c r="K226" s="34" t="s">
        <v>134</v>
      </c>
      <c r="L226" s="34" t="s">
        <v>439</v>
      </c>
    </row>
    <row r="227" spans="1:12" s="1" customFormat="1">
      <c r="A227" s="25"/>
      <c r="B227" s="26" t="s">
        <v>1272</v>
      </c>
      <c r="C227" s="26" t="s">
        <v>136</v>
      </c>
      <c r="D227" s="12" t="s">
        <v>1273</v>
      </c>
      <c r="E227" s="30" t="s">
        <v>243</v>
      </c>
      <c r="F227" s="31"/>
      <c r="G227" s="19" t="s">
        <v>1453</v>
      </c>
      <c r="H227" s="63"/>
      <c r="I227" s="34"/>
      <c r="J227" s="34" t="s">
        <v>431</v>
      </c>
      <c r="K227" s="34" t="s">
        <v>134</v>
      </c>
      <c r="L227" s="34" t="s">
        <v>439</v>
      </c>
    </row>
    <row r="228" spans="1:12" s="64" customFormat="1">
      <c r="A228" s="67"/>
      <c r="B228" s="75" t="s">
        <v>1047</v>
      </c>
      <c r="C228" s="68" t="s">
        <v>139</v>
      </c>
      <c r="D228" s="42" t="s">
        <v>151</v>
      </c>
      <c r="E228" s="44" t="s">
        <v>243</v>
      </c>
      <c r="F228" s="70"/>
      <c r="G228" s="70" t="s">
        <v>880</v>
      </c>
      <c r="H228" s="76"/>
      <c r="I228" s="66" t="s">
        <v>662</v>
      </c>
      <c r="J228" s="77" t="s">
        <v>384</v>
      </c>
      <c r="K228" s="47" t="s">
        <v>134</v>
      </c>
      <c r="L228" s="47" t="s">
        <v>134</v>
      </c>
    </row>
    <row r="229" spans="1:12" s="64" customFormat="1">
      <c r="A229" s="67"/>
      <c r="B229" s="75" t="s">
        <v>259</v>
      </c>
      <c r="C229" s="68" t="s">
        <v>132</v>
      </c>
      <c r="D229" s="42" t="s">
        <v>1050</v>
      </c>
      <c r="E229" s="44" t="s">
        <v>243</v>
      </c>
      <c r="F229" s="70" t="str">
        <f>VLOOKUP(B229,'9'!B:B,1,0)</f>
        <v>s_nssai_sst</v>
      </c>
      <c r="G229" s="70" t="s">
        <v>880</v>
      </c>
      <c r="H229" s="76"/>
      <c r="I229" s="66" t="s">
        <v>662</v>
      </c>
      <c r="J229" s="77" t="s">
        <v>384</v>
      </c>
      <c r="K229" s="47" t="s">
        <v>134</v>
      </c>
      <c r="L229" s="47" t="s">
        <v>134</v>
      </c>
    </row>
    <row r="230" spans="1:12" s="64" customFormat="1">
      <c r="A230" s="67"/>
      <c r="B230" s="75" t="s">
        <v>262</v>
      </c>
      <c r="C230" s="68" t="s">
        <v>132</v>
      </c>
      <c r="D230" s="42" t="s">
        <v>1051</v>
      </c>
      <c r="E230" s="44" t="s">
        <v>243</v>
      </c>
      <c r="F230" s="70" t="str">
        <f>VLOOKUP(B230,'9'!B:B,1,0)</f>
        <v>s_nssai_sd</v>
      </c>
      <c r="G230" s="70" t="s">
        <v>880</v>
      </c>
      <c r="H230" s="76"/>
      <c r="I230" s="66" t="s">
        <v>662</v>
      </c>
      <c r="J230" s="77" t="s">
        <v>384</v>
      </c>
      <c r="K230" s="47" t="s">
        <v>134</v>
      </c>
      <c r="L230" s="47" t="s">
        <v>134</v>
      </c>
    </row>
    <row r="231" spans="1:12" s="64" customFormat="1">
      <c r="A231" s="67"/>
      <c r="B231" s="75" t="s">
        <v>227</v>
      </c>
      <c r="C231" s="68" t="s">
        <v>139</v>
      </c>
      <c r="D231" s="42" t="s">
        <v>1052</v>
      </c>
      <c r="E231" s="44" t="s">
        <v>243</v>
      </c>
      <c r="F231" s="70" t="str">
        <f>VLOOKUP(B231,'9'!B:B,1,0)</f>
        <v>data_source</v>
      </c>
      <c r="G231" s="70" t="s">
        <v>250</v>
      </c>
      <c r="H231" s="76"/>
      <c r="I231" s="66" t="s">
        <v>662</v>
      </c>
      <c r="J231" s="77" t="s">
        <v>384</v>
      </c>
      <c r="K231" s="47" t="s">
        <v>134</v>
      </c>
      <c r="L231" s="47" t="s">
        <v>134</v>
      </c>
    </row>
    <row r="232" spans="1:12" s="64" customFormat="1">
      <c r="A232" s="67"/>
      <c r="B232" s="75" t="s">
        <v>217</v>
      </c>
      <c r="C232" s="68" t="s">
        <v>139</v>
      </c>
      <c r="D232" s="42" t="s">
        <v>1057</v>
      </c>
      <c r="E232" s="44" t="s">
        <v>243</v>
      </c>
      <c r="F232" s="70" t="str">
        <f>VLOOKUP(B232,'9'!B:B,1,0)</f>
        <v>positionmark</v>
      </c>
      <c r="G232" s="70" t="s">
        <v>250</v>
      </c>
      <c r="H232" s="44"/>
      <c r="I232" s="66" t="s">
        <v>662</v>
      </c>
      <c r="J232" s="77" t="s">
        <v>384</v>
      </c>
      <c r="K232" s="47" t="s">
        <v>134</v>
      </c>
      <c r="L232" s="47" t="s">
        <v>134</v>
      </c>
    </row>
    <row r="233" spans="1:12" s="64" customFormat="1">
      <c r="A233" s="67"/>
      <c r="B233" s="68" t="s">
        <v>385</v>
      </c>
      <c r="C233" s="69" t="s">
        <v>139</v>
      </c>
      <c r="D233" s="43" t="s">
        <v>487</v>
      </c>
      <c r="E233" s="44" t="s">
        <v>243</v>
      </c>
      <c r="F233" s="70" t="s">
        <v>385</v>
      </c>
      <c r="G233" s="70" t="s">
        <v>250</v>
      </c>
      <c r="H233" s="44"/>
      <c r="I233" s="66" t="s">
        <v>662</v>
      </c>
      <c r="J233" s="78" t="s">
        <v>384</v>
      </c>
      <c r="K233" s="47" t="s">
        <v>134</v>
      </c>
      <c r="L233" s="47" t="s">
        <v>134</v>
      </c>
    </row>
    <row r="234" spans="1:12" s="64" customFormat="1">
      <c r="A234" s="67"/>
      <c r="B234" s="68" t="s">
        <v>388</v>
      </c>
      <c r="C234" s="69" t="s">
        <v>139</v>
      </c>
      <c r="D234" s="43" t="s">
        <v>488</v>
      </c>
      <c r="E234" s="44" t="s">
        <v>243</v>
      </c>
      <c r="F234" s="70" t="s">
        <v>388</v>
      </c>
      <c r="G234" s="70" t="s">
        <v>250</v>
      </c>
      <c r="H234" s="44"/>
      <c r="I234" s="66" t="s">
        <v>662</v>
      </c>
      <c r="J234" s="78" t="s">
        <v>384</v>
      </c>
      <c r="K234" s="47" t="s">
        <v>134</v>
      </c>
      <c r="L234" s="47" t="s">
        <v>134</v>
      </c>
    </row>
    <row r="235" spans="1:12" s="64" customFormat="1">
      <c r="A235" s="67"/>
      <c r="B235" s="68" t="s">
        <v>392</v>
      </c>
      <c r="C235" s="69" t="s">
        <v>132</v>
      </c>
      <c r="D235" s="43" t="s">
        <v>391</v>
      </c>
      <c r="E235" s="44" t="s">
        <v>243</v>
      </c>
      <c r="F235" s="70" t="s">
        <v>390</v>
      </c>
      <c r="G235" s="70" t="s">
        <v>250</v>
      </c>
      <c r="H235" s="44"/>
      <c r="I235" s="66" t="s">
        <v>662</v>
      </c>
      <c r="J235" s="78" t="s">
        <v>384</v>
      </c>
      <c r="K235" s="47" t="s">
        <v>134</v>
      </c>
      <c r="L235" s="47" t="s">
        <v>134</v>
      </c>
    </row>
    <row r="236" spans="1:12" s="64" customFormat="1">
      <c r="A236" s="67"/>
      <c r="B236" s="68" t="s">
        <v>395</v>
      </c>
      <c r="C236" s="69" t="s">
        <v>132</v>
      </c>
      <c r="D236" s="43" t="s">
        <v>489</v>
      </c>
      <c r="E236" s="44" t="s">
        <v>243</v>
      </c>
      <c r="F236" s="70" t="s">
        <v>393</v>
      </c>
      <c r="G236" s="70" t="s">
        <v>250</v>
      </c>
      <c r="H236" s="44"/>
      <c r="I236" s="66" t="s">
        <v>662</v>
      </c>
      <c r="J236" s="78" t="s">
        <v>384</v>
      </c>
      <c r="K236" s="47" t="s">
        <v>134</v>
      </c>
      <c r="L236" s="47" t="s">
        <v>134</v>
      </c>
    </row>
    <row r="237" spans="1:12" s="64" customFormat="1">
      <c r="A237" s="67"/>
      <c r="B237" s="68" t="s">
        <v>398</v>
      </c>
      <c r="C237" s="69" t="s">
        <v>132</v>
      </c>
      <c r="D237" s="43" t="s">
        <v>490</v>
      </c>
      <c r="E237" s="44" t="s">
        <v>243</v>
      </c>
      <c r="F237" s="70" t="s">
        <v>396</v>
      </c>
      <c r="G237" s="70" t="s">
        <v>250</v>
      </c>
      <c r="H237" s="44"/>
      <c r="I237" s="66" t="s">
        <v>662</v>
      </c>
      <c r="J237" s="78" t="s">
        <v>384</v>
      </c>
      <c r="K237" s="47" t="s">
        <v>134</v>
      </c>
      <c r="L237" s="47" t="s">
        <v>134</v>
      </c>
    </row>
    <row r="238" spans="1:12" s="64" customFormat="1">
      <c r="A238" s="67"/>
      <c r="B238" s="68" t="s">
        <v>377</v>
      </c>
      <c r="C238" s="69" t="s">
        <v>132</v>
      </c>
      <c r="D238" s="43" t="s">
        <v>482</v>
      </c>
      <c r="E238" s="44" t="s">
        <v>243</v>
      </c>
      <c r="F238" s="70" t="s">
        <v>377</v>
      </c>
      <c r="G238" s="70" t="s">
        <v>250</v>
      </c>
      <c r="H238" s="44"/>
      <c r="I238" s="66" t="s">
        <v>662</v>
      </c>
      <c r="J238" s="78" t="s">
        <v>384</v>
      </c>
      <c r="K238" s="47" t="s">
        <v>134</v>
      </c>
      <c r="L238" s="47" t="s">
        <v>134</v>
      </c>
    </row>
    <row r="239" spans="1:12" s="64" customFormat="1">
      <c r="A239" s="67"/>
      <c r="B239" s="68" t="s">
        <v>400</v>
      </c>
      <c r="C239" s="69" t="s">
        <v>132</v>
      </c>
      <c r="D239" s="43" t="s">
        <v>485</v>
      </c>
      <c r="E239" s="44" t="s">
        <v>243</v>
      </c>
      <c r="F239" s="70" t="s">
        <v>400</v>
      </c>
      <c r="G239" s="70" t="s">
        <v>250</v>
      </c>
      <c r="H239" s="44"/>
      <c r="I239" s="66" t="s">
        <v>662</v>
      </c>
      <c r="J239" s="78" t="s">
        <v>384</v>
      </c>
      <c r="K239" s="47" t="s">
        <v>134</v>
      </c>
      <c r="L239" s="47" t="s">
        <v>134</v>
      </c>
    </row>
    <row r="240" spans="1:12" s="64" customFormat="1">
      <c r="A240" s="67"/>
      <c r="B240" s="68" t="s">
        <v>1275</v>
      </c>
      <c r="C240" s="68" t="s">
        <v>245</v>
      </c>
      <c r="D240" s="43" t="s">
        <v>522</v>
      </c>
      <c r="E240" s="44" t="s">
        <v>243</v>
      </c>
      <c r="F240" s="70"/>
      <c r="G240" s="70" t="s">
        <v>1454</v>
      </c>
      <c r="H240" s="44"/>
      <c r="I240" s="66" t="s">
        <v>662</v>
      </c>
      <c r="J240" s="47" t="s">
        <v>431</v>
      </c>
      <c r="K240" s="47" t="s">
        <v>134</v>
      </c>
      <c r="L240" s="47" t="s">
        <v>524</v>
      </c>
    </row>
    <row r="241" spans="1:12" s="64" customFormat="1">
      <c r="A241" s="67"/>
      <c r="B241" s="68" t="s">
        <v>1277</v>
      </c>
      <c r="C241" s="68" t="s">
        <v>245</v>
      </c>
      <c r="D241" s="43" t="s">
        <v>526</v>
      </c>
      <c r="E241" s="44" t="s">
        <v>243</v>
      </c>
      <c r="F241" s="70"/>
      <c r="G241" s="70" t="s">
        <v>1455</v>
      </c>
      <c r="H241" s="44"/>
      <c r="I241" s="66" t="s">
        <v>662</v>
      </c>
      <c r="J241" s="47" t="s">
        <v>431</v>
      </c>
      <c r="K241" s="47" t="s">
        <v>134</v>
      </c>
      <c r="L241" s="47" t="s">
        <v>528</v>
      </c>
    </row>
    <row r="242" spans="1:12" s="64" customFormat="1">
      <c r="A242" s="67"/>
      <c r="B242" s="68" t="s">
        <v>556</v>
      </c>
      <c r="C242" s="69" t="s">
        <v>136</v>
      </c>
      <c r="D242" s="43" t="s">
        <v>557</v>
      </c>
      <c r="E242" s="44" t="s">
        <v>243</v>
      </c>
      <c r="F242" s="70"/>
      <c r="G242" s="70" t="s">
        <v>1279</v>
      </c>
      <c r="H242" s="44"/>
      <c r="I242" s="66" t="s">
        <v>662</v>
      </c>
      <c r="J242" s="47" t="s">
        <v>431</v>
      </c>
      <c r="K242" s="47" t="s">
        <v>134</v>
      </c>
      <c r="L242" s="47" t="s">
        <v>439</v>
      </c>
    </row>
    <row r="243" spans="1:12" s="64" customFormat="1">
      <c r="A243" s="67"/>
      <c r="B243" s="68" t="s">
        <v>558</v>
      </c>
      <c r="C243" s="69" t="s">
        <v>136</v>
      </c>
      <c r="D243" s="43" t="s">
        <v>559</v>
      </c>
      <c r="E243" s="44" t="s">
        <v>243</v>
      </c>
      <c r="F243" s="70"/>
      <c r="G243" s="70" t="s">
        <v>1280</v>
      </c>
      <c r="H243" s="44"/>
      <c r="I243" s="66" t="s">
        <v>662</v>
      </c>
      <c r="J243" s="47" t="s">
        <v>431</v>
      </c>
      <c r="K243" s="47" t="s">
        <v>134</v>
      </c>
      <c r="L243" s="47" t="s">
        <v>439</v>
      </c>
    </row>
    <row r="244" spans="1:12" s="64" customFormat="1">
      <c r="A244" s="67"/>
      <c r="B244" s="68" t="s">
        <v>560</v>
      </c>
      <c r="C244" s="69" t="s">
        <v>136</v>
      </c>
      <c r="D244" s="43" t="s">
        <v>561</v>
      </c>
      <c r="E244" s="44" t="s">
        <v>243</v>
      </c>
      <c r="F244" s="70"/>
      <c r="G244" s="70" t="s">
        <v>1281</v>
      </c>
      <c r="H244" s="44"/>
      <c r="I244" s="66" t="s">
        <v>662</v>
      </c>
      <c r="J244" s="47" t="s">
        <v>431</v>
      </c>
      <c r="K244" s="47" t="s">
        <v>134</v>
      </c>
      <c r="L244" s="47" t="s">
        <v>439</v>
      </c>
    </row>
    <row r="245" spans="1:12" s="64" customFormat="1">
      <c r="A245" s="67"/>
      <c r="B245" s="68" t="s">
        <v>562</v>
      </c>
      <c r="C245" s="69" t="s">
        <v>136</v>
      </c>
      <c r="D245" s="43" t="s">
        <v>563</v>
      </c>
      <c r="E245" s="44" t="s">
        <v>243</v>
      </c>
      <c r="F245" s="70"/>
      <c r="G245" s="70" t="s">
        <v>1282</v>
      </c>
      <c r="H245" s="44"/>
      <c r="I245" s="66" t="s">
        <v>662</v>
      </c>
      <c r="J245" s="47" t="s">
        <v>431</v>
      </c>
      <c r="K245" s="47" t="s">
        <v>134</v>
      </c>
      <c r="L245" s="47" t="s">
        <v>439</v>
      </c>
    </row>
    <row r="246" spans="1:12" s="64" customFormat="1">
      <c r="A246" s="67"/>
      <c r="B246" s="68" t="s">
        <v>462</v>
      </c>
      <c r="C246" s="69" t="s">
        <v>136</v>
      </c>
      <c r="D246" s="43" t="s">
        <v>463</v>
      </c>
      <c r="E246" s="44" t="s">
        <v>243</v>
      </c>
      <c r="F246" s="70"/>
      <c r="G246" s="70" t="s">
        <v>1456</v>
      </c>
      <c r="H246" s="44"/>
      <c r="I246" s="66" t="s">
        <v>662</v>
      </c>
      <c r="J246" s="47" t="s">
        <v>431</v>
      </c>
      <c r="K246" s="47" t="s">
        <v>134</v>
      </c>
      <c r="L246" s="47" t="s">
        <v>439</v>
      </c>
    </row>
    <row r="247" spans="1:12" s="64" customFormat="1">
      <c r="A247" s="67"/>
      <c r="B247" s="68" t="s">
        <v>673</v>
      </c>
      <c r="C247" s="69" t="s">
        <v>136</v>
      </c>
      <c r="D247" s="43" t="s">
        <v>674</v>
      </c>
      <c r="E247" s="44" t="s">
        <v>243</v>
      </c>
      <c r="F247" s="70"/>
      <c r="G247" s="70" t="s">
        <v>1284</v>
      </c>
      <c r="H247" s="44"/>
      <c r="I247" s="66" t="s">
        <v>662</v>
      </c>
      <c r="J247" s="47" t="s">
        <v>431</v>
      </c>
      <c r="K247" s="47" t="s">
        <v>134</v>
      </c>
      <c r="L247" s="47" t="s">
        <v>439</v>
      </c>
    </row>
    <row r="248" spans="1:12" s="64" customFormat="1">
      <c r="A248" s="67"/>
      <c r="B248" s="68" t="s">
        <v>676</v>
      </c>
      <c r="C248" s="69" t="s">
        <v>136</v>
      </c>
      <c r="D248" s="43" t="s">
        <v>677</v>
      </c>
      <c r="E248" s="44" t="s">
        <v>243</v>
      </c>
      <c r="F248" s="70"/>
      <c r="G248" s="70" t="s">
        <v>1285</v>
      </c>
      <c r="H248" s="44"/>
      <c r="I248" s="66" t="s">
        <v>662</v>
      </c>
      <c r="J248" s="47" t="s">
        <v>431</v>
      </c>
      <c r="K248" s="47" t="s">
        <v>134</v>
      </c>
      <c r="L248" s="47" t="s">
        <v>439</v>
      </c>
    </row>
    <row r="249" spans="1:12" s="64" customFormat="1">
      <c r="A249" s="67"/>
      <c r="B249" s="68" t="s">
        <v>679</v>
      </c>
      <c r="C249" s="69" t="s">
        <v>136</v>
      </c>
      <c r="D249" s="43" t="s">
        <v>680</v>
      </c>
      <c r="E249" s="44" t="s">
        <v>243</v>
      </c>
      <c r="F249" s="70"/>
      <c r="G249" s="70" t="s">
        <v>1286</v>
      </c>
      <c r="H249" s="44"/>
      <c r="I249" s="66" t="s">
        <v>662</v>
      </c>
      <c r="J249" s="47" t="s">
        <v>431</v>
      </c>
      <c r="K249" s="47" t="s">
        <v>134</v>
      </c>
      <c r="L249" s="47" t="s">
        <v>439</v>
      </c>
    </row>
    <row r="250" spans="1:12" s="64" customFormat="1">
      <c r="A250" s="67"/>
      <c r="B250" s="68" t="s">
        <v>682</v>
      </c>
      <c r="C250" s="69" t="s">
        <v>136</v>
      </c>
      <c r="D250" s="43" t="s">
        <v>683</v>
      </c>
      <c r="E250" s="44" t="s">
        <v>243</v>
      </c>
      <c r="F250" s="70"/>
      <c r="G250" s="70" t="s">
        <v>1287</v>
      </c>
      <c r="H250" s="44"/>
      <c r="I250" s="66" t="s">
        <v>662</v>
      </c>
      <c r="J250" s="47" t="s">
        <v>431</v>
      </c>
      <c r="K250" s="47" t="s">
        <v>134</v>
      </c>
      <c r="L250" s="47" t="s">
        <v>439</v>
      </c>
    </row>
    <row r="251" spans="1:12" s="64" customFormat="1">
      <c r="A251" s="67"/>
      <c r="B251" s="68" t="s">
        <v>685</v>
      </c>
      <c r="C251" s="69" t="s">
        <v>136</v>
      </c>
      <c r="D251" s="43" t="s">
        <v>686</v>
      </c>
      <c r="E251" s="44" t="s">
        <v>243</v>
      </c>
      <c r="F251" s="70"/>
      <c r="G251" s="70" t="s">
        <v>1288</v>
      </c>
      <c r="H251" s="44"/>
      <c r="I251" s="66" t="s">
        <v>662</v>
      </c>
      <c r="J251" s="47" t="s">
        <v>431</v>
      </c>
      <c r="K251" s="47" t="s">
        <v>134</v>
      </c>
      <c r="L251" s="47" t="s">
        <v>439</v>
      </c>
    </row>
    <row r="252" spans="1:12" s="64" customFormat="1">
      <c r="A252" s="67"/>
      <c r="B252" s="68" t="s">
        <v>688</v>
      </c>
      <c r="C252" s="69" t="s">
        <v>136</v>
      </c>
      <c r="D252" s="43" t="s">
        <v>689</v>
      </c>
      <c r="E252" s="44" t="s">
        <v>243</v>
      </c>
      <c r="F252" s="70"/>
      <c r="G252" s="70" t="s">
        <v>1289</v>
      </c>
      <c r="H252" s="44"/>
      <c r="I252" s="66" t="s">
        <v>662</v>
      </c>
      <c r="J252" s="47" t="s">
        <v>431</v>
      </c>
      <c r="K252" s="47" t="s">
        <v>134</v>
      </c>
      <c r="L252" s="47" t="s">
        <v>439</v>
      </c>
    </row>
    <row r="253" spans="1:12" s="64" customFormat="1">
      <c r="A253" s="67"/>
      <c r="B253" s="68" t="s">
        <v>691</v>
      </c>
      <c r="C253" s="69" t="s">
        <v>136</v>
      </c>
      <c r="D253" s="43" t="s">
        <v>692</v>
      </c>
      <c r="E253" s="44" t="s">
        <v>243</v>
      </c>
      <c r="F253" s="70"/>
      <c r="G253" s="70" t="s">
        <v>1290</v>
      </c>
      <c r="H253" s="44"/>
      <c r="I253" s="66" t="s">
        <v>662</v>
      </c>
      <c r="J253" s="47" t="s">
        <v>431</v>
      </c>
      <c r="K253" s="47" t="s">
        <v>134</v>
      </c>
      <c r="L253" s="47" t="s">
        <v>439</v>
      </c>
    </row>
    <row r="254" spans="1:12" s="64" customFormat="1">
      <c r="A254" s="67"/>
      <c r="B254" s="68" t="s">
        <v>694</v>
      </c>
      <c r="C254" s="69" t="s">
        <v>136</v>
      </c>
      <c r="D254" s="43" t="s">
        <v>695</v>
      </c>
      <c r="E254" s="44" t="s">
        <v>243</v>
      </c>
      <c r="F254" s="70"/>
      <c r="G254" s="70" t="s">
        <v>1291</v>
      </c>
      <c r="H254" s="44"/>
      <c r="I254" s="66" t="s">
        <v>662</v>
      </c>
      <c r="J254" s="47" t="s">
        <v>431</v>
      </c>
      <c r="K254" s="47" t="s">
        <v>134</v>
      </c>
      <c r="L254" s="47" t="s">
        <v>439</v>
      </c>
    </row>
    <row r="255" spans="1:12" s="64" customFormat="1">
      <c r="A255" s="67"/>
      <c r="B255" s="68" t="s">
        <v>698</v>
      </c>
      <c r="C255" s="69" t="s">
        <v>136</v>
      </c>
      <c r="D255" s="43" t="s">
        <v>699</v>
      </c>
      <c r="E255" s="44" t="s">
        <v>243</v>
      </c>
      <c r="F255" s="70"/>
      <c r="G255" s="70" t="s">
        <v>1292</v>
      </c>
      <c r="H255" s="44"/>
      <c r="I255" s="66" t="s">
        <v>662</v>
      </c>
      <c r="J255" s="47" t="s">
        <v>431</v>
      </c>
      <c r="K255" s="47" t="s">
        <v>134</v>
      </c>
      <c r="L255" s="47" t="s">
        <v>439</v>
      </c>
    </row>
    <row r="256" spans="1:12" s="64" customFormat="1">
      <c r="A256" s="67"/>
      <c r="B256" s="68" t="s">
        <v>702</v>
      </c>
      <c r="C256" s="69" t="s">
        <v>136</v>
      </c>
      <c r="D256" s="43" t="s">
        <v>703</v>
      </c>
      <c r="E256" s="44" t="s">
        <v>243</v>
      </c>
      <c r="F256" s="70"/>
      <c r="G256" s="70" t="s">
        <v>1293</v>
      </c>
      <c r="H256" s="44"/>
      <c r="I256" s="66" t="s">
        <v>662</v>
      </c>
      <c r="J256" s="47" t="s">
        <v>431</v>
      </c>
      <c r="K256" s="47" t="s">
        <v>134</v>
      </c>
      <c r="L256" s="47" t="s">
        <v>439</v>
      </c>
    </row>
    <row r="257" spans="1:12" s="64" customFormat="1">
      <c r="A257" s="67"/>
      <c r="B257" s="68" t="s">
        <v>706</v>
      </c>
      <c r="C257" s="69" t="s">
        <v>136</v>
      </c>
      <c r="D257" s="43" t="s">
        <v>707</v>
      </c>
      <c r="E257" s="44" t="s">
        <v>243</v>
      </c>
      <c r="F257" s="70"/>
      <c r="G257" s="70" t="s">
        <v>1294</v>
      </c>
      <c r="H257" s="44"/>
      <c r="I257" s="66" t="s">
        <v>662</v>
      </c>
      <c r="J257" s="47" t="s">
        <v>431</v>
      </c>
      <c r="K257" s="47" t="s">
        <v>134</v>
      </c>
      <c r="L257" s="47" t="s">
        <v>439</v>
      </c>
    </row>
    <row r="258" spans="1:12" s="64" customFormat="1">
      <c r="A258" s="67"/>
      <c r="B258" s="68" t="s">
        <v>709</v>
      </c>
      <c r="C258" s="69" t="s">
        <v>136</v>
      </c>
      <c r="D258" s="43" t="s">
        <v>710</v>
      </c>
      <c r="E258" s="44" t="s">
        <v>243</v>
      </c>
      <c r="F258" s="70"/>
      <c r="G258" s="70" t="s">
        <v>1295</v>
      </c>
      <c r="H258" s="44"/>
      <c r="I258" s="66" t="s">
        <v>662</v>
      </c>
      <c r="J258" s="47" t="s">
        <v>431</v>
      </c>
      <c r="K258" s="47" t="s">
        <v>134</v>
      </c>
      <c r="L258" s="47" t="s">
        <v>439</v>
      </c>
    </row>
    <row r="259" spans="1:12" s="64" customFormat="1">
      <c r="A259" s="67"/>
      <c r="B259" s="68" t="s">
        <v>713</v>
      </c>
      <c r="C259" s="69" t="s">
        <v>136</v>
      </c>
      <c r="D259" s="43" t="s">
        <v>714</v>
      </c>
      <c r="E259" s="44" t="s">
        <v>243</v>
      </c>
      <c r="F259" s="70"/>
      <c r="G259" s="70" t="s">
        <v>1296</v>
      </c>
      <c r="H259" s="44"/>
      <c r="I259" s="66" t="s">
        <v>662</v>
      </c>
      <c r="J259" s="47" t="s">
        <v>431</v>
      </c>
      <c r="K259" s="47" t="s">
        <v>134</v>
      </c>
      <c r="L259" s="47" t="s">
        <v>439</v>
      </c>
    </row>
    <row r="260" spans="1:12" s="64" customFormat="1">
      <c r="A260" s="67"/>
      <c r="B260" s="68" t="s">
        <v>716</v>
      </c>
      <c r="C260" s="69" t="s">
        <v>136</v>
      </c>
      <c r="D260" s="43" t="s">
        <v>717</v>
      </c>
      <c r="E260" s="44" t="s">
        <v>243</v>
      </c>
      <c r="F260" s="70"/>
      <c r="G260" s="70" t="s">
        <v>1297</v>
      </c>
      <c r="H260" s="44"/>
      <c r="I260" s="66" t="s">
        <v>662</v>
      </c>
      <c r="J260" s="47" t="s">
        <v>431</v>
      </c>
      <c r="K260" s="47" t="s">
        <v>134</v>
      </c>
      <c r="L260" s="47" t="s">
        <v>439</v>
      </c>
    </row>
    <row r="261" spans="1:12" s="64" customFormat="1">
      <c r="A261" s="67"/>
      <c r="B261" s="68" t="s">
        <v>719</v>
      </c>
      <c r="C261" s="69" t="s">
        <v>136</v>
      </c>
      <c r="D261" s="43" t="s">
        <v>720</v>
      </c>
      <c r="E261" s="44" t="s">
        <v>243</v>
      </c>
      <c r="F261" s="70"/>
      <c r="G261" s="70" t="s">
        <v>1298</v>
      </c>
      <c r="H261" s="44"/>
      <c r="I261" s="66" t="s">
        <v>662</v>
      </c>
      <c r="J261" s="47" t="s">
        <v>431</v>
      </c>
      <c r="K261" s="47" t="s">
        <v>134</v>
      </c>
      <c r="L261" s="47" t="s">
        <v>439</v>
      </c>
    </row>
    <row r="262" spans="1:12" s="64" customFormat="1">
      <c r="A262" s="67"/>
      <c r="B262" s="68" t="s">
        <v>722</v>
      </c>
      <c r="C262" s="69" t="s">
        <v>136</v>
      </c>
      <c r="D262" s="43" t="s">
        <v>723</v>
      </c>
      <c r="E262" s="44" t="s">
        <v>243</v>
      </c>
      <c r="F262" s="70"/>
      <c r="G262" s="70" t="s">
        <v>1299</v>
      </c>
      <c r="H262" s="44"/>
      <c r="I262" s="66" t="s">
        <v>662</v>
      </c>
      <c r="J262" s="47" t="s">
        <v>431</v>
      </c>
      <c r="K262" s="47" t="s">
        <v>134</v>
      </c>
      <c r="L262" s="47" t="s">
        <v>439</v>
      </c>
    </row>
    <row r="263" spans="1:12" s="64" customFormat="1">
      <c r="A263" s="67"/>
      <c r="B263" s="68" t="s">
        <v>725</v>
      </c>
      <c r="C263" s="69" t="s">
        <v>136</v>
      </c>
      <c r="D263" s="43" t="s">
        <v>726</v>
      </c>
      <c r="E263" s="44" t="s">
        <v>243</v>
      </c>
      <c r="F263" s="70"/>
      <c r="G263" s="70" t="s">
        <v>1300</v>
      </c>
      <c r="H263" s="44"/>
      <c r="I263" s="66" t="s">
        <v>662</v>
      </c>
      <c r="J263" s="47" t="s">
        <v>431</v>
      </c>
      <c r="K263" s="47" t="s">
        <v>134</v>
      </c>
      <c r="L263" s="47" t="s">
        <v>439</v>
      </c>
    </row>
    <row r="264" spans="1:12" s="64" customFormat="1">
      <c r="A264" s="67"/>
      <c r="B264" s="68" t="s">
        <v>728</v>
      </c>
      <c r="C264" s="69" t="s">
        <v>136</v>
      </c>
      <c r="D264" s="43" t="s">
        <v>729</v>
      </c>
      <c r="E264" s="44" t="s">
        <v>243</v>
      </c>
      <c r="F264" s="70"/>
      <c r="G264" s="70" t="s">
        <v>1301</v>
      </c>
      <c r="H264" s="44"/>
      <c r="I264" s="66" t="s">
        <v>662</v>
      </c>
      <c r="J264" s="47" t="s">
        <v>431</v>
      </c>
      <c r="K264" s="47" t="s">
        <v>134</v>
      </c>
      <c r="L264" s="47" t="s">
        <v>439</v>
      </c>
    </row>
    <row r="265" spans="1:12" s="64" customFormat="1">
      <c r="A265" s="67"/>
      <c r="B265" s="68" t="s">
        <v>731</v>
      </c>
      <c r="C265" s="69" t="s">
        <v>136</v>
      </c>
      <c r="D265" s="43" t="s">
        <v>732</v>
      </c>
      <c r="E265" s="44" t="s">
        <v>243</v>
      </c>
      <c r="F265" s="70"/>
      <c r="G265" s="70" t="s">
        <v>1302</v>
      </c>
      <c r="H265" s="44"/>
      <c r="I265" s="66" t="s">
        <v>662</v>
      </c>
      <c r="J265" s="47" t="s">
        <v>431</v>
      </c>
      <c r="K265" s="47" t="s">
        <v>134</v>
      </c>
      <c r="L265" s="47" t="s">
        <v>439</v>
      </c>
    </row>
    <row r="266" spans="1:12" s="64" customFormat="1">
      <c r="A266" s="67"/>
      <c r="B266" s="68" t="s">
        <v>734</v>
      </c>
      <c r="C266" s="69" t="s">
        <v>136</v>
      </c>
      <c r="D266" s="43" t="s">
        <v>735</v>
      </c>
      <c r="E266" s="44" t="s">
        <v>243</v>
      </c>
      <c r="F266" s="70"/>
      <c r="G266" s="70" t="s">
        <v>1303</v>
      </c>
      <c r="H266" s="44"/>
      <c r="I266" s="66" t="s">
        <v>662</v>
      </c>
      <c r="J266" s="47" t="s">
        <v>431</v>
      </c>
      <c r="K266" s="47" t="s">
        <v>134</v>
      </c>
      <c r="L266" s="47" t="s">
        <v>439</v>
      </c>
    </row>
    <row r="267" spans="1:12" s="64" customFormat="1">
      <c r="A267" s="67"/>
      <c r="B267" s="68" t="s">
        <v>737</v>
      </c>
      <c r="C267" s="69" t="s">
        <v>136</v>
      </c>
      <c r="D267" s="43" t="s">
        <v>738</v>
      </c>
      <c r="E267" s="44" t="s">
        <v>243</v>
      </c>
      <c r="F267" s="70"/>
      <c r="G267" s="70" t="s">
        <v>1304</v>
      </c>
      <c r="H267" s="44"/>
      <c r="I267" s="66" t="s">
        <v>662</v>
      </c>
      <c r="J267" s="47" t="s">
        <v>431</v>
      </c>
      <c r="K267" s="47" t="s">
        <v>134</v>
      </c>
      <c r="L267" s="47" t="s">
        <v>439</v>
      </c>
    </row>
    <row r="268" spans="1:12" s="64" customFormat="1">
      <c r="A268" s="67"/>
      <c r="B268" s="68" t="s">
        <v>740</v>
      </c>
      <c r="C268" s="69" t="s">
        <v>136</v>
      </c>
      <c r="D268" s="43" t="s">
        <v>741</v>
      </c>
      <c r="E268" s="44" t="s">
        <v>243</v>
      </c>
      <c r="F268" s="70"/>
      <c r="G268" s="70" t="s">
        <v>1305</v>
      </c>
      <c r="H268" s="44"/>
      <c r="I268" s="66" t="s">
        <v>662</v>
      </c>
      <c r="J268" s="47" t="s">
        <v>431</v>
      </c>
      <c r="K268" s="47" t="s">
        <v>134</v>
      </c>
      <c r="L268" s="47" t="s">
        <v>439</v>
      </c>
    </row>
    <row r="269" spans="1:12" s="64" customFormat="1">
      <c r="A269" s="67"/>
      <c r="B269" s="68" t="s">
        <v>2056</v>
      </c>
      <c r="C269" s="68" t="s">
        <v>136</v>
      </c>
      <c r="D269" s="43" t="s">
        <v>2055</v>
      </c>
      <c r="E269" s="44" t="s">
        <v>243</v>
      </c>
      <c r="F269" s="70"/>
      <c r="G269" s="70" t="s">
        <v>2062</v>
      </c>
      <c r="H269" s="71"/>
      <c r="I269" s="66" t="s">
        <v>662</v>
      </c>
      <c r="J269" s="47" t="s">
        <v>431</v>
      </c>
      <c r="K269" s="47" t="s">
        <v>134</v>
      </c>
      <c r="L269" s="47" t="s">
        <v>439</v>
      </c>
    </row>
    <row r="270" spans="1:12" s="64" customFormat="1">
      <c r="A270" s="67"/>
      <c r="B270" s="68" t="s">
        <v>2060</v>
      </c>
      <c r="C270" s="68" t="s">
        <v>136</v>
      </c>
      <c r="D270" s="43" t="s">
        <v>2061</v>
      </c>
      <c r="E270" s="44" t="s">
        <v>243</v>
      </c>
      <c r="F270" s="70"/>
      <c r="G270" s="70" t="s">
        <v>2063</v>
      </c>
      <c r="H270" s="71"/>
      <c r="I270" s="66" t="s">
        <v>662</v>
      </c>
      <c r="J270" s="47" t="s">
        <v>431</v>
      </c>
      <c r="K270" s="47" t="s">
        <v>134</v>
      </c>
      <c r="L270" s="47" t="s">
        <v>439</v>
      </c>
    </row>
    <row r="271" spans="1:12" s="39" customFormat="1">
      <c r="A271" s="41"/>
      <c r="B271" s="41" t="s">
        <v>2080</v>
      </c>
      <c r="C271" s="41" t="s">
        <v>132</v>
      </c>
      <c r="D271" s="42" t="s">
        <v>2068</v>
      </c>
      <c r="E271" s="41" t="s">
        <v>243</v>
      </c>
      <c r="F271" s="41"/>
      <c r="G271" s="42" t="s">
        <v>2081</v>
      </c>
      <c r="H271" s="41"/>
      <c r="I271" s="66" t="s">
        <v>662</v>
      </c>
      <c r="J271" s="41" t="s">
        <v>431</v>
      </c>
      <c r="K271" s="41" t="s">
        <v>134</v>
      </c>
      <c r="L271" s="46" t="s">
        <v>1623</v>
      </c>
    </row>
    <row r="272" spans="1:12" s="39" customFormat="1">
      <c r="A272" s="41"/>
      <c r="B272" s="41" t="s">
        <v>2082</v>
      </c>
      <c r="C272" s="41" t="s">
        <v>132</v>
      </c>
      <c r="D272" s="42" t="s">
        <v>2071</v>
      </c>
      <c r="E272" s="41" t="s">
        <v>243</v>
      </c>
      <c r="F272" s="41"/>
      <c r="G272" s="42" t="s">
        <v>2083</v>
      </c>
      <c r="H272" s="41"/>
      <c r="I272" s="66" t="s">
        <v>662</v>
      </c>
      <c r="J272" s="41" t="s">
        <v>431</v>
      </c>
      <c r="K272" s="41" t="s">
        <v>134</v>
      </c>
      <c r="L272" s="46" t="s">
        <v>1623</v>
      </c>
    </row>
    <row r="273" spans="1:13" s="64" customFormat="1">
      <c r="A273" s="67"/>
      <c r="B273" s="68" t="s">
        <v>2599</v>
      </c>
      <c r="C273" s="69" t="s">
        <v>136</v>
      </c>
      <c r="D273" s="43" t="s">
        <v>2592</v>
      </c>
      <c r="E273" s="44" t="s">
        <v>248</v>
      </c>
      <c r="F273" s="70"/>
      <c r="G273" s="70" t="s">
        <v>2597</v>
      </c>
      <c r="H273" s="44"/>
      <c r="I273" s="66" t="s">
        <v>662</v>
      </c>
      <c r="J273" s="47" t="s">
        <v>431</v>
      </c>
      <c r="K273" s="47" t="s">
        <v>134</v>
      </c>
      <c r="L273" s="47" t="s">
        <v>439</v>
      </c>
    </row>
    <row r="274" spans="1:13" s="64" customFormat="1" ht="26.4">
      <c r="A274" s="67"/>
      <c r="B274" s="68" t="s">
        <v>2594</v>
      </c>
      <c r="C274" s="69" t="s">
        <v>136</v>
      </c>
      <c r="D274" s="43" t="s">
        <v>2595</v>
      </c>
      <c r="E274" s="44" t="s">
        <v>248</v>
      </c>
      <c r="F274" s="70"/>
      <c r="G274" s="70" t="s">
        <v>2598</v>
      </c>
      <c r="H274" s="44"/>
      <c r="I274" s="66" t="s">
        <v>662</v>
      </c>
      <c r="J274" s="47" t="s">
        <v>431</v>
      </c>
      <c r="K274" s="47" t="s">
        <v>134</v>
      </c>
      <c r="L274" s="47" t="s">
        <v>533</v>
      </c>
    </row>
    <row r="275" spans="1:13" s="4" customFormat="1">
      <c r="B275" s="50" t="s">
        <v>233</v>
      </c>
      <c r="C275" s="51" t="s">
        <v>139</v>
      </c>
      <c r="D275" s="37" t="s">
        <v>234</v>
      </c>
      <c r="E275" s="52"/>
      <c r="F275" s="50"/>
      <c r="G275" s="50"/>
      <c r="H275" s="50"/>
      <c r="I275" s="50"/>
      <c r="J275" s="50"/>
      <c r="K275" s="50"/>
      <c r="L275" s="50"/>
      <c r="M275" s="50"/>
    </row>
    <row r="276" spans="1:13" s="4" customFormat="1">
      <c r="B276" s="50" t="s">
        <v>235</v>
      </c>
      <c r="C276" s="51" t="s">
        <v>132</v>
      </c>
      <c r="D276" s="37" t="s">
        <v>236</v>
      </c>
      <c r="E276" s="52"/>
      <c r="F276" s="50"/>
      <c r="G276" s="50"/>
      <c r="H276" s="50"/>
      <c r="I276" s="50"/>
      <c r="J276" s="50"/>
      <c r="K276" s="50"/>
      <c r="L276" s="50"/>
      <c r="M276" s="50"/>
    </row>
    <row r="277" spans="1:13" s="4" customFormat="1">
      <c r="B277" s="50" t="s">
        <v>237</v>
      </c>
      <c r="C277" s="51" t="s">
        <v>139</v>
      </c>
      <c r="D277" s="37" t="s">
        <v>238</v>
      </c>
      <c r="E277" s="52"/>
      <c r="F277" s="50"/>
      <c r="G277" s="50"/>
      <c r="H277" s="50"/>
      <c r="I277" s="50"/>
      <c r="J277" s="50"/>
      <c r="K277" s="50"/>
      <c r="L277" s="50"/>
      <c r="M277" s="50"/>
    </row>
  </sheetData>
  <autoFilter ref="A14:L277" xr:uid="{00000000-0009-0000-0000-00000C000000}"/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22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5" customWidth="1"/>
    <col min="2" max="2" width="23.6640625" style="5" customWidth="1"/>
    <col min="3" max="3" width="35.5546875" style="5" customWidth="1"/>
    <col min="4" max="4" width="32.21875" style="5" customWidth="1"/>
    <col min="5" max="5" width="16.21875" style="5" customWidth="1"/>
    <col min="6" max="6" width="24.88671875" style="5" customWidth="1"/>
    <col min="7" max="7" width="39.5546875" style="5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2:14">
      <c r="B1" s="7" t="str">
        <f>HYPERLINK("#导航!a2","返回")</f>
        <v>返回</v>
      </c>
    </row>
    <row r="2" spans="2:14">
      <c r="B2" s="156"/>
      <c r="C2" s="156"/>
      <c r="D2" s="156"/>
      <c r="E2" s="156"/>
      <c r="F2" s="156"/>
      <c r="G2" s="156"/>
      <c r="H2" s="156"/>
    </row>
    <row r="3" spans="2:14">
      <c r="B3" s="157" t="s">
        <v>106</v>
      </c>
      <c r="C3" s="157"/>
      <c r="D3" s="157"/>
      <c r="E3" s="157"/>
      <c r="F3" s="157"/>
      <c r="G3" s="157"/>
      <c r="H3" s="157"/>
    </row>
    <row r="4" spans="2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2:14">
      <c r="B5" s="11" t="s">
        <v>55</v>
      </c>
      <c r="C5" s="12" t="s">
        <v>2370</v>
      </c>
      <c r="D5" s="13" t="s">
        <v>65</v>
      </c>
      <c r="E5" s="14" t="s">
        <v>112</v>
      </c>
      <c r="F5" s="15"/>
      <c r="G5" s="14"/>
      <c r="H5" s="14"/>
      <c r="N5" s="5"/>
    </row>
    <row r="6" spans="2:14">
      <c r="B6" s="8"/>
      <c r="C6" s="8"/>
      <c r="D6" s="8"/>
      <c r="E6" s="8"/>
      <c r="F6" s="8"/>
      <c r="G6" s="8"/>
      <c r="H6" s="8"/>
    </row>
    <row r="7" spans="2:14">
      <c r="B7" s="157" t="s">
        <v>113</v>
      </c>
      <c r="C7" s="157"/>
      <c r="D7" s="157"/>
      <c r="E7" s="157"/>
      <c r="F7" s="157"/>
      <c r="G7" s="157"/>
      <c r="H7" s="157"/>
    </row>
    <row r="8" spans="2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2:14">
      <c r="B9" s="14"/>
      <c r="C9" s="12" t="s">
        <v>2312</v>
      </c>
      <c r="D9" s="13" t="s">
        <v>61</v>
      </c>
      <c r="E9" s="14" t="s">
        <v>243</v>
      </c>
      <c r="F9" s="19"/>
      <c r="G9" s="19" t="s">
        <v>1941</v>
      </c>
      <c r="H9" s="21"/>
    </row>
    <row r="10" spans="2:14">
      <c r="B10" s="14"/>
      <c r="C10" s="12"/>
      <c r="D10" s="12"/>
      <c r="E10" s="14"/>
      <c r="F10" s="19"/>
      <c r="G10" s="19"/>
      <c r="H10" s="14"/>
    </row>
    <row r="11" spans="2:14">
      <c r="G11" s="48"/>
    </row>
    <row r="12" spans="2:14">
      <c r="B12" s="5" t="s">
        <v>120</v>
      </c>
    </row>
    <row r="13" spans="2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2:14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2:14" s="2" customFormat="1">
      <c r="B15" s="49" t="s">
        <v>273</v>
      </c>
      <c r="C15" s="49" t="s">
        <v>139</v>
      </c>
      <c r="D15" s="12" t="s">
        <v>274</v>
      </c>
      <c r="E15" s="30" t="s">
        <v>243</v>
      </c>
      <c r="F15" s="19" t="s">
        <v>233</v>
      </c>
      <c r="G15" s="19" t="s">
        <v>250</v>
      </c>
      <c r="H15" s="32"/>
      <c r="I15" s="34"/>
      <c r="J15" s="34" t="s">
        <v>384</v>
      </c>
      <c r="K15" s="34" t="s">
        <v>134</v>
      </c>
      <c r="L15" s="34" t="s">
        <v>134</v>
      </c>
    </row>
    <row r="16" spans="2:14" s="2" customFormat="1">
      <c r="B16" s="49" t="s">
        <v>383</v>
      </c>
      <c r="C16" s="49" t="s">
        <v>132</v>
      </c>
      <c r="D16" s="12" t="s">
        <v>480</v>
      </c>
      <c r="E16" s="30" t="s">
        <v>243</v>
      </c>
      <c r="F16" s="19" t="s">
        <v>235</v>
      </c>
      <c r="G16" s="19" t="s">
        <v>250</v>
      </c>
      <c r="H16" s="32"/>
      <c r="I16" s="34"/>
      <c r="J16" s="34" t="s">
        <v>384</v>
      </c>
      <c r="K16" s="34" t="s">
        <v>134</v>
      </c>
      <c r="L16" s="34" t="s">
        <v>134</v>
      </c>
    </row>
    <row r="17" spans="1:12" s="2" customFormat="1">
      <c r="B17" s="49" t="s">
        <v>379</v>
      </c>
      <c r="C17" s="49" t="s">
        <v>139</v>
      </c>
      <c r="D17" s="12" t="s">
        <v>48</v>
      </c>
      <c r="E17" s="30" t="s">
        <v>243</v>
      </c>
      <c r="F17" s="19" t="s">
        <v>237</v>
      </c>
      <c r="G17" s="19" t="s">
        <v>250</v>
      </c>
      <c r="H17" s="32"/>
      <c r="I17" s="34"/>
      <c r="J17" s="34" t="s">
        <v>384</v>
      </c>
      <c r="K17" s="34" t="s">
        <v>134</v>
      </c>
      <c r="L17" s="34" t="s">
        <v>134</v>
      </c>
    </row>
    <row r="18" spans="1:12" s="2" customFormat="1">
      <c r="B18" s="49" t="s">
        <v>112</v>
      </c>
      <c r="C18" s="49" t="s">
        <v>139</v>
      </c>
      <c r="D18" s="12" t="s">
        <v>1457</v>
      </c>
      <c r="E18" s="30" t="s">
        <v>243</v>
      </c>
      <c r="F18" s="19" t="s">
        <v>241</v>
      </c>
      <c r="G18" s="19" t="s">
        <v>250</v>
      </c>
      <c r="H18" s="32"/>
      <c r="I18" s="34"/>
      <c r="J18" s="34" t="s">
        <v>384</v>
      </c>
      <c r="K18" s="34" t="s">
        <v>134</v>
      </c>
      <c r="L18" s="34" t="s">
        <v>134</v>
      </c>
    </row>
    <row r="19" spans="1:12" s="2" customFormat="1">
      <c r="A19" s="29"/>
      <c r="B19" s="49" t="s">
        <v>284</v>
      </c>
      <c r="C19" s="49" t="s">
        <v>132</v>
      </c>
      <c r="D19" s="12" t="s">
        <v>285</v>
      </c>
      <c r="E19" s="30" t="s">
        <v>243</v>
      </c>
      <c r="F19" s="19" t="s">
        <v>284</v>
      </c>
      <c r="G19" s="19" t="s">
        <v>250</v>
      </c>
      <c r="H19" s="49"/>
      <c r="I19" s="35"/>
      <c r="J19" s="34" t="s">
        <v>384</v>
      </c>
      <c r="K19" s="34" t="s">
        <v>134</v>
      </c>
      <c r="L19" s="34" t="s">
        <v>134</v>
      </c>
    </row>
    <row r="20" spans="1:12" s="2" customFormat="1">
      <c r="A20" s="29"/>
      <c r="B20" s="49" t="s">
        <v>257</v>
      </c>
      <c r="C20" s="49" t="s">
        <v>132</v>
      </c>
      <c r="D20" s="12" t="s">
        <v>280</v>
      </c>
      <c r="E20" s="30" t="s">
        <v>243</v>
      </c>
      <c r="F20" s="19" t="s">
        <v>257</v>
      </c>
      <c r="G20" s="19" t="s">
        <v>250</v>
      </c>
      <c r="H20" s="49"/>
      <c r="I20" s="35"/>
      <c r="J20" s="34" t="s">
        <v>384</v>
      </c>
      <c r="K20" s="34" t="s">
        <v>134</v>
      </c>
      <c r="L20" s="34" t="s">
        <v>134</v>
      </c>
    </row>
    <row r="21" spans="1:12" s="2" customFormat="1">
      <c r="A21" s="29"/>
      <c r="B21" s="49" t="s">
        <v>2346</v>
      </c>
      <c r="C21" s="49" t="s">
        <v>132</v>
      </c>
      <c r="D21" s="12" t="s">
        <v>252</v>
      </c>
      <c r="E21" s="30" t="s">
        <v>243</v>
      </c>
      <c r="F21" s="19" t="s">
        <v>251</v>
      </c>
      <c r="G21" s="19" t="s">
        <v>250</v>
      </c>
      <c r="H21" s="49"/>
      <c r="I21" s="35"/>
      <c r="J21" s="34" t="s">
        <v>384</v>
      </c>
      <c r="K21" s="34" t="s">
        <v>134</v>
      </c>
      <c r="L21" s="34" t="s">
        <v>134</v>
      </c>
    </row>
    <row r="22" spans="1:12" s="2" customFormat="1">
      <c r="A22" s="29"/>
      <c r="B22" s="49" t="s">
        <v>254</v>
      </c>
      <c r="C22" s="49" t="s">
        <v>132</v>
      </c>
      <c r="D22" s="12" t="s">
        <v>495</v>
      </c>
      <c r="E22" s="30" t="s">
        <v>243</v>
      </c>
      <c r="F22" s="19" t="s">
        <v>254</v>
      </c>
      <c r="G22" s="19" t="s">
        <v>250</v>
      </c>
      <c r="H22" s="49"/>
      <c r="I22" s="35"/>
      <c r="J22" s="34" t="s">
        <v>384</v>
      </c>
      <c r="K22" s="34" t="s">
        <v>134</v>
      </c>
      <c r="L22" s="34" t="s">
        <v>134</v>
      </c>
    </row>
    <row r="23" spans="1:12" s="2" customFormat="1">
      <c r="A23" s="29"/>
      <c r="B23" s="14" t="s">
        <v>211</v>
      </c>
      <c r="C23" s="14" t="s">
        <v>139</v>
      </c>
      <c r="D23" s="12" t="s">
        <v>496</v>
      </c>
      <c r="E23" s="30" t="s">
        <v>243</v>
      </c>
      <c r="F23" s="19" t="s">
        <v>211</v>
      </c>
      <c r="G23" s="19" t="s">
        <v>250</v>
      </c>
      <c r="H23" s="32"/>
      <c r="I23" s="35"/>
      <c r="J23" s="34" t="s">
        <v>384</v>
      </c>
      <c r="K23" s="34" t="s">
        <v>134</v>
      </c>
      <c r="L23" s="34" t="s">
        <v>134</v>
      </c>
    </row>
    <row r="24" spans="1:12" s="2" customFormat="1">
      <c r="A24" s="29"/>
      <c r="B24" s="14" t="s">
        <v>371</v>
      </c>
      <c r="C24" s="14" t="s">
        <v>139</v>
      </c>
      <c r="D24" s="12" t="s">
        <v>497</v>
      </c>
      <c r="E24" s="30" t="s">
        <v>243</v>
      </c>
      <c r="F24" s="19" t="s">
        <v>371</v>
      </c>
      <c r="G24" s="19" t="s">
        <v>250</v>
      </c>
      <c r="H24" s="32"/>
      <c r="I24" s="35"/>
      <c r="J24" s="34" t="s">
        <v>384</v>
      </c>
      <c r="K24" s="34" t="s">
        <v>134</v>
      </c>
      <c r="L24" s="34" t="s">
        <v>134</v>
      </c>
    </row>
    <row r="25" spans="1:12" s="2" customFormat="1">
      <c r="A25" s="29"/>
      <c r="B25" s="14" t="s">
        <v>373</v>
      </c>
      <c r="C25" s="14" t="s">
        <v>139</v>
      </c>
      <c r="D25" s="12" t="s">
        <v>498</v>
      </c>
      <c r="E25" s="30" t="s">
        <v>243</v>
      </c>
      <c r="F25" s="19" t="s">
        <v>373</v>
      </c>
      <c r="G25" s="19" t="s">
        <v>250</v>
      </c>
      <c r="H25" s="32"/>
      <c r="I25" s="35"/>
      <c r="J25" s="34" t="s">
        <v>384</v>
      </c>
      <c r="K25" s="34" t="s">
        <v>134</v>
      </c>
      <c r="L25" s="34" t="s">
        <v>134</v>
      </c>
    </row>
    <row r="26" spans="1:12" s="2" customFormat="1">
      <c r="A26" s="29"/>
      <c r="B26" s="49" t="s">
        <v>811</v>
      </c>
      <c r="C26" s="49" t="s">
        <v>136</v>
      </c>
      <c r="D26" s="12" t="s">
        <v>530</v>
      </c>
      <c r="E26" s="30" t="s">
        <v>243</v>
      </c>
      <c r="F26" s="19"/>
      <c r="G26" s="19" t="s">
        <v>1306</v>
      </c>
      <c r="H26" s="49"/>
      <c r="I26" s="35"/>
      <c r="J26" s="34" t="s">
        <v>431</v>
      </c>
      <c r="K26" s="34" t="s">
        <v>134</v>
      </c>
      <c r="L26" s="34" t="s">
        <v>439</v>
      </c>
    </row>
    <row r="27" spans="1:12" s="2" customFormat="1">
      <c r="A27" s="29"/>
      <c r="B27" s="14" t="s">
        <v>814</v>
      </c>
      <c r="C27" s="14" t="s">
        <v>136</v>
      </c>
      <c r="D27" s="12" t="s">
        <v>532</v>
      </c>
      <c r="E27" s="30" t="s">
        <v>243</v>
      </c>
      <c r="F27" s="19"/>
      <c r="G27" s="19" t="s">
        <v>1307</v>
      </c>
      <c r="H27" s="49"/>
      <c r="I27" s="35"/>
      <c r="J27" s="34" t="s">
        <v>431</v>
      </c>
      <c r="K27" s="34" t="s">
        <v>134</v>
      </c>
      <c r="L27" s="34" t="s">
        <v>533</v>
      </c>
    </row>
    <row r="28" spans="1:12" s="2" customFormat="1">
      <c r="A28" s="29"/>
      <c r="B28" s="14" t="s">
        <v>820</v>
      </c>
      <c r="C28" s="14" t="s">
        <v>136</v>
      </c>
      <c r="D28" s="12" t="s">
        <v>534</v>
      </c>
      <c r="E28" s="30" t="s">
        <v>243</v>
      </c>
      <c r="F28" s="19"/>
      <c r="G28" s="19" t="s">
        <v>1309</v>
      </c>
      <c r="H28" s="49"/>
      <c r="I28" s="35"/>
      <c r="J28" s="34" t="s">
        <v>431</v>
      </c>
      <c r="K28" s="34" t="s">
        <v>134</v>
      </c>
      <c r="L28" s="34" t="s">
        <v>439</v>
      </c>
    </row>
    <row r="29" spans="1:12" s="2" customFormat="1">
      <c r="A29" s="29"/>
      <c r="B29" s="14" t="s">
        <v>1069</v>
      </c>
      <c r="C29" s="14" t="s">
        <v>136</v>
      </c>
      <c r="D29" s="12" t="s">
        <v>1070</v>
      </c>
      <c r="E29" s="30" t="s">
        <v>243</v>
      </c>
      <c r="F29" s="19"/>
      <c r="G29" s="19" t="s">
        <v>1371</v>
      </c>
      <c r="H29" s="49"/>
      <c r="I29" s="35"/>
      <c r="J29" s="34" t="s">
        <v>431</v>
      </c>
      <c r="K29" s="34" t="s">
        <v>134</v>
      </c>
      <c r="L29" s="34" t="s">
        <v>439</v>
      </c>
    </row>
    <row r="30" spans="1:12" s="2" customFormat="1">
      <c r="A30" s="29"/>
      <c r="B30" s="49" t="s">
        <v>1072</v>
      </c>
      <c r="C30" s="49" t="s">
        <v>136</v>
      </c>
      <c r="D30" s="12" t="s">
        <v>1073</v>
      </c>
      <c r="E30" s="30" t="s">
        <v>243</v>
      </c>
      <c r="F30" s="19"/>
      <c r="G30" s="19" t="s">
        <v>1372</v>
      </c>
      <c r="H30" s="49"/>
      <c r="I30" s="35"/>
      <c r="J30" s="34" t="s">
        <v>431</v>
      </c>
      <c r="K30" s="34" t="s">
        <v>134</v>
      </c>
      <c r="L30" s="34" t="s">
        <v>439</v>
      </c>
    </row>
    <row r="31" spans="1:12" s="2" customFormat="1">
      <c r="B31" s="49" t="s">
        <v>1075</v>
      </c>
      <c r="C31" s="49" t="s">
        <v>136</v>
      </c>
      <c r="D31" s="12" t="s">
        <v>1076</v>
      </c>
      <c r="E31" s="30" t="s">
        <v>243</v>
      </c>
      <c r="F31" s="19"/>
      <c r="G31" s="19" t="s">
        <v>1373</v>
      </c>
      <c r="H31" s="49"/>
      <c r="I31" s="35"/>
      <c r="J31" s="34" t="s">
        <v>431</v>
      </c>
      <c r="K31" s="34" t="s">
        <v>134</v>
      </c>
      <c r="L31" s="34" t="s">
        <v>439</v>
      </c>
    </row>
    <row r="32" spans="1:12" s="2" customFormat="1">
      <c r="B32" s="49" t="s">
        <v>1078</v>
      </c>
      <c r="C32" s="49" t="s">
        <v>136</v>
      </c>
      <c r="D32" s="12" t="s">
        <v>1079</v>
      </c>
      <c r="E32" s="30" t="s">
        <v>243</v>
      </c>
      <c r="F32" s="19"/>
      <c r="G32" s="19" t="s">
        <v>1374</v>
      </c>
      <c r="H32" s="49"/>
      <c r="I32" s="35"/>
      <c r="J32" s="34" t="s">
        <v>431</v>
      </c>
      <c r="K32" s="34" t="s">
        <v>134</v>
      </c>
      <c r="L32" s="34" t="s">
        <v>439</v>
      </c>
    </row>
    <row r="33" spans="1:12" s="29" customFormat="1">
      <c r="B33" s="49" t="s">
        <v>1080</v>
      </c>
      <c r="C33" s="49" t="s">
        <v>136</v>
      </c>
      <c r="D33" s="54" t="s">
        <v>1081</v>
      </c>
      <c r="E33" s="30" t="s">
        <v>243</v>
      </c>
      <c r="F33" s="19"/>
      <c r="G33" s="19" t="s">
        <v>1375</v>
      </c>
      <c r="H33" s="49"/>
      <c r="I33" s="35"/>
      <c r="J33" s="34" t="s">
        <v>431</v>
      </c>
      <c r="K33" s="34" t="s">
        <v>134</v>
      </c>
      <c r="L33" s="34" t="s">
        <v>439</v>
      </c>
    </row>
    <row r="34" spans="1:12" s="29" customFormat="1">
      <c r="B34" s="49" t="s">
        <v>1082</v>
      </c>
      <c r="C34" s="49" t="s">
        <v>136</v>
      </c>
      <c r="D34" s="12" t="s">
        <v>1083</v>
      </c>
      <c r="E34" s="30" t="s">
        <v>243</v>
      </c>
      <c r="F34" s="19"/>
      <c r="G34" s="19" t="s">
        <v>1376</v>
      </c>
      <c r="H34" s="49"/>
      <c r="I34" s="35"/>
      <c r="J34" s="34" t="s">
        <v>431</v>
      </c>
      <c r="K34" s="34" t="s">
        <v>134</v>
      </c>
      <c r="L34" s="34" t="s">
        <v>439</v>
      </c>
    </row>
    <row r="35" spans="1:12" s="1" customFormat="1">
      <c r="A35" s="25"/>
      <c r="B35" s="26" t="s">
        <v>1085</v>
      </c>
      <c r="C35" s="26" t="s">
        <v>136</v>
      </c>
      <c r="D35" s="12" t="s">
        <v>1086</v>
      </c>
      <c r="E35" s="30" t="s">
        <v>243</v>
      </c>
      <c r="F35" s="19"/>
      <c r="G35" s="19" t="s">
        <v>1377</v>
      </c>
      <c r="H35" s="49"/>
      <c r="I35" s="35"/>
      <c r="J35" s="34" t="s">
        <v>431</v>
      </c>
      <c r="K35" s="34" t="s">
        <v>134</v>
      </c>
      <c r="L35" s="34" t="s">
        <v>439</v>
      </c>
    </row>
    <row r="36" spans="1:12" s="1" customFormat="1">
      <c r="A36" s="25"/>
      <c r="B36" s="26" t="s">
        <v>1088</v>
      </c>
      <c r="C36" s="26" t="s">
        <v>136</v>
      </c>
      <c r="D36" s="12" t="s">
        <v>1089</v>
      </c>
      <c r="E36" s="30" t="s">
        <v>243</v>
      </c>
      <c r="F36" s="19"/>
      <c r="G36" s="19" t="s">
        <v>1378</v>
      </c>
      <c r="H36" s="49"/>
      <c r="I36" s="35"/>
      <c r="J36" s="34" t="s">
        <v>431</v>
      </c>
      <c r="K36" s="34" t="s">
        <v>134</v>
      </c>
      <c r="L36" s="34" t="s">
        <v>439</v>
      </c>
    </row>
    <row r="37" spans="1:12" s="1" customFormat="1">
      <c r="A37" s="25"/>
      <c r="B37" s="26" t="s">
        <v>1091</v>
      </c>
      <c r="C37" s="26" t="s">
        <v>136</v>
      </c>
      <c r="D37" s="12" t="s">
        <v>1092</v>
      </c>
      <c r="E37" s="30" t="s">
        <v>243</v>
      </c>
      <c r="F37" s="19"/>
      <c r="G37" s="19" t="s">
        <v>1379</v>
      </c>
      <c r="H37" s="49"/>
      <c r="I37" s="35"/>
      <c r="J37" s="34" t="s">
        <v>431</v>
      </c>
      <c r="K37" s="34" t="s">
        <v>134</v>
      </c>
      <c r="L37" s="34" t="s">
        <v>439</v>
      </c>
    </row>
    <row r="38" spans="1:12" s="1" customFormat="1">
      <c r="A38" s="25"/>
      <c r="B38" s="26" t="s">
        <v>1094</v>
      </c>
      <c r="C38" s="26" t="s">
        <v>136</v>
      </c>
      <c r="D38" s="12" t="s">
        <v>1095</v>
      </c>
      <c r="E38" s="30" t="s">
        <v>243</v>
      </c>
      <c r="F38" s="19"/>
      <c r="G38" s="19" t="s">
        <v>1380</v>
      </c>
      <c r="H38" s="49"/>
      <c r="I38" s="35"/>
      <c r="J38" s="34" t="s">
        <v>431</v>
      </c>
      <c r="K38" s="34" t="s">
        <v>134</v>
      </c>
      <c r="L38" s="34" t="s">
        <v>439</v>
      </c>
    </row>
    <row r="39" spans="1:12" s="1" customFormat="1">
      <c r="A39" s="25"/>
      <c r="B39" s="26" t="s">
        <v>1097</v>
      </c>
      <c r="C39" s="26" t="s">
        <v>136</v>
      </c>
      <c r="D39" s="12" t="s">
        <v>1098</v>
      </c>
      <c r="E39" s="30" t="s">
        <v>243</v>
      </c>
      <c r="F39" s="19"/>
      <c r="G39" s="19" t="s">
        <v>1381</v>
      </c>
      <c r="H39" s="49"/>
      <c r="I39" s="35"/>
      <c r="J39" s="34" t="s">
        <v>431</v>
      </c>
      <c r="K39" s="34" t="s">
        <v>134</v>
      </c>
      <c r="L39" s="34" t="s">
        <v>439</v>
      </c>
    </row>
    <row r="40" spans="1:12" s="1" customFormat="1">
      <c r="A40" s="25"/>
      <c r="B40" s="26" t="s">
        <v>1100</v>
      </c>
      <c r="C40" s="26" t="s">
        <v>136</v>
      </c>
      <c r="D40" s="12" t="s">
        <v>1101</v>
      </c>
      <c r="E40" s="30" t="s">
        <v>243</v>
      </c>
      <c r="F40" s="19"/>
      <c r="G40" s="19" t="s">
        <v>1382</v>
      </c>
      <c r="H40" s="49"/>
      <c r="I40" s="35"/>
      <c r="J40" s="34" t="s">
        <v>431</v>
      </c>
      <c r="K40" s="34" t="s">
        <v>134</v>
      </c>
      <c r="L40" s="34" t="s">
        <v>439</v>
      </c>
    </row>
    <row r="41" spans="1:12" s="29" customFormat="1">
      <c r="B41" s="26" t="s">
        <v>1103</v>
      </c>
      <c r="C41" s="26" t="s">
        <v>245</v>
      </c>
      <c r="D41" s="12" t="s">
        <v>1104</v>
      </c>
      <c r="E41" s="30" t="s">
        <v>243</v>
      </c>
      <c r="F41" s="19"/>
      <c r="G41" s="19" t="s">
        <v>1383</v>
      </c>
      <c r="H41" s="49"/>
      <c r="I41" s="35"/>
      <c r="J41" s="34" t="s">
        <v>431</v>
      </c>
      <c r="K41" s="34" t="s">
        <v>134</v>
      </c>
      <c r="L41" s="34" t="s">
        <v>610</v>
      </c>
    </row>
    <row r="42" spans="1:12" s="29" customFormat="1">
      <c r="B42" s="26" t="s">
        <v>948</v>
      </c>
      <c r="C42" s="26" t="s">
        <v>245</v>
      </c>
      <c r="D42" s="12" t="s">
        <v>949</v>
      </c>
      <c r="E42" s="30" t="s">
        <v>243</v>
      </c>
      <c r="F42" s="19"/>
      <c r="G42" s="19" t="s">
        <v>1344</v>
      </c>
      <c r="H42" s="49"/>
      <c r="I42" s="35"/>
      <c r="J42" s="34" t="s">
        <v>431</v>
      </c>
      <c r="K42" s="34" t="s">
        <v>134</v>
      </c>
      <c r="L42" s="34" t="s">
        <v>439</v>
      </c>
    </row>
    <row r="43" spans="1:12" s="5" customFormat="1">
      <c r="B43" s="26" t="s">
        <v>1109</v>
      </c>
      <c r="C43" s="26" t="s">
        <v>136</v>
      </c>
      <c r="D43" s="31" t="s">
        <v>1110</v>
      </c>
      <c r="E43" s="30" t="s">
        <v>243</v>
      </c>
      <c r="F43" s="19"/>
      <c r="G43" s="19" t="s">
        <v>1385</v>
      </c>
      <c r="H43" s="49"/>
      <c r="I43" s="35"/>
      <c r="J43" s="34" t="s">
        <v>431</v>
      </c>
      <c r="K43" s="34" t="s">
        <v>134</v>
      </c>
      <c r="L43" s="34" t="s">
        <v>439</v>
      </c>
    </row>
    <row r="44" spans="1:12" s="5" customFormat="1">
      <c r="B44" s="26" t="s">
        <v>1111</v>
      </c>
      <c r="C44" s="26" t="s">
        <v>136</v>
      </c>
      <c r="D44" s="31" t="s">
        <v>1112</v>
      </c>
      <c r="E44" s="30" t="s">
        <v>243</v>
      </c>
      <c r="F44" s="19"/>
      <c r="G44" s="19" t="s">
        <v>1386</v>
      </c>
      <c r="H44" s="49"/>
      <c r="I44" s="35"/>
      <c r="J44" s="34" t="s">
        <v>431</v>
      </c>
      <c r="K44" s="34" t="s">
        <v>134</v>
      </c>
      <c r="L44" s="34" t="s">
        <v>439</v>
      </c>
    </row>
    <row r="45" spans="1:12" s="5" customFormat="1">
      <c r="B45" s="26" t="s">
        <v>1113</v>
      </c>
      <c r="C45" s="26" t="s">
        <v>136</v>
      </c>
      <c r="D45" s="31" t="s">
        <v>1114</v>
      </c>
      <c r="E45" s="30" t="s">
        <v>243</v>
      </c>
      <c r="F45" s="19"/>
      <c r="G45" s="19" t="s">
        <v>1387</v>
      </c>
      <c r="H45" s="49"/>
      <c r="I45" s="35"/>
      <c r="J45" s="34" t="s">
        <v>431</v>
      </c>
      <c r="K45" s="34" t="s">
        <v>134</v>
      </c>
      <c r="L45" s="34" t="s">
        <v>439</v>
      </c>
    </row>
    <row r="46" spans="1:12" s="5" customFormat="1">
      <c r="B46" s="26" t="s">
        <v>1115</v>
      </c>
      <c r="C46" s="26" t="s">
        <v>136</v>
      </c>
      <c r="D46" s="31" t="s">
        <v>1116</v>
      </c>
      <c r="E46" s="30" t="s">
        <v>243</v>
      </c>
      <c r="F46" s="19"/>
      <c r="G46" s="19" t="s">
        <v>1388</v>
      </c>
      <c r="H46" s="49"/>
      <c r="I46" s="35"/>
      <c r="J46" s="34" t="s">
        <v>431</v>
      </c>
      <c r="K46" s="34" t="s">
        <v>134</v>
      </c>
      <c r="L46" s="34" t="s">
        <v>439</v>
      </c>
    </row>
    <row r="47" spans="1:12" s="5" customFormat="1">
      <c r="B47" s="26" t="s">
        <v>1117</v>
      </c>
      <c r="C47" s="26" t="s">
        <v>136</v>
      </c>
      <c r="D47" s="31" t="s">
        <v>1118</v>
      </c>
      <c r="E47" s="30" t="s">
        <v>243</v>
      </c>
      <c r="F47" s="19"/>
      <c r="G47" s="19" t="s">
        <v>1389</v>
      </c>
      <c r="H47" s="49"/>
      <c r="I47" s="35"/>
      <c r="J47" s="34" t="s">
        <v>431</v>
      </c>
      <c r="K47" s="34" t="s">
        <v>134</v>
      </c>
      <c r="L47" s="34" t="s">
        <v>439</v>
      </c>
    </row>
    <row r="48" spans="1:12" s="1" customFormat="1">
      <c r="A48" s="25"/>
      <c r="B48" s="26" t="s">
        <v>1119</v>
      </c>
      <c r="C48" s="26" t="s">
        <v>136</v>
      </c>
      <c r="D48" s="31" t="s">
        <v>1120</v>
      </c>
      <c r="E48" s="30" t="s">
        <v>243</v>
      </c>
      <c r="F48" s="19"/>
      <c r="G48" s="19" t="s">
        <v>1390</v>
      </c>
      <c r="H48" s="49"/>
      <c r="I48" s="35"/>
      <c r="J48" s="34" t="s">
        <v>431</v>
      </c>
      <c r="K48" s="34" t="s">
        <v>134</v>
      </c>
      <c r="L48" s="34" t="s">
        <v>439</v>
      </c>
    </row>
    <row r="49" spans="1:12" s="1" customFormat="1">
      <c r="A49" s="25"/>
      <c r="B49" s="26" t="s">
        <v>1121</v>
      </c>
      <c r="C49" s="26" t="s">
        <v>136</v>
      </c>
      <c r="D49" s="31" t="s">
        <v>1122</v>
      </c>
      <c r="E49" s="30" t="s">
        <v>243</v>
      </c>
      <c r="F49" s="19"/>
      <c r="G49" s="19" t="s">
        <v>1391</v>
      </c>
      <c r="H49" s="49"/>
      <c r="I49" s="35"/>
      <c r="J49" s="34" t="s">
        <v>431</v>
      </c>
      <c r="K49" s="34" t="s">
        <v>134</v>
      </c>
      <c r="L49" s="34" t="s">
        <v>439</v>
      </c>
    </row>
    <row r="50" spans="1:12" s="1" customFormat="1">
      <c r="A50" s="25"/>
      <c r="B50" s="26" t="s">
        <v>1124</v>
      </c>
      <c r="C50" s="26" t="s">
        <v>136</v>
      </c>
      <c r="D50" s="31" t="s">
        <v>1125</v>
      </c>
      <c r="E50" s="30" t="s">
        <v>243</v>
      </c>
      <c r="F50" s="19"/>
      <c r="G50" s="19" t="s">
        <v>1392</v>
      </c>
      <c r="H50" s="49"/>
      <c r="I50" s="35"/>
      <c r="J50" s="34" t="s">
        <v>431</v>
      </c>
      <c r="K50" s="34" t="s">
        <v>134</v>
      </c>
      <c r="L50" s="34" t="s">
        <v>439</v>
      </c>
    </row>
    <row r="51" spans="1:12" s="1" customFormat="1">
      <c r="A51" s="25"/>
      <c r="B51" s="26" t="s">
        <v>1127</v>
      </c>
      <c r="C51" s="26" t="s">
        <v>136</v>
      </c>
      <c r="D51" s="31" t="s">
        <v>1128</v>
      </c>
      <c r="E51" s="30" t="s">
        <v>243</v>
      </c>
      <c r="F51" s="19"/>
      <c r="G51" s="19" t="s">
        <v>1393</v>
      </c>
      <c r="H51" s="49"/>
      <c r="I51" s="35"/>
      <c r="J51" s="34" t="s">
        <v>431</v>
      </c>
      <c r="K51" s="34" t="s">
        <v>134</v>
      </c>
      <c r="L51" s="34" t="s">
        <v>439</v>
      </c>
    </row>
    <row r="52" spans="1:12" s="1" customFormat="1">
      <c r="A52" s="25"/>
      <c r="B52" s="26" t="s">
        <v>1130</v>
      </c>
      <c r="C52" s="26" t="s">
        <v>136</v>
      </c>
      <c r="D52" s="31" t="s">
        <v>1131</v>
      </c>
      <c r="E52" s="30" t="s">
        <v>243</v>
      </c>
      <c r="F52" s="19"/>
      <c r="G52" s="19" t="s">
        <v>1394</v>
      </c>
      <c r="H52" s="49"/>
      <c r="I52" s="35"/>
      <c r="J52" s="34" t="s">
        <v>431</v>
      </c>
      <c r="K52" s="34" t="s">
        <v>134</v>
      </c>
      <c r="L52" s="34" t="s">
        <v>439</v>
      </c>
    </row>
    <row r="53" spans="1:12" s="1" customFormat="1">
      <c r="A53" s="25"/>
      <c r="B53" s="26" t="s">
        <v>1133</v>
      </c>
      <c r="C53" s="26" t="s">
        <v>136</v>
      </c>
      <c r="D53" s="31" t="s">
        <v>1134</v>
      </c>
      <c r="E53" s="30" t="s">
        <v>243</v>
      </c>
      <c r="F53" s="19"/>
      <c r="G53" s="19" t="s">
        <v>1395</v>
      </c>
      <c r="H53" s="49"/>
      <c r="I53" s="35"/>
      <c r="J53" s="34" t="s">
        <v>431</v>
      </c>
      <c r="K53" s="34" t="s">
        <v>134</v>
      </c>
      <c r="L53" s="34" t="s">
        <v>439</v>
      </c>
    </row>
    <row r="54" spans="1:12" s="1" customFormat="1">
      <c r="A54" s="25"/>
      <c r="B54" s="26" t="s">
        <v>1136</v>
      </c>
      <c r="C54" s="26" t="s">
        <v>136</v>
      </c>
      <c r="D54" s="31" t="s">
        <v>1137</v>
      </c>
      <c r="E54" s="30" t="s">
        <v>243</v>
      </c>
      <c r="F54" s="19"/>
      <c r="G54" s="19" t="s">
        <v>1396</v>
      </c>
      <c r="H54" s="49"/>
      <c r="I54" s="35"/>
      <c r="J54" s="34" t="s">
        <v>431</v>
      </c>
      <c r="K54" s="34" t="s">
        <v>134</v>
      </c>
      <c r="L54" s="34" t="s">
        <v>439</v>
      </c>
    </row>
    <row r="55" spans="1:12" s="1" customFormat="1">
      <c r="A55" s="25"/>
      <c r="B55" s="26" t="s">
        <v>951</v>
      </c>
      <c r="C55" s="26" t="s">
        <v>136</v>
      </c>
      <c r="D55" s="12" t="s">
        <v>952</v>
      </c>
      <c r="E55" s="30" t="s">
        <v>243</v>
      </c>
      <c r="F55" s="19"/>
      <c r="G55" s="19" t="s">
        <v>1345</v>
      </c>
      <c r="H55" s="32"/>
      <c r="I55" s="35"/>
      <c r="J55" s="34" t="s">
        <v>431</v>
      </c>
      <c r="K55" s="34" t="s">
        <v>134</v>
      </c>
      <c r="L55" s="34" t="s">
        <v>439</v>
      </c>
    </row>
    <row r="56" spans="1:12" s="1" customFormat="1">
      <c r="A56" s="25"/>
      <c r="B56" s="26" t="s">
        <v>954</v>
      </c>
      <c r="C56" s="26" t="s">
        <v>136</v>
      </c>
      <c r="D56" s="12" t="s">
        <v>593</v>
      </c>
      <c r="E56" s="30" t="s">
        <v>243</v>
      </c>
      <c r="F56" s="19"/>
      <c r="G56" s="19" t="s">
        <v>1346</v>
      </c>
      <c r="H56" s="32"/>
      <c r="I56" s="35"/>
      <c r="J56" s="34" t="s">
        <v>431</v>
      </c>
      <c r="K56" s="34" t="s">
        <v>134</v>
      </c>
      <c r="L56" s="34" t="s">
        <v>439</v>
      </c>
    </row>
    <row r="57" spans="1:12" s="1" customFormat="1">
      <c r="A57" s="25"/>
      <c r="B57" s="26" t="s">
        <v>956</v>
      </c>
      <c r="C57" s="26" t="s">
        <v>136</v>
      </c>
      <c r="D57" s="12" t="s">
        <v>595</v>
      </c>
      <c r="E57" s="30" t="s">
        <v>243</v>
      </c>
      <c r="F57" s="19"/>
      <c r="G57" s="19" t="s">
        <v>1347</v>
      </c>
      <c r="H57" s="32"/>
      <c r="I57" s="35"/>
      <c r="J57" s="34" t="s">
        <v>431</v>
      </c>
      <c r="K57" s="34" t="s">
        <v>134</v>
      </c>
      <c r="L57" s="34" t="s">
        <v>439</v>
      </c>
    </row>
    <row r="58" spans="1:12" s="1" customFormat="1">
      <c r="A58" s="25"/>
      <c r="B58" s="26" t="s">
        <v>1989</v>
      </c>
      <c r="C58" s="26" t="s">
        <v>136</v>
      </c>
      <c r="D58" s="12" t="s">
        <v>597</v>
      </c>
      <c r="E58" s="30" t="s">
        <v>243</v>
      </c>
      <c r="F58" s="19"/>
      <c r="G58" s="19" t="s">
        <v>1348</v>
      </c>
      <c r="H58" s="32"/>
      <c r="I58" s="35"/>
      <c r="J58" s="34" t="s">
        <v>431</v>
      </c>
      <c r="K58" s="34" t="s">
        <v>134</v>
      </c>
      <c r="L58" s="34" t="s">
        <v>439</v>
      </c>
    </row>
    <row r="59" spans="1:12" s="1" customFormat="1">
      <c r="A59" s="25"/>
      <c r="B59" s="26" t="s">
        <v>960</v>
      </c>
      <c r="C59" s="26" t="s">
        <v>136</v>
      </c>
      <c r="D59" s="12" t="s">
        <v>599</v>
      </c>
      <c r="E59" s="30" t="s">
        <v>243</v>
      </c>
      <c r="F59" s="19"/>
      <c r="G59" s="19" t="s">
        <v>1349</v>
      </c>
      <c r="H59" s="32"/>
      <c r="I59" s="35"/>
      <c r="J59" s="34" t="s">
        <v>431</v>
      </c>
      <c r="K59" s="34" t="s">
        <v>134</v>
      </c>
      <c r="L59" s="34" t="s">
        <v>439</v>
      </c>
    </row>
    <row r="60" spans="1:12" s="1" customFormat="1">
      <c r="A60" s="25"/>
      <c r="B60" s="26" t="s">
        <v>962</v>
      </c>
      <c r="C60" s="26" t="s">
        <v>136</v>
      </c>
      <c r="D60" s="12" t="s">
        <v>601</v>
      </c>
      <c r="E60" s="30" t="s">
        <v>243</v>
      </c>
      <c r="F60" s="19"/>
      <c r="G60" s="19" t="s">
        <v>1350</v>
      </c>
      <c r="H60" s="32"/>
      <c r="I60" s="35"/>
      <c r="J60" s="34" t="s">
        <v>431</v>
      </c>
      <c r="K60" s="34" t="s">
        <v>134</v>
      </c>
      <c r="L60" s="34" t="s">
        <v>439</v>
      </c>
    </row>
    <row r="61" spans="1:12" s="1" customFormat="1">
      <c r="A61" s="25"/>
      <c r="B61" s="26" t="s">
        <v>964</v>
      </c>
      <c r="C61" s="26" t="s">
        <v>136</v>
      </c>
      <c r="D61" s="12" t="s">
        <v>603</v>
      </c>
      <c r="E61" s="30" t="s">
        <v>243</v>
      </c>
      <c r="F61" s="19"/>
      <c r="G61" s="19" t="s">
        <v>1351</v>
      </c>
      <c r="H61" s="32"/>
      <c r="I61" s="35"/>
      <c r="J61" s="34" t="s">
        <v>431</v>
      </c>
      <c r="K61" s="34" t="s">
        <v>134</v>
      </c>
      <c r="L61" s="34" t="s">
        <v>439</v>
      </c>
    </row>
    <row r="62" spans="1:12" s="1" customFormat="1">
      <c r="A62" s="25"/>
      <c r="B62" s="26" t="s">
        <v>1147</v>
      </c>
      <c r="C62" s="26" t="s">
        <v>245</v>
      </c>
      <c r="D62" s="12" t="s">
        <v>1148</v>
      </c>
      <c r="E62" s="30" t="s">
        <v>243</v>
      </c>
      <c r="F62" s="19"/>
      <c r="G62" s="19" t="s">
        <v>1400</v>
      </c>
      <c r="H62" s="49"/>
      <c r="I62" s="35"/>
      <c r="J62" s="34" t="s">
        <v>431</v>
      </c>
      <c r="K62" s="34" t="s">
        <v>134</v>
      </c>
      <c r="L62" s="34" t="s">
        <v>610</v>
      </c>
    </row>
    <row r="63" spans="1:12" s="1" customFormat="1">
      <c r="A63" s="25"/>
      <c r="B63" s="26" t="s">
        <v>1145</v>
      </c>
      <c r="C63" s="26" t="s">
        <v>136</v>
      </c>
      <c r="D63" s="12" t="s">
        <v>1146</v>
      </c>
      <c r="E63" s="30" t="s">
        <v>243</v>
      </c>
      <c r="F63" s="19"/>
      <c r="G63" s="19" t="s">
        <v>1399</v>
      </c>
      <c r="H63" s="49"/>
      <c r="I63" s="35"/>
      <c r="J63" s="34" t="s">
        <v>431</v>
      </c>
      <c r="K63" s="34" t="s">
        <v>134</v>
      </c>
      <c r="L63" s="34" t="s">
        <v>439</v>
      </c>
    </row>
    <row r="64" spans="1:12" s="1" customFormat="1">
      <c r="A64" s="25"/>
      <c r="B64" s="26" t="s">
        <v>1151</v>
      </c>
      <c r="C64" s="26" t="s">
        <v>136</v>
      </c>
      <c r="D64" s="12" t="s">
        <v>1152</v>
      </c>
      <c r="E64" s="30" t="s">
        <v>243</v>
      </c>
      <c r="F64" s="19"/>
      <c r="G64" s="19" t="s">
        <v>1402</v>
      </c>
      <c r="H64" s="49"/>
      <c r="I64" s="35"/>
      <c r="J64" s="34" t="s">
        <v>431</v>
      </c>
      <c r="K64" s="34" t="s">
        <v>134</v>
      </c>
      <c r="L64" s="34" t="s">
        <v>439</v>
      </c>
    </row>
    <row r="65" spans="1:12" s="1" customFormat="1">
      <c r="A65" s="25"/>
      <c r="B65" s="26" t="s">
        <v>1154</v>
      </c>
      <c r="C65" s="26" t="s">
        <v>136</v>
      </c>
      <c r="D65" s="12" t="s">
        <v>1155</v>
      </c>
      <c r="E65" s="30" t="s">
        <v>243</v>
      </c>
      <c r="F65" s="19"/>
      <c r="G65" s="19" t="s">
        <v>1403</v>
      </c>
      <c r="H65" s="49"/>
      <c r="I65" s="35"/>
      <c r="J65" s="34" t="s">
        <v>431</v>
      </c>
      <c r="K65" s="34" t="s">
        <v>134</v>
      </c>
      <c r="L65" s="34" t="s">
        <v>439</v>
      </c>
    </row>
    <row r="66" spans="1:12" s="1" customFormat="1">
      <c r="A66" s="25"/>
      <c r="B66" s="26" t="s">
        <v>1157</v>
      </c>
      <c r="C66" s="26" t="s">
        <v>136</v>
      </c>
      <c r="D66" s="12" t="s">
        <v>1158</v>
      </c>
      <c r="E66" s="30" t="s">
        <v>243</v>
      </c>
      <c r="F66" s="19"/>
      <c r="G66" s="19" t="s">
        <v>1404</v>
      </c>
      <c r="H66" s="49"/>
      <c r="I66" s="35"/>
      <c r="J66" s="34" t="s">
        <v>431</v>
      </c>
      <c r="K66" s="34" t="s">
        <v>134</v>
      </c>
      <c r="L66" s="34" t="s">
        <v>439</v>
      </c>
    </row>
    <row r="67" spans="1:12" s="1" customFormat="1">
      <c r="A67" s="25"/>
      <c r="B67" s="26" t="s">
        <v>1160</v>
      </c>
      <c r="C67" s="26" t="s">
        <v>136</v>
      </c>
      <c r="D67" s="12" t="s">
        <v>1161</v>
      </c>
      <c r="E67" s="30" t="s">
        <v>243</v>
      </c>
      <c r="F67" s="19"/>
      <c r="G67" s="19" t="s">
        <v>1405</v>
      </c>
      <c r="H67" s="49"/>
      <c r="I67" s="35"/>
      <c r="J67" s="34" t="s">
        <v>431</v>
      </c>
      <c r="K67" s="34" t="s">
        <v>134</v>
      </c>
      <c r="L67" s="34" t="s">
        <v>439</v>
      </c>
    </row>
    <row r="68" spans="1:12" s="1" customFormat="1">
      <c r="A68" s="25"/>
      <c r="B68" s="26" t="s">
        <v>1163</v>
      </c>
      <c r="C68" s="26" t="s">
        <v>136</v>
      </c>
      <c r="D68" s="12" t="s">
        <v>1164</v>
      </c>
      <c r="E68" s="30" t="s">
        <v>243</v>
      </c>
      <c r="F68" s="19"/>
      <c r="G68" s="19" t="s">
        <v>1406</v>
      </c>
      <c r="H68" s="49"/>
      <c r="I68" s="35"/>
      <c r="J68" s="34" t="s">
        <v>431</v>
      </c>
      <c r="K68" s="34" t="s">
        <v>134</v>
      </c>
      <c r="L68" s="34" t="s">
        <v>439</v>
      </c>
    </row>
    <row r="69" spans="1:12" s="1" customFormat="1">
      <c r="A69" s="25"/>
      <c r="B69" s="26" t="s">
        <v>1166</v>
      </c>
      <c r="C69" s="26" t="s">
        <v>136</v>
      </c>
      <c r="D69" s="12" t="s">
        <v>1167</v>
      </c>
      <c r="E69" s="30" t="s">
        <v>243</v>
      </c>
      <c r="F69" s="19"/>
      <c r="G69" s="19" t="s">
        <v>1407</v>
      </c>
      <c r="H69" s="49"/>
      <c r="I69" s="35"/>
      <c r="J69" s="34" t="s">
        <v>431</v>
      </c>
      <c r="K69" s="34" t="s">
        <v>134</v>
      </c>
      <c r="L69" s="34" t="s">
        <v>439</v>
      </c>
    </row>
    <row r="70" spans="1:12" s="1" customFormat="1">
      <c r="A70" s="25"/>
      <c r="B70" s="26" t="s">
        <v>1169</v>
      </c>
      <c r="C70" s="26" t="s">
        <v>136</v>
      </c>
      <c r="D70" s="12" t="s">
        <v>1170</v>
      </c>
      <c r="E70" s="30" t="s">
        <v>243</v>
      </c>
      <c r="F70" s="19"/>
      <c r="G70" s="19" t="s">
        <v>1408</v>
      </c>
      <c r="H70" s="49"/>
      <c r="I70" s="35"/>
      <c r="J70" s="34" t="s">
        <v>431</v>
      </c>
      <c r="K70" s="34" t="s">
        <v>134</v>
      </c>
      <c r="L70" s="34" t="s">
        <v>439</v>
      </c>
    </row>
    <row r="71" spans="1:12" s="1" customFormat="1">
      <c r="A71" s="25"/>
      <c r="B71" s="26" t="s">
        <v>1172</v>
      </c>
      <c r="C71" s="26" t="s">
        <v>136</v>
      </c>
      <c r="D71" s="12" t="s">
        <v>1173</v>
      </c>
      <c r="E71" s="30" t="s">
        <v>243</v>
      </c>
      <c r="F71" s="19"/>
      <c r="G71" s="19" t="s">
        <v>1409</v>
      </c>
      <c r="H71" s="49"/>
      <c r="I71" s="35"/>
      <c r="J71" s="34" t="s">
        <v>431</v>
      </c>
      <c r="K71" s="34" t="s">
        <v>134</v>
      </c>
      <c r="L71" s="34" t="s">
        <v>439</v>
      </c>
    </row>
    <row r="72" spans="1:12" s="1" customFormat="1">
      <c r="A72" s="25"/>
      <c r="B72" s="26" t="s">
        <v>1175</v>
      </c>
      <c r="C72" s="26" t="s">
        <v>136</v>
      </c>
      <c r="D72" s="12" t="s">
        <v>1176</v>
      </c>
      <c r="E72" s="30" t="s">
        <v>243</v>
      </c>
      <c r="F72" s="19"/>
      <c r="G72" s="19" t="s">
        <v>1410</v>
      </c>
      <c r="H72" s="49"/>
      <c r="I72" s="35"/>
      <c r="J72" s="34" t="s">
        <v>431</v>
      </c>
      <c r="K72" s="34" t="s">
        <v>134</v>
      </c>
      <c r="L72" s="34" t="s">
        <v>439</v>
      </c>
    </row>
    <row r="73" spans="1:12" s="1" customFormat="1">
      <c r="A73" s="25"/>
      <c r="B73" s="26" t="s">
        <v>1178</v>
      </c>
      <c r="C73" s="26" t="s">
        <v>136</v>
      </c>
      <c r="D73" s="12" t="s">
        <v>1179</v>
      </c>
      <c r="E73" s="30" t="s">
        <v>243</v>
      </c>
      <c r="F73" s="19"/>
      <c r="G73" s="19" t="s">
        <v>1411</v>
      </c>
      <c r="H73" s="49"/>
      <c r="I73" s="35"/>
      <c r="J73" s="34" t="s">
        <v>431</v>
      </c>
      <c r="K73" s="34" t="s">
        <v>134</v>
      </c>
      <c r="L73" s="34" t="s">
        <v>439</v>
      </c>
    </row>
    <row r="74" spans="1:12" s="1" customFormat="1">
      <c r="A74" s="25"/>
      <c r="B74" s="26" t="s">
        <v>1181</v>
      </c>
      <c r="C74" s="26" t="s">
        <v>136</v>
      </c>
      <c r="D74" s="12" t="s">
        <v>1182</v>
      </c>
      <c r="E74" s="30" t="s">
        <v>243</v>
      </c>
      <c r="F74" s="19"/>
      <c r="G74" s="19" t="s">
        <v>1412</v>
      </c>
      <c r="H74" s="49"/>
      <c r="I74" s="35"/>
      <c r="J74" s="34" t="s">
        <v>431</v>
      </c>
      <c r="K74" s="34" t="s">
        <v>134</v>
      </c>
      <c r="L74" s="34" t="s">
        <v>439</v>
      </c>
    </row>
    <row r="75" spans="1:12" s="1" customFormat="1">
      <c r="A75" s="25"/>
      <c r="B75" s="26" t="s">
        <v>1184</v>
      </c>
      <c r="C75" s="26" t="s">
        <v>136</v>
      </c>
      <c r="D75" s="12" t="s">
        <v>1987</v>
      </c>
      <c r="E75" s="30" t="s">
        <v>243</v>
      </c>
      <c r="F75" s="19"/>
      <c r="G75" s="19" t="s">
        <v>1413</v>
      </c>
      <c r="H75" s="49"/>
      <c r="I75" s="35"/>
      <c r="J75" s="34" t="s">
        <v>431</v>
      </c>
      <c r="K75" s="34" t="s">
        <v>134</v>
      </c>
      <c r="L75" s="34" t="s">
        <v>439</v>
      </c>
    </row>
    <row r="76" spans="1:12" s="1" customFormat="1">
      <c r="A76" s="25"/>
      <c r="B76" s="26" t="s">
        <v>1935</v>
      </c>
      <c r="C76" s="26" t="s">
        <v>136</v>
      </c>
      <c r="D76" s="12" t="s">
        <v>855</v>
      </c>
      <c r="E76" s="30" t="s">
        <v>243</v>
      </c>
      <c r="F76" s="19"/>
      <c r="G76" s="19" t="s">
        <v>1353</v>
      </c>
      <c r="H76" s="32"/>
      <c r="I76" s="35"/>
      <c r="J76" s="34" t="s">
        <v>431</v>
      </c>
      <c r="K76" s="34" t="s">
        <v>134</v>
      </c>
      <c r="L76" s="34" t="s">
        <v>439</v>
      </c>
    </row>
    <row r="77" spans="1:12" s="1" customFormat="1">
      <c r="A77" s="25"/>
      <c r="B77" s="26" t="s">
        <v>985</v>
      </c>
      <c r="C77" s="26" t="s">
        <v>136</v>
      </c>
      <c r="D77" s="12" t="s">
        <v>858</v>
      </c>
      <c r="E77" s="30" t="s">
        <v>243</v>
      </c>
      <c r="F77" s="19"/>
      <c r="G77" s="19" t="s">
        <v>1988</v>
      </c>
      <c r="H77" s="32"/>
      <c r="I77" s="35"/>
      <c r="J77" s="34" t="s">
        <v>431</v>
      </c>
      <c r="K77" s="34" t="s">
        <v>134</v>
      </c>
      <c r="L77" s="34" t="s">
        <v>439</v>
      </c>
    </row>
    <row r="78" spans="1:12" s="1" customFormat="1">
      <c r="A78" s="25"/>
      <c r="B78" s="26" t="s">
        <v>986</v>
      </c>
      <c r="C78" s="26" t="s">
        <v>136</v>
      </c>
      <c r="D78" s="12" t="s">
        <v>861</v>
      </c>
      <c r="E78" s="30" t="s">
        <v>243</v>
      </c>
      <c r="F78" s="19"/>
      <c r="G78" s="19" t="s">
        <v>1355</v>
      </c>
      <c r="H78" s="32"/>
      <c r="I78" s="35"/>
      <c r="J78" s="34" t="s">
        <v>431</v>
      </c>
      <c r="K78" s="34" t="s">
        <v>134</v>
      </c>
      <c r="L78" s="34" t="s">
        <v>439</v>
      </c>
    </row>
    <row r="79" spans="1:12" s="1" customFormat="1">
      <c r="A79" s="25"/>
      <c r="B79" s="26" t="s">
        <v>987</v>
      </c>
      <c r="C79" s="26" t="s">
        <v>136</v>
      </c>
      <c r="D79" s="12" t="s">
        <v>864</v>
      </c>
      <c r="E79" s="30" t="s">
        <v>243</v>
      </c>
      <c r="F79" s="19"/>
      <c r="G79" s="19" t="s">
        <v>1356</v>
      </c>
      <c r="H79" s="32"/>
      <c r="I79" s="35"/>
      <c r="J79" s="34" t="s">
        <v>431</v>
      </c>
      <c r="K79" s="34" t="s">
        <v>134</v>
      </c>
      <c r="L79" s="34" t="s">
        <v>439</v>
      </c>
    </row>
    <row r="80" spans="1:12" s="1" customFormat="1">
      <c r="A80" s="25"/>
      <c r="B80" s="26" t="s">
        <v>988</v>
      </c>
      <c r="C80" s="26" t="s">
        <v>136</v>
      </c>
      <c r="D80" s="12" t="s">
        <v>867</v>
      </c>
      <c r="E80" s="30" t="s">
        <v>243</v>
      </c>
      <c r="F80" s="19"/>
      <c r="G80" s="19" t="s">
        <v>1357</v>
      </c>
      <c r="H80" s="32"/>
      <c r="I80" s="35"/>
      <c r="J80" s="34" t="s">
        <v>431</v>
      </c>
      <c r="K80" s="34" t="s">
        <v>134</v>
      </c>
      <c r="L80" s="34" t="s">
        <v>439</v>
      </c>
    </row>
    <row r="81" spans="1:12" s="1" customFormat="1">
      <c r="A81" s="25"/>
      <c r="B81" s="26" t="s">
        <v>989</v>
      </c>
      <c r="C81" s="26" t="s">
        <v>136</v>
      </c>
      <c r="D81" s="12" t="s">
        <v>870</v>
      </c>
      <c r="E81" s="30" t="s">
        <v>243</v>
      </c>
      <c r="F81" s="19"/>
      <c r="G81" s="19" t="s">
        <v>1358</v>
      </c>
      <c r="H81" s="32"/>
      <c r="I81" s="35"/>
      <c r="J81" s="34" t="s">
        <v>431</v>
      </c>
      <c r="K81" s="34" t="s">
        <v>134</v>
      </c>
      <c r="L81" s="34" t="s">
        <v>439</v>
      </c>
    </row>
    <row r="82" spans="1:12" s="1" customFormat="1">
      <c r="A82" s="25"/>
      <c r="B82" s="26" t="s">
        <v>990</v>
      </c>
      <c r="C82" s="26" t="s">
        <v>136</v>
      </c>
      <c r="D82" s="12" t="s">
        <v>873</v>
      </c>
      <c r="E82" s="30" t="s">
        <v>243</v>
      </c>
      <c r="F82" s="19"/>
      <c r="G82" s="19" t="s">
        <v>1359</v>
      </c>
      <c r="H82" s="32"/>
      <c r="I82" s="35"/>
      <c r="J82" s="34" t="s">
        <v>431</v>
      </c>
      <c r="K82" s="34" t="s">
        <v>134</v>
      </c>
      <c r="L82" s="34" t="s">
        <v>439</v>
      </c>
    </row>
    <row r="83" spans="1:12" s="1" customFormat="1">
      <c r="A83" s="25"/>
      <c r="B83" s="26" t="s">
        <v>1191</v>
      </c>
      <c r="C83" s="26" t="s">
        <v>245</v>
      </c>
      <c r="D83" s="12" t="s">
        <v>1192</v>
      </c>
      <c r="E83" s="30" t="s">
        <v>243</v>
      </c>
      <c r="F83" s="19"/>
      <c r="G83" s="19" t="s">
        <v>1416</v>
      </c>
      <c r="H83" s="49"/>
      <c r="I83" s="35"/>
      <c r="J83" s="34" t="s">
        <v>431</v>
      </c>
      <c r="K83" s="34" t="s">
        <v>134</v>
      </c>
      <c r="L83" s="34" t="s">
        <v>439</v>
      </c>
    </row>
    <row r="84" spans="1:12" s="1" customFormat="1">
      <c r="A84" s="25"/>
      <c r="B84" s="26" t="s">
        <v>1023</v>
      </c>
      <c r="C84" s="26" t="s">
        <v>136</v>
      </c>
      <c r="D84" s="12" t="s">
        <v>1024</v>
      </c>
      <c r="E84" s="30" t="s">
        <v>243</v>
      </c>
      <c r="F84" s="19"/>
      <c r="G84" s="19" t="s">
        <v>1360</v>
      </c>
      <c r="H84" s="49"/>
      <c r="I84" s="35"/>
      <c r="J84" s="34" t="s">
        <v>431</v>
      </c>
      <c r="K84" s="34" t="s">
        <v>134</v>
      </c>
      <c r="L84" s="34" t="s">
        <v>439</v>
      </c>
    </row>
    <row r="85" spans="1:12" s="1" customFormat="1">
      <c r="A85" s="25"/>
      <c r="B85" s="26" t="s">
        <v>1197</v>
      </c>
      <c r="C85" s="26" t="s">
        <v>136</v>
      </c>
      <c r="D85" s="12" t="s">
        <v>1198</v>
      </c>
      <c r="E85" s="30" t="s">
        <v>243</v>
      </c>
      <c r="F85" s="19"/>
      <c r="G85" s="19" t="s">
        <v>1418</v>
      </c>
      <c r="H85" s="49"/>
      <c r="I85" s="35"/>
      <c r="J85" s="34" t="s">
        <v>431</v>
      </c>
      <c r="K85" s="34" t="s">
        <v>134</v>
      </c>
      <c r="L85" s="34" t="s">
        <v>439</v>
      </c>
    </row>
    <row r="86" spans="1:12" s="1" customFormat="1">
      <c r="A86" s="25"/>
      <c r="B86" s="26" t="s">
        <v>1199</v>
      </c>
      <c r="C86" s="26" t="s">
        <v>136</v>
      </c>
      <c r="D86" s="12" t="s">
        <v>1200</v>
      </c>
      <c r="E86" s="30" t="s">
        <v>243</v>
      </c>
      <c r="F86" s="19"/>
      <c r="G86" s="19" t="s">
        <v>1419</v>
      </c>
      <c r="H86" s="49"/>
      <c r="I86" s="35"/>
      <c r="J86" s="34" t="s">
        <v>431</v>
      </c>
      <c r="K86" s="34" t="s">
        <v>134</v>
      </c>
      <c r="L86" s="34" t="s">
        <v>439</v>
      </c>
    </row>
    <row r="87" spans="1:12" s="1" customFormat="1">
      <c r="A87" s="25"/>
      <c r="B87" s="26" t="s">
        <v>1201</v>
      </c>
      <c r="C87" s="26" t="s">
        <v>136</v>
      </c>
      <c r="D87" s="12" t="s">
        <v>1202</v>
      </c>
      <c r="E87" s="30" t="s">
        <v>243</v>
      </c>
      <c r="F87" s="19"/>
      <c r="G87" s="19" t="s">
        <v>1420</v>
      </c>
      <c r="H87" s="49"/>
      <c r="I87" s="35"/>
      <c r="J87" s="34" t="s">
        <v>431</v>
      </c>
      <c r="K87" s="34" t="s">
        <v>134</v>
      </c>
      <c r="L87" s="34" t="s">
        <v>439</v>
      </c>
    </row>
    <row r="88" spans="1:12" s="1" customFormat="1">
      <c r="A88" s="25"/>
      <c r="B88" s="26" t="s">
        <v>1203</v>
      </c>
      <c r="C88" s="26" t="s">
        <v>136</v>
      </c>
      <c r="D88" s="12" t="s">
        <v>1204</v>
      </c>
      <c r="E88" s="30" t="s">
        <v>243</v>
      </c>
      <c r="F88" s="19"/>
      <c r="G88" s="19" t="s">
        <v>1421</v>
      </c>
      <c r="H88" s="49"/>
      <c r="I88" s="35"/>
      <c r="J88" s="34" t="s">
        <v>431</v>
      </c>
      <c r="K88" s="34" t="s">
        <v>134</v>
      </c>
      <c r="L88" s="34" t="s">
        <v>439</v>
      </c>
    </row>
    <row r="89" spans="1:12" s="1" customFormat="1">
      <c r="A89" s="25"/>
      <c r="B89" s="26" t="s">
        <v>1205</v>
      </c>
      <c r="C89" s="26" t="s">
        <v>136</v>
      </c>
      <c r="D89" s="12" t="s">
        <v>1206</v>
      </c>
      <c r="E89" s="30" t="s">
        <v>243</v>
      </c>
      <c r="F89" s="19"/>
      <c r="G89" s="19" t="s">
        <v>1422</v>
      </c>
      <c r="H89" s="49"/>
      <c r="I89" s="35"/>
      <c r="J89" s="34" t="s">
        <v>431</v>
      </c>
      <c r="K89" s="34" t="s">
        <v>134</v>
      </c>
      <c r="L89" s="34" t="s">
        <v>439</v>
      </c>
    </row>
    <row r="90" spans="1:12" s="1" customFormat="1">
      <c r="A90" s="25"/>
      <c r="B90" s="26" t="s">
        <v>1207</v>
      </c>
      <c r="C90" s="26" t="s">
        <v>136</v>
      </c>
      <c r="D90" s="12" t="s">
        <v>1208</v>
      </c>
      <c r="E90" s="30" t="s">
        <v>243</v>
      </c>
      <c r="F90" s="19"/>
      <c r="G90" s="19" t="s">
        <v>1423</v>
      </c>
      <c r="H90" s="49"/>
      <c r="I90" s="35"/>
      <c r="J90" s="34" t="s">
        <v>431</v>
      </c>
      <c r="K90" s="34" t="s">
        <v>134</v>
      </c>
      <c r="L90" s="34" t="s">
        <v>439</v>
      </c>
    </row>
    <row r="91" spans="1:12" s="1" customFormat="1">
      <c r="A91" s="25"/>
      <c r="B91" s="26" t="s">
        <v>1209</v>
      </c>
      <c r="C91" s="26" t="s">
        <v>136</v>
      </c>
      <c r="D91" s="12" t="s">
        <v>762</v>
      </c>
      <c r="E91" s="30" t="s">
        <v>243</v>
      </c>
      <c r="F91" s="19"/>
      <c r="G91" s="19" t="s">
        <v>1424</v>
      </c>
      <c r="H91" s="49"/>
      <c r="I91" s="35"/>
      <c r="J91" s="34" t="s">
        <v>431</v>
      </c>
      <c r="K91" s="34" t="s">
        <v>134</v>
      </c>
      <c r="L91" s="34" t="s">
        <v>439</v>
      </c>
    </row>
    <row r="92" spans="1:12" s="1" customFormat="1">
      <c r="A92" s="25"/>
      <c r="B92" s="26" t="s">
        <v>1211</v>
      </c>
      <c r="C92" s="26" t="s">
        <v>136</v>
      </c>
      <c r="D92" s="12" t="s">
        <v>765</v>
      </c>
      <c r="E92" s="30" t="s">
        <v>243</v>
      </c>
      <c r="F92" s="19"/>
      <c r="G92" s="19" t="s">
        <v>1425</v>
      </c>
      <c r="H92" s="49"/>
      <c r="I92" s="35"/>
      <c r="J92" s="34" t="s">
        <v>431</v>
      </c>
      <c r="K92" s="34" t="s">
        <v>134</v>
      </c>
      <c r="L92" s="34" t="s">
        <v>439</v>
      </c>
    </row>
    <row r="93" spans="1:12" s="1" customFormat="1">
      <c r="A93" s="25"/>
      <c r="B93" s="26" t="s">
        <v>1213</v>
      </c>
      <c r="C93" s="26" t="s">
        <v>136</v>
      </c>
      <c r="D93" s="12" t="s">
        <v>768</v>
      </c>
      <c r="E93" s="30" t="s">
        <v>243</v>
      </c>
      <c r="F93" s="19"/>
      <c r="G93" s="19" t="s">
        <v>1426</v>
      </c>
      <c r="H93" s="49"/>
      <c r="I93" s="35"/>
      <c r="J93" s="34" t="s">
        <v>431</v>
      </c>
      <c r="K93" s="34" t="s">
        <v>134</v>
      </c>
      <c r="L93" s="34" t="s">
        <v>439</v>
      </c>
    </row>
    <row r="94" spans="1:12" s="1" customFormat="1">
      <c r="A94" s="25"/>
      <c r="B94" s="26" t="s">
        <v>1215</v>
      </c>
      <c r="C94" s="26" t="s">
        <v>136</v>
      </c>
      <c r="D94" s="12" t="s">
        <v>771</v>
      </c>
      <c r="E94" s="30" t="s">
        <v>243</v>
      </c>
      <c r="F94" s="19"/>
      <c r="G94" s="19" t="s">
        <v>1427</v>
      </c>
      <c r="H94" s="49"/>
      <c r="I94" s="35"/>
      <c r="J94" s="34" t="s">
        <v>431</v>
      </c>
      <c r="K94" s="34" t="s">
        <v>134</v>
      </c>
      <c r="L94" s="34" t="s">
        <v>439</v>
      </c>
    </row>
    <row r="95" spans="1:12" s="1" customFormat="1">
      <c r="A95" s="25"/>
      <c r="B95" s="26" t="s">
        <v>1217</v>
      </c>
      <c r="C95" s="26" t="s">
        <v>136</v>
      </c>
      <c r="D95" s="12" t="s">
        <v>774</v>
      </c>
      <c r="E95" s="30" t="s">
        <v>243</v>
      </c>
      <c r="F95" s="19"/>
      <c r="G95" s="19" t="s">
        <v>1428</v>
      </c>
      <c r="H95" s="49"/>
      <c r="I95" s="35"/>
      <c r="J95" s="34" t="s">
        <v>431</v>
      </c>
      <c r="K95" s="34" t="s">
        <v>134</v>
      </c>
      <c r="L95" s="34" t="s">
        <v>439</v>
      </c>
    </row>
    <row r="96" spans="1:12" s="1" customFormat="1">
      <c r="A96" s="25"/>
      <c r="B96" s="26" t="s">
        <v>1219</v>
      </c>
      <c r="C96" s="26" t="s">
        <v>136</v>
      </c>
      <c r="D96" s="12" t="s">
        <v>777</v>
      </c>
      <c r="E96" s="30" t="s">
        <v>243</v>
      </c>
      <c r="F96" s="19"/>
      <c r="G96" s="19" t="s">
        <v>1429</v>
      </c>
      <c r="H96" s="49"/>
      <c r="I96" s="35"/>
      <c r="J96" s="34" t="s">
        <v>431</v>
      </c>
      <c r="K96" s="34" t="s">
        <v>134</v>
      </c>
      <c r="L96" s="34" t="s">
        <v>439</v>
      </c>
    </row>
    <row r="97" spans="1:12">
      <c r="A97" s="3"/>
      <c r="B97" s="49" t="s">
        <v>474</v>
      </c>
      <c r="C97" s="55" t="s">
        <v>136</v>
      </c>
      <c r="D97" s="12" t="s">
        <v>1458</v>
      </c>
      <c r="E97" s="30" t="s">
        <v>243</v>
      </c>
      <c r="F97" s="19"/>
      <c r="G97" s="19" t="s">
        <v>1234</v>
      </c>
      <c r="H97" s="28"/>
      <c r="I97" s="34"/>
      <c r="J97" s="34" t="s">
        <v>431</v>
      </c>
      <c r="K97" s="34" t="s">
        <v>134</v>
      </c>
      <c r="L97" s="34" t="s">
        <v>533</v>
      </c>
    </row>
    <row r="98" spans="1:12" s="2" customFormat="1">
      <c r="A98" s="29"/>
      <c r="B98" s="49" t="s">
        <v>1235</v>
      </c>
      <c r="C98" s="55" t="s">
        <v>136</v>
      </c>
      <c r="D98" s="12" t="s">
        <v>1459</v>
      </c>
      <c r="E98" s="30" t="s">
        <v>243</v>
      </c>
      <c r="F98" s="19"/>
      <c r="G98" s="19" t="s">
        <v>1436</v>
      </c>
      <c r="H98" s="28"/>
      <c r="I98" s="35"/>
      <c r="J98" s="34" t="s">
        <v>431</v>
      </c>
      <c r="K98" s="34" t="s">
        <v>134</v>
      </c>
      <c r="L98" s="34" t="s">
        <v>439</v>
      </c>
    </row>
    <row r="99" spans="1:12" s="2" customFormat="1">
      <c r="A99" s="29"/>
      <c r="B99" s="49" t="s">
        <v>468</v>
      </c>
      <c r="C99" s="55" t="s">
        <v>136</v>
      </c>
      <c r="D99" s="12" t="s">
        <v>1460</v>
      </c>
      <c r="E99" s="30" t="s">
        <v>243</v>
      </c>
      <c r="F99" s="19"/>
      <c r="G99" s="19" t="s">
        <v>1331</v>
      </c>
      <c r="H99" s="28"/>
      <c r="I99" s="35"/>
      <c r="J99" s="34" t="s">
        <v>431</v>
      </c>
      <c r="K99" s="34" t="s">
        <v>134</v>
      </c>
      <c r="L99" s="34" t="s">
        <v>533</v>
      </c>
    </row>
    <row r="100" spans="1:12" s="2" customFormat="1">
      <c r="A100" s="29"/>
      <c r="B100" s="49" t="s">
        <v>904</v>
      </c>
      <c r="C100" s="55" t="s">
        <v>136</v>
      </c>
      <c r="D100" s="12" t="s">
        <v>1461</v>
      </c>
      <c r="E100" s="30" t="s">
        <v>243</v>
      </c>
      <c r="F100" s="19"/>
      <c r="G100" s="19" t="s">
        <v>1332</v>
      </c>
      <c r="H100" s="31"/>
      <c r="I100" s="35"/>
      <c r="J100" s="34" t="s">
        <v>431</v>
      </c>
      <c r="K100" s="34" t="s">
        <v>134</v>
      </c>
      <c r="L100" s="34" t="s">
        <v>439</v>
      </c>
    </row>
    <row r="101" spans="1:12" s="1" customFormat="1">
      <c r="A101" s="25"/>
      <c r="B101" s="26" t="s">
        <v>471</v>
      </c>
      <c r="C101" s="26" t="s">
        <v>136</v>
      </c>
      <c r="D101" s="12" t="s">
        <v>913</v>
      </c>
      <c r="E101" s="30" t="s">
        <v>243</v>
      </c>
      <c r="F101" s="19"/>
      <c r="G101" s="19" t="s">
        <v>914</v>
      </c>
      <c r="H101" s="28"/>
      <c r="I101" s="33"/>
      <c r="J101" s="34" t="s">
        <v>431</v>
      </c>
      <c r="K101" s="34" t="s">
        <v>134</v>
      </c>
      <c r="L101" s="34" t="s">
        <v>533</v>
      </c>
    </row>
    <row r="102" spans="1:12" s="1" customFormat="1">
      <c r="A102" s="25"/>
      <c r="B102" s="26" t="s">
        <v>915</v>
      </c>
      <c r="C102" s="26" t="s">
        <v>136</v>
      </c>
      <c r="D102" s="12" t="s">
        <v>916</v>
      </c>
      <c r="E102" s="30" t="s">
        <v>243</v>
      </c>
      <c r="F102" s="19"/>
      <c r="G102" s="19" t="s">
        <v>1335</v>
      </c>
      <c r="H102" s="28"/>
      <c r="I102" s="33"/>
      <c r="J102" s="34" t="s">
        <v>431</v>
      </c>
      <c r="K102" s="34" t="s">
        <v>134</v>
      </c>
      <c r="L102" s="34" t="s">
        <v>439</v>
      </c>
    </row>
    <row r="103" spans="1:12" s="1" customFormat="1">
      <c r="A103" s="25"/>
      <c r="B103" s="26" t="s">
        <v>477</v>
      </c>
      <c r="C103" s="26" t="s">
        <v>136</v>
      </c>
      <c r="D103" s="12" t="s">
        <v>925</v>
      </c>
      <c r="E103" s="30" t="s">
        <v>243</v>
      </c>
      <c r="F103" s="19"/>
      <c r="G103" s="19" t="s">
        <v>926</v>
      </c>
      <c r="H103" s="28"/>
      <c r="I103" s="33"/>
      <c r="J103" s="34" t="s">
        <v>431</v>
      </c>
      <c r="K103" s="34" t="s">
        <v>134</v>
      </c>
      <c r="L103" s="34" t="s">
        <v>533</v>
      </c>
    </row>
    <row r="104" spans="1:12" s="1" customFormat="1">
      <c r="A104" s="25"/>
      <c r="B104" s="26" t="s">
        <v>927</v>
      </c>
      <c r="C104" s="26" t="s">
        <v>136</v>
      </c>
      <c r="D104" s="12" t="s">
        <v>928</v>
      </c>
      <c r="E104" s="30" t="s">
        <v>243</v>
      </c>
      <c r="F104" s="19"/>
      <c r="G104" s="19" t="s">
        <v>1338</v>
      </c>
      <c r="H104" s="28"/>
      <c r="I104" s="33"/>
      <c r="J104" s="34" t="s">
        <v>431</v>
      </c>
      <c r="K104" s="34" t="s">
        <v>134</v>
      </c>
      <c r="L104" s="34" t="s">
        <v>439</v>
      </c>
    </row>
    <row r="105" spans="1:12" s="1" customFormat="1">
      <c r="A105" s="25"/>
      <c r="B105" s="26" t="s">
        <v>1247</v>
      </c>
      <c r="C105" s="26" t="s">
        <v>136</v>
      </c>
      <c r="D105" s="12" t="s">
        <v>780</v>
      </c>
      <c r="E105" s="30" t="s">
        <v>243</v>
      </c>
      <c r="F105" s="31"/>
      <c r="G105" s="19" t="s">
        <v>1440</v>
      </c>
      <c r="H105" s="30"/>
      <c r="I105" s="33"/>
      <c r="J105" s="34" t="s">
        <v>431</v>
      </c>
      <c r="K105" s="34" t="s">
        <v>134</v>
      </c>
      <c r="L105" s="34" t="s">
        <v>439</v>
      </c>
    </row>
    <row r="106" spans="1:12" s="1" customFormat="1">
      <c r="A106" s="25"/>
      <c r="B106" s="26" t="s">
        <v>1249</v>
      </c>
      <c r="C106" s="26" t="s">
        <v>136</v>
      </c>
      <c r="D106" s="12" t="s">
        <v>782</v>
      </c>
      <c r="E106" s="30" t="s">
        <v>243</v>
      </c>
      <c r="F106" s="31"/>
      <c r="G106" s="19" t="s">
        <v>1441</v>
      </c>
      <c r="H106" s="30"/>
      <c r="I106" s="33"/>
      <c r="J106" s="34" t="s">
        <v>431</v>
      </c>
      <c r="K106" s="34" t="s">
        <v>134</v>
      </c>
      <c r="L106" s="34" t="s">
        <v>439</v>
      </c>
    </row>
    <row r="107" spans="1:12" s="1" customFormat="1">
      <c r="A107" s="25"/>
      <c r="B107" s="26" t="s">
        <v>1251</v>
      </c>
      <c r="C107" s="26" t="s">
        <v>136</v>
      </c>
      <c r="D107" s="12" t="s">
        <v>784</v>
      </c>
      <c r="E107" s="30" t="s">
        <v>243</v>
      </c>
      <c r="F107" s="31"/>
      <c r="G107" s="19" t="s">
        <v>1442</v>
      </c>
      <c r="H107" s="30"/>
      <c r="I107" s="33"/>
      <c r="J107" s="34" t="s">
        <v>431</v>
      </c>
      <c r="K107" s="34" t="s">
        <v>134</v>
      </c>
      <c r="L107" s="34" t="s">
        <v>439</v>
      </c>
    </row>
    <row r="108" spans="1:12" s="1" customFormat="1">
      <c r="A108" s="25"/>
      <c r="B108" s="26" t="s">
        <v>1253</v>
      </c>
      <c r="C108" s="26" t="s">
        <v>136</v>
      </c>
      <c r="D108" s="12" t="s">
        <v>786</v>
      </c>
      <c r="E108" s="30" t="s">
        <v>243</v>
      </c>
      <c r="F108" s="31"/>
      <c r="G108" s="19" t="s">
        <v>1443</v>
      </c>
      <c r="H108" s="30"/>
      <c r="I108" s="33"/>
      <c r="J108" s="34" t="s">
        <v>431</v>
      </c>
      <c r="K108" s="34" t="s">
        <v>134</v>
      </c>
      <c r="L108" s="34" t="s">
        <v>439</v>
      </c>
    </row>
    <row r="109" spans="1:12" s="1" customFormat="1">
      <c r="A109" s="25"/>
      <c r="B109" s="26" t="s">
        <v>1255</v>
      </c>
      <c r="C109" s="26" t="s">
        <v>136</v>
      </c>
      <c r="D109" s="12" t="s">
        <v>788</v>
      </c>
      <c r="E109" s="30" t="s">
        <v>243</v>
      </c>
      <c r="F109" s="31"/>
      <c r="G109" s="19" t="s">
        <v>1444</v>
      </c>
      <c r="H109" s="30"/>
      <c r="I109" s="33"/>
      <c r="J109" s="34" t="s">
        <v>431</v>
      </c>
      <c r="K109" s="34" t="s">
        <v>134</v>
      </c>
      <c r="L109" s="34" t="s">
        <v>439</v>
      </c>
    </row>
    <row r="110" spans="1:12" s="1" customFormat="1">
      <c r="A110" s="25"/>
      <c r="B110" s="26" t="s">
        <v>1257</v>
      </c>
      <c r="C110" s="26" t="s">
        <v>136</v>
      </c>
      <c r="D110" s="12" t="s">
        <v>790</v>
      </c>
      <c r="E110" s="30" t="s">
        <v>243</v>
      </c>
      <c r="F110" s="31"/>
      <c r="G110" s="19" t="s">
        <v>1445</v>
      </c>
      <c r="H110" s="30"/>
      <c r="I110" s="33"/>
      <c r="J110" s="34" t="s">
        <v>431</v>
      </c>
      <c r="K110" s="34" t="s">
        <v>134</v>
      </c>
      <c r="L110" s="34" t="s">
        <v>439</v>
      </c>
    </row>
    <row r="111" spans="1:12" s="1" customFormat="1">
      <c r="A111" s="25"/>
      <c r="B111" s="26" t="s">
        <v>1259</v>
      </c>
      <c r="C111" s="26" t="s">
        <v>136</v>
      </c>
      <c r="D111" s="12" t="s">
        <v>792</v>
      </c>
      <c r="E111" s="30" t="s">
        <v>243</v>
      </c>
      <c r="F111" s="31"/>
      <c r="G111" s="19" t="s">
        <v>1446</v>
      </c>
      <c r="H111" s="30"/>
      <c r="I111" s="33"/>
      <c r="J111" s="34" t="s">
        <v>431</v>
      </c>
      <c r="K111" s="34" t="s">
        <v>134</v>
      </c>
      <c r="L111" s="34" t="s">
        <v>439</v>
      </c>
    </row>
    <row r="112" spans="1:12" s="1" customFormat="1">
      <c r="A112" s="25"/>
      <c r="B112" s="26" t="s">
        <v>1261</v>
      </c>
      <c r="C112" s="26" t="s">
        <v>136</v>
      </c>
      <c r="D112" s="12" t="s">
        <v>794</v>
      </c>
      <c r="E112" s="30" t="s">
        <v>243</v>
      </c>
      <c r="F112" s="31"/>
      <c r="G112" s="19" t="s">
        <v>1447</v>
      </c>
      <c r="H112" s="30"/>
      <c r="I112" s="33"/>
      <c r="J112" s="34" t="s">
        <v>431</v>
      </c>
      <c r="K112" s="34" t="s">
        <v>134</v>
      </c>
      <c r="L112" s="34" t="s">
        <v>439</v>
      </c>
    </row>
    <row r="113" spans="1:17" s="1" customFormat="1">
      <c r="A113" s="25"/>
      <c r="B113" s="26" t="s">
        <v>1263</v>
      </c>
      <c r="C113" s="26" t="s">
        <v>136</v>
      </c>
      <c r="D113" s="12" t="s">
        <v>796</v>
      </c>
      <c r="E113" s="30" t="s">
        <v>243</v>
      </c>
      <c r="F113" s="31"/>
      <c r="G113" s="19" t="s">
        <v>1448</v>
      </c>
      <c r="H113" s="30"/>
      <c r="I113" s="33"/>
      <c r="J113" s="34" t="s">
        <v>431</v>
      </c>
      <c r="K113" s="34" t="s">
        <v>134</v>
      </c>
      <c r="L113" s="34" t="s">
        <v>439</v>
      </c>
    </row>
    <row r="114" spans="1:17" s="1" customFormat="1">
      <c r="A114" s="25"/>
      <c r="B114" s="26" t="s">
        <v>1265</v>
      </c>
      <c r="C114" s="26" t="s">
        <v>136</v>
      </c>
      <c r="D114" s="12" t="s">
        <v>798</v>
      </c>
      <c r="E114" s="30" t="s">
        <v>243</v>
      </c>
      <c r="F114" s="31"/>
      <c r="G114" s="19" t="s">
        <v>1449</v>
      </c>
      <c r="H114" s="30"/>
      <c r="I114" s="33"/>
      <c r="J114" s="34" t="s">
        <v>431</v>
      </c>
      <c r="K114" s="34" t="s">
        <v>134</v>
      </c>
      <c r="L114" s="34" t="s">
        <v>439</v>
      </c>
    </row>
    <row r="115" spans="1:17" s="1" customFormat="1">
      <c r="A115" s="25"/>
      <c r="B115" s="26" t="s">
        <v>1267</v>
      </c>
      <c r="C115" s="26" t="s">
        <v>136</v>
      </c>
      <c r="D115" s="12" t="s">
        <v>800</v>
      </c>
      <c r="E115" s="30" t="s">
        <v>243</v>
      </c>
      <c r="F115" s="31"/>
      <c r="G115" s="19" t="s">
        <v>1450</v>
      </c>
      <c r="H115" s="30"/>
      <c r="I115" s="33"/>
      <c r="J115" s="34" t="s">
        <v>431</v>
      </c>
      <c r="K115" s="34" t="s">
        <v>134</v>
      </c>
      <c r="L115" s="34" t="s">
        <v>439</v>
      </c>
    </row>
    <row r="116" spans="1:17" s="1" customFormat="1">
      <c r="A116" s="25"/>
      <c r="B116" s="26" t="s">
        <v>1268</v>
      </c>
      <c r="C116" s="26" t="s">
        <v>136</v>
      </c>
      <c r="D116" s="12" t="s">
        <v>802</v>
      </c>
      <c r="E116" s="30" t="s">
        <v>243</v>
      </c>
      <c r="F116" s="31"/>
      <c r="G116" s="19" t="s">
        <v>1451</v>
      </c>
      <c r="H116" s="30"/>
      <c r="I116" s="33"/>
      <c r="J116" s="34" t="s">
        <v>431</v>
      </c>
      <c r="K116" s="34" t="s">
        <v>134</v>
      </c>
      <c r="L116" s="34" t="s">
        <v>439</v>
      </c>
    </row>
    <row r="117" spans="1:17" s="1" customFormat="1">
      <c r="A117" s="25"/>
      <c r="B117" s="26" t="s">
        <v>1270</v>
      </c>
      <c r="C117" s="26" t="s">
        <v>136</v>
      </c>
      <c r="D117" s="12" t="s">
        <v>804</v>
      </c>
      <c r="E117" s="30" t="s">
        <v>243</v>
      </c>
      <c r="F117" s="31"/>
      <c r="G117" s="19" t="s">
        <v>1452</v>
      </c>
      <c r="H117" s="30"/>
      <c r="I117" s="33"/>
      <c r="J117" s="34" t="s">
        <v>431</v>
      </c>
      <c r="K117" s="34" t="s">
        <v>134</v>
      </c>
      <c r="L117" s="34" t="s">
        <v>439</v>
      </c>
    </row>
    <row r="118" spans="1:17" s="1" customFormat="1">
      <c r="A118" s="25"/>
      <c r="B118" s="26" t="s">
        <v>1272</v>
      </c>
      <c r="C118" s="26" t="s">
        <v>136</v>
      </c>
      <c r="D118" s="12" t="s">
        <v>1273</v>
      </c>
      <c r="E118" s="30" t="s">
        <v>243</v>
      </c>
      <c r="F118" s="31"/>
      <c r="G118" s="19" t="s">
        <v>2015</v>
      </c>
      <c r="H118" s="30"/>
      <c r="I118" s="33"/>
      <c r="J118" s="34" t="s">
        <v>431</v>
      </c>
      <c r="K118" s="34" t="s">
        <v>134</v>
      </c>
      <c r="L118" s="34" t="s">
        <v>439</v>
      </c>
    </row>
    <row r="119" spans="1:17" s="4" customFormat="1">
      <c r="B119" s="50" t="s">
        <v>233</v>
      </c>
      <c r="C119" s="51" t="s">
        <v>139</v>
      </c>
      <c r="D119" s="37" t="s">
        <v>234</v>
      </c>
      <c r="E119" s="52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</row>
    <row r="120" spans="1:17" s="4" customFormat="1">
      <c r="B120" s="50" t="s">
        <v>235</v>
      </c>
      <c r="C120" s="51" t="s">
        <v>132</v>
      </c>
      <c r="D120" s="37" t="s">
        <v>236</v>
      </c>
      <c r="E120" s="52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</row>
    <row r="121" spans="1:17" s="4" customFormat="1">
      <c r="B121" s="50" t="s">
        <v>237</v>
      </c>
      <c r="C121" s="51" t="s">
        <v>139</v>
      </c>
      <c r="D121" s="37" t="s">
        <v>238</v>
      </c>
      <c r="E121" s="52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</row>
    <row r="122" spans="1:17" s="4" customFormat="1">
      <c r="B122" s="50" t="s">
        <v>241</v>
      </c>
      <c r="C122" s="51" t="s">
        <v>139</v>
      </c>
      <c r="D122" s="37" t="s">
        <v>242</v>
      </c>
      <c r="E122" s="52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</row>
  </sheetData>
  <autoFilter ref="A14:N122" xr:uid="{00000000-0009-0000-0000-00000E000000}"/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21"/>
  <sheetViews>
    <sheetView zoomScale="85" zoomScaleNormal="85" workbookViewId="0">
      <pane ySplit="5" topLeftCell="A6" activePane="bottomLeft" state="frozen"/>
      <selection pane="bottomLeft" activeCell="C9" sqref="C9:D9"/>
    </sheetView>
  </sheetViews>
  <sheetFormatPr defaultColWidth="9" defaultRowHeight="13.2"/>
  <cols>
    <col min="1" max="1" width="1.33203125" style="5" customWidth="1"/>
    <col min="2" max="2" width="23.6640625" style="5" customWidth="1"/>
    <col min="3" max="3" width="33.77734375" style="5" customWidth="1"/>
    <col min="4" max="4" width="32.21875" style="5" customWidth="1"/>
    <col min="5" max="5" width="16.21875" style="5" customWidth="1"/>
    <col min="6" max="6" width="24.88671875" style="5" customWidth="1"/>
    <col min="7" max="7" width="39.5546875" style="5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2:14">
      <c r="B1" s="7" t="str">
        <f>HYPERLINK("#导航!a2","返回")</f>
        <v>返回</v>
      </c>
    </row>
    <row r="2" spans="2:14">
      <c r="B2" s="156"/>
      <c r="C2" s="156"/>
      <c r="D2" s="156"/>
      <c r="E2" s="156"/>
      <c r="F2" s="156"/>
      <c r="G2" s="156"/>
      <c r="H2" s="156"/>
    </row>
    <row r="3" spans="2:14">
      <c r="B3" s="157" t="s">
        <v>106</v>
      </c>
      <c r="C3" s="157"/>
      <c r="D3" s="157"/>
      <c r="E3" s="157"/>
      <c r="F3" s="157"/>
      <c r="G3" s="157"/>
      <c r="H3" s="157"/>
    </row>
    <row r="4" spans="2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2:14">
      <c r="B5" s="11" t="s">
        <v>55</v>
      </c>
      <c r="C5" s="12" t="s">
        <v>66</v>
      </c>
      <c r="D5" s="13" t="s">
        <v>67</v>
      </c>
      <c r="E5" s="14" t="s">
        <v>379</v>
      </c>
      <c r="F5" s="15"/>
      <c r="G5" s="14"/>
      <c r="H5" s="14"/>
      <c r="N5" s="5"/>
    </row>
    <row r="6" spans="2:14">
      <c r="B6" s="8"/>
      <c r="C6" s="8"/>
      <c r="D6" s="8"/>
      <c r="E6" s="8"/>
      <c r="F6" s="8"/>
      <c r="G6" s="8"/>
      <c r="H6" s="8"/>
    </row>
    <row r="7" spans="2:14">
      <c r="B7" s="157" t="s">
        <v>113</v>
      </c>
      <c r="C7" s="157"/>
      <c r="D7" s="157"/>
      <c r="E7" s="157"/>
      <c r="F7" s="157"/>
      <c r="G7" s="157"/>
      <c r="H7" s="157"/>
    </row>
    <row r="8" spans="2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2:14">
      <c r="B9" s="14"/>
      <c r="C9" s="12" t="s">
        <v>64</v>
      </c>
      <c r="D9" s="13" t="s">
        <v>65</v>
      </c>
      <c r="E9" s="14" t="s">
        <v>243</v>
      </c>
      <c r="F9" s="19"/>
      <c r="G9" s="19"/>
      <c r="H9" s="21"/>
    </row>
    <row r="10" spans="2:14">
      <c r="B10" s="14"/>
      <c r="C10" s="12"/>
      <c r="D10" s="12"/>
      <c r="E10" s="14"/>
      <c r="F10" s="19"/>
      <c r="G10" s="19"/>
      <c r="H10" s="14"/>
    </row>
    <row r="11" spans="2:14">
      <c r="G11" s="48"/>
    </row>
    <row r="12" spans="2:14">
      <c r="B12" s="5" t="s">
        <v>120</v>
      </c>
    </row>
    <row r="13" spans="2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2:14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2:14" s="2" customFormat="1">
      <c r="B15" s="49" t="s">
        <v>273</v>
      </c>
      <c r="C15" s="49" t="s">
        <v>139</v>
      </c>
      <c r="D15" s="12" t="s">
        <v>274</v>
      </c>
      <c r="E15" s="30" t="s">
        <v>243</v>
      </c>
      <c r="F15" s="19" t="s">
        <v>233</v>
      </c>
      <c r="G15" s="19" t="s">
        <v>250</v>
      </c>
      <c r="H15" s="32"/>
      <c r="I15" s="34"/>
      <c r="J15" s="34" t="s">
        <v>384</v>
      </c>
      <c r="K15" s="34" t="s">
        <v>134</v>
      </c>
      <c r="L15" s="34" t="s">
        <v>134</v>
      </c>
    </row>
    <row r="16" spans="2:14" s="2" customFormat="1">
      <c r="B16" s="49" t="s">
        <v>383</v>
      </c>
      <c r="C16" s="49" t="s">
        <v>132</v>
      </c>
      <c r="D16" s="12" t="s">
        <v>480</v>
      </c>
      <c r="E16" s="30" t="s">
        <v>243</v>
      </c>
      <c r="F16" s="19" t="s">
        <v>235</v>
      </c>
      <c r="G16" s="19" t="s">
        <v>250</v>
      </c>
      <c r="H16" s="32"/>
      <c r="I16" s="34"/>
      <c r="J16" s="34" t="s">
        <v>384</v>
      </c>
      <c r="K16" s="34" t="s">
        <v>134</v>
      </c>
      <c r="L16" s="34" t="s">
        <v>134</v>
      </c>
    </row>
    <row r="17" spans="1:12" s="2" customFormat="1">
      <c r="B17" s="49" t="s">
        <v>379</v>
      </c>
      <c r="C17" s="49" t="s">
        <v>139</v>
      </c>
      <c r="D17" s="12" t="s">
        <v>48</v>
      </c>
      <c r="E17" s="30" t="s">
        <v>243</v>
      </c>
      <c r="F17" s="19" t="s">
        <v>237</v>
      </c>
      <c r="G17" s="19" t="s">
        <v>250</v>
      </c>
      <c r="H17" s="32"/>
      <c r="I17" s="34"/>
      <c r="J17" s="34" t="s">
        <v>384</v>
      </c>
      <c r="K17" s="34" t="s">
        <v>134</v>
      </c>
      <c r="L17" s="34" t="s">
        <v>134</v>
      </c>
    </row>
    <row r="18" spans="1:12" s="2" customFormat="1">
      <c r="A18" s="29"/>
      <c r="B18" s="49" t="s">
        <v>284</v>
      </c>
      <c r="C18" s="49" t="s">
        <v>132</v>
      </c>
      <c r="D18" s="12" t="s">
        <v>285</v>
      </c>
      <c r="E18" s="30" t="s">
        <v>243</v>
      </c>
      <c r="F18" s="19" t="s">
        <v>284</v>
      </c>
      <c r="G18" s="19" t="s">
        <v>250</v>
      </c>
      <c r="H18" s="49"/>
      <c r="I18" s="35"/>
      <c r="J18" s="34" t="s">
        <v>384</v>
      </c>
      <c r="K18" s="34" t="s">
        <v>134</v>
      </c>
      <c r="L18" s="34" t="s">
        <v>134</v>
      </c>
    </row>
    <row r="19" spans="1:12" s="2" customFormat="1">
      <c r="A19" s="29"/>
      <c r="B19" s="49" t="s">
        <v>257</v>
      </c>
      <c r="C19" s="49" t="s">
        <v>132</v>
      </c>
      <c r="D19" s="12" t="s">
        <v>280</v>
      </c>
      <c r="E19" s="30" t="s">
        <v>243</v>
      </c>
      <c r="F19" s="19" t="s">
        <v>257</v>
      </c>
      <c r="G19" s="19" t="s">
        <v>250</v>
      </c>
      <c r="H19" s="49"/>
      <c r="I19" s="35"/>
      <c r="J19" s="34" t="s">
        <v>384</v>
      </c>
      <c r="K19" s="34" t="s">
        <v>134</v>
      </c>
      <c r="L19" s="34" t="s">
        <v>134</v>
      </c>
    </row>
    <row r="20" spans="1:12" s="2" customFormat="1">
      <c r="A20" s="29"/>
      <c r="B20" s="49" t="s">
        <v>251</v>
      </c>
      <c r="C20" s="49" t="s">
        <v>132</v>
      </c>
      <c r="D20" s="12" t="s">
        <v>252</v>
      </c>
      <c r="E20" s="30" t="s">
        <v>243</v>
      </c>
      <c r="F20" s="19" t="s">
        <v>251</v>
      </c>
      <c r="G20" s="19" t="s">
        <v>250</v>
      </c>
      <c r="H20" s="49"/>
      <c r="I20" s="35"/>
      <c r="J20" s="34" t="s">
        <v>384</v>
      </c>
      <c r="K20" s="34" t="s">
        <v>134</v>
      </c>
      <c r="L20" s="34" t="s">
        <v>134</v>
      </c>
    </row>
    <row r="21" spans="1:12" s="2" customFormat="1">
      <c r="A21" s="29"/>
      <c r="B21" s="49" t="s">
        <v>254</v>
      </c>
      <c r="C21" s="49" t="s">
        <v>132</v>
      </c>
      <c r="D21" s="12" t="s">
        <v>495</v>
      </c>
      <c r="E21" s="30" t="s">
        <v>243</v>
      </c>
      <c r="F21" s="19" t="s">
        <v>254</v>
      </c>
      <c r="G21" s="19" t="s">
        <v>250</v>
      </c>
      <c r="H21" s="49"/>
      <c r="I21" s="35"/>
      <c r="J21" s="34" t="s">
        <v>384</v>
      </c>
      <c r="K21" s="34" t="s">
        <v>134</v>
      </c>
      <c r="L21" s="34" t="s">
        <v>134</v>
      </c>
    </row>
    <row r="22" spans="1:12" s="2" customFormat="1">
      <c r="A22" s="29"/>
      <c r="B22" s="14" t="s">
        <v>211</v>
      </c>
      <c r="C22" s="14" t="s">
        <v>139</v>
      </c>
      <c r="D22" s="12" t="s">
        <v>496</v>
      </c>
      <c r="E22" s="30" t="s">
        <v>243</v>
      </c>
      <c r="F22" s="19" t="s">
        <v>211</v>
      </c>
      <c r="G22" s="19" t="s">
        <v>250</v>
      </c>
      <c r="H22" s="32"/>
      <c r="I22" s="35"/>
      <c r="J22" s="34" t="s">
        <v>384</v>
      </c>
      <c r="K22" s="34" t="s">
        <v>134</v>
      </c>
      <c r="L22" s="34" t="s">
        <v>134</v>
      </c>
    </row>
    <row r="23" spans="1:12" s="2" customFormat="1">
      <c r="A23" s="29"/>
      <c r="B23" s="14" t="s">
        <v>371</v>
      </c>
      <c r="C23" s="14" t="s">
        <v>139</v>
      </c>
      <c r="D23" s="12" t="s">
        <v>497</v>
      </c>
      <c r="E23" s="30" t="s">
        <v>243</v>
      </c>
      <c r="F23" s="19" t="s">
        <v>371</v>
      </c>
      <c r="G23" s="19" t="s">
        <v>250</v>
      </c>
      <c r="H23" s="32"/>
      <c r="I23" s="35"/>
      <c r="J23" s="34" t="s">
        <v>384</v>
      </c>
      <c r="K23" s="34" t="s">
        <v>134</v>
      </c>
      <c r="L23" s="34" t="s">
        <v>134</v>
      </c>
    </row>
    <row r="24" spans="1:12" s="2" customFormat="1">
      <c r="A24" s="29"/>
      <c r="B24" s="14" t="s">
        <v>373</v>
      </c>
      <c r="C24" s="14" t="s">
        <v>139</v>
      </c>
      <c r="D24" s="12" t="s">
        <v>498</v>
      </c>
      <c r="E24" s="30" t="s">
        <v>243</v>
      </c>
      <c r="F24" s="19" t="s">
        <v>373</v>
      </c>
      <c r="G24" s="19" t="s">
        <v>250</v>
      </c>
      <c r="H24" s="32"/>
      <c r="I24" s="35"/>
      <c r="J24" s="34" t="s">
        <v>384</v>
      </c>
      <c r="K24" s="34" t="s">
        <v>134</v>
      </c>
      <c r="L24" s="34" t="s">
        <v>134</v>
      </c>
    </row>
    <row r="25" spans="1:12" s="2" customFormat="1" ht="39.6">
      <c r="A25" s="29"/>
      <c r="B25" s="14" t="s">
        <v>2450</v>
      </c>
      <c r="C25" s="14" t="s">
        <v>2451</v>
      </c>
      <c r="D25" s="12" t="s">
        <v>2452</v>
      </c>
      <c r="E25" s="30" t="s">
        <v>243</v>
      </c>
      <c r="F25" s="19"/>
      <c r="G25" s="19" t="s">
        <v>2453</v>
      </c>
      <c r="H25" s="32"/>
      <c r="I25" s="35"/>
      <c r="J25" s="34" t="s">
        <v>431</v>
      </c>
      <c r="K25" s="34" t="s">
        <v>134</v>
      </c>
      <c r="L25" s="34" t="s">
        <v>134</v>
      </c>
    </row>
    <row r="26" spans="1:12" s="2" customFormat="1">
      <c r="A26" s="29"/>
      <c r="B26" s="49" t="s">
        <v>811</v>
      </c>
      <c r="C26" s="49" t="s">
        <v>136</v>
      </c>
      <c r="D26" s="12" t="s">
        <v>530</v>
      </c>
      <c r="E26" s="30" t="s">
        <v>243</v>
      </c>
      <c r="F26" s="19"/>
      <c r="G26" s="19" t="s">
        <v>1306</v>
      </c>
      <c r="H26" s="49"/>
      <c r="I26" s="35"/>
      <c r="J26" s="34" t="s">
        <v>431</v>
      </c>
      <c r="K26" s="34" t="s">
        <v>134</v>
      </c>
      <c r="L26" s="34" t="s">
        <v>439</v>
      </c>
    </row>
    <row r="27" spans="1:12" s="2" customFormat="1">
      <c r="A27" s="29"/>
      <c r="B27" s="14" t="s">
        <v>814</v>
      </c>
      <c r="C27" s="14" t="s">
        <v>136</v>
      </c>
      <c r="D27" s="12" t="s">
        <v>532</v>
      </c>
      <c r="E27" s="30" t="s">
        <v>243</v>
      </c>
      <c r="F27" s="19"/>
      <c r="G27" s="19" t="s">
        <v>1307</v>
      </c>
      <c r="H27" s="49"/>
      <c r="I27" s="35"/>
      <c r="J27" s="34" t="s">
        <v>431</v>
      </c>
      <c r="K27" s="34" t="s">
        <v>134</v>
      </c>
      <c r="L27" s="34" t="s">
        <v>533</v>
      </c>
    </row>
    <row r="28" spans="1:12" s="2" customFormat="1">
      <c r="A28" s="29"/>
      <c r="B28" s="14" t="s">
        <v>820</v>
      </c>
      <c r="C28" s="14" t="s">
        <v>136</v>
      </c>
      <c r="D28" s="12" t="s">
        <v>534</v>
      </c>
      <c r="E28" s="30" t="s">
        <v>243</v>
      </c>
      <c r="F28" s="19"/>
      <c r="G28" s="19" t="s">
        <v>1309</v>
      </c>
      <c r="H28" s="49"/>
      <c r="I28" s="35"/>
      <c r="J28" s="34" t="s">
        <v>431</v>
      </c>
      <c r="K28" s="34" t="s">
        <v>134</v>
      </c>
      <c r="L28" s="34" t="s">
        <v>439</v>
      </c>
    </row>
    <row r="29" spans="1:12" s="2" customFormat="1">
      <c r="A29" s="29"/>
      <c r="B29" s="14" t="s">
        <v>1069</v>
      </c>
      <c r="C29" s="14" t="s">
        <v>136</v>
      </c>
      <c r="D29" s="12" t="s">
        <v>1070</v>
      </c>
      <c r="E29" s="30" t="s">
        <v>243</v>
      </c>
      <c r="F29" s="19"/>
      <c r="G29" s="19" t="s">
        <v>1371</v>
      </c>
      <c r="H29" s="49"/>
      <c r="I29" s="35"/>
      <c r="J29" s="34" t="s">
        <v>431</v>
      </c>
      <c r="K29" s="34" t="s">
        <v>134</v>
      </c>
      <c r="L29" s="34" t="s">
        <v>439</v>
      </c>
    </row>
    <row r="30" spans="1:12" s="2" customFormat="1">
      <c r="A30" s="29"/>
      <c r="B30" s="49" t="s">
        <v>1072</v>
      </c>
      <c r="C30" s="49" t="s">
        <v>136</v>
      </c>
      <c r="D30" s="12" t="s">
        <v>1073</v>
      </c>
      <c r="E30" s="30" t="s">
        <v>243</v>
      </c>
      <c r="F30" s="19"/>
      <c r="G30" s="19" t="s">
        <v>1372</v>
      </c>
      <c r="H30" s="49"/>
      <c r="I30" s="35"/>
      <c r="J30" s="34" t="s">
        <v>431</v>
      </c>
      <c r="K30" s="34" t="s">
        <v>134</v>
      </c>
      <c r="L30" s="34" t="s">
        <v>439</v>
      </c>
    </row>
    <row r="31" spans="1:12" s="2" customFormat="1">
      <c r="B31" s="49" t="s">
        <v>1075</v>
      </c>
      <c r="C31" s="49" t="s">
        <v>136</v>
      </c>
      <c r="D31" s="12" t="s">
        <v>1076</v>
      </c>
      <c r="E31" s="30" t="s">
        <v>243</v>
      </c>
      <c r="F31" s="19"/>
      <c r="G31" s="19" t="s">
        <v>1373</v>
      </c>
      <c r="H31" s="49"/>
      <c r="I31" s="35"/>
      <c r="J31" s="34" t="s">
        <v>431</v>
      </c>
      <c r="K31" s="34" t="s">
        <v>134</v>
      </c>
      <c r="L31" s="34" t="s">
        <v>439</v>
      </c>
    </row>
    <row r="32" spans="1:12" s="2" customFormat="1">
      <c r="B32" s="49" t="s">
        <v>1078</v>
      </c>
      <c r="C32" s="49" t="s">
        <v>136</v>
      </c>
      <c r="D32" s="12" t="s">
        <v>1079</v>
      </c>
      <c r="E32" s="30" t="s">
        <v>243</v>
      </c>
      <c r="F32" s="19"/>
      <c r="G32" s="19" t="s">
        <v>1374</v>
      </c>
      <c r="H32" s="49"/>
      <c r="I32" s="35"/>
      <c r="J32" s="34" t="s">
        <v>431</v>
      </c>
      <c r="K32" s="34" t="s">
        <v>134</v>
      </c>
      <c r="L32" s="34" t="s">
        <v>439</v>
      </c>
    </row>
    <row r="33" spans="1:12" s="29" customFormat="1">
      <c r="B33" s="49" t="s">
        <v>1080</v>
      </c>
      <c r="C33" s="49" t="s">
        <v>136</v>
      </c>
      <c r="D33" s="54" t="s">
        <v>1081</v>
      </c>
      <c r="E33" s="30" t="s">
        <v>243</v>
      </c>
      <c r="F33" s="19"/>
      <c r="G33" s="19" t="s">
        <v>1375</v>
      </c>
      <c r="H33" s="49"/>
      <c r="I33" s="35"/>
      <c r="J33" s="34" t="s">
        <v>431</v>
      </c>
      <c r="K33" s="34" t="s">
        <v>134</v>
      </c>
      <c r="L33" s="34" t="s">
        <v>439</v>
      </c>
    </row>
    <row r="34" spans="1:12" s="29" customFormat="1">
      <c r="B34" s="49" t="s">
        <v>1082</v>
      </c>
      <c r="C34" s="49" t="s">
        <v>136</v>
      </c>
      <c r="D34" s="12" t="s">
        <v>1083</v>
      </c>
      <c r="E34" s="30" t="s">
        <v>243</v>
      </c>
      <c r="F34" s="19"/>
      <c r="G34" s="19" t="s">
        <v>1376</v>
      </c>
      <c r="H34" s="49"/>
      <c r="I34" s="35"/>
      <c r="J34" s="34" t="s">
        <v>431</v>
      </c>
      <c r="K34" s="34" t="s">
        <v>134</v>
      </c>
      <c r="L34" s="34" t="s">
        <v>439</v>
      </c>
    </row>
    <row r="35" spans="1:12" s="1" customFormat="1">
      <c r="A35" s="25"/>
      <c r="B35" s="26" t="s">
        <v>1085</v>
      </c>
      <c r="C35" s="26" t="s">
        <v>136</v>
      </c>
      <c r="D35" s="12" t="s">
        <v>1086</v>
      </c>
      <c r="E35" s="30" t="s">
        <v>243</v>
      </c>
      <c r="F35" s="19"/>
      <c r="G35" s="19" t="s">
        <v>1377</v>
      </c>
      <c r="H35" s="49"/>
      <c r="I35" s="35"/>
      <c r="J35" s="34" t="s">
        <v>431</v>
      </c>
      <c r="K35" s="34" t="s">
        <v>134</v>
      </c>
      <c r="L35" s="34" t="s">
        <v>439</v>
      </c>
    </row>
    <row r="36" spans="1:12" s="29" customFormat="1">
      <c r="B36" s="26" t="s">
        <v>1088</v>
      </c>
      <c r="C36" s="26" t="s">
        <v>136</v>
      </c>
      <c r="D36" s="12" t="s">
        <v>1089</v>
      </c>
      <c r="E36" s="30" t="s">
        <v>243</v>
      </c>
      <c r="F36" s="19"/>
      <c r="G36" s="19" t="s">
        <v>1378</v>
      </c>
      <c r="H36" s="49"/>
      <c r="I36" s="35"/>
      <c r="J36" s="34" t="s">
        <v>431</v>
      </c>
      <c r="K36" s="34" t="s">
        <v>134</v>
      </c>
      <c r="L36" s="34" t="s">
        <v>439</v>
      </c>
    </row>
    <row r="37" spans="1:12" s="29" customFormat="1">
      <c r="B37" s="26" t="s">
        <v>1091</v>
      </c>
      <c r="C37" s="26" t="s">
        <v>136</v>
      </c>
      <c r="D37" s="12" t="s">
        <v>1092</v>
      </c>
      <c r="E37" s="30" t="s">
        <v>243</v>
      </c>
      <c r="F37" s="19"/>
      <c r="G37" s="19" t="s">
        <v>1379</v>
      </c>
      <c r="H37" s="49"/>
      <c r="I37" s="35"/>
      <c r="J37" s="34" t="s">
        <v>431</v>
      </c>
      <c r="K37" s="34" t="s">
        <v>134</v>
      </c>
      <c r="L37" s="34" t="s">
        <v>439</v>
      </c>
    </row>
    <row r="38" spans="1:12" s="5" customFormat="1">
      <c r="B38" s="26" t="s">
        <v>1094</v>
      </c>
      <c r="C38" s="26" t="s">
        <v>136</v>
      </c>
      <c r="D38" s="12" t="s">
        <v>1095</v>
      </c>
      <c r="E38" s="30" t="s">
        <v>243</v>
      </c>
      <c r="F38" s="19"/>
      <c r="G38" s="19" t="s">
        <v>1380</v>
      </c>
      <c r="H38" s="49"/>
      <c r="I38" s="35"/>
      <c r="J38" s="34" t="s">
        <v>431</v>
      </c>
      <c r="K38" s="34" t="s">
        <v>134</v>
      </c>
      <c r="L38" s="34" t="s">
        <v>439</v>
      </c>
    </row>
    <row r="39" spans="1:12" s="5" customFormat="1">
      <c r="B39" s="26" t="s">
        <v>1097</v>
      </c>
      <c r="C39" s="26" t="s">
        <v>136</v>
      </c>
      <c r="D39" s="12" t="s">
        <v>1098</v>
      </c>
      <c r="E39" s="30" t="s">
        <v>243</v>
      </c>
      <c r="F39" s="19"/>
      <c r="G39" s="19" t="s">
        <v>1381</v>
      </c>
      <c r="H39" s="49"/>
      <c r="I39" s="35"/>
      <c r="J39" s="34" t="s">
        <v>431</v>
      </c>
      <c r="K39" s="34" t="s">
        <v>134</v>
      </c>
      <c r="L39" s="34" t="s">
        <v>439</v>
      </c>
    </row>
    <row r="40" spans="1:12" s="5" customFormat="1">
      <c r="B40" s="26" t="s">
        <v>1100</v>
      </c>
      <c r="C40" s="26" t="s">
        <v>136</v>
      </c>
      <c r="D40" s="12" t="s">
        <v>1101</v>
      </c>
      <c r="E40" s="30" t="s">
        <v>243</v>
      </c>
      <c r="F40" s="19"/>
      <c r="G40" s="19" t="s">
        <v>1382</v>
      </c>
      <c r="H40" s="49"/>
      <c r="I40" s="35"/>
      <c r="J40" s="34" t="s">
        <v>431</v>
      </c>
      <c r="K40" s="34" t="s">
        <v>134</v>
      </c>
      <c r="L40" s="34" t="s">
        <v>439</v>
      </c>
    </row>
    <row r="41" spans="1:12" s="5" customFormat="1">
      <c r="B41" s="26" t="s">
        <v>1103</v>
      </c>
      <c r="C41" s="26" t="s">
        <v>245</v>
      </c>
      <c r="D41" s="12" t="s">
        <v>1104</v>
      </c>
      <c r="E41" s="30" t="s">
        <v>243</v>
      </c>
      <c r="F41" s="19"/>
      <c r="G41" s="19" t="s">
        <v>1383</v>
      </c>
      <c r="H41" s="49"/>
      <c r="I41" s="35"/>
      <c r="J41" s="34" t="s">
        <v>431</v>
      </c>
      <c r="K41" s="34" t="s">
        <v>134</v>
      </c>
      <c r="L41" s="34" t="s">
        <v>610</v>
      </c>
    </row>
    <row r="42" spans="1:12" s="5" customFormat="1">
      <c r="B42" s="26" t="s">
        <v>948</v>
      </c>
      <c r="C42" s="26" t="s">
        <v>245</v>
      </c>
      <c r="D42" s="12" t="s">
        <v>949</v>
      </c>
      <c r="E42" s="30" t="s">
        <v>243</v>
      </c>
      <c r="F42" s="19"/>
      <c r="G42" s="19" t="s">
        <v>1344</v>
      </c>
      <c r="H42" s="49"/>
      <c r="I42" s="35"/>
      <c r="J42" s="34" t="s">
        <v>431</v>
      </c>
      <c r="K42" s="34" t="s">
        <v>134</v>
      </c>
      <c r="L42" s="34" t="s">
        <v>439</v>
      </c>
    </row>
    <row r="43" spans="1:12" s="1" customFormat="1">
      <c r="A43" s="25"/>
      <c r="B43" s="26" t="s">
        <v>1109</v>
      </c>
      <c r="C43" s="26" t="s">
        <v>136</v>
      </c>
      <c r="D43" s="31" t="s">
        <v>1110</v>
      </c>
      <c r="E43" s="30" t="s">
        <v>243</v>
      </c>
      <c r="F43" s="19"/>
      <c r="G43" s="19" t="s">
        <v>1385</v>
      </c>
      <c r="H43" s="49"/>
      <c r="I43" s="35"/>
      <c r="J43" s="34" t="s">
        <v>431</v>
      </c>
      <c r="K43" s="34" t="s">
        <v>134</v>
      </c>
      <c r="L43" s="34" t="s">
        <v>439</v>
      </c>
    </row>
    <row r="44" spans="1:12" s="1" customFormat="1">
      <c r="A44" s="25"/>
      <c r="B44" s="26" t="s">
        <v>1111</v>
      </c>
      <c r="C44" s="26" t="s">
        <v>136</v>
      </c>
      <c r="D44" s="31" t="s">
        <v>1112</v>
      </c>
      <c r="E44" s="30" t="s">
        <v>243</v>
      </c>
      <c r="F44" s="19"/>
      <c r="G44" s="19" t="s">
        <v>1386</v>
      </c>
      <c r="H44" s="49"/>
      <c r="I44" s="35"/>
      <c r="J44" s="34" t="s">
        <v>431</v>
      </c>
      <c r="K44" s="34" t="s">
        <v>134</v>
      </c>
      <c r="L44" s="34" t="s">
        <v>439</v>
      </c>
    </row>
    <row r="45" spans="1:12" s="1" customFormat="1">
      <c r="A45" s="25"/>
      <c r="B45" s="26" t="s">
        <v>1113</v>
      </c>
      <c r="C45" s="26" t="s">
        <v>136</v>
      </c>
      <c r="D45" s="31" t="s">
        <v>1114</v>
      </c>
      <c r="E45" s="30" t="s">
        <v>243</v>
      </c>
      <c r="F45" s="19"/>
      <c r="G45" s="19" t="s">
        <v>1387</v>
      </c>
      <c r="H45" s="49"/>
      <c r="I45" s="35"/>
      <c r="J45" s="34" t="s">
        <v>431</v>
      </c>
      <c r="K45" s="34" t="s">
        <v>134</v>
      </c>
      <c r="L45" s="34" t="s">
        <v>439</v>
      </c>
    </row>
    <row r="46" spans="1:12" s="1" customFormat="1">
      <c r="A46" s="25"/>
      <c r="B46" s="26" t="s">
        <v>1115</v>
      </c>
      <c r="C46" s="26" t="s">
        <v>136</v>
      </c>
      <c r="D46" s="31" t="s">
        <v>1116</v>
      </c>
      <c r="E46" s="30" t="s">
        <v>243</v>
      </c>
      <c r="F46" s="19"/>
      <c r="G46" s="19" t="s">
        <v>1388</v>
      </c>
      <c r="H46" s="49"/>
      <c r="I46" s="35"/>
      <c r="J46" s="34" t="s">
        <v>431</v>
      </c>
      <c r="K46" s="34" t="s">
        <v>134</v>
      </c>
      <c r="L46" s="34" t="s">
        <v>439</v>
      </c>
    </row>
    <row r="47" spans="1:12" s="1" customFormat="1">
      <c r="A47" s="25"/>
      <c r="B47" s="26" t="s">
        <v>1117</v>
      </c>
      <c r="C47" s="26" t="s">
        <v>136</v>
      </c>
      <c r="D47" s="31" t="s">
        <v>1118</v>
      </c>
      <c r="E47" s="30" t="s">
        <v>243</v>
      </c>
      <c r="F47" s="19"/>
      <c r="G47" s="19" t="s">
        <v>1389</v>
      </c>
      <c r="H47" s="49"/>
      <c r="I47" s="35"/>
      <c r="J47" s="34" t="s">
        <v>431</v>
      </c>
      <c r="K47" s="34" t="s">
        <v>134</v>
      </c>
      <c r="L47" s="34" t="s">
        <v>439</v>
      </c>
    </row>
    <row r="48" spans="1:12" s="1" customFormat="1">
      <c r="A48" s="25"/>
      <c r="B48" s="26" t="s">
        <v>1119</v>
      </c>
      <c r="C48" s="26" t="s">
        <v>136</v>
      </c>
      <c r="D48" s="31" t="s">
        <v>1120</v>
      </c>
      <c r="E48" s="30" t="s">
        <v>243</v>
      </c>
      <c r="F48" s="19"/>
      <c r="G48" s="19" t="s">
        <v>1390</v>
      </c>
      <c r="H48" s="49"/>
      <c r="I48" s="35"/>
      <c r="J48" s="34" t="s">
        <v>431</v>
      </c>
      <c r="K48" s="34" t="s">
        <v>134</v>
      </c>
      <c r="L48" s="34" t="s">
        <v>439</v>
      </c>
    </row>
    <row r="49" spans="1:12" s="1" customFormat="1">
      <c r="A49" s="25"/>
      <c r="B49" s="26" t="s">
        <v>1121</v>
      </c>
      <c r="C49" s="26" t="s">
        <v>136</v>
      </c>
      <c r="D49" s="31" t="s">
        <v>1122</v>
      </c>
      <c r="E49" s="30" t="s">
        <v>243</v>
      </c>
      <c r="F49" s="19"/>
      <c r="G49" s="19" t="s">
        <v>1391</v>
      </c>
      <c r="H49" s="49"/>
      <c r="I49" s="35"/>
      <c r="J49" s="34" t="s">
        <v>431</v>
      </c>
      <c r="K49" s="34" t="s">
        <v>134</v>
      </c>
      <c r="L49" s="34" t="s">
        <v>439</v>
      </c>
    </row>
    <row r="50" spans="1:12" s="1" customFormat="1">
      <c r="A50" s="25"/>
      <c r="B50" s="26" t="s">
        <v>1124</v>
      </c>
      <c r="C50" s="26" t="s">
        <v>136</v>
      </c>
      <c r="D50" s="31" t="s">
        <v>1125</v>
      </c>
      <c r="E50" s="30" t="s">
        <v>243</v>
      </c>
      <c r="F50" s="19"/>
      <c r="G50" s="19" t="s">
        <v>1392</v>
      </c>
      <c r="H50" s="49"/>
      <c r="I50" s="35"/>
      <c r="J50" s="34" t="s">
        <v>431</v>
      </c>
      <c r="K50" s="34" t="s">
        <v>134</v>
      </c>
      <c r="L50" s="34" t="s">
        <v>439</v>
      </c>
    </row>
    <row r="51" spans="1:12" s="1" customFormat="1">
      <c r="A51" s="25"/>
      <c r="B51" s="26" t="s">
        <v>1127</v>
      </c>
      <c r="C51" s="26" t="s">
        <v>136</v>
      </c>
      <c r="D51" s="31" t="s">
        <v>1128</v>
      </c>
      <c r="E51" s="30" t="s">
        <v>243</v>
      </c>
      <c r="F51" s="19"/>
      <c r="G51" s="19" t="s">
        <v>1393</v>
      </c>
      <c r="H51" s="49"/>
      <c r="I51" s="35"/>
      <c r="J51" s="34" t="s">
        <v>431</v>
      </c>
      <c r="K51" s="34" t="s">
        <v>134</v>
      </c>
      <c r="L51" s="34" t="s">
        <v>439</v>
      </c>
    </row>
    <row r="52" spans="1:12" s="1" customFormat="1">
      <c r="A52" s="25"/>
      <c r="B52" s="26" t="s">
        <v>1130</v>
      </c>
      <c r="C52" s="26" t="s">
        <v>136</v>
      </c>
      <c r="D52" s="31" t="s">
        <v>1131</v>
      </c>
      <c r="E52" s="30" t="s">
        <v>243</v>
      </c>
      <c r="F52" s="19"/>
      <c r="G52" s="19" t="s">
        <v>1394</v>
      </c>
      <c r="H52" s="49"/>
      <c r="I52" s="35"/>
      <c r="J52" s="34" t="s">
        <v>431</v>
      </c>
      <c r="K52" s="34" t="s">
        <v>134</v>
      </c>
      <c r="L52" s="34" t="s">
        <v>439</v>
      </c>
    </row>
    <row r="53" spans="1:12">
      <c r="A53" s="3"/>
      <c r="B53" s="26" t="s">
        <v>1133</v>
      </c>
      <c r="C53" s="26" t="s">
        <v>136</v>
      </c>
      <c r="D53" s="31" t="s">
        <v>1134</v>
      </c>
      <c r="E53" s="30" t="s">
        <v>243</v>
      </c>
      <c r="F53" s="19"/>
      <c r="G53" s="19" t="s">
        <v>1395</v>
      </c>
      <c r="H53" s="49"/>
      <c r="I53" s="35"/>
      <c r="J53" s="34" t="s">
        <v>431</v>
      </c>
      <c r="K53" s="34" t="s">
        <v>134</v>
      </c>
      <c r="L53" s="34" t="s">
        <v>439</v>
      </c>
    </row>
    <row r="54" spans="1:12" s="2" customFormat="1">
      <c r="A54" s="29"/>
      <c r="B54" s="26" t="s">
        <v>1136</v>
      </c>
      <c r="C54" s="26" t="s">
        <v>136</v>
      </c>
      <c r="D54" s="31" t="s">
        <v>1137</v>
      </c>
      <c r="E54" s="30" t="s">
        <v>243</v>
      </c>
      <c r="F54" s="19"/>
      <c r="G54" s="19" t="s">
        <v>1396</v>
      </c>
      <c r="H54" s="49"/>
      <c r="I54" s="35"/>
      <c r="J54" s="34" t="s">
        <v>431</v>
      </c>
      <c r="K54" s="34" t="s">
        <v>134</v>
      </c>
      <c r="L54" s="34" t="s">
        <v>439</v>
      </c>
    </row>
    <row r="55" spans="1:12" s="1" customFormat="1">
      <c r="A55" s="25"/>
      <c r="B55" s="26" t="s">
        <v>951</v>
      </c>
      <c r="C55" s="26" t="s">
        <v>136</v>
      </c>
      <c r="D55" s="12" t="s">
        <v>952</v>
      </c>
      <c r="E55" s="30" t="s">
        <v>243</v>
      </c>
      <c r="F55" s="19"/>
      <c r="G55" s="19" t="s">
        <v>1345</v>
      </c>
      <c r="H55" s="32"/>
      <c r="I55" s="35"/>
      <c r="J55" s="34" t="s">
        <v>431</v>
      </c>
      <c r="K55" s="34" t="s">
        <v>134</v>
      </c>
      <c r="L55" s="34" t="s">
        <v>439</v>
      </c>
    </row>
    <row r="56" spans="1:12" s="1" customFormat="1">
      <c r="A56" s="25"/>
      <c r="B56" s="26" t="s">
        <v>954</v>
      </c>
      <c r="C56" s="26" t="s">
        <v>136</v>
      </c>
      <c r="D56" s="12" t="s">
        <v>593</v>
      </c>
      <c r="E56" s="30" t="s">
        <v>243</v>
      </c>
      <c r="F56" s="19"/>
      <c r="G56" s="19" t="s">
        <v>1346</v>
      </c>
      <c r="H56" s="32"/>
      <c r="I56" s="35"/>
      <c r="J56" s="34" t="s">
        <v>431</v>
      </c>
      <c r="K56" s="34" t="s">
        <v>134</v>
      </c>
      <c r="L56" s="34" t="s">
        <v>439</v>
      </c>
    </row>
    <row r="57" spans="1:12" s="1" customFormat="1">
      <c r="A57" s="25"/>
      <c r="B57" s="26" t="s">
        <v>956</v>
      </c>
      <c r="C57" s="26" t="s">
        <v>136</v>
      </c>
      <c r="D57" s="12" t="s">
        <v>595</v>
      </c>
      <c r="E57" s="30" t="s">
        <v>243</v>
      </c>
      <c r="F57" s="19"/>
      <c r="G57" s="19" t="s">
        <v>1347</v>
      </c>
      <c r="H57" s="32"/>
      <c r="I57" s="35"/>
      <c r="J57" s="34" t="s">
        <v>431</v>
      </c>
      <c r="K57" s="34" t="s">
        <v>134</v>
      </c>
      <c r="L57" s="34" t="s">
        <v>439</v>
      </c>
    </row>
    <row r="58" spans="1:12" s="1" customFormat="1">
      <c r="A58" s="25"/>
      <c r="B58" s="26" t="s">
        <v>1989</v>
      </c>
      <c r="C58" s="26" t="s">
        <v>136</v>
      </c>
      <c r="D58" s="12" t="s">
        <v>1983</v>
      </c>
      <c r="E58" s="30" t="s">
        <v>243</v>
      </c>
      <c r="F58" s="19"/>
      <c r="G58" s="19" t="s">
        <v>1348</v>
      </c>
      <c r="H58" s="32"/>
      <c r="I58" s="35"/>
      <c r="J58" s="34" t="s">
        <v>431</v>
      </c>
      <c r="K58" s="34" t="s">
        <v>134</v>
      </c>
      <c r="L58" s="34" t="s">
        <v>439</v>
      </c>
    </row>
    <row r="59" spans="1:12" s="1" customFormat="1">
      <c r="A59" s="25"/>
      <c r="B59" s="26" t="s">
        <v>960</v>
      </c>
      <c r="C59" s="26" t="s">
        <v>136</v>
      </c>
      <c r="D59" s="12" t="s">
        <v>599</v>
      </c>
      <c r="E59" s="30" t="s">
        <v>243</v>
      </c>
      <c r="F59" s="19"/>
      <c r="G59" s="19" t="s">
        <v>1349</v>
      </c>
      <c r="H59" s="32"/>
      <c r="I59" s="35"/>
      <c r="J59" s="34" t="s">
        <v>431</v>
      </c>
      <c r="K59" s="34" t="s">
        <v>134</v>
      </c>
      <c r="L59" s="34" t="s">
        <v>439</v>
      </c>
    </row>
    <row r="60" spans="1:12" s="1" customFormat="1">
      <c r="A60" s="25"/>
      <c r="B60" s="26" t="s">
        <v>962</v>
      </c>
      <c r="C60" s="26" t="s">
        <v>136</v>
      </c>
      <c r="D60" s="12" t="s">
        <v>601</v>
      </c>
      <c r="E60" s="30" t="s">
        <v>243</v>
      </c>
      <c r="F60" s="19"/>
      <c r="G60" s="19" t="s">
        <v>1350</v>
      </c>
      <c r="H60" s="32"/>
      <c r="I60" s="35"/>
      <c r="J60" s="34" t="s">
        <v>431</v>
      </c>
      <c r="K60" s="34" t="s">
        <v>134</v>
      </c>
      <c r="L60" s="34" t="s">
        <v>439</v>
      </c>
    </row>
    <row r="61" spans="1:12" s="1" customFormat="1">
      <c r="A61" s="25"/>
      <c r="B61" s="26" t="s">
        <v>964</v>
      </c>
      <c r="C61" s="26" t="s">
        <v>136</v>
      </c>
      <c r="D61" s="12" t="s">
        <v>603</v>
      </c>
      <c r="E61" s="30" t="s">
        <v>243</v>
      </c>
      <c r="F61" s="19"/>
      <c r="G61" s="19" t="s">
        <v>1351</v>
      </c>
      <c r="H61" s="32"/>
      <c r="I61" s="35"/>
      <c r="J61" s="34" t="s">
        <v>431</v>
      </c>
      <c r="K61" s="34" t="s">
        <v>134</v>
      </c>
      <c r="L61" s="34" t="s">
        <v>439</v>
      </c>
    </row>
    <row r="62" spans="1:12" s="2" customFormat="1">
      <c r="A62" s="29"/>
      <c r="B62" s="26" t="s">
        <v>1147</v>
      </c>
      <c r="C62" s="26" t="s">
        <v>245</v>
      </c>
      <c r="D62" s="12" t="s">
        <v>1148</v>
      </c>
      <c r="E62" s="30" t="s">
        <v>243</v>
      </c>
      <c r="F62" s="19"/>
      <c r="G62" s="19" t="s">
        <v>1400</v>
      </c>
      <c r="H62" s="49"/>
      <c r="I62" s="35"/>
      <c r="J62" s="34" t="s">
        <v>431</v>
      </c>
      <c r="K62" s="34" t="s">
        <v>134</v>
      </c>
      <c r="L62" s="34" t="s">
        <v>610</v>
      </c>
    </row>
    <row r="63" spans="1:12" s="2" customFormat="1">
      <c r="A63" s="29"/>
      <c r="B63" s="26" t="s">
        <v>1145</v>
      </c>
      <c r="C63" s="26" t="s">
        <v>136</v>
      </c>
      <c r="D63" s="12" t="s">
        <v>1146</v>
      </c>
      <c r="E63" s="30" t="s">
        <v>243</v>
      </c>
      <c r="F63" s="19"/>
      <c r="G63" s="19" t="s">
        <v>1399</v>
      </c>
      <c r="H63" s="49"/>
      <c r="I63" s="35"/>
      <c r="J63" s="34" t="s">
        <v>431</v>
      </c>
      <c r="K63" s="34" t="s">
        <v>134</v>
      </c>
      <c r="L63" s="34" t="s">
        <v>439</v>
      </c>
    </row>
    <row r="64" spans="1:12" s="1" customFormat="1">
      <c r="A64" s="25"/>
      <c r="B64" s="26" t="s">
        <v>1151</v>
      </c>
      <c r="C64" s="26" t="s">
        <v>136</v>
      </c>
      <c r="D64" s="12" t="s">
        <v>1152</v>
      </c>
      <c r="E64" s="30" t="s">
        <v>243</v>
      </c>
      <c r="F64" s="19"/>
      <c r="G64" s="19" t="s">
        <v>1402</v>
      </c>
      <c r="H64" s="49"/>
      <c r="I64" s="35"/>
      <c r="J64" s="34" t="s">
        <v>431</v>
      </c>
      <c r="K64" s="34" t="s">
        <v>134</v>
      </c>
      <c r="L64" s="34" t="s">
        <v>439</v>
      </c>
    </row>
    <row r="65" spans="1:12" s="1" customFormat="1">
      <c r="A65" s="25"/>
      <c r="B65" s="26" t="s">
        <v>1154</v>
      </c>
      <c r="C65" s="26" t="s">
        <v>136</v>
      </c>
      <c r="D65" s="12" t="s">
        <v>1155</v>
      </c>
      <c r="E65" s="30" t="s">
        <v>243</v>
      </c>
      <c r="F65" s="19"/>
      <c r="G65" s="19" t="s">
        <v>1403</v>
      </c>
      <c r="H65" s="49"/>
      <c r="I65" s="35"/>
      <c r="J65" s="34" t="s">
        <v>431</v>
      </c>
      <c r="K65" s="34" t="s">
        <v>134</v>
      </c>
      <c r="L65" s="34" t="s">
        <v>439</v>
      </c>
    </row>
    <row r="66" spans="1:12" s="1" customFormat="1">
      <c r="A66" s="25"/>
      <c r="B66" s="26" t="s">
        <v>1157</v>
      </c>
      <c r="C66" s="26" t="s">
        <v>136</v>
      </c>
      <c r="D66" s="12" t="s">
        <v>1158</v>
      </c>
      <c r="E66" s="30" t="s">
        <v>243</v>
      </c>
      <c r="F66" s="19"/>
      <c r="G66" s="19" t="s">
        <v>1404</v>
      </c>
      <c r="H66" s="49"/>
      <c r="I66" s="35"/>
      <c r="J66" s="34" t="s">
        <v>431</v>
      </c>
      <c r="K66" s="34" t="s">
        <v>134</v>
      </c>
      <c r="L66" s="34" t="s">
        <v>439</v>
      </c>
    </row>
    <row r="67" spans="1:12" s="1" customFormat="1">
      <c r="A67" s="25"/>
      <c r="B67" s="26" t="s">
        <v>1160</v>
      </c>
      <c r="C67" s="26" t="s">
        <v>136</v>
      </c>
      <c r="D67" s="12" t="s">
        <v>1161</v>
      </c>
      <c r="E67" s="30" t="s">
        <v>243</v>
      </c>
      <c r="F67" s="19"/>
      <c r="G67" s="19" t="s">
        <v>1405</v>
      </c>
      <c r="H67" s="49"/>
      <c r="I67" s="35"/>
      <c r="J67" s="34" t="s">
        <v>431</v>
      </c>
      <c r="K67" s="34" t="s">
        <v>134</v>
      </c>
      <c r="L67" s="34" t="s">
        <v>439</v>
      </c>
    </row>
    <row r="68" spans="1:12" s="1" customFormat="1">
      <c r="A68" s="25"/>
      <c r="B68" s="26" t="s">
        <v>1163</v>
      </c>
      <c r="C68" s="26" t="s">
        <v>136</v>
      </c>
      <c r="D68" s="12" t="s">
        <v>1164</v>
      </c>
      <c r="E68" s="30" t="s">
        <v>243</v>
      </c>
      <c r="F68" s="19"/>
      <c r="G68" s="19" t="s">
        <v>1406</v>
      </c>
      <c r="H68" s="49"/>
      <c r="I68" s="35"/>
      <c r="J68" s="34" t="s">
        <v>431</v>
      </c>
      <c r="K68" s="34" t="s">
        <v>134</v>
      </c>
      <c r="L68" s="34" t="s">
        <v>439</v>
      </c>
    </row>
    <row r="69" spans="1:12" s="1" customFormat="1">
      <c r="A69" s="25"/>
      <c r="B69" s="26" t="s">
        <v>1166</v>
      </c>
      <c r="C69" s="26" t="s">
        <v>136</v>
      </c>
      <c r="D69" s="12" t="s">
        <v>1167</v>
      </c>
      <c r="E69" s="30" t="s">
        <v>243</v>
      </c>
      <c r="F69" s="19"/>
      <c r="G69" s="19" t="s">
        <v>1407</v>
      </c>
      <c r="H69" s="49"/>
      <c r="I69" s="35"/>
      <c r="J69" s="34" t="s">
        <v>431</v>
      </c>
      <c r="K69" s="34" t="s">
        <v>134</v>
      </c>
      <c r="L69" s="34" t="s">
        <v>439</v>
      </c>
    </row>
    <row r="70" spans="1:12" s="1" customFormat="1">
      <c r="A70" s="25"/>
      <c r="B70" s="26" t="s">
        <v>1169</v>
      </c>
      <c r="C70" s="26" t="s">
        <v>136</v>
      </c>
      <c r="D70" s="12" t="s">
        <v>1170</v>
      </c>
      <c r="E70" s="30" t="s">
        <v>243</v>
      </c>
      <c r="F70" s="19"/>
      <c r="G70" s="19" t="s">
        <v>1408</v>
      </c>
      <c r="H70" s="49"/>
      <c r="I70" s="35"/>
      <c r="J70" s="34" t="s">
        <v>431</v>
      </c>
      <c r="K70" s="34" t="s">
        <v>134</v>
      </c>
      <c r="L70" s="34" t="s">
        <v>439</v>
      </c>
    </row>
    <row r="71" spans="1:12">
      <c r="B71" s="26" t="s">
        <v>1172</v>
      </c>
      <c r="C71" s="26" t="s">
        <v>136</v>
      </c>
      <c r="D71" s="12" t="s">
        <v>1173</v>
      </c>
      <c r="E71" s="30" t="s">
        <v>243</v>
      </c>
      <c r="F71" s="19"/>
      <c r="G71" s="19" t="s">
        <v>1409</v>
      </c>
      <c r="H71" s="49"/>
      <c r="I71" s="35"/>
      <c r="J71" s="34" t="s">
        <v>431</v>
      </c>
      <c r="K71" s="34" t="s">
        <v>134</v>
      </c>
      <c r="L71" s="34" t="s">
        <v>439</v>
      </c>
    </row>
    <row r="72" spans="1:12">
      <c r="B72" s="26" t="s">
        <v>1175</v>
      </c>
      <c r="C72" s="26" t="s">
        <v>136</v>
      </c>
      <c r="D72" s="12" t="s">
        <v>1176</v>
      </c>
      <c r="E72" s="30" t="s">
        <v>243</v>
      </c>
      <c r="F72" s="19"/>
      <c r="G72" s="19" t="s">
        <v>1410</v>
      </c>
      <c r="H72" s="49"/>
      <c r="I72" s="35"/>
      <c r="J72" s="34" t="s">
        <v>431</v>
      </c>
      <c r="K72" s="34" t="s">
        <v>134</v>
      </c>
      <c r="L72" s="34" t="s">
        <v>439</v>
      </c>
    </row>
    <row r="73" spans="1:12">
      <c r="B73" s="26" t="s">
        <v>1178</v>
      </c>
      <c r="C73" s="26" t="s">
        <v>136</v>
      </c>
      <c r="D73" s="12" t="s">
        <v>1179</v>
      </c>
      <c r="E73" s="30" t="s">
        <v>243</v>
      </c>
      <c r="F73" s="19"/>
      <c r="G73" s="19" t="s">
        <v>1411</v>
      </c>
      <c r="H73" s="49"/>
      <c r="I73" s="35"/>
      <c r="J73" s="34" t="s">
        <v>431</v>
      </c>
      <c r="K73" s="34" t="s">
        <v>134</v>
      </c>
      <c r="L73" s="34" t="s">
        <v>439</v>
      </c>
    </row>
    <row r="74" spans="1:12">
      <c r="B74" s="26" t="s">
        <v>1181</v>
      </c>
      <c r="C74" s="26" t="s">
        <v>136</v>
      </c>
      <c r="D74" s="12" t="s">
        <v>1182</v>
      </c>
      <c r="E74" s="30" t="s">
        <v>243</v>
      </c>
      <c r="F74" s="19"/>
      <c r="G74" s="19" t="s">
        <v>1412</v>
      </c>
      <c r="H74" s="49"/>
      <c r="I74" s="35"/>
      <c r="J74" s="34" t="s">
        <v>431</v>
      </c>
      <c r="K74" s="34" t="s">
        <v>134</v>
      </c>
      <c r="L74" s="34" t="s">
        <v>439</v>
      </c>
    </row>
    <row r="75" spans="1:12">
      <c r="B75" s="26" t="s">
        <v>1184</v>
      </c>
      <c r="C75" s="26" t="s">
        <v>136</v>
      </c>
      <c r="D75" s="12" t="s">
        <v>1185</v>
      </c>
      <c r="E75" s="30" t="s">
        <v>243</v>
      </c>
      <c r="F75" s="19"/>
      <c r="G75" s="19" t="s">
        <v>1413</v>
      </c>
      <c r="H75" s="49"/>
      <c r="I75" s="35"/>
      <c r="J75" s="34" t="s">
        <v>431</v>
      </c>
      <c r="K75" s="34" t="s">
        <v>134</v>
      </c>
      <c r="L75" s="34" t="s">
        <v>439</v>
      </c>
    </row>
    <row r="76" spans="1:12" s="1" customFormat="1">
      <c r="A76" s="25"/>
      <c r="B76" s="26" t="s">
        <v>1935</v>
      </c>
      <c r="C76" s="26" t="s">
        <v>136</v>
      </c>
      <c r="D76" s="12" t="s">
        <v>855</v>
      </c>
      <c r="E76" s="30" t="s">
        <v>243</v>
      </c>
      <c r="F76" s="19"/>
      <c r="G76" s="19" t="s">
        <v>1353</v>
      </c>
      <c r="H76" s="32"/>
      <c r="I76" s="35"/>
      <c r="J76" s="34" t="s">
        <v>431</v>
      </c>
      <c r="K76" s="34" t="s">
        <v>134</v>
      </c>
      <c r="L76" s="34" t="s">
        <v>439</v>
      </c>
    </row>
    <row r="77" spans="1:12" s="1" customFormat="1">
      <c r="A77" s="25"/>
      <c r="B77" s="26" t="s">
        <v>985</v>
      </c>
      <c r="C77" s="26" t="s">
        <v>136</v>
      </c>
      <c r="D77" s="12" t="s">
        <v>858</v>
      </c>
      <c r="E77" s="30" t="s">
        <v>243</v>
      </c>
      <c r="F77" s="19"/>
      <c r="G77" s="19" t="s">
        <v>1988</v>
      </c>
      <c r="H77" s="32"/>
      <c r="I77" s="35"/>
      <c r="J77" s="34" t="s">
        <v>431</v>
      </c>
      <c r="K77" s="34" t="s">
        <v>134</v>
      </c>
      <c r="L77" s="34" t="s">
        <v>439</v>
      </c>
    </row>
    <row r="78" spans="1:12" s="1" customFormat="1">
      <c r="A78" s="25"/>
      <c r="B78" s="26" t="s">
        <v>986</v>
      </c>
      <c r="C78" s="26" t="s">
        <v>136</v>
      </c>
      <c r="D78" s="12" t="s">
        <v>861</v>
      </c>
      <c r="E78" s="30" t="s">
        <v>243</v>
      </c>
      <c r="F78" s="19"/>
      <c r="G78" s="19" t="s">
        <v>1355</v>
      </c>
      <c r="H78" s="32"/>
      <c r="I78" s="35"/>
      <c r="J78" s="34" t="s">
        <v>431</v>
      </c>
      <c r="K78" s="34" t="s">
        <v>134</v>
      </c>
      <c r="L78" s="34" t="s">
        <v>439</v>
      </c>
    </row>
    <row r="79" spans="1:12" s="1" customFormat="1">
      <c r="A79" s="25"/>
      <c r="B79" s="26" t="s">
        <v>987</v>
      </c>
      <c r="C79" s="26" t="s">
        <v>136</v>
      </c>
      <c r="D79" s="12" t="s">
        <v>864</v>
      </c>
      <c r="E79" s="30" t="s">
        <v>243</v>
      </c>
      <c r="F79" s="19"/>
      <c r="G79" s="19" t="s">
        <v>1356</v>
      </c>
      <c r="H79" s="32"/>
      <c r="I79" s="35"/>
      <c r="J79" s="34" t="s">
        <v>431</v>
      </c>
      <c r="K79" s="34" t="s">
        <v>134</v>
      </c>
      <c r="L79" s="34" t="s">
        <v>439</v>
      </c>
    </row>
    <row r="80" spans="1:12" s="1" customFormat="1">
      <c r="A80" s="25"/>
      <c r="B80" s="26" t="s">
        <v>988</v>
      </c>
      <c r="C80" s="26" t="s">
        <v>136</v>
      </c>
      <c r="D80" s="12" t="s">
        <v>867</v>
      </c>
      <c r="E80" s="30" t="s">
        <v>243</v>
      </c>
      <c r="F80" s="19"/>
      <c r="G80" s="19" t="s">
        <v>1357</v>
      </c>
      <c r="H80" s="32"/>
      <c r="I80" s="35"/>
      <c r="J80" s="34" t="s">
        <v>431</v>
      </c>
      <c r="K80" s="34" t="s">
        <v>134</v>
      </c>
      <c r="L80" s="34" t="s">
        <v>439</v>
      </c>
    </row>
    <row r="81" spans="1:12" s="1" customFormat="1">
      <c r="A81" s="25"/>
      <c r="B81" s="26" t="s">
        <v>989</v>
      </c>
      <c r="C81" s="26" t="s">
        <v>136</v>
      </c>
      <c r="D81" s="12" t="s">
        <v>870</v>
      </c>
      <c r="E81" s="30" t="s">
        <v>243</v>
      </c>
      <c r="F81" s="19"/>
      <c r="G81" s="19" t="s">
        <v>1358</v>
      </c>
      <c r="H81" s="32"/>
      <c r="I81" s="35"/>
      <c r="J81" s="34" t="s">
        <v>431</v>
      </c>
      <c r="K81" s="34" t="s">
        <v>134</v>
      </c>
      <c r="L81" s="34" t="s">
        <v>439</v>
      </c>
    </row>
    <row r="82" spans="1:12" s="1" customFormat="1">
      <c r="A82" s="25"/>
      <c r="B82" s="26" t="s">
        <v>990</v>
      </c>
      <c r="C82" s="26" t="s">
        <v>136</v>
      </c>
      <c r="D82" s="12" t="s">
        <v>873</v>
      </c>
      <c r="E82" s="30" t="s">
        <v>243</v>
      </c>
      <c r="F82" s="19"/>
      <c r="G82" s="19" t="s">
        <v>1359</v>
      </c>
      <c r="H82" s="32"/>
      <c r="I82" s="35"/>
      <c r="J82" s="34" t="s">
        <v>431</v>
      </c>
      <c r="K82" s="34" t="s">
        <v>134</v>
      </c>
      <c r="L82" s="34" t="s">
        <v>439</v>
      </c>
    </row>
    <row r="83" spans="1:12">
      <c r="B83" s="26" t="s">
        <v>1191</v>
      </c>
      <c r="C83" s="26" t="s">
        <v>245</v>
      </c>
      <c r="D83" s="12" t="s">
        <v>1192</v>
      </c>
      <c r="E83" s="30" t="s">
        <v>243</v>
      </c>
      <c r="F83" s="19"/>
      <c r="G83" s="19" t="s">
        <v>1416</v>
      </c>
      <c r="H83" s="49"/>
      <c r="I83" s="35"/>
      <c r="J83" s="34" t="s">
        <v>431</v>
      </c>
      <c r="K83" s="34" t="s">
        <v>134</v>
      </c>
      <c r="L83" s="34" t="s">
        <v>439</v>
      </c>
    </row>
    <row r="84" spans="1:12">
      <c r="B84" s="26" t="s">
        <v>1023</v>
      </c>
      <c r="C84" s="26" t="s">
        <v>136</v>
      </c>
      <c r="D84" s="12" t="s">
        <v>1024</v>
      </c>
      <c r="E84" s="30" t="s">
        <v>243</v>
      </c>
      <c r="F84" s="19"/>
      <c r="G84" s="19" t="s">
        <v>1360</v>
      </c>
      <c r="H84" s="49"/>
      <c r="I84" s="35"/>
      <c r="J84" s="34" t="s">
        <v>431</v>
      </c>
      <c r="K84" s="34" t="s">
        <v>134</v>
      </c>
      <c r="L84" s="34" t="s">
        <v>439</v>
      </c>
    </row>
    <row r="85" spans="1:12">
      <c r="B85" s="26" t="s">
        <v>1197</v>
      </c>
      <c r="C85" s="26" t="s">
        <v>136</v>
      </c>
      <c r="D85" s="12" t="s">
        <v>1198</v>
      </c>
      <c r="E85" s="30" t="s">
        <v>243</v>
      </c>
      <c r="F85" s="19"/>
      <c r="G85" s="19" t="s">
        <v>1418</v>
      </c>
      <c r="H85" s="49"/>
      <c r="I85" s="35"/>
      <c r="J85" s="34" t="s">
        <v>431</v>
      </c>
      <c r="K85" s="34" t="s">
        <v>134</v>
      </c>
      <c r="L85" s="34" t="s">
        <v>439</v>
      </c>
    </row>
    <row r="86" spans="1:12">
      <c r="B86" s="26" t="s">
        <v>1199</v>
      </c>
      <c r="C86" s="26" t="s">
        <v>136</v>
      </c>
      <c r="D86" s="12" t="s">
        <v>1200</v>
      </c>
      <c r="E86" s="30" t="s">
        <v>243</v>
      </c>
      <c r="F86" s="19"/>
      <c r="G86" s="19" t="s">
        <v>1419</v>
      </c>
      <c r="H86" s="49"/>
      <c r="I86" s="35"/>
      <c r="J86" s="34" t="s">
        <v>431</v>
      </c>
      <c r="K86" s="34" t="s">
        <v>134</v>
      </c>
      <c r="L86" s="34" t="s">
        <v>439</v>
      </c>
    </row>
    <row r="87" spans="1:12">
      <c r="B87" s="26" t="s">
        <v>1201</v>
      </c>
      <c r="C87" s="26" t="s">
        <v>136</v>
      </c>
      <c r="D87" s="12" t="s">
        <v>1202</v>
      </c>
      <c r="E87" s="30" t="s">
        <v>243</v>
      </c>
      <c r="F87" s="19"/>
      <c r="G87" s="19" t="s">
        <v>1420</v>
      </c>
      <c r="H87" s="49"/>
      <c r="I87" s="35"/>
      <c r="J87" s="34" t="s">
        <v>431</v>
      </c>
      <c r="K87" s="34" t="s">
        <v>134</v>
      </c>
      <c r="L87" s="34" t="s">
        <v>439</v>
      </c>
    </row>
    <row r="88" spans="1:12">
      <c r="B88" s="26" t="s">
        <v>1203</v>
      </c>
      <c r="C88" s="26" t="s">
        <v>136</v>
      </c>
      <c r="D88" s="12" t="s">
        <v>1204</v>
      </c>
      <c r="E88" s="30" t="s">
        <v>243</v>
      </c>
      <c r="F88" s="19"/>
      <c r="G88" s="19" t="s">
        <v>1421</v>
      </c>
      <c r="H88" s="49"/>
      <c r="I88" s="35"/>
      <c r="J88" s="34" t="s">
        <v>431</v>
      </c>
      <c r="K88" s="34" t="s">
        <v>134</v>
      </c>
      <c r="L88" s="34" t="s">
        <v>439</v>
      </c>
    </row>
    <row r="89" spans="1:12">
      <c r="B89" s="26" t="s">
        <v>1205</v>
      </c>
      <c r="C89" s="26" t="s">
        <v>136</v>
      </c>
      <c r="D89" s="12" t="s">
        <v>1206</v>
      </c>
      <c r="E89" s="30" t="s">
        <v>243</v>
      </c>
      <c r="F89" s="19"/>
      <c r="G89" s="19" t="s">
        <v>1422</v>
      </c>
      <c r="H89" s="49"/>
      <c r="I89" s="35"/>
      <c r="J89" s="34" t="s">
        <v>431</v>
      </c>
      <c r="K89" s="34" t="s">
        <v>134</v>
      </c>
      <c r="L89" s="34" t="s">
        <v>439</v>
      </c>
    </row>
    <row r="90" spans="1:12">
      <c r="B90" s="26" t="s">
        <v>1207</v>
      </c>
      <c r="C90" s="26" t="s">
        <v>136</v>
      </c>
      <c r="D90" s="12" t="s">
        <v>1208</v>
      </c>
      <c r="E90" s="30" t="s">
        <v>243</v>
      </c>
      <c r="F90" s="19"/>
      <c r="G90" s="19" t="s">
        <v>1423</v>
      </c>
      <c r="H90" s="49"/>
      <c r="I90" s="35"/>
      <c r="J90" s="34" t="s">
        <v>431</v>
      </c>
      <c r="K90" s="34" t="s">
        <v>134</v>
      </c>
      <c r="L90" s="34" t="s">
        <v>439</v>
      </c>
    </row>
    <row r="91" spans="1:12">
      <c r="B91" s="26" t="s">
        <v>1209</v>
      </c>
      <c r="C91" s="26" t="s">
        <v>136</v>
      </c>
      <c r="D91" s="12" t="s">
        <v>762</v>
      </c>
      <c r="E91" s="30" t="s">
        <v>243</v>
      </c>
      <c r="F91" s="19"/>
      <c r="G91" s="19" t="s">
        <v>1424</v>
      </c>
      <c r="H91" s="49"/>
      <c r="I91" s="35"/>
      <c r="J91" s="34" t="s">
        <v>431</v>
      </c>
      <c r="K91" s="34" t="s">
        <v>134</v>
      </c>
      <c r="L91" s="34" t="s">
        <v>439</v>
      </c>
    </row>
    <row r="92" spans="1:12">
      <c r="B92" s="26" t="s">
        <v>1211</v>
      </c>
      <c r="C92" s="26" t="s">
        <v>136</v>
      </c>
      <c r="D92" s="12" t="s">
        <v>765</v>
      </c>
      <c r="E92" s="30" t="s">
        <v>243</v>
      </c>
      <c r="F92" s="19"/>
      <c r="G92" s="19" t="s">
        <v>1425</v>
      </c>
      <c r="H92" s="49"/>
      <c r="I92" s="35"/>
      <c r="J92" s="34" t="s">
        <v>431</v>
      </c>
      <c r="K92" s="34" t="s">
        <v>134</v>
      </c>
      <c r="L92" s="34" t="s">
        <v>439</v>
      </c>
    </row>
    <row r="93" spans="1:12">
      <c r="B93" s="26" t="s">
        <v>1213</v>
      </c>
      <c r="C93" s="26" t="s">
        <v>136</v>
      </c>
      <c r="D93" s="12" t="s">
        <v>768</v>
      </c>
      <c r="E93" s="30" t="s">
        <v>243</v>
      </c>
      <c r="F93" s="19"/>
      <c r="G93" s="19" t="s">
        <v>1426</v>
      </c>
      <c r="H93" s="49"/>
      <c r="I93" s="35"/>
      <c r="J93" s="34" t="s">
        <v>431</v>
      </c>
      <c r="K93" s="34" t="s">
        <v>134</v>
      </c>
      <c r="L93" s="34" t="s">
        <v>439</v>
      </c>
    </row>
    <row r="94" spans="1:12">
      <c r="B94" s="26" t="s">
        <v>1215</v>
      </c>
      <c r="C94" s="26" t="s">
        <v>136</v>
      </c>
      <c r="D94" s="12" t="s">
        <v>771</v>
      </c>
      <c r="E94" s="30" t="s">
        <v>243</v>
      </c>
      <c r="F94" s="19"/>
      <c r="G94" s="19" t="s">
        <v>1427</v>
      </c>
      <c r="H94" s="49"/>
      <c r="I94" s="35"/>
      <c r="J94" s="34" t="s">
        <v>431</v>
      </c>
      <c r="K94" s="34" t="s">
        <v>134</v>
      </c>
      <c r="L94" s="34" t="s">
        <v>439</v>
      </c>
    </row>
    <row r="95" spans="1:12">
      <c r="B95" s="26" t="s">
        <v>1217</v>
      </c>
      <c r="C95" s="26" t="s">
        <v>136</v>
      </c>
      <c r="D95" s="12" t="s">
        <v>774</v>
      </c>
      <c r="E95" s="30" t="s">
        <v>243</v>
      </c>
      <c r="F95" s="19"/>
      <c r="G95" s="19" t="s">
        <v>1428</v>
      </c>
      <c r="H95" s="49"/>
      <c r="I95" s="35"/>
      <c r="J95" s="34" t="s">
        <v>431</v>
      </c>
      <c r="K95" s="34" t="s">
        <v>134</v>
      </c>
      <c r="L95" s="34" t="s">
        <v>439</v>
      </c>
    </row>
    <row r="96" spans="1:12">
      <c r="B96" s="26" t="s">
        <v>1219</v>
      </c>
      <c r="C96" s="26" t="s">
        <v>136</v>
      </c>
      <c r="D96" s="12" t="s">
        <v>777</v>
      </c>
      <c r="E96" s="30" t="s">
        <v>243</v>
      </c>
      <c r="F96" s="19"/>
      <c r="G96" s="19" t="s">
        <v>1429</v>
      </c>
      <c r="H96" s="49"/>
      <c r="I96" s="35"/>
      <c r="J96" s="34" t="s">
        <v>431</v>
      </c>
      <c r="K96" s="34" t="s">
        <v>134</v>
      </c>
      <c r="L96" s="34" t="s">
        <v>439</v>
      </c>
    </row>
    <row r="97" spans="1:12">
      <c r="B97" s="49" t="s">
        <v>474</v>
      </c>
      <c r="C97" s="55" t="s">
        <v>136</v>
      </c>
      <c r="D97" s="12" t="s">
        <v>1458</v>
      </c>
      <c r="E97" s="30" t="s">
        <v>243</v>
      </c>
      <c r="F97" s="19"/>
      <c r="G97" s="19" t="s">
        <v>1234</v>
      </c>
      <c r="H97" s="28"/>
      <c r="I97" s="34"/>
      <c r="J97" s="34" t="s">
        <v>431</v>
      </c>
      <c r="K97" s="34" t="s">
        <v>134</v>
      </c>
      <c r="L97" s="34" t="s">
        <v>533</v>
      </c>
    </row>
    <row r="98" spans="1:12">
      <c r="B98" s="49" t="s">
        <v>1235</v>
      </c>
      <c r="C98" s="55" t="s">
        <v>136</v>
      </c>
      <c r="D98" s="12" t="s">
        <v>1459</v>
      </c>
      <c r="E98" s="30" t="s">
        <v>243</v>
      </c>
      <c r="F98" s="19"/>
      <c r="G98" s="19" t="s">
        <v>1436</v>
      </c>
      <c r="H98" s="28"/>
      <c r="I98" s="35"/>
      <c r="J98" s="34" t="s">
        <v>431</v>
      </c>
      <c r="K98" s="34" t="s">
        <v>134</v>
      </c>
      <c r="L98" s="34" t="s">
        <v>439</v>
      </c>
    </row>
    <row r="99" spans="1:12">
      <c r="B99" s="49" t="s">
        <v>468</v>
      </c>
      <c r="C99" s="55" t="s">
        <v>136</v>
      </c>
      <c r="D99" s="12" t="s">
        <v>1460</v>
      </c>
      <c r="E99" s="30" t="s">
        <v>243</v>
      </c>
      <c r="F99" s="19"/>
      <c r="G99" s="19" t="s">
        <v>1331</v>
      </c>
      <c r="H99" s="28"/>
      <c r="I99" s="35"/>
      <c r="J99" s="34" t="s">
        <v>431</v>
      </c>
      <c r="K99" s="34" t="s">
        <v>134</v>
      </c>
      <c r="L99" s="34" t="s">
        <v>533</v>
      </c>
    </row>
    <row r="100" spans="1:12">
      <c r="B100" s="49" t="s">
        <v>904</v>
      </c>
      <c r="C100" s="55" t="s">
        <v>136</v>
      </c>
      <c r="D100" s="12" t="s">
        <v>1461</v>
      </c>
      <c r="E100" s="30" t="s">
        <v>243</v>
      </c>
      <c r="F100" s="19"/>
      <c r="G100" s="19" t="s">
        <v>1332</v>
      </c>
      <c r="H100" s="31"/>
      <c r="I100" s="35"/>
      <c r="J100" s="34" t="s">
        <v>431</v>
      </c>
      <c r="K100" s="34" t="s">
        <v>134</v>
      </c>
      <c r="L100" s="34" t="s">
        <v>439</v>
      </c>
    </row>
    <row r="101" spans="1:12">
      <c r="B101" s="26" t="s">
        <v>471</v>
      </c>
      <c r="C101" s="26" t="s">
        <v>136</v>
      </c>
      <c r="D101" s="12" t="s">
        <v>913</v>
      </c>
      <c r="E101" s="30" t="s">
        <v>243</v>
      </c>
      <c r="F101" s="19"/>
      <c r="G101" s="19" t="s">
        <v>914</v>
      </c>
      <c r="H101" s="28"/>
      <c r="I101" s="33"/>
      <c r="J101" s="34" t="s">
        <v>431</v>
      </c>
      <c r="K101" s="34" t="s">
        <v>134</v>
      </c>
      <c r="L101" s="34" t="s">
        <v>533</v>
      </c>
    </row>
    <row r="102" spans="1:12">
      <c r="B102" s="26" t="s">
        <v>915</v>
      </c>
      <c r="C102" s="26" t="s">
        <v>136</v>
      </c>
      <c r="D102" s="12" t="s">
        <v>916</v>
      </c>
      <c r="E102" s="30" t="s">
        <v>243</v>
      </c>
      <c r="F102" s="19"/>
      <c r="G102" s="19" t="s">
        <v>1335</v>
      </c>
      <c r="H102" s="28"/>
      <c r="I102" s="33"/>
      <c r="J102" s="34" t="s">
        <v>431</v>
      </c>
      <c r="K102" s="34" t="s">
        <v>134</v>
      </c>
      <c r="L102" s="34" t="s">
        <v>439</v>
      </c>
    </row>
    <row r="103" spans="1:12">
      <c r="B103" s="26" t="s">
        <v>477</v>
      </c>
      <c r="C103" s="26" t="s">
        <v>136</v>
      </c>
      <c r="D103" s="12" t="s">
        <v>925</v>
      </c>
      <c r="E103" s="30" t="s">
        <v>243</v>
      </c>
      <c r="F103" s="19"/>
      <c r="G103" s="19" t="s">
        <v>926</v>
      </c>
      <c r="H103" s="28"/>
      <c r="I103" s="33"/>
      <c r="J103" s="34" t="s">
        <v>431</v>
      </c>
      <c r="K103" s="34" t="s">
        <v>134</v>
      </c>
      <c r="L103" s="34" t="s">
        <v>533</v>
      </c>
    </row>
    <row r="104" spans="1:12">
      <c r="B104" s="26" t="s">
        <v>927</v>
      </c>
      <c r="C104" s="26" t="s">
        <v>136</v>
      </c>
      <c r="D104" s="12" t="s">
        <v>928</v>
      </c>
      <c r="E104" s="30" t="s">
        <v>243</v>
      </c>
      <c r="F104" s="19"/>
      <c r="G104" s="19" t="s">
        <v>1338</v>
      </c>
      <c r="H104" s="28"/>
      <c r="I104" s="33"/>
      <c r="J104" s="34" t="s">
        <v>431</v>
      </c>
      <c r="K104" s="34" t="s">
        <v>134</v>
      </c>
      <c r="L104" s="34" t="s">
        <v>439</v>
      </c>
    </row>
    <row r="105" spans="1:12" s="1" customFormat="1">
      <c r="A105" s="25"/>
      <c r="B105" s="26" t="s">
        <v>1247</v>
      </c>
      <c r="C105" s="26" t="s">
        <v>136</v>
      </c>
      <c r="D105" s="12" t="s">
        <v>780</v>
      </c>
      <c r="E105" s="30" t="s">
        <v>243</v>
      </c>
      <c r="F105" s="31"/>
      <c r="G105" s="19" t="s">
        <v>1440</v>
      </c>
      <c r="H105" s="30"/>
      <c r="I105" s="33"/>
      <c r="J105" s="34" t="s">
        <v>431</v>
      </c>
      <c r="K105" s="34" t="s">
        <v>134</v>
      </c>
      <c r="L105" s="34" t="s">
        <v>439</v>
      </c>
    </row>
    <row r="106" spans="1:12" s="1" customFormat="1">
      <c r="A106" s="25"/>
      <c r="B106" s="26" t="s">
        <v>1249</v>
      </c>
      <c r="C106" s="26" t="s">
        <v>136</v>
      </c>
      <c r="D106" s="12" t="s">
        <v>782</v>
      </c>
      <c r="E106" s="30" t="s">
        <v>243</v>
      </c>
      <c r="F106" s="31"/>
      <c r="G106" s="19" t="s">
        <v>1441</v>
      </c>
      <c r="H106" s="30"/>
      <c r="I106" s="33"/>
      <c r="J106" s="34" t="s">
        <v>431</v>
      </c>
      <c r="K106" s="34" t="s">
        <v>134</v>
      </c>
      <c r="L106" s="34" t="s">
        <v>439</v>
      </c>
    </row>
    <row r="107" spans="1:12" s="1" customFormat="1">
      <c r="A107" s="25"/>
      <c r="B107" s="26" t="s">
        <v>1251</v>
      </c>
      <c r="C107" s="26" t="s">
        <v>136</v>
      </c>
      <c r="D107" s="12" t="s">
        <v>784</v>
      </c>
      <c r="E107" s="30" t="s">
        <v>243</v>
      </c>
      <c r="F107" s="31"/>
      <c r="G107" s="19" t="s">
        <v>1442</v>
      </c>
      <c r="H107" s="30"/>
      <c r="I107" s="33"/>
      <c r="J107" s="34" t="s">
        <v>431</v>
      </c>
      <c r="K107" s="34" t="s">
        <v>134</v>
      </c>
      <c r="L107" s="34" t="s">
        <v>439</v>
      </c>
    </row>
    <row r="108" spans="1:12" s="1" customFormat="1">
      <c r="A108" s="25"/>
      <c r="B108" s="26" t="s">
        <v>1253</v>
      </c>
      <c r="C108" s="26" t="s">
        <v>136</v>
      </c>
      <c r="D108" s="12" t="s">
        <v>786</v>
      </c>
      <c r="E108" s="30" t="s">
        <v>243</v>
      </c>
      <c r="F108" s="31"/>
      <c r="G108" s="19" t="s">
        <v>1443</v>
      </c>
      <c r="H108" s="30"/>
      <c r="I108" s="33"/>
      <c r="J108" s="34" t="s">
        <v>431</v>
      </c>
      <c r="K108" s="34" t="s">
        <v>134</v>
      </c>
      <c r="L108" s="34" t="s">
        <v>439</v>
      </c>
    </row>
    <row r="109" spans="1:12" s="1" customFormat="1">
      <c r="A109" s="25"/>
      <c r="B109" s="26" t="s">
        <v>1255</v>
      </c>
      <c r="C109" s="26" t="s">
        <v>136</v>
      </c>
      <c r="D109" s="12" t="s">
        <v>788</v>
      </c>
      <c r="E109" s="30" t="s">
        <v>243</v>
      </c>
      <c r="F109" s="31"/>
      <c r="G109" s="19" t="s">
        <v>1444</v>
      </c>
      <c r="H109" s="30"/>
      <c r="I109" s="33"/>
      <c r="J109" s="34" t="s">
        <v>431</v>
      </c>
      <c r="K109" s="34" t="s">
        <v>134</v>
      </c>
      <c r="L109" s="34" t="s">
        <v>439</v>
      </c>
    </row>
    <row r="110" spans="1:12" s="1" customFormat="1">
      <c r="A110" s="25"/>
      <c r="B110" s="26" t="s">
        <v>1257</v>
      </c>
      <c r="C110" s="26" t="s">
        <v>136</v>
      </c>
      <c r="D110" s="12" t="s">
        <v>790</v>
      </c>
      <c r="E110" s="30" t="s">
        <v>243</v>
      </c>
      <c r="F110" s="31"/>
      <c r="G110" s="19" t="s">
        <v>1445</v>
      </c>
      <c r="H110" s="30"/>
      <c r="I110" s="33"/>
      <c r="J110" s="34" t="s">
        <v>431</v>
      </c>
      <c r="K110" s="34" t="s">
        <v>134</v>
      </c>
      <c r="L110" s="34" t="s">
        <v>439</v>
      </c>
    </row>
    <row r="111" spans="1:12" s="1" customFormat="1">
      <c r="A111" s="25"/>
      <c r="B111" s="26" t="s">
        <v>1259</v>
      </c>
      <c r="C111" s="26" t="s">
        <v>136</v>
      </c>
      <c r="D111" s="12" t="s">
        <v>792</v>
      </c>
      <c r="E111" s="30" t="s">
        <v>243</v>
      </c>
      <c r="F111" s="31"/>
      <c r="G111" s="19" t="s">
        <v>1446</v>
      </c>
      <c r="H111" s="30"/>
      <c r="I111" s="33"/>
      <c r="J111" s="34" t="s">
        <v>431</v>
      </c>
      <c r="K111" s="34" t="s">
        <v>134</v>
      </c>
      <c r="L111" s="34" t="s">
        <v>439</v>
      </c>
    </row>
    <row r="112" spans="1:12" s="1" customFormat="1">
      <c r="A112" s="25"/>
      <c r="B112" s="26" t="s">
        <v>1261</v>
      </c>
      <c r="C112" s="26" t="s">
        <v>136</v>
      </c>
      <c r="D112" s="12" t="s">
        <v>794</v>
      </c>
      <c r="E112" s="30" t="s">
        <v>243</v>
      </c>
      <c r="F112" s="31"/>
      <c r="G112" s="19" t="s">
        <v>1447</v>
      </c>
      <c r="H112" s="30"/>
      <c r="I112" s="33"/>
      <c r="J112" s="34" t="s">
        <v>431</v>
      </c>
      <c r="K112" s="34" t="s">
        <v>134</v>
      </c>
      <c r="L112" s="34" t="s">
        <v>439</v>
      </c>
    </row>
    <row r="113" spans="1:12" s="1" customFormat="1">
      <c r="A113" s="25"/>
      <c r="B113" s="26" t="s">
        <v>1263</v>
      </c>
      <c r="C113" s="26" t="s">
        <v>136</v>
      </c>
      <c r="D113" s="12" t="s">
        <v>796</v>
      </c>
      <c r="E113" s="30" t="s">
        <v>243</v>
      </c>
      <c r="F113" s="31"/>
      <c r="G113" s="19" t="s">
        <v>1448</v>
      </c>
      <c r="H113" s="30"/>
      <c r="I113" s="33"/>
      <c r="J113" s="34" t="s">
        <v>431</v>
      </c>
      <c r="K113" s="34" t="s">
        <v>134</v>
      </c>
      <c r="L113" s="34" t="s">
        <v>439</v>
      </c>
    </row>
    <row r="114" spans="1:12" s="1" customFormat="1">
      <c r="A114" s="25"/>
      <c r="B114" s="26" t="s">
        <v>1265</v>
      </c>
      <c r="C114" s="26" t="s">
        <v>136</v>
      </c>
      <c r="D114" s="12" t="s">
        <v>798</v>
      </c>
      <c r="E114" s="30" t="s">
        <v>243</v>
      </c>
      <c r="F114" s="31"/>
      <c r="G114" s="19" t="s">
        <v>1449</v>
      </c>
      <c r="H114" s="30"/>
      <c r="I114" s="33"/>
      <c r="J114" s="34" t="s">
        <v>431</v>
      </c>
      <c r="K114" s="34" t="s">
        <v>134</v>
      </c>
      <c r="L114" s="34" t="s">
        <v>439</v>
      </c>
    </row>
    <row r="115" spans="1:12" s="1" customFormat="1">
      <c r="A115" s="25"/>
      <c r="B115" s="26" t="s">
        <v>1267</v>
      </c>
      <c r="C115" s="26" t="s">
        <v>136</v>
      </c>
      <c r="D115" s="12" t="s">
        <v>800</v>
      </c>
      <c r="E115" s="30" t="s">
        <v>243</v>
      </c>
      <c r="F115" s="31"/>
      <c r="G115" s="19" t="s">
        <v>1450</v>
      </c>
      <c r="H115" s="30"/>
      <c r="I115" s="33"/>
      <c r="J115" s="34" t="s">
        <v>431</v>
      </c>
      <c r="K115" s="34" t="s">
        <v>134</v>
      </c>
      <c r="L115" s="34" t="s">
        <v>439</v>
      </c>
    </row>
    <row r="116" spans="1:12" s="1" customFormat="1">
      <c r="A116" s="25"/>
      <c r="B116" s="26" t="s">
        <v>1268</v>
      </c>
      <c r="C116" s="26" t="s">
        <v>136</v>
      </c>
      <c r="D116" s="12" t="s">
        <v>802</v>
      </c>
      <c r="E116" s="30" t="s">
        <v>243</v>
      </c>
      <c r="F116" s="31"/>
      <c r="G116" s="19" t="s">
        <v>1451</v>
      </c>
      <c r="H116" s="30"/>
      <c r="I116" s="33"/>
      <c r="J116" s="34" t="s">
        <v>431</v>
      </c>
      <c r="K116" s="34" t="s">
        <v>134</v>
      </c>
      <c r="L116" s="34" t="s">
        <v>439</v>
      </c>
    </row>
    <row r="117" spans="1:12" s="1" customFormat="1">
      <c r="A117" s="25"/>
      <c r="B117" s="26" t="s">
        <v>1270</v>
      </c>
      <c r="C117" s="26" t="s">
        <v>136</v>
      </c>
      <c r="D117" s="12" t="s">
        <v>804</v>
      </c>
      <c r="E117" s="30" t="s">
        <v>243</v>
      </c>
      <c r="F117" s="31"/>
      <c r="G117" s="19" t="s">
        <v>1452</v>
      </c>
      <c r="H117" s="30"/>
      <c r="I117" s="33"/>
      <c r="J117" s="34" t="s">
        <v>431</v>
      </c>
      <c r="K117" s="34" t="s">
        <v>134</v>
      </c>
      <c r="L117" s="34" t="s">
        <v>439</v>
      </c>
    </row>
    <row r="118" spans="1:12" s="1" customFormat="1">
      <c r="A118" s="25"/>
      <c r="B118" s="26" t="s">
        <v>1272</v>
      </c>
      <c r="C118" s="26" t="s">
        <v>136</v>
      </c>
      <c r="D118" s="12" t="s">
        <v>1273</v>
      </c>
      <c r="E118" s="30" t="s">
        <v>243</v>
      </c>
      <c r="F118" s="31"/>
      <c r="G118" s="19" t="s">
        <v>2017</v>
      </c>
      <c r="H118" s="30"/>
      <c r="I118" s="33"/>
      <c r="J118" s="34" t="s">
        <v>431</v>
      </c>
      <c r="K118" s="34" t="s">
        <v>134</v>
      </c>
      <c r="L118" s="34" t="s">
        <v>439</v>
      </c>
    </row>
    <row r="119" spans="1:12">
      <c r="B119" s="50" t="s">
        <v>233</v>
      </c>
      <c r="C119" s="51" t="s">
        <v>139</v>
      </c>
      <c r="D119" s="37" t="s">
        <v>234</v>
      </c>
      <c r="E119" s="52"/>
      <c r="F119" s="50"/>
      <c r="G119" s="50"/>
      <c r="H119" s="50"/>
      <c r="I119" s="50"/>
      <c r="J119" s="50"/>
      <c r="K119" s="50"/>
      <c r="L119" s="50"/>
    </row>
    <row r="120" spans="1:12">
      <c r="B120" s="50" t="s">
        <v>235</v>
      </c>
      <c r="C120" s="51" t="s">
        <v>132</v>
      </c>
      <c r="D120" s="37" t="s">
        <v>236</v>
      </c>
      <c r="E120" s="52"/>
      <c r="F120" s="50"/>
      <c r="G120" s="50"/>
      <c r="H120" s="50"/>
      <c r="I120" s="50"/>
      <c r="J120" s="50"/>
      <c r="K120" s="50"/>
      <c r="L120" s="50"/>
    </row>
    <row r="121" spans="1:12">
      <c r="B121" s="50" t="s">
        <v>237</v>
      </c>
      <c r="C121" s="51" t="s">
        <v>139</v>
      </c>
      <c r="D121" s="37" t="s">
        <v>238</v>
      </c>
      <c r="E121" s="52"/>
      <c r="F121" s="50"/>
      <c r="G121" s="50"/>
      <c r="H121" s="50"/>
      <c r="I121" s="50"/>
      <c r="J121" s="50"/>
      <c r="K121" s="50"/>
      <c r="L121" s="50"/>
    </row>
  </sheetData>
  <autoFilter ref="A14:N70" xr:uid="{00000000-0009-0000-0000-00000F000000}"/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89"/>
  <sheetViews>
    <sheetView zoomScale="85" zoomScaleNormal="85" workbookViewId="0">
      <pane ySplit="5" topLeftCell="A6" activePane="bottomLeft" state="frozen"/>
      <selection pane="bottomLeft" activeCell="C9" sqref="C9:D9"/>
    </sheetView>
  </sheetViews>
  <sheetFormatPr defaultColWidth="9" defaultRowHeight="13.2"/>
  <cols>
    <col min="1" max="1" width="1.33203125" style="5" customWidth="1"/>
    <col min="2" max="2" width="23.6640625" style="5" customWidth="1"/>
    <col min="3" max="3" width="32.33203125" style="5" customWidth="1"/>
    <col min="4" max="4" width="32.21875" style="5" customWidth="1"/>
    <col min="5" max="5" width="16.21875" style="5" customWidth="1"/>
    <col min="6" max="6" width="24.88671875" style="5" customWidth="1"/>
    <col min="7" max="7" width="39.5546875" style="5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2:14">
      <c r="B1" s="7" t="str">
        <f>HYPERLINK("#导航!a2","返回")</f>
        <v>返回</v>
      </c>
    </row>
    <row r="2" spans="2:14">
      <c r="B2" s="156"/>
      <c r="C2" s="156"/>
      <c r="D2" s="156"/>
      <c r="E2" s="156"/>
      <c r="F2" s="156"/>
      <c r="G2" s="156"/>
      <c r="H2" s="156"/>
    </row>
    <row r="3" spans="2:14">
      <c r="B3" s="157" t="s">
        <v>106</v>
      </c>
      <c r="C3" s="157"/>
      <c r="D3" s="157"/>
      <c r="E3" s="157"/>
      <c r="F3" s="157"/>
      <c r="G3" s="157"/>
      <c r="H3" s="157"/>
    </row>
    <row r="4" spans="2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2:14">
      <c r="B5" s="11" t="s">
        <v>68</v>
      </c>
      <c r="C5" s="12" t="s">
        <v>2371</v>
      </c>
      <c r="D5" s="13" t="s">
        <v>1462</v>
      </c>
      <c r="E5" s="14" t="s">
        <v>383</v>
      </c>
      <c r="F5" s="15"/>
      <c r="G5" s="14"/>
      <c r="H5" s="14"/>
      <c r="N5" s="5"/>
    </row>
    <row r="6" spans="2:14">
      <c r="B6" s="8"/>
      <c r="C6" s="8"/>
      <c r="D6" s="8"/>
      <c r="E6" s="8"/>
      <c r="F6" s="8"/>
      <c r="G6" s="8"/>
      <c r="H6" s="8"/>
    </row>
    <row r="7" spans="2:14">
      <c r="B7" s="157" t="s">
        <v>113</v>
      </c>
      <c r="C7" s="157"/>
      <c r="D7" s="157"/>
      <c r="E7" s="157"/>
      <c r="F7" s="157"/>
      <c r="G7" s="157"/>
      <c r="H7" s="157"/>
    </row>
    <row r="8" spans="2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2:14" ht="123.6" customHeight="1">
      <c r="B9" s="14"/>
      <c r="C9" s="12" t="s">
        <v>66</v>
      </c>
      <c r="D9" s="13" t="s">
        <v>67</v>
      </c>
      <c r="E9" s="14" t="s">
        <v>243</v>
      </c>
      <c r="F9" s="162" t="s">
        <v>1463</v>
      </c>
      <c r="G9" s="162"/>
      <c r="H9" s="21"/>
    </row>
    <row r="10" spans="2:14">
      <c r="B10" s="14"/>
      <c r="C10" s="12"/>
      <c r="D10" s="12"/>
      <c r="E10" s="14"/>
      <c r="F10" s="19"/>
      <c r="G10" s="19"/>
      <c r="H10" s="14"/>
    </row>
    <row r="11" spans="2:14">
      <c r="G11" s="48"/>
    </row>
    <row r="12" spans="2:14">
      <c r="B12" s="5" t="s">
        <v>120</v>
      </c>
    </row>
    <row r="13" spans="2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2:14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2:14" s="2" customFormat="1">
      <c r="B15" s="49" t="s">
        <v>273</v>
      </c>
      <c r="C15" s="49" t="s">
        <v>139</v>
      </c>
      <c r="D15" s="12" t="s">
        <v>274</v>
      </c>
      <c r="E15" s="30" t="s">
        <v>243</v>
      </c>
      <c r="F15" s="19" t="s">
        <v>233</v>
      </c>
      <c r="G15" s="19" t="s">
        <v>250</v>
      </c>
      <c r="H15" s="32"/>
      <c r="I15" s="34"/>
      <c r="J15" s="34" t="s">
        <v>384</v>
      </c>
      <c r="K15" s="34" t="s">
        <v>134</v>
      </c>
      <c r="L15" s="34" t="s">
        <v>134</v>
      </c>
    </row>
    <row r="16" spans="2:14" s="2" customFormat="1">
      <c r="B16" s="49" t="s">
        <v>383</v>
      </c>
      <c r="C16" s="49" t="s">
        <v>132</v>
      </c>
      <c r="D16" s="12" t="s">
        <v>480</v>
      </c>
      <c r="E16" s="30" t="s">
        <v>243</v>
      </c>
      <c r="F16" s="19" t="s">
        <v>235</v>
      </c>
      <c r="G16" s="19" t="s">
        <v>250</v>
      </c>
      <c r="H16" s="32"/>
      <c r="I16" s="34"/>
      <c r="J16" s="34" t="s">
        <v>384</v>
      </c>
      <c r="K16" s="34" t="s">
        <v>134</v>
      </c>
      <c r="L16" s="34" t="s">
        <v>134</v>
      </c>
    </row>
    <row r="17" spans="1:12" s="2" customFormat="1">
      <c r="A17" s="29"/>
      <c r="B17" s="49" t="s">
        <v>257</v>
      </c>
      <c r="C17" s="49" t="s">
        <v>132</v>
      </c>
      <c r="D17" s="12" t="s">
        <v>280</v>
      </c>
      <c r="E17" s="30" t="s">
        <v>243</v>
      </c>
      <c r="F17" s="19" t="s">
        <v>257</v>
      </c>
      <c r="G17" s="19" t="s">
        <v>250</v>
      </c>
      <c r="H17" s="49"/>
      <c r="I17" s="35"/>
      <c r="J17" s="34" t="s">
        <v>384</v>
      </c>
      <c r="K17" s="34" t="s">
        <v>134</v>
      </c>
      <c r="L17" s="34" t="s">
        <v>134</v>
      </c>
    </row>
    <row r="18" spans="1:12" s="2" customFormat="1">
      <c r="A18" s="29"/>
      <c r="B18" s="49" t="s">
        <v>251</v>
      </c>
      <c r="C18" s="49" t="s">
        <v>132</v>
      </c>
      <c r="D18" s="12" t="s">
        <v>252</v>
      </c>
      <c r="E18" s="30" t="s">
        <v>243</v>
      </c>
      <c r="F18" s="19" t="s">
        <v>251</v>
      </c>
      <c r="G18" s="19" t="s">
        <v>250</v>
      </c>
      <c r="H18" s="49"/>
      <c r="I18" s="35"/>
      <c r="J18" s="34" t="s">
        <v>384</v>
      </c>
      <c r="K18" s="34" t="s">
        <v>134</v>
      </c>
      <c r="L18" s="34" t="s">
        <v>134</v>
      </c>
    </row>
    <row r="19" spans="1:12" s="2" customFormat="1">
      <c r="A19" s="29"/>
      <c r="B19" s="49" t="s">
        <v>254</v>
      </c>
      <c r="C19" s="49" t="s">
        <v>132</v>
      </c>
      <c r="D19" s="12" t="s">
        <v>495</v>
      </c>
      <c r="E19" s="30" t="s">
        <v>243</v>
      </c>
      <c r="F19" s="19" t="s">
        <v>254</v>
      </c>
      <c r="G19" s="19" t="s">
        <v>250</v>
      </c>
      <c r="H19" s="49"/>
      <c r="I19" s="35"/>
      <c r="J19" s="34" t="s">
        <v>384</v>
      </c>
      <c r="K19" s="34" t="s">
        <v>134</v>
      </c>
      <c r="L19" s="34" t="s">
        <v>134</v>
      </c>
    </row>
    <row r="20" spans="1:12" s="2" customFormat="1">
      <c r="A20" s="29"/>
      <c r="B20" s="14" t="s">
        <v>211</v>
      </c>
      <c r="C20" s="14" t="s">
        <v>139</v>
      </c>
      <c r="D20" s="12" t="s">
        <v>496</v>
      </c>
      <c r="E20" s="30" t="s">
        <v>243</v>
      </c>
      <c r="F20" s="19" t="s">
        <v>211</v>
      </c>
      <c r="G20" s="19" t="s">
        <v>250</v>
      </c>
      <c r="H20" s="32"/>
      <c r="I20" s="35"/>
      <c r="J20" s="34" t="s">
        <v>384</v>
      </c>
      <c r="K20" s="34" t="s">
        <v>134</v>
      </c>
      <c r="L20" s="34" t="s">
        <v>134</v>
      </c>
    </row>
    <row r="21" spans="1:12" s="2" customFormat="1">
      <c r="A21" s="29"/>
      <c r="B21" s="14" t="s">
        <v>371</v>
      </c>
      <c r="C21" s="14" t="s">
        <v>139</v>
      </c>
      <c r="D21" s="12" t="s">
        <v>497</v>
      </c>
      <c r="E21" s="30" t="s">
        <v>243</v>
      </c>
      <c r="F21" s="19" t="s">
        <v>371</v>
      </c>
      <c r="G21" s="19" t="s">
        <v>250</v>
      </c>
      <c r="H21" s="32"/>
      <c r="I21" s="35"/>
      <c r="J21" s="34" t="s">
        <v>384</v>
      </c>
      <c r="K21" s="34" t="s">
        <v>134</v>
      </c>
      <c r="L21" s="34" t="s">
        <v>134</v>
      </c>
    </row>
    <row r="22" spans="1:12" s="2" customFormat="1">
      <c r="A22" s="29"/>
      <c r="B22" s="14" t="s">
        <v>373</v>
      </c>
      <c r="C22" s="14" t="s">
        <v>139</v>
      </c>
      <c r="D22" s="12" t="s">
        <v>498</v>
      </c>
      <c r="E22" s="30" t="s">
        <v>243</v>
      </c>
      <c r="F22" s="19" t="s">
        <v>373</v>
      </c>
      <c r="G22" s="19" t="s">
        <v>250</v>
      </c>
      <c r="H22" s="32"/>
      <c r="I22" s="35"/>
      <c r="J22" s="34" t="s">
        <v>384</v>
      </c>
      <c r="K22" s="34" t="s">
        <v>134</v>
      </c>
      <c r="L22" s="34" t="s">
        <v>134</v>
      </c>
    </row>
    <row r="23" spans="1:12" s="2" customFormat="1">
      <c r="A23" s="29"/>
      <c r="B23" s="49" t="s">
        <v>811</v>
      </c>
      <c r="C23" s="49" t="s">
        <v>136</v>
      </c>
      <c r="D23" s="12" t="s">
        <v>530</v>
      </c>
      <c r="E23" s="30" t="s">
        <v>243</v>
      </c>
      <c r="F23" s="19"/>
      <c r="G23" s="19" t="s">
        <v>1306</v>
      </c>
      <c r="H23" s="49"/>
      <c r="I23" s="35"/>
      <c r="J23" s="34" t="s">
        <v>431</v>
      </c>
      <c r="K23" s="34" t="s">
        <v>134</v>
      </c>
      <c r="L23" s="34" t="s">
        <v>439</v>
      </c>
    </row>
    <row r="24" spans="1:12" s="2" customFormat="1">
      <c r="A24" s="29"/>
      <c r="B24" s="14" t="s">
        <v>814</v>
      </c>
      <c r="C24" s="14" t="s">
        <v>136</v>
      </c>
      <c r="D24" s="12" t="s">
        <v>532</v>
      </c>
      <c r="E24" s="30" t="s">
        <v>243</v>
      </c>
      <c r="F24" s="19"/>
      <c r="G24" s="19" t="s">
        <v>1307</v>
      </c>
      <c r="H24" s="49"/>
      <c r="I24" s="35"/>
      <c r="J24" s="34" t="s">
        <v>431</v>
      </c>
      <c r="K24" s="34" t="s">
        <v>134</v>
      </c>
      <c r="L24" s="34" t="s">
        <v>533</v>
      </c>
    </row>
    <row r="25" spans="1:12" s="2" customFormat="1">
      <c r="A25" s="29"/>
      <c r="B25" s="14" t="s">
        <v>820</v>
      </c>
      <c r="C25" s="14" t="s">
        <v>136</v>
      </c>
      <c r="D25" s="12" t="s">
        <v>534</v>
      </c>
      <c r="E25" s="30" t="s">
        <v>243</v>
      </c>
      <c r="F25" s="19"/>
      <c r="G25" s="19" t="s">
        <v>1309</v>
      </c>
      <c r="H25" s="49"/>
      <c r="I25" s="35"/>
      <c r="J25" s="34" t="s">
        <v>431</v>
      </c>
      <c r="K25" s="34" t="s">
        <v>134</v>
      </c>
      <c r="L25" s="34" t="s">
        <v>439</v>
      </c>
    </row>
    <row r="26" spans="1:12" s="2" customFormat="1">
      <c r="A26" s="29"/>
      <c r="B26" s="14" t="s">
        <v>1069</v>
      </c>
      <c r="C26" s="14" t="s">
        <v>136</v>
      </c>
      <c r="D26" s="12" t="s">
        <v>1070</v>
      </c>
      <c r="E26" s="30" t="s">
        <v>243</v>
      </c>
      <c r="F26" s="19"/>
      <c r="G26" s="19" t="s">
        <v>1371</v>
      </c>
      <c r="H26" s="49"/>
      <c r="I26" s="35"/>
      <c r="J26" s="34" t="s">
        <v>431</v>
      </c>
      <c r="K26" s="34" t="s">
        <v>134</v>
      </c>
      <c r="L26" s="34" t="s">
        <v>439</v>
      </c>
    </row>
    <row r="27" spans="1:12" s="2" customFormat="1">
      <c r="A27" s="29"/>
      <c r="B27" s="49" t="s">
        <v>1072</v>
      </c>
      <c r="C27" s="49" t="s">
        <v>136</v>
      </c>
      <c r="D27" s="12" t="s">
        <v>1073</v>
      </c>
      <c r="E27" s="30" t="s">
        <v>243</v>
      </c>
      <c r="F27" s="19"/>
      <c r="G27" s="19" t="s">
        <v>1372</v>
      </c>
      <c r="H27" s="49"/>
      <c r="I27" s="35"/>
      <c r="J27" s="34" t="s">
        <v>431</v>
      </c>
      <c r="K27" s="34" t="s">
        <v>134</v>
      </c>
      <c r="L27" s="34" t="s">
        <v>439</v>
      </c>
    </row>
    <row r="28" spans="1:12" s="2" customFormat="1">
      <c r="B28" s="49" t="s">
        <v>1075</v>
      </c>
      <c r="C28" s="49" t="s">
        <v>136</v>
      </c>
      <c r="D28" s="12" t="s">
        <v>1076</v>
      </c>
      <c r="E28" s="30" t="s">
        <v>243</v>
      </c>
      <c r="F28" s="19"/>
      <c r="G28" s="19" t="s">
        <v>1373</v>
      </c>
      <c r="H28" s="49"/>
      <c r="I28" s="35"/>
      <c r="J28" s="34" t="s">
        <v>431</v>
      </c>
      <c r="K28" s="34" t="s">
        <v>134</v>
      </c>
      <c r="L28" s="34" t="s">
        <v>439</v>
      </c>
    </row>
    <row r="29" spans="1:12" s="2" customFormat="1">
      <c r="B29" s="49" t="s">
        <v>1078</v>
      </c>
      <c r="C29" s="49" t="s">
        <v>136</v>
      </c>
      <c r="D29" s="12" t="s">
        <v>1079</v>
      </c>
      <c r="E29" s="30" t="s">
        <v>243</v>
      </c>
      <c r="F29" s="19"/>
      <c r="G29" s="19" t="s">
        <v>1374</v>
      </c>
      <c r="H29" s="49"/>
      <c r="I29" s="35"/>
      <c r="J29" s="34" t="s">
        <v>431</v>
      </c>
      <c r="K29" s="34" t="s">
        <v>134</v>
      </c>
      <c r="L29" s="34" t="s">
        <v>439</v>
      </c>
    </row>
    <row r="30" spans="1:12" s="29" customFormat="1">
      <c r="B30" s="49" t="s">
        <v>1080</v>
      </c>
      <c r="C30" s="49" t="s">
        <v>136</v>
      </c>
      <c r="D30" s="54" t="s">
        <v>1081</v>
      </c>
      <c r="E30" s="30" t="s">
        <v>243</v>
      </c>
      <c r="F30" s="19"/>
      <c r="G30" s="19" t="s">
        <v>1375</v>
      </c>
      <c r="H30" s="49"/>
      <c r="I30" s="35"/>
      <c r="J30" s="34" t="s">
        <v>431</v>
      </c>
      <c r="K30" s="34" t="s">
        <v>134</v>
      </c>
      <c r="L30" s="34" t="s">
        <v>439</v>
      </c>
    </row>
    <row r="31" spans="1:12" s="29" customFormat="1">
      <c r="B31" s="49" t="s">
        <v>1082</v>
      </c>
      <c r="C31" s="49" t="s">
        <v>136</v>
      </c>
      <c r="D31" s="12" t="s">
        <v>1083</v>
      </c>
      <c r="E31" s="30" t="s">
        <v>243</v>
      </c>
      <c r="F31" s="19"/>
      <c r="G31" s="19" t="s">
        <v>1376</v>
      </c>
      <c r="H31" s="49"/>
      <c r="I31" s="35"/>
      <c r="J31" s="34" t="s">
        <v>431</v>
      </c>
      <c r="K31" s="34" t="s">
        <v>134</v>
      </c>
      <c r="L31" s="34" t="s">
        <v>439</v>
      </c>
    </row>
    <row r="32" spans="1:12" s="1" customFormat="1">
      <c r="A32" s="25"/>
      <c r="B32" s="26" t="s">
        <v>1085</v>
      </c>
      <c r="C32" s="26" t="s">
        <v>136</v>
      </c>
      <c r="D32" s="12" t="s">
        <v>1086</v>
      </c>
      <c r="E32" s="30" t="s">
        <v>243</v>
      </c>
      <c r="F32" s="19"/>
      <c r="G32" s="19" t="s">
        <v>1377</v>
      </c>
      <c r="H32" s="49"/>
      <c r="I32" s="35"/>
      <c r="J32" s="34" t="s">
        <v>431</v>
      </c>
      <c r="K32" s="34" t="s">
        <v>134</v>
      </c>
      <c r="L32" s="34" t="s">
        <v>439</v>
      </c>
    </row>
    <row r="33" spans="1:12" s="29" customFormat="1">
      <c r="B33" s="26" t="s">
        <v>1088</v>
      </c>
      <c r="C33" s="26" t="s">
        <v>136</v>
      </c>
      <c r="D33" s="12" t="s">
        <v>1089</v>
      </c>
      <c r="E33" s="30" t="s">
        <v>243</v>
      </c>
      <c r="F33" s="19"/>
      <c r="G33" s="19" t="s">
        <v>1378</v>
      </c>
      <c r="H33" s="49"/>
      <c r="I33" s="35"/>
      <c r="J33" s="34" t="s">
        <v>431</v>
      </c>
      <c r="K33" s="34" t="s">
        <v>134</v>
      </c>
      <c r="L33" s="34" t="s">
        <v>439</v>
      </c>
    </row>
    <row r="34" spans="1:12" s="29" customFormat="1">
      <c r="B34" s="26" t="s">
        <v>1091</v>
      </c>
      <c r="C34" s="26" t="s">
        <v>136</v>
      </c>
      <c r="D34" s="12" t="s">
        <v>1092</v>
      </c>
      <c r="E34" s="30" t="s">
        <v>243</v>
      </c>
      <c r="F34" s="19"/>
      <c r="G34" s="19" t="s">
        <v>1379</v>
      </c>
      <c r="H34" s="49"/>
      <c r="I34" s="35"/>
      <c r="J34" s="34" t="s">
        <v>431</v>
      </c>
      <c r="K34" s="34" t="s">
        <v>134</v>
      </c>
      <c r="L34" s="34" t="s">
        <v>439</v>
      </c>
    </row>
    <row r="35" spans="1:12" s="5" customFormat="1">
      <c r="B35" s="26" t="s">
        <v>1094</v>
      </c>
      <c r="C35" s="26" t="s">
        <v>136</v>
      </c>
      <c r="D35" s="12" t="s">
        <v>1095</v>
      </c>
      <c r="E35" s="30" t="s">
        <v>243</v>
      </c>
      <c r="F35" s="19"/>
      <c r="G35" s="19" t="s">
        <v>1380</v>
      </c>
      <c r="H35" s="49"/>
      <c r="I35" s="35"/>
      <c r="J35" s="34" t="s">
        <v>431</v>
      </c>
      <c r="K35" s="34" t="s">
        <v>134</v>
      </c>
      <c r="L35" s="34" t="s">
        <v>439</v>
      </c>
    </row>
    <row r="36" spans="1:12" s="5" customFormat="1">
      <c r="B36" s="26" t="s">
        <v>1097</v>
      </c>
      <c r="C36" s="26" t="s">
        <v>136</v>
      </c>
      <c r="D36" s="12" t="s">
        <v>1098</v>
      </c>
      <c r="E36" s="30" t="s">
        <v>243</v>
      </c>
      <c r="F36" s="19"/>
      <c r="G36" s="19" t="s">
        <v>1381</v>
      </c>
      <c r="H36" s="49"/>
      <c r="I36" s="35"/>
      <c r="J36" s="34" t="s">
        <v>431</v>
      </c>
      <c r="K36" s="34" t="s">
        <v>134</v>
      </c>
      <c r="L36" s="34" t="s">
        <v>439</v>
      </c>
    </row>
    <row r="37" spans="1:12" s="5" customFormat="1">
      <c r="B37" s="26" t="s">
        <v>1100</v>
      </c>
      <c r="C37" s="26" t="s">
        <v>136</v>
      </c>
      <c r="D37" s="12" t="s">
        <v>1101</v>
      </c>
      <c r="E37" s="30" t="s">
        <v>243</v>
      </c>
      <c r="F37" s="19"/>
      <c r="G37" s="19" t="s">
        <v>1382</v>
      </c>
      <c r="H37" s="49"/>
      <c r="I37" s="35"/>
      <c r="J37" s="34" t="s">
        <v>431</v>
      </c>
      <c r="K37" s="34" t="s">
        <v>134</v>
      </c>
      <c r="L37" s="34" t="s">
        <v>439</v>
      </c>
    </row>
    <row r="38" spans="1:12" s="5" customFormat="1">
      <c r="B38" s="26" t="s">
        <v>1103</v>
      </c>
      <c r="C38" s="26" t="s">
        <v>245</v>
      </c>
      <c r="D38" s="12" t="s">
        <v>1104</v>
      </c>
      <c r="E38" s="30" t="s">
        <v>243</v>
      </c>
      <c r="F38" s="19"/>
      <c r="G38" s="19" t="s">
        <v>1383</v>
      </c>
      <c r="H38" s="49"/>
      <c r="I38" s="35"/>
      <c r="J38" s="34" t="s">
        <v>431</v>
      </c>
      <c r="K38" s="34" t="s">
        <v>134</v>
      </c>
      <c r="L38" s="34" t="s">
        <v>610</v>
      </c>
    </row>
    <row r="39" spans="1:12" s="5" customFormat="1">
      <c r="B39" s="26" t="s">
        <v>948</v>
      </c>
      <c r="C39" s="26" t="s">
        <v>245</v>
      </c>
      <c r="D39" s="12" t="s">
        <v>949</v>
      </c>
      <c r="E39" s="30" t="s">
        <v>243</v>
      </c>
      <c r="F39" s="19"/>
      <c r="G39" s="19" t="s">
        <v>1344</v>
      </c>
      <c r="H39" s="49"/>
      <c r="I39" s="35"/>
      <c r="J39" s="34" t="s">
        <v>431</v>
      </c>
      <c r="K39" s="34" t="s">
        <v>134</v>
      </c>
      <c r="L39" s="34" t="s">
        <v>439</v>
      </c>
    </row>
    <row r="40" spans="1:12" s="1" customFormat="1">
      <c r="A40" s="25"/>
      <c r="B40" s="26" t="s">
        <v>1109</v>
      </c>
      <c r="C40" s="26" t="s">
        <v>136</v>
      </c>
      <c r="D40" s="31" t="s">
        <v>1110</v>
      </c>
      <c r="E40" s="30" t="s">
        <v>243</v>
      </c>
      <c r="F40" s="19"/>
      <c r="G40" s="19" t="s">
        <v>1385</v>
      </c>
      <c r="H40" s="49"/>
      <c r="I40" s="35"/>
      <c r="J40" s="34" t="s">
        <v>431</v>
      </c>
      <c r="K40" s="34" t="s">
        <v>134</v>
      </c>
      <c r="L40" s="34" t="s">
        <v>439</v>
      </c>
    </row>
    <row r="41" spans="1:12" s="1" customFormat="1">
      <c r="A41" s="25"/>
      <c r="B41" s="26" t="s">
        <v>1111</v>
      </c>
      <c r="C41" s="26" t="s">
        <v>136</v>
      </c>
      <c r="D41" s="31" t="s">
        <v>1112</v>
      </c>
      <c r="E41" s="30" t="s">
        <v>243</v>
      </c>
      <c r="F41" s="19"/>
      <c r="G41" s="19" t="s">
        <v>1386</v>
      </c>
      <c r="H41" s="49"/>
      <c r="I41" s="35"/>
      <c r="J41" s="34" t="s">
        <v>431</v>
      </c>
      <c r="K41" s="34" t="s">
        <v>134</v>
      </c>
      <c r="L41" s="34" t="s">
        <v>439</v>
      </c>
    </row>
    <row r="42" spans="1:12" s="1" customFormat="1">
      <c r="A42" s="25"/>
      <c r="B42" s="26" t="s">
        <v>1113</v>
      </c>
      <c r="C42" s="26" t="s">
        <v>136</v>
      </c>
      <c r="D42" s="31" t="s">
        <v>1114</v>
      </c>
      <c r="E42" s="30" t="s">
        <v>243</v>
      </c>
      <c r="F42" s="19"/>
      <c r="G42" s="19" t="s">
        <v>1387</v>
      </c>
      <c r="H42" s="49"/>
      <c r="I42" s="35"/>
      <c r="J42" s="34" t="s">
        <v>431</v>
      </c>
      <c r="K42" s="34" t="s">
        <v>134</v>
      </c>
      <c r="L42" s="34" t="s">
        <v>439</v>
      </c>
    </row>
    <row r="43" spans="1:12" s="1" customFormat="1">
      <c r="A43" s="25"/>
      <c r="B43" s="26" t="s">
        <v>1115</v>
      </c>
      <c r="C43" s="26" t="s">
        <v>136</v>
      </c>
      <c r="D43" s="31" t="s">
        <v>1116</v>
      </c>
      <c r="E43" s="30" t="s">
        <v>243</v>
      </c>
      <c r="F43" s="19"/>
      <c r="G43" s="19" t="s">
        <v>1388</v>
      </c>
      <c r="H43" s="49"/>
      <c r="I43" s="35"/>
      <c r="J43" s="34" t="s">
        <v>431</v>
      </c>
      <c r="K43" s="34" t="s">
        <v>134</v>
      </c>
      <c r="L43" s="34" t="s">
        <v>439</v>
      </c>
    </row>
    <row r="44" spans="1:12" s="1" customFormat="1">
      <c r="A44" s="25"/>
      <c r="B44" s="26" t="s">
        <v>1117</v>
      </c>
      <c r="C44" s="26" t="s">
        <v>136</v>
      </c>
      <c r="D44" s="31" t="s">
        <v>1118</v>
      </c>
      <c r="E44" s="30" t="s">
        <v>243</v>
      </c>
      <c r="F44" s="19"/>
      <c r="G44" s="19" t="s">
        <v>1389</v>
      </c>
      <c r="H44" s="49"/>
      <c r="I44" s="35"/>
      <c r="J44" s="34" t="s">
        <v>431</v>
      </c>
      <c r="K44" s="34" t="s">
        <v>134</v>
      </c>
      <c r="L44" s="34" t="s">
        <v>439</v>
      </c>
    </row>
    <row r="45" spans="1:12" s="1" customFormat="1">
      <c r="A45" s="25"/>
      <c r="B45" s="26" t="s">
        <v>1119</v>
      </c>
      <c r="C45" s="26" t="s">
        <v>136</v>
      </c>
      <c r="D45" s="31" t="s">
        <v>1120</v>
      </c>
      <c r="E45" s="30" t="s">
        <v>243</v>
      </c>
      <c r="F45" s="19"/>
      <c r="G45" s="19" t="s">
        <v>1390</v>
      </c>
      <c r="H45" s="49"/>
      <c r="I45" s="35"/>
      <c r="J45" s="34" t="s">
        <v>431</v>
      </c>
      <c r="K45" s="34" t="s">
        <v>134</v>
      </c>
      <c r="L45" s="34" t="s">
        <v>439</v>
      </c>
    </row>
    <row r="46" spans="1:12" s="1" customFormat="1">
      <c r="A46" s="25"/>
      <c r="B46" s="26" t="s">
        <v>1121</v>
      </c>
      <c r="C46" s="26" t="s">
        <v>136</v>
      </c>
      <c r="D46" s="31" t="s">
        <v>1122</v>
      </c>
      <c r="E46" s="30" t="s">
        <v>243</v>
      </c>
      <c r="F46" s="19"/>
      <c r="G46" s="19" t="s">
        <v>1391</v>
      </c>
      <c r="H46" s="49"/>
      <c r="I46" s="35"/>
      <c r="J46" s="34" t="s">
        <v>431</v>
      </c>
      <c r="K46" s="34" t="s">
        <v>134</v>
      </c>
      <c r="L46" s="34" t="s">
        <v>439</v>
      </c>
    </row>
    <row r="47" spans="1:12" s="1" customFormat="1">
      <c r="A47" s="25"/>
      <c r="B47" s="26" t="s">
        <v>1124</v>
      </c>
      <c r="C47" s="26" t="s">
        <v>136</v>
      </c>
      <c r="D47" s="31" t="s">
        <v>1125</v>
      </c>
      <c r="E47" s="30" t="s">
        <v>243</v>
      </c>
      <c r="F47" s="19"/>
      <c r="G47" s="19" t="s">
        <v>1392</v>
      </c>
      <c r="H47" s="49"/>
      <c r="I47" s="35"/>
      <c r="J47" s="34" t="s">
        <v>431</v>
      </c>
      <c r="K47" s="34" t="s">
        <v>134</v>
      </c>
      <c r="L47" s="34" t="s">
        <v>439</v>
      </c>
    </row>
    <row r="48" spans="1:12" s="1" customFormat="1">
      <c r="A48" s="25"/>
      <c r="B48" s="26" t="s">
        <v>1127</v>
      </c>
      <c r="C48" s="26" t="s">
        <v>136</v>
      </c>
      <c r="D48" s="31" t="s">
        <v>1128</v>
      </c>
      <c r="E48" s="30" t="s">
        <v>243</v>
      </c>
      <c r="F48" s="19"/>
      <c r="G48" s="19" t="s">
        <v>1393</v>
      </c>
      <c r="H48" s="49"/>
      <c r="I48" s="35"/>
      <c r="J48" s="34" t="s">
        <v>431</v>
      </c>
      <c r="K48" s="34" t="s">
        <v>134</v>
      </c>
      <c r="L48" s="34" t="s">
        <v>439</v>
      </c>
    </row>
    <row r="49" spans="1:12" s="1" customFormat="1">
      <c r="A49" s="25"/>
      <c r="B49" s="26" t="s">
        <v>1130</v>
      </c>
      <c r="C49" s="26" t="s">
        <v>136</v>
      </c>
      <c r="D49" s="31" t="s">
        <v>1131</v>
      </c>
      <c r="E49" s="30" t="s">
        <v>243</v>
      </c>
      <c r="F49" s="19"/>
      <c r="G49" s="19" t="s">
        <v>1394</v>
      </c>
      <c r="H49" s="49"/>
      <c r="I49" s="35"/>
      <c r="J49" s="34" t="s">
        <v>431</v>
      </c>
      <c r="K49" s="34" t="s">
        <v>134</v>
      </c>
      <c r="L49" s="34" t="s">
        <v>439</v>
      </c>
    </row>
    <row r="50" spans="1:12">
      <c r="A50" s="3"/>
      <c r="B50" s="26" t="s">
        <v>1133</v>
      </c>
      <c r="C50" s="26" t="s">
        <v>136</v>
      </c>
      <c r="D50" s="31" t="s">
        <v>1134</v>
      </c>
      <c r="E50" s="30" t="s">
        <v>243</v>
      </c>
      <c r="F50" s="19"/>
      <c r="G50" s="19" t="s">
        <v>1395</v>
      </c>
      <c r="H50" s="49"/>
      <c r="I50" s="35"/>
      <c r="J50" s="34" t="s">
        <v>431</v>
      </c>
      <c r="K50" s="34" t="s">
        <v>134</v>
      </c>
      <c r="L50" s="34" t="s">
        <v>439</v>
      </c>
    </row>
    <row r="51" spans="1:12" s="2" customFormat="1">
      <c r="A51" s="29"/>
      <c r="B51" s="26" t="s">
        <v>1136</v>
      </c>
      <c r="C51" s="26" t="s">
        <v>136</v>
      </c>
      <c r="D51" s="31" t="s">
        <v>1137</v>
      </c>
      <c r="E51" s="30" t="s">
        <v>243</v>
      </c>
      <c r="F51" s="19"/>
      <c r="G51" s="19" t="s">
        <v>1396</v>
      </c>
      <c r="H51" s="49"/>
      <c r="I51" s="35"/>
      <c r="J51" s="34" t="s">
        <v>431</v>
      </c>
      <c r="K51" s="34" t="s">
        <v>134</v>
      </c>
      <c r="L51" s="34" t="s">
        <v>439</v>
      </c>
    </row>
    <row r="52" spans="1:12" s="2" customFormat="1">
      <c r="A52" s="29"/>
      <c r="B52" s="26" t="s">
        <v>1147</v>
      </c>
      <c r="C52" s="26" t="s">
        <v>245</v>
      </c>
      <c r="D52" s="12" t="s">
        <v>1148</v>
      </c>
      <c r="E52" s="30" t="s">
        <v>243</v>
      </c>
      <c r="F52" s="19"/>
      <c r="G52" s="19" t="s">
        <v>1400</v>
      </c>
      <c r="H52" s="49"/>
      <c r="I52" s="35"/>
      <c r="J52" s="34" t="s">
        <v>431</v>
      </c>
      <c r="K52" s="34" t="s">
        <v>134</v>
      </c>
      <c r="L52" s="34" t="s">
        <v>610</v>
      </c>
    </row>
    <row r="53" spans="1:12" s="2" customFormat="1">
      <c r="A53" s="29"/>
      <c r="B53" s="26" t="s">
        <v>1145</v>
      </c>
      <c r="C53" s="26" t="s">
        <v>136</v>
      </c>
      <c r="D53" s="12" t="s">
        <v>1146</v>
      </c>
      <c r="E53" s="30" t="s">
        <v>243</v>
      </c>
      <c r="F53" s="19"/>
      <c r="G53" s="19" t="s">
        <v>1399</v>
      </c>
      <c r="H53" s="49"/>
      <c r="I53" s="35"/>
      <c r="J53" s="34" t="s">
        <v>431</v>
      </c>
      <c r="K53" s="34" t="s">
        <v>134</v>
      </c>
      <c r="L53" s="34" t="s">
        <v>439</v>
      </c>
    </row>
    <row r="54" spans="1:12" s="1" customFormat="1">
      <c r="A54" s="25"/>
      <c r="B54" s="26" t="s">
        <v>1151</v>
      </c>
      <c r="C54" s="26" t="s">
        <v>136</v>
      </c>
      <c r="D54" s="12" t="s">
        <v>1152</v>
      </c>
      <c r="E54" s="30" t="s">
        <v>243</v>
      </c>
      <c r="F54" s="19"/>
      <c r="G54" s="19" t="s">
        <v>1402</v>
      </c>
      <c r="H54" s="49"/>
      <c r="I54" s="35"/>
      <c r="J54" s="34" t="s">
        <v>431</v>
      </c>
      <c r="K54" s="34" t="s">
        <v>134</v>
      </c>
      <c r="L54" s="34" t="s">
        <v>439</v>
      </c>
    </row>
    <row r="55" spans="1:12" s="1" customFormat="1">
      <c r="A55" s="25"/>
      <c r="B55" s="26" t="s">
        <v>1154</v>
      </c>
      <c r="C55" s="26" t="s">
        <v>136</v>
      </c>
      <c r="D55" s="12" t="s">
        <v>1155</v>
      </c>
      <c r="E55" s="30" t="s">
        <v>243</v>
      </c>
      <c r="F55" s="19"/>
      <c r="G55" s="19" t="s">
        <v>1403</v>
      </c>
      <c r="H55" s="49"/>
      <c r="I55" s="35"/>
      <c r="J55" s="34" t="s">
        <v>431</v>
      </c>
      <c r="K55" s="34" t="s">
        <v>134</v>
      </c>
      <c r="L55" s="34" t="s">
        <v>439</v>
      </c>
    </row>
    <row r="56" spans="1:12" s="1" customFormat="1">
      <c r="A56" s="25"/>
      <c r="B56" s="26" t="s">
        <v>1157</v>
      </c>
      <c r="C56" s="26" t="s">
        <v>136</v>
      </c>
      <c r="D56" s="12" t="s">
        <v>1158</v>
      </c>
      <c r="E56" s="30" t="s">
        <v>243</v>
      </c>
      <c r="F56" s="19"/>
      <c r="G56" s="19" t="s">
        <v>1404</v>
      </c>
      <c r="H56" s="49"/>
      <c r="I56" s="35"/>
      <c r="J56" s="34" t="s">
        <v>431</v>
      </c>
      <c r="K56" s="34" t="s">
        <v>134</v>
      </c>
      <c r="L56" s="34" t="s">
        <v>439</v>
      </c>
    </row>
    <row r="57" spans="1:12" s="1" customFormat="1">
      <c r="A57" s="25"/>
      <c r="B57" s="26" t="s">
        <v>1160</v>
      </c>
      <c r="C57" s="26" t="s">
        <v>136</v>
      </c>
      <c r="D57" s="12" t="s">
        <v>1161</v>
      </c>
      <c r="E57" s="30" t="s">
        <v>243</v>
      </c>
      <c r="F57" s="19"/>
      <c r="G57" s="19" t="s">
        <v>1405</v>
      </c>
      <c r="H57" s="49"/>
      <c r="I57" s="35"/>
      <c r="J57" s="34" t="s">
        <v>431</v>
      </c>
      <c r="K57" s="34" t="s">
        <v>134</v>
      </c>
      <c r="L57" s="34" t="s">
        <v>439</v>
      </c>
    </row>
    <row r="58" spans="1:12" s="1" customFormat="1">
      <c r="A58" s="25"/>
      <c r="B58" s="26" t="s">
        <v>1163</v>
      </c>
      <c r="C58" s="26" t="s">
        <v>136</v>
      </c>
      <c r="D58" s="12" t="s">
        <v>1164</v>
      </c>
      <c r="E58" s="30" t="s">
        <v>243</v>
      </c>
      <c r="F58" s="19"/>
      <c r="G58" s="19" t="s">
        <v>1406</v>
      </c>
      <c r="H58" s="49"/>
      <c r="I58" s="35"/>
      <c r="J58" s="34" t="s">
        <v>431</v>
      </c>
      <c r="K58" s="34" t="s">
        <v>134</v>
      </c>
      <c r="L58" s="34" t="s">
        <v>439</v>
      </c>
    </row>
    <row r="59" spans="1:12" s="1" customFormat="1">
      <c r="A59" s="25"/>
      <c r="B59" s="26" t="s">
        <v>1166</v>
      </c>
      <c r="C59" s="26" t="s">
        <v>136</v>
      </c>
      <c r="D59" s="12" t="s">
        <v>1167</v>
      </c>
      <c r="E59" s="30" t="s">
        <v>243</v>
      </c>
      <c r="F59" s="19"/>
      <c r="G59" s="19" t="s">
        <v>1407</v>
      </c>
      <c r="H59" s="49"/>
      <c r="I59" s="35"/>
      <c r="J59" s="34" t="s">
        <v>431</v>
      </c>
      <c r="K59" s="34" t="s">
        <v>134</v>
      </c>
      <c r="L59" s="34" t="s">
        <v>439</v>
      </c>
    </row>
    <row r="60" spans="1:12" s="1" customFormat="1">
      <c r="A60" s="25"/>
      <c r="B60" s="26" t="s">
        <v>1169</v>
      </c>
      <c r="C60" s="26" t="s">
        <v>136</v>
      </c>
      <c r="D60" s="12" t="s">
        <v>1170</v>
      </c>
      <c r="E60" s="30" t="s">
        <v>243</v>
      </c>
      <c r="F60" s="19"/>
      <c r="G60" s="19" t="s">
        <v>1408</v>
      </c>
      <c r="H60" s="49"/>
      <c r="I60" s="35"/>
      <c r="J60" s="34" t="s">
        <v>431</v>
      </c>
      <c r="K60" s="34" t="s">
        <v>134</v>
      </c>
      <c r="L60" s="34" t="s">
        <v>439</v>
      </c>
    </row>
    <row r="61" spans="1:12">
      <c r="B61" s="26" t="s">
        <v>1172</v>
      </c>
      <c r="C61" s="26" t="s">
        <v>136</v>
      </c>
      <c r="D61" s="12" t="s">
        <v>1173</v>
      </c>
      <c r="E61" s="30" t="s">
        <v>243</v>
      </c>
      <c r="F61" s="19"/>
      <c r="G61" s="19" t="s">
        <v>1409</v>
      </c>
      <c r="H61" s="49"/>
      <c r="I61" s="35"/>
      <c r="J61" s="34" t="s">
        <v>431</v>
      </c>
      <c r="K61" s="34" t="s">
        <v>134</v>
      </c>
      <c r="L61" s="34" t="s">
        <v>439</v>
      </c>
    </row>
    <row r="62" spans="1:12">
      <c r="B62" s="26" t="s">
        <v>1175</v>
      </c>
      <c r="C62" s="26" t="s">
        <v>136</v>
      </c>
      <c r="D62" s="12" t="s">
        <v>1176</v>
      </c>
      <c r="E62" s="30" t="s">
        <v>243</v>
      </c>
      <c r="F62" s="19"/>
      <c r="G62" s="19" t="s">
        <v>1410</v>
      </c>
      <c r="H62" s="49"/>
      <c r="I62" s="35"/>
      <c r="J62" s="34" t="s">
        <v>431</v>
      </c>
      <c r="K62" s="34" t="s">
        <v>134</v>
      </c>
      <c r="L62" s="34" t="s">
        <v>439</v>
      </c>
    </row>
    <row r="63" spans="1:12">
      <c r="B63" s="26" t="s">
        <v>1178</v>
      </c>
      <c r="C63" s="26" t="s">
        <v>136</v>
      </c>
      <c r="D63" s="12" t="s">
        <v>1179</v>
      </c>
      <c r="E63" s="30" t="s">
        <v>243</v>
      </c>
      <c r="F63" s="19"/>
      <c r="G63" s="19" t="s">
        <v>1411</v>
      </c>
      <c r="H63" s="49"/>
      <c r="I63" s="35"/>
      <c r="J63" s="34" t="s">
        <v>431</v>
      </c>
      <c r="K63" s="34" t="s">
        <v>134</v>
      </c>
      <c r="L63" s="34" t="s">
        <v>439</v>
      </c>
    </row>
    <row r="64" spans="1:12">
      <c r="B64" s="26" t="s">
        <v>1181</v>
      </c>
      <c r="C64" s="26" t="s">
        <v>136</v>
      </c>
      <c r="D64" s="12" t="s">
        <v>1182</v>
      </c>
      <c r="E64" s="30" t="s">
        <v>243</v>
      </c>
      <c r="F64" s="19"/>
      <c r="G64" s="19" t="s">
        <v>1412</v>
      </c>
      <c r="H64" s="49"/>
      <c r="I64" s="35"/>
      <c r="J64" s="34" t="s">
        <v>431</v>
      </c>
      <c r="K64" s="34" t="s">
        <v>134</v>
      </c>
      <c r="L64" s="34" t="s">
        <v>439</v>
      </c>
    </row>
    <row r="65" spans="2:12">
      <c r="B65" s="26" t="s">
        <v>1184</v>
      </c>
      <c r="C65" s="26" t="s">
        <v>136</v>
      </c>
      <c r="D65" s="12" t="s">
        <v>1185</v>
      </c>
      <c r="E65" s="30" t="s">
        <v>243</v>
      </c>
      <c r="F65" s="19"/>
      <c r="G65" s="19" t="s">
        <v>1413</v>
      </c>
      <c r="H65" s="49"/>
      <c r="I65" s="35"/>
      <c r="J65" s="34" t="s">
        <v>431</v>
      </c>
      <c r="K65" s="34" t="s">
        <v>134</v>
      </c>
      <c r="L65" s="34" t="s">
        <v>439</v>
      </c>
    </row>
    <row r="66" spans="2:12">
      <c r="B66" s="26" t="s">
        <v>1191</v>
      </c>
      <c r="C66" s="26" t="s">
        <v>245</v>
      </c>
      <c r="D66" s="12" t="s">
        <v>1192</v>
      </c>
      <c r="E66" s="30" t="s">
        <v>243</v>
      </c>
      <c r="F66" s="19"/>
      <c r="G66" s="19" t="s">
        <v>1416</v>
      </c>
      <c r="H66" s="49"/>
      <c r="I66" s="35"/>
      <c r="J66" s="34" t="s">
        <v>431</v>
      </c>
      <c r="K66" s="34" t="s">
        <v>134</v>
      </c>
      <c r="L66" s="34" t="s">
        <v>439</v>
      </c>
    </row>
    <row r="67" spans="2:12">
      <c r="B67" s="26" t="s">
        <v>1023</v>
      </c>
      <c r="C67" s="26" t="s">
        <v>136</v>
      </c>
      <c r="D67" s="12" t="s">
        <v>1024</v>
      </c>
      <c r="E67" s="30" t="s">
        <v>243</v>
      </c>
      <c r="F67" s="19"/>
      <c r="G67" s="19" t="s">
        <v>1360</v>
      </c>
      <c r="H67" s="49"/>
      <c r="I67" s="35"/>
      <c r="J67" s="34" t="s">
        <v>431</v>
      </c>
      <c r="K67" s="34" t="s">
        <v>134</v>
      </c>
      <c r="L67" s="34" t="s">
        <v>439</v>
      </c>
    </row>
    <row r="68" spans="2:12">
      <c r="B68" s="26" t="s">
        <v>1197</v>
      </c>
      <c r="C68" s="26" t="s">
        <v>136</v>
      </c>
      <c r="D68" s="12" t="s">
        <v>1198</v>
      </c>
      <c r="E68" s="30" t="s">
        <v>243</v>
      </c>
      <c r="F68" s="19"/>
      <c r="G68" s="19" t="s">
        <v>1418</v>
      </c>
      <c r="H68" s="49"/>
      <c r="I68" s="35"/>
      <c r="J68" s="34" t="s">
        <v>431</v>
      </c>
      <c r="K68" s="34" t="s">
        <v>134</v>
      </c>
      <c r="L68" s="34" t="s">
        <v>439</v>
      </c>
    </row>
    <row r="69" spans="2:12">
      <c r="B69" s="26" t="s">
        <v>1199</v>
      </c>
      <c r="C69" s="26" t="s">
        <v>136</v>
      </c>
      <c r="D69" s="12" t="s">
        <v>1200</v>
      </c>
      <c r="E69" s="30" t="s">
        <v>243</v>
      </c>
      <c r="F69" s="19"/>
      <c r="G69" s="19" t="s">
        <v>1419</v>
      </c>
      <c r="H69" s="49"/>
      <c r="I69" s="35"/>
      <c r="J69" s="34" t="s">
        <v>431</v>
      </c>
      <c r="K69" s="34" t="s">
        <v>134</v>
      </c>
      <c r="L69" s="34" t="s">
        <v>439</v>
      </c>
    </row>
    <row r="70" spans="2:12">
      <c r="B70" s="26" t="s">
        <v>1201</v>
      </c>
      <c r="C70" s="26" t="s">
        <v>136</v>
      </c>
      <c r="D70" s="12" t="s">
        <v>1202</v>
      </c>
      <c r="E70" s="30" t="s">
        <v>243</v>
      </c>
      <c r="F70" s="19"/>
      <c r="G70" s="19" t="s">
        <v>1420</v>
      </c>
      <c r="H70" s="49"/>
      <c r="I70" s="35"/>
      <c r="J70" s="34" t="s">
        <v>431</v>
      </c>
      <c r="K70" s="34" t="s">
        <v>134</v>
      </c>
      <c r="L70" s="34" t="s">
        <v>439</v>
      </c>
    </row>
    <row r="71" spans="2:12">
      <c r="B71" s="26" t="s">
        <v>1203</v>
      </c>
      <c r="C71" s="26" t="s">
        <v>136</v>
      </c>
      <c r="D71" s="12" t="s">
        <v>1204</v>
      </c>
      <c r="E71" s="30" t="s">
        <v>243</v>
      </c>
      <c r="F71" s="19"/>
      <c r="G71" s="19" t="s">
        <v>1421</v>
      </c>
      <c r="H71" s="49"/>
      <c r="I71" s="35"/>
      <c r="J71" s="34" t="s">
        <v>431</v>
      </c>
      <c r="K71" s="34" t="s">
        <v>134</v>
      </c>
      <c r="L71" s="34" t="s">
        <v>439</v>
      </c>
    </row>
    <row r="72" spans="2:12">
      <c r="B72" s="26" t="s">
        <v>1205</v>
      </c>
      <c r="C72" s="26" t="s">
        <v>136</v>
      </c>
      <c r="D72" s="12" t="s">
        <v>1206</v>
      </c>
      <c r="E72" s="30" t="s">
        <v>243</v>
      </c>
      <c r="F72" s="19"/>
      <c r="G72" s="19" t="s">
        <v>1422</v>
      </c>
      <c r="H72" s="49"/>
      <c r="I72" s="35"/>
      <c r="J72" s="34" t="s">
        <v>431</v>
      </c>
      <c r="K72" s="34" t="s">
        <v>134</v>
      </c>
      <c r="L72" s="34" t="s">
        <v>439</v>
      </c>
    </row>
    <row r="73" spans="2:12">
      <c r="B73" s="26" t="s">
        <v>1207</v>
      </c>
      <c r="C73" s="26" t="s">
        <v>136</v>
      </c>
      <c r="D73" s="12" t="s">
        <v>1208</v>
      </c>
      <c r="E73" s="30" t="s">
        <v>243</v>
      </c>
      <c r="F73" s="19"/>
      <c r="G73" s="19" t="s">
        <v>1423</v>
      </c>
      <c r="H73" s="49"/>
      <c r="I73" s="35"/>
      <c r="J73" s="34" t="s">
        <v>431</v>
      </c>
      <c r="K73" s="34" t="s">
        <v>134</v>
      </c>
      <c r="L73" s="34" t="s">
        <v>439</v>
      </c>
    </row>
    <row r="74" spans="2:12">
      <c r="B74" s="26" t="s">
        <v>1209</v>
      </c>
      <c r="C74" s="26" t="s">
        <v>136</v>
      </c>
      <c r="D74" s="12" t="s">
        <v>762</v>
      </c>
      <c r="E74" s="30" t="s">
        <v>243</v>
      </c>
      <c r="F74" s="19"/>
      <c r="G74" s="19" t="s">
        <v>1424</v>
      </c>
      <c r="H74" s="49"/>
      <c r="I74" s="35"/>
      <c r="J74" s="34" t="s">
        <v>431</v>
      </c>
      <c r="K74" s="34" t="s">
        <v>134</v>
      </c>
      <c r="L74" s="34" t="s">
        <v>439</v>
      </c>
    </row>
    <row r="75" spans="2:12">
      <c r="B75" s="26" t="s">
        <v>1211</v>
      </c>
      <c r="C75" s="26" t="s">
        <v>136</v>
      </c>
      <c r="D75" s="12" t="s">
        <v>765</v>
      </c>
      <c r="E75" s="30" t="s">
        <v>243</v>
      </c>
      <c r="F75" s="19"/>
      <c r="G75" s="19" t="s">
        <v>1425</v>
      </c>
      <c r="H75" s="49"/>
      <c r="I75" s="35"/>
      <c r="J75" s="34" t="s">
        <v>431</v>
      </c>
      <c r="K75" s="34" t="s">
        <v>134</v>
      </c>
      <c r="L75" s="34" t="s">
        <v>439</v>
      </c>
    </row>
    <row r="76" spans="2:12">
      <c r="B76" s="26" t="s">
        <v>1213</v>
      </c>
      <c r="C76" s="26" t="s">
        <v>136</v>
      </c>
      <c r="D76" s="12" t="s">
        <v>768</v>
      </c>
      <c r="E76" s="30" t="s">
        <v>243</v>
      </c>
      <c r="F76" s="19"/>
      <c r="G76" s="19" t="s">
        <v>1426</v>
      </c>
      <c r="H76" s="49"/>
      <c r="I76" s="35"/>
      <c r="J76" s="34" t="s">
        <v>431</v>
      </c>
      <c r="K76" s="34" t="s">
        <v>134</v>
      </c>
      <c r="L76" s="34" t="s">
        <v>439</v>
      </c>
    </row>
    <row r="77" spans="2:12">
      <c r="B77" s="26" t="s">
        <v>1215</v>
      </c>
      <c r="C77" s="26" t="s">
        <v>136</v>
      </c>
      <c r="D77" s="12" t="s">
        <v>771</v>
      </c>
      <c r="E77" s="30" t="s">
        <v>243</v>
      </c>
      <c r="F77" s="19"/>
      <c r="G77" s="19" t="s">
        <v>1427</v>
      </c>
      <c r="H77" s="49"/>
      <c r="I77" s="35"/>
      <c r="J77" s="34" t="s">
        <v>431</v>
      </c>
      <c r="K77" s="34" t="s">
        <v>134</v>
      </c>
      <c r="L77" s="34" t="s">
        <v>439</v>
      </c>
    </row>
    <row r="78" spans="2:12">
      <c r="B78" s="26" t="s">
        <v>1217</v>
      </c>
      <c r="C78" s="26" t="s">
        <v>136</v>
      </c>
      <c r="D78" s="12" t="s">
        <v>774</v>
      </c>
      <c r="E78" s="30" t="s">
        <v>243</v>
      </c>
      <c r="F78" s="19"/>
      <c r="G78" s="19" t="s">
        <v>1428</v>
      </c>
      <c r="H78" s="49"/>
      <c r="I78" s="35"/>
      <c r="J78" s="34" t="s">
        <v>431</v>
      </c>
      <c r="K78" s="34" t="s">
        <v>134</v>
      </c>
      <c r="L78" s="34" t="s">
        <v>439</v>
      </c>
    </row>
    <row r="79" spans="2:12">
      <c r="B79" s="26" t="s">
        <v>1219</v>
      </c>
      <c r="C79" s="26" t="s">
        <v>136</v>
      </c>
      <c r="D79" s="12" t="s">
        <v>777</v>
      </c>
      <c r="E79" s="30" t="s">
        <v>243</v>
      </c>
      <c r="F79" s="19"/>
      <c r="G79" s="19" t="s">
        <v>1429</v>
      </c>
      <c r="H79" s="49"/>
      <c r="I79" s="35"/>
      <c r="J79" s="34" t="s">
        <v>431</v>
      </c>
      <c r="K79" s="34" t="s">
        <v>134</v>
      </c>
      <c r="L79" s="34" t="s">
        <v>439</v>
      </c>
    </row>
    <row r="80" spans="2:12">
      <c r="B80" s="49" t="s">
        <v>474</v>
      </c>
      <c r="C80" s="55" t="s">
        <v>136</v>
      </c>
      <c r="D80" s="12" t="s">
        <v>1458</v>
      </c>
      <c r="E80" s="30" t="s">
        <v>243</v>
      </c>
      <c r="F80" s="19"/>
      <c r="G80" s="19" t="s">
        <v>1234</v>
      </c>
      <c r="H80" s="28"/>
      <c r="I80" s="34"/>
      <c r="J80" s="34" t="s">
        <v>431</v>
      </c>
      <c r="K80" s="34" t="s">
        <v>134</v>
      </c>
      <c r="L80" s="34" t="s">
        <v>533</v>
      </c>
    </row>
    <row r="81" spans="2:12">
      <c r="B81" s="49" t="s">
        <v>1235</v>
      </c>
      <c r="C81" s="55" t="s">
        <v>136</v>
      </c>
      <c r="D81" s="12" t="s">
        <v>1459</v>
      </c>
      <c r="E81" s="30" t="s">
        <v>243</v>
      </c>
      <c r="F81" s="19"/>
      <c r="G81" s="19" t="s">
        <v>1436</v>
      </c>
      <c r="H81" s="28"/>
      <c r="I81" s="35"/>
      <c r="J81" s="34" t="s">
        <v>431</v>
      </c>
      <c r="K81" s="34" t="s">
        <v>134</v>
      </c>
      <c r="L81" s="34" t="s">
        <v>439</v>
      </c>
    </row>
    <row r="82" spans="2:12">
      <c r="B82" s="49" t="s">
        <v>468</v>
      </c>
      <c r="C82" s="55" t="s">
        <v>136</v>
      </c>
      <c r="D82" s="12" t="s">
        <v>1460</v>
      </c>
      <c r="E82" s="30" t="s">
        <v>243</v>
      </c>
      <c r="F82" s="19"/>
      <c r="G82" s="19" t="s">
        <v>1331</v>
      </c>
      <c r="H82" s="28"/>
      <c r="I82" s="35"/>
      <c r="J82" s="34" t="s">
        <v>431</v>
      </c>
      <c r="K82" s="34" t="s">
        <v>134</v>
      </c>
      <c r="L82" s="34" t="s">
        <v>533</v>
      </c>
    </row>
    <row r="83" spans="2:12">
      <c r="B83" s="49" t="s">
        <v>904</v>
      </c>
      <c r="C83" s="55" t="s">
        <v>136</v>
      </c>
      <c r="D83" s="12" t="s">
        <v>1461</v>
      </c>
      <c r="E83" s="30" t="s">
        <v>243</v>
      </c>
      <c r="F83" s="19"/>
      <c r="G83" s="19" t="s">
        <v>1332</v>
      </c>
      <c r="H83" s="31"/>
      <c r="I83" s="35"/>
      <c r="J83" s="34" t="s">
        <v>431</v>
      </c>
      <c r="K83" s="34" t="s">
        <v>134</v>
      </c>
      <c r="L83" s="34" t="s">
        <v>439</v>
      </c>
    </row>
    <row r="84" spans="2:12">
      <c r="B84" s="26" t="s">
        <v>471</v>
      </c>
      <c r="C84" s="26" t="s">
        <v>136</v>
      </c>
      <c r="D84" s="12" t="s">
        <v>913</v>
      </c>
      <c r="E84" s="30" t="s">
        <v>243</v>
      </c>
      <c r="F84" s="19"/>
      <c r="G84" s="19" t="s">
        <v>914</v>
      </c>
      <c r="H84" s="28"/>
      <c r="I84" s="33"/>
      <c r="J84" s="34" t="s">
        <v>431</v>
      </c>
      <c r="K84" s="34" t="s">
        <v>134</v>
      </c>
      <c r="L84" s="34" t="s">
        <v>533</v>
      </c>
    </row>
    <row r="85" spans="2:12">
      <c r="B85" s="26" t="s">
        <v>915</v>
      </c>
      <c r="C85" s="26" t="s">
        <v>136</v>
      </c>
      <c r="D85" s="12" t="s">
        <v>916</v>
      </c>
      <c r="E85" s="30" t="s">
        <v>243</v>
      </c>
      <c r="F85" s="19"/>
      <c r="G85" s="19" t="s">
        <v>1335</v>
      </c>
      <c r="H85" s="28"/>
      <c r="I85" s="33"/>
      <c r="J85" s="34" t="s">
        <v>431</v>
      </c>
      <c r="K85" s="34" t="s">
        <v>134</v>
      </c>
      <c r="L85" s="34" t="s">
        <v>439</v>
      </c>
    </row>
    <row r="86" spans="2:12">
      <c r="B86" s="26" t="s">
        <v>477</v>
      </c>
      <c r="C86" s="26" t="s">
        <v>136</v>
      </c>
      <c r="D86" s="12" t="s">
        <v>925</v>
      </c>
      <c r="E86" s="30" t="s">
        <v>243</v>
      </c>
      <c r="F86" s="19"/>
      <c r="G86" s="19" t="s">
        <v>926</v>
      </c>
      <c r="H86" s="28"/>
      <c r="I86" s="33"/>
      <c r="J86" s="34" t="s">
        <v>431</v>
      </c>
      <c r="K86" s="34" t="s">
        <v>134</v>
      </c>
      <c r="L86" s="34" t="s">
        <v>533</v>
      </c>
    </row>
    <row r="87" spans="2:12">
      <c r="B87" s="26" t="s">
        <v>927</v>
      </c>
      <c r="C87" s="26" t="s">
        <v>136</v>
      </c>
      <c r="D87" s="12" t="s">
        <v>928</v>
      </c>
      <c r="E87" s="30" t="s">
        <v>243</v>
      </c>
      <c r="F87" s="19"/>
      <c r="G87" s="19" t="s">
        <v>1338</v>
      </c>
      <c r="H87" s="28"/>
      <c r="I87" s="33"/>
      <c r="J87" s="34" t="s">
        <v>431</v>
      </c>
      <c r="K87" s="34" t="s">
        <v>134</v>
      </c>
      <c r="L87" s="34" t="s">
        <v>439</v>
      </c>
    </row>
    <row r="88" spans="2:12">
      <c r="B88" s="50" t="s">
        <v>233</v>
      </c>
      <c r="C88" s="51" t="s">
        <v>139</v>
      </c>
      <c r="D88" s="37" t="s">
        <v>234</v>
      </c>
      <c r="E88" s="52"/>
      <c r="F88" s="50"/>
      <c r="G88" s="50"/>
      <c r="H88" s="50"/>
      <c r="I88" s="50"/>
      <c r="J88" s="50"/>
      <c r="K88" s="50"/>
      <c r="L88" s="50"/>
    </row>
    <row r="89" spans="2:12">
      <c r="B89" s="50" t="s">
        <v>235</v>
      </c>
      <c r="C89" s="51" t="s">
        <v>132</v>
      </c>
      <c r="D89" s="37" t="s">
        <v>236</v>
      </c>
      <c r="E89" s="52"/>
      <c r="F89" s="50"/>
      <c r="G89" s="50"/>
      <c r="H89" s="50"/>
      <c r="I89" s="50"/>
      <c r="J89" s="50"/>
      <c r="K89" s="50"/>
      <c r="L89" s="50"/>
    </row>
  </sheetData>
  <autoFilter ref="A14:N59" xr:uid="{00000000-0009-0000-0000-000010000000}"/>
  <mergeCells count="5">
    <mergeCell ref="B2:H2"/>
    <mergeCell ref="B3:H3"/>
    <mergeCell ref="B7:H7"/>
    <mergeCell ref="F9:G9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31"/>
  <sheetViews>
    <sheetView zoomScale="85" zoomScaleNormal="85" workbookViewId="0">
      <pane ySplit="5" topLeftCell="A6" activePane="bottomLeft" state="frozen"/>
      <selection pane="bottomLeft" activeCell="D9" sqref="D9"/>
    </sheetView>
  </sheetViews>
  <sheetFormatPr defaultColWidth="9" defaultRowHeight="13.2"/>
  <cols>
    <col min="1" max="1" width="1.33203125" style="5" customWidth="1"/>
    <col min="2" max="2" width="23.6640625" style="5" customWidth="1"/>
    <col min="3" max="3" width="32.33203125" style="5" customWidth="1"/>
    <col min="4" max="4" width="32.21875" style="5" customWidth="1"/>
    <col min="5" max="5" width="16.21875" style="5" customWidth="1"/>
    <col min="6" max="6" width="24.88671875" style="5" customWidth="1"/>
    <col min="7" max="7" width="39.5546875" style="5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2:14">
      <c r="B1" s="7" t="str">
        <f>HYPERLINK("#导航!a2","返回")</f>
        <v>返回</v>
      </c>
    </row>
    <row r="2" spans="2:14">
      <c r="B2" s="156"/>
      <c r="C2" s="156"/>
      <c r="D2" s="156"/>
      <c r="E2" s="156"/>
      <c r="F2" s="156"/>
      <c r="G2" s="156"/>
      <c r="H2" s="156"/>
    </row>
    <row r="3" spans="2:14">
      <c r="B3" s="157" t="s">
        <v>106</v>
      </c>
      <c r="C3" s="157"/>
      <c r="D3" s="157"/>
      <c r="E3" s="157"/>
      <c r="F3" s="157"/>
      <c r="G3" s="157"/>
      <c r="H3" s="157"/>
    </row>
    <row r="4" spans="2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2:14">
      <c r="B5" s="11" t="s">
        <v>68</v>
      </c>
      <c r="C5" s="12" t="s">
        <v>71</v>
      </c>
      <c r="D5" s="13" t="s">
        <v>72</v>
      </c>
      <c r="E5" s="14" t="s">
        <v>383</v>
      </c>
      <c r="F5" s="15"/>
      <c r="G5" s="14"/>
      <c r="H5" s="14"/>
      <c r="N5" s="5"/>
    </row>
    <row r="6" spans="2:14">
      <c r="B6" s="8"/>
      <c r="C6" s="8"/>
      <c r="D6" s="8"/>
      <c r="E6" s="8"/>
      <c r="F6" s="8"/>
      <c r="G6" s="8"/>
      <c r="H6" s="8"/>
    </row>
    <row r="7" spans="2:14">
      <c r="B7" s="157" t="s">
        <v>113</v>
      </c>
      <c r="C7" s="157"/>
      <c r="D7" s="157"/>
      <c r="E7" s="157"/>
      <c r="F7" s="157"/>
      <c r="G7" s="157"/>
      <c r="H7" s="157"/>
    </row>
    <row r="8" spans="2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2:14">
      <c r="B9" s="14"/>
      <c r="C9" s="12" t="s">
        <v>69</v>
      </c>
      <c r="D9" s="13" t="s">
        <v>70</v>
      </c>
      <c r="E9" s="14" t="s">
        <v>243</v>
      </c>
      <c r="F9" s="162" t="s">
        <v>1464</v>
      </c>
      <c r="G9" s="162"/>
      <c r="H9" s="21"/>
    </row>
    <row r="10" spans="2:14">
      <c r="B10" s="14"/>
      <c r="C10" s="12"/>
      <c r="D10" s="12"/>
      <c r="E10" s="14"/>
      <c r="F10" s="19"/>
      <c r="G10" s="19"/>
      <c r="H10" s="14"/>
    </row>
    <row r="11" spans="2:14">
      <c r="G11" s="48"/>
    </row>
    <row r="12" spans="2:14">
      <c r="B12" s="5" t="s">
        <v>120</v>
      </c>
    </row>
    <row r="13" spans="2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2:14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2:14" s="2" customFormat="1">
      <c r="B15" s="49" t="s">
        <v>383</v>
      </c>
      <c r="C15" s="49" t="s">
        <v>132</v>
      </c>
      <c r="D15" s="12" t="s">
        <v>480</v>
      </c>
      <c r="E15" s="30" t="s">
        <v>243</v>
      </c>
      <c r="F15" s="19"/>
      <c r="G15" s="19" t="s">
        <v>250</v>
      </c>
      <c r="H15" s="32"/>
      <c r="I15" s="34"/>
      <c r="J15" s="34" t="s">
        <v>384</v>
      </c>
      <c r="K15" s="34" t="s">
        <v>134</v>
      </c>
      <c r="L15" s="34" t="s">
        <v>134</v>
      </c>
    </row>
    <row r="16" spans="2:14" s="2" customFormat="1">
      <c r="B16" s="49" t="s">
        <v>251</v>
      </c>
      <c r="C16" s="49" t="s">
        <v>132</v>
      </c>
      <c r="D16" s="12" t="s">
        <v>252</v>
      </c>
      <c r="E16" s="30" t="s">
        <v>243</v>
      </c>
      <c r="F16" s="19"/>
      <c r="G16" s="19" t="s">
        <v>250</v>
      </c>
      <c r="H16" s="32"/>
      <c r="I16" s="34"/>
      <c r="J16" s="34" t="s">
        <v>384</v>
      </c>
      <c r="K16" s="34" t="s">
        <v>134</v>
      </c>
      <c r="L16" s="34" t="s">
        <v>134</v>
      </c>
    </row>
    <row r="17" spans="1:17" s="2" customFormat="1">
      <c r="B17" s="49" t="s">
        <v>257</v>
      </c>
      <c r="C17" s="49" t="s">
        <v>132</v>
      </c>
      <c r="D17" s="12" t="s">
        <v>258</v>
      </c>
      <c r="E17" s="30" t="s">
        <v>243</v>
      </c>
      <c r="F17" s="19"/>
      <c r="G17" s="19" t="s">
        <v>250</v>
      </c>
      <c r="H17" s="32"/>
      <c r="I17" s="34"/>
      <c r="J17" s="34" t="s">
        <v>384</v>
      </c>
      <c r="K17" s="34" t="s">
        <v>134</v>
      </c>
      <c r="L17" s="34" t="s">
        <v>134</v>
      </c>
    </row>
    <row r="18" spans="1:17" s="2" customFormat="1">
      <c r="B18" s="49" t="s">
        <v>254</v>
      </c>
      <c r="C18" s="49" t="s">
        <v>132</v>
      </c>
      <c r="D18" s="12" t="s">
        <v>255</v>
      </c>
      <c r="E18" s="30" t="s">
        <v>243</v>
      </c>
      <c r="F18" s="19"/>
      <c r="G18" s="19" t="s">
        <v>250</v>
      </c>
      <c r="H18" s="32"/>
      <c r="I18" s="34"/>
      <c r="J18" s="34" t="s">
        <v>384</v>
      </c>
      <c r="K18" s="34" t="s">
        <v>134</v>
      </c>
      <c r="L18" s="34" t="s">
        <v>134</v>
      </c>
    </row>
    <row r="19" spans="1:17" s="2" customFormat="1">
      <c r="A19" s="29"/>
      <c r="B19" s="49" t="s">
        <v>1465</v>
      </c>
      <c r="C19" s="49" t="s">
        <v>132</v>
      </c>
      <c r="D19" s="12" t="s">
        <v>212</v>
      </c>
      <c r="E19" s="30" t="s">
        <v>243</v>
      </c>
      <c r="F19" s="19"/>
      <c r="G19" s="19" t="s">
        <v>1466</v>
      </c>
      <c r="H19" s="49"/>
      <c r="I19" s="35"/>
      <c r="J19" s="34" t="s">
        <v>384</v>
      </c>
      <c r="K19" s="34" t="s">
        <v>134</v>
      </c>
      <c r="L19" s="34" t="s">
        <v>134</v>
      </c>
    </row>
    <row r="20" spans="1:17" s="2" customFormat="1">
      <c r="A20" s="29"/>
      <c r="B20" s="49" t="s">
        <v>1467</v>
      </c>
      <c r="C20" s="49" t="s">
        <v>132</v>
      </c>
      <c r="D20" s="12" t="s">
        <v>1468</v>
      </c>
      <c r="E20" s="30" t="s">
        <v>243</v>
      </c>
      <c r="F20" s="19"/>
      <c r="G20" s="19" t="s">
        <v>1466</v>
      </c>
      <c r="H20" s="49"/>
      <c r="I20" s="35"/>
      <c r="J20" s="34" t="s">
        <v>384</v>
      </c>
      <c r="K20" s="34" t="s">
        <v>134</v>
      </c>
      <c r="L20" s="34" t="s">
        <v>134</v>
      </c>
    </row>
    <row r="21" spans="1:17" s="2" customFormat="1">
      <c r="A21" s="29"/>
      <c r="B21" s="49" t="s">
        <v>1469</v>
      </c>
      <c r="C21" s="49" t="s">
        <v>132</v>
      </c>
      <c r="D21" s="12" t="s">
        <v>1470</v>
      </c>
      <c r="E21" s="30" t="s">
        <v>243</v>
      </c>
      <c r="F21" s="19"/>
      <c r="G21" s="19" t="s">
        <v>1466</v>
      </c>
      <c r="H21" s="49"/>
      <c r="I21" s="35"/>
      <c r="J21" s="34" t="s">
        <v>384</v>
      </c>
      <c r="K21" s="34" t="s">
        <v>134</v>
      </c>
      <c r="L21" s="34" t="s">
        <v>134</v>
      </c>
    </row>
    <row r="22" spans="1:17" s="2" customFormat="1">
      <c r="A22" s="29"/>
      <c r="B22" s="14" t="s">
        <v>1471</v>
      </c>
      <c r="C22" s="14" t="s">
        <v>132</v>
      </c>
      <c r="D22" s="12" t="s">
        <v>1472</v>
      </c>
      <c r="E22" s="30" t="s">
        <v>243</v>
      </c>
      <c r="F22" s="19"/>
      <c r="G22" s="19" t="s">
        <v>1466</v>
      </c>
      <c r="H22" s="32"/>
      <c r="I22" s="35"/>
      <c r="J22" s="34" t="s">
        <v>384</v>
      </c>
      <c r="K22" s="34" t="s">
        <v>134</v>
      </c>
      <c r="L22" s="34" t="s">
        <v>134</v>
      </c>
    </row>
    <row r="23" spans="1:17" s="2" customFormat="1">
      <c r="A23" s="29"/>
      <c r="B23" s="14" t="s">
        <v>1473</v>
      </c>
      <c r="C23" s="14" t="s">
        <v>245</v>
      </c>
      <c r="D23" s="12" t="s">
        <v>1474</v>
      </c>
      <c r="E23" s="30" t="s">
        <v>243</v>
      </c>
      <c r="F23" s="19"/>
      <c r="G23" s="19" t="s">
        <v>1466</v>
      </c>
      <c r="H23" s="32"/>
      <c r="I23" s="35"/>
      <c r="J23" s="34" t="s">
        <v>384</v>
      </c>
      <c r="K23" s="34" t="s">
        <v>134</v>
      </c>
      <c r="L23" s="34" t="s">
        <v>134</v>
      </c>
    </row>
    <row r="24" spans="1:17" s="2" customFormat="1">
      <c r="A24" s="29"/>
      <c r="B24" s="14" t="s">
        <v>1475</v>
      </c>
      <c r="C24" s="14" t="s">
        <v>245</v>
      </c>
      <c r="D24" s="12" t="s">
        <v>1476</v>
      </c>
      <c r="E24" s="30" t="s">
        <v>243</v>
      </c>
      <c r="F24" s="19"/>
      <c r="G24" s="19" t="s">
        <v>1466</v>
      </c>
      <c r="H24" s="32"/>
      <c r="I24" s="35"/>
      <c r="J24" s="34" t="s">
        <v>384</v>
      </c>
      <c r="K24" s="34" t="s">
        <v>134</v>
      </c>
      <c r="L24" s="34" t="s">
        <v>134</v>
      </c>
    </row>
    <row r="25" spans="1:17" s="2" customFormat="1">
      <c r="A25" s="29"/>
      <c r="B25" s="49" t="s">
        <v>211</v>
      </c>
      <c r="C25" s="49" t="s">
        <v>139</v>
      </c>
      <c r="D25" s="12" t="s">
        <v>1477</v>
      </c>
      <c r="E25" s="30" t="s">
        <v>243</v>
      </c>
      <c r="F25" s="19"/>
      <c r="G25" s="19" t="s">
        <v>211</v>
      </c>
      <c r="H25" s="49"/>
      <c r="I25" s="35"/>
      <c r="J25" s="34" t="s">
        <v>384</v>
      </c>
      <c r="K25" s="34" t="s">
        <v>134</v>
      </c>
      <c r="L25" s="34" t="s">
        <v>134</v>
      </c>
    </row>
    <row r="26" spans="1:17" s="2" customFormat="1">
      <c r="A26" s="29"/>
      <c r="B26" s="14" t="s">
        <v>371</v>
      </c>
      <c r="C26" s="14" t="s">
        <v>139</v>
      </c>
      <c r="D26" s="12" t="s">
        <v>1478</v>
      </c>
      <c r="E26" s="30" t="s">
        <v>243</v>
      </c>
      <c r="F26" s="19"/>
      <c r="G26" s="19" t="s">
        <v>371</v>
      </c>
      <c r="H26" s="49"/>
      <c r="I26" s="35"/>
      <c r="J26" s="34" t="s">
        <v>384</v>
      </c>
      <c r="K26" s="34" t="s">
        <v>134</v>
      </c>
      <c r="L26" s="34" t="s">
        <v>134</v>
      </c>
    </row>
    <row r="27" spans="1:17" s="2" customFormat="1">
      <c r="A27" s="29"/>
      <c r="B27" s="14" t="s">
        <v>373</v>
      </c>
      <c r="C27" s="74" t="s">
        <v>139</v>
      </c>
      <c r="D27" s="12" t="s">
        <v>1479</v>
      </c>
      <c r="E27" s="30" t="s">
        <v>243</v>
      </c>
      <c r="F27" s="19"/>
      <c r="G27" s="19" t="s">
        <v>373</v>
      </c>
      <c r="H27" s="49"/>
      <c r="I27" s="35"/>
      <c r="J27" s="34" t="s">
        <v>384</v>
      </c>
      <c r="K27" s="34" t="s">
        <v>134</v>
      </c>
      <c r="L27" s="34" t="s">
        <v>134</v>
      </c>
    </row>
    <row r="28" spans="1:17" s="2" customFormat="1">
      <c r="A28" s="29"/>
      <c r="B28" s="14" t="s">
        <v>499</v>
      </c>
      <c r="C28" s="74" t="s">
        <v>245</v>
      </c>
      <c r="D28" s="12" t="s">
        <v>500</v>
      </c>
      <c r="E28" s="30" t="s">
        <v>243</v>
      </c>
      <c r="F28" s="19"/>
      <c r="G28" s="19" t="s">
        <v>501</v>
      </c>
      <c r="H28" s="49"/>
      <c r="I28" s="35"/>
      <c r="J28" s="34" t="s">
        <v>384</v>
      </c>
      <c r="K28" s="34" t="s">
        <v>134</v>
      </c>
      <c r="L28" s="34" t="s">
        <v>134</v>
      </c>
    </row>
    <row r="29" spans="1:17" s="2" customFormat="1">
      <c r="A29" s="29"/>
      <c r="B29" s="14" t="s">
        <v>502</v>
      </c>
      <c r="C29" s="74" t="s">
        <v>245</v>
      </c>
      <c r="D29" s="12" t="s">
        <v>503</v>
      </c>
      <c r="E29" s="30" t="s">
        <v>243</v>
      </c>
      <c r="F29" s="19"/>
      <c r="G29" s="19" t="s">
        <v>501</v>
      </c>
      <c r="H29" s="49"/>
      <c r="I29" s="35"/>
      <c r="J29" s="34" t="s">
        <v>384</v>
      </c>
      <c r="K29" s="34" t="s">
        <v>134</v>
      </c>
      <c r="L29" s="34" t="s">
        <v>134</v>
      </c>
    </row>
    <row r="30" spans="1:17" s="4" customFormat="1">
      <c r="B30" s="50" t="s">
        <v>233</v>
      </c>
      <c r="C30" s="51" t="s">
        <v>139</v>
      </c>
      <c r="D30" s="37" t="s">
        <v>234</v>
      </c>
      <c r="E30" s="52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</row>
    <row r="31" spans="1:17" s="4" customFormat="1">
      <c r="B31" s="50" t="s">
        <v>235</v>
      </c>
      <c r="C31" s="51" t="s">
        <v>132</v>
      </c>
      <c r="D31" s="37" t="s">
        <v>236</v>
      </c>
      <c r="E31" s="52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</row>
  </sheetData>
  <autoFilter ref="A14:N31" xr:uid="{00000000-0009-0000-0000-000011000000}"/>
  <mergeCells count="5">
    <mergeCell ref="B2:H2"/>
    <mergeCell ref="B3:H3"/>
    <mergeCell ref="B7:H7"/>
    <mergeCell ref="F9:G9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20"/>
  <sheetViews>
    <sheetView zoomScale="85" zoomScaleNormal="85" workbookViewId="0">
      <pane ySplit="5" topLeftCell="A6" activePane="bottomLeft" state="frozen"/>
      <selection activeCell="G26" sqref="G26:G118"/>
      <selection pane="bottomLeft" activeCell="C9" sqref="C9:C10"/>
    </sheetView>
  </sheetViews>
  <sheetFormatPr defaultColWidth="9" defaultRowHeight="13.2"/>
  <cols>
    <col min="1" max="1" width="1.33203125" style="5" customWidth="1"/>
    <col min="2" max="2" width="23.6640625" style="5" customWidth="1"/>
    <col min="3" max="3" width="32.33203125" style="5" customWidth="1"/>
    <col min="4" max="4" width="32.21875" style="5" customWidth="1"/>
    <col min="5" max="5" width="16.21875" style="5" customWidth="1"/>
    <col min="6" max="6" width="30.21875" style="5" customWidth="1"/>
    <col min="7" max="7" width="43.88671875" style="5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2:12">
      <c r="B1" s="7" t="str">
        <f>HYPERLINK("#导航!a2","返回")</f>
        <v>返回</v>
      </c>
    </row>
    <row r="2" spans="2:12">
      <c r="B2" s="156"/>
      <c r="C2" s="156"/>
      <c r="D2" s="156"/>
      <c r="E2" s="156"/>
      <c r="F2" s="156"/>
      <c r="G2" s="156"/>
      <c r="H2" s="156"/>
    </row>
    <row r="3" spans="2:12">
      <c r="B3" s="157" t="s">
        <v>106</v>
      </c>
      <c r="C3" s="157"/>
      <c r="D3" s="157"/>
      <c r="E3" s="157"/>
      <c r="F3" s="157"/>
      <c r="G3" s="157"/>
      <c r="H3" s="157"/>
    </row>
    <row r="4" spans="2:12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2:12">
      <c r="B5" s="11" t="s">
        <v>68</v>
      </c>
      <c r="C5" s="12" t="s">
        <v>2372</v>
      </c>
      <c r="D5" s="13" t="s">
        <v>1480</v>
      </c>
      <c r="E5" s="14" t="s">
        <v>112</v>
      </c>
      <c r="F5" s="15"/>
      <c r="G5" s="14"/>
      <c r="H5" s="14"/>
    </row>
    <row r="6" spans="2:12">
      <c r="B6" s="8"/>
      <c r="C6" s="8"/>
      <c r="D6" s="8"/>
      <c r="E6" s="8"/>
      <c r="F6" s="8"/>
      <c r="G6" s="8"/>
      <c r="H6" s="8"/>
    </row>
    <row r="7" spans="2:12">
      <c r="B7" s="157" t="s">
        <v>113</v>
      </c>
      <c r="C7" s="157"/>
      <c r="D7" s="157"/>
      <c r="E7" s="157"/>
      <c r="F7" s="157"/>
      <c r="G7" s="157"/>
      <c r="H7" s="157"/>
    </row>
    <row r="8" spans="2:12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2:12">
      <c r="B9" s="14"/>
      <c r="C9" s="12" t="s">
        <v>71</v>
      </c>
      <c r="D9" s="13" t="s">
        <v>72</v>
      </c>
      <c r="E9" s="14" t="s">
        <v>243</v>
      </c>
      <c r="F9" s="162" t="s">
        <v>1481</v>
      </c>
      <c r="G9" s="162"/>
      <c r="H9" s="127"/>
    </row>
    <row r="10" spans="2:12">
      <c r="B10" s="14"/>
      <c r="C10" s="12" t="s">
        <v>64</v>
      </c>
      <c r="D10" s="12" t="s">
        <v>65</v>
      </c>
      <c r="E10" s="14" t="s">
        <v>248</v>
      </c>
      <c r="F10" s="162"/>
      <c r="G10" s="162"/>
      <c r="H10" s="14"/>
    </row>
    <row r="11" spans="2:12">
      <c r="C11" s="6"/>
      <c r="D11" s="6"/>
      <c r="F11" s="22"/>
      <c r="G11" s="22"/>
    </row>
    <row r="12" spans="2:12">
      <c r="B12" s="5" t="s">
        <v>120</v>
      </c>
    </row>
    <row r="13" spans="2:12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2:12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2:12" s="2" customFormat="1">
      <c r="B15" s="49" t="s">
        <v>383</v>
      </c>
      <c r="C15" s="49" t="s">
        <v>132</v>
      </c>
      <c r="D15" s="12" t="s">
        <v>274</v>
      </c>
      <c r="E15" s="30" t="s">
        <v>243</v>
      </c>
      <c r="F15" s="19"/>
      <c r="G15" s="19" t="s">
        <v>250</v>
      </c>
      <c r="H15" s="32"/>
      <c r="I15" s="34"/>
      <c r="J15" s="34" t="s">
        <v>384</v>
      </c>
      <c r="K15" s="34" t="s">
        <v>134</v>
      </c>
      <c r="L15" s="34" t="s">
        <v>134</v>
      </c>
    </row>
    <row r="16" spans="2:12" s="2" customFormat="1">
      <c r="B16" s="49" t="s">
        <v>251</v>
      </c>
      <c r="C16" s="49" t="s">
        <v>132</v>
      </c>
      <c r="D16" s="12" t="s">
        <v>480</v>
      </c>
      <c r="E16" s="30" t="s">
        <v>243</v>
      </c>
      <c r="F16" s="19"/>
      <c r="G16" s="19" t="s">
        <v>250</v>
      </c>
      <c r="H16" s="32"/>
      <c r="I16" s="34"/>
      <c r="J16" s="34" t="s">
        <v>384</v>
      </c>
      <c r="K16" s="34" t="s">
        <v>134</v>
      </c>
      <c r="L16" s="34" t="s">
        <v>134</v>
      </c>
    </row>
    <row r="17" spans="1:12" s="2" customFormat="1">
      <c r="B17" s="49" t="s">
        <v>1465</v>
      </c>
      <c r="C17" s="49" t="s">
        <v>132</v>
      </c>
      <c r="D17" s="12" t="s">
        <v>212</v>
      </c>
      <c r="E17" s="30" t="s">
        <v>243</v>
      </c>
      <c r="F17" s="19"/>
      <c r="G17" s="19" t="s">
        <v>250</v>
      </c>
      <c r="H17" s="32"/>
      <c r="I17" s="34"/>
      <c r="J17" s="34" t="s">
        <v>384</v>
      </c>
      <c r="K17" s="34" t="s">
        <v>134</v>
      </c>
      <c r="L17" s="34" t="s">
        <v>134</v>
      </c>
    </row>
    <row r="18" spans="1:12" s="2" customFormat="1">
      <c r="B18" s="49" t="s">
        <v>1467</v>
      </c>
      <c r="C18" s="49" t="s">
        <v>132</v>
      </c>
      <c r="D18" s="12" t="s">
        <v>1468</v>
      </c>
      <c r="E18" s="30" t="s">
        <v>243</v>
      </c>
      <c r="F18" s="19"/>
      <c r="G18" s="19" t="s">
        <v>250</v>
      </c>
      <c r="H18" s="32"/>
      <c r="I18" s="34"/>
      <c r="J18" s="34" t="s">
        <v>384</v>
      </c>
      <c r="K18" s="34" t="s">
        <v>134</v>
      </c>
      <c r="L18" s="34" t="s">
        <v>134</v>
      </c>
    </row>
    <row r="19" spans="1:12" s="2" customFormat="1">
      <c r="A19" s="29"/>
      <c r="B19" s="49" t="s">
        <v>1469</v>
      </c>
      <c r="C19" s="49" t="s">
        <v>132</v>
      </c>
      <c r="D19" s="12" t="s">
        <v>1482</v>
      </c>
      <c r="E19" s="30" t="s">
        <v>243</v>
      </c>
      <c r="F19" s="19"/>
      <c r="G19" s="19" t="s">
        <v>250</v>
      </c>
      <c r="H19" s="49"/>
      <c r="I19" s="35"/>
      <c r="J19" s="34" t="s">
        <v>384</v>
      </c>
      <c r="K19" s="34" t="s">
        <v>134</v>
      </c>
      <c r="L19" s="34" t="s">
        <v>134</v>
      </c>
    </row>
    <row r="20" spans="1:12" s="2" customFormat="1">
      <c r="A20" s="29"/>
      <c r="B20" s="49" t="s">
        <v>1471</v>
      </c>
      <c r="C20" s="49" t="s">
        <v>132</v>
      </c>
      <c r="D20" s="12" t="s">
        <v>1483</v>
      </c>
      <c r="E20" s="30" t="s">
        <v>243</v>
      </c>
      <c r="F20" s="19"/>
      <c r="G20" s="19" t="s">
        <v>250</v>
      </c>
      <c r="H20" s="49"/>
      <c r="I20" s="35"/>
      <c r="J20" s="34" t="s">
        <v>384</v>
      </c>
      <c r="K20" s="34" t="s">
        <v>134</v>
      </c>
      <c r="L20" s="34" t="s">
        <v>134</v>
      </c>
    </row>
    <row r="21" spans="1:12" s="2" customFormat="1">
      <c r="A21" s="29"/>
      <c r="B21" s="49" t="s">
        <v>1473</v>
      </c>
      <c r="C21" s="49" t="s">
        <v>245</v>
      </c>
      <c r="D21" s="12" t="s">
        <v>1484</v>
      </c>
      <c r="E21" s="30" t="s">
        <v>243</v>
      </c>
      <c r="F21" s="19"/>
      <c r="G21" s="19" t="s">
        <v>250</v>
      </c>
      <c r="H21" s="49"/>
      <c r="I21" s="35"/>
      <c r="J21" s="34" t="s">
        <v>384</v>
      </c>
      <c r="K21" s="34" t="s">
        <v>134</v>
      </c>
      <c r="L21" s="34" t="s">
        <v>134</v>
      </c>
    </row>
    <row r="22" spans="1:12" s="2" customFormat="1">
      <c r="A22" s="29"/>
      <c r="B22" s="49" t="s">
        <v>1475</v>
      </c>
      <c r="C22" s="49" t="s">
        <v>245</v>
      </c>
      <c r="D22" s="12" t="s">
        <v>1485</v>
      </c>
      <c r="E22" s="30" t="s">
        <v>243</v>
      </c>
      <c r="F22" s="19"/>
      <c r="G22" s="19" t="s">
        <v>250</v>
      </c>
      <c r="H22" s="49"/>
      <c r="I22" s="35"/>
      <c r="J22" s="34" t="s">
        <v>384</v>
      </c>
      <c r="K22" s="34" t="s">
        <v>134</v>
      </c>
      <c r="L22" s="34" t="s">
        <v>134</v>
      </c>
    </row>
    <row r="23" spans="1:12" s="2" customFormat="1">
      <c r="A23" s="29"/>
      <c r="B23" s="14" t="s">
        <v>284</v>
      </c>
      <c r="C23" s="14" t="s">
        <v>132</v>
      </c>
      <c r="D23" s="12" t="s">
        <v>285</v>
      </c>
      <c r="E23" s="30" t="s">
        <v>243</v>
      </c>
      <c r="F23" s="19"/>
      <c r="G23" s="19" t="s">
        <v>250</v>
      </c>
      <c r="H23" s="32"/>
      <c r="I23" s="35"/>
      <c r="J23" s="34" t="s">
        <v>384</v>
      </c>
      <c r="K23" s="34" t="s">
        <v>134</v>
      </c>
      <c r="L23" s="34" t="s">
        <v>134</v>
      </c>
    </row>
    <row r="24" spans="1:12" s="2" customFormat="1">
      <c r="A24" s="29"/>
      <c r="B24" s="14" t="s">
        <v>379</v>
      </c>
      <c r="C24" s="14" t="s">
        <v>139</v>
      </c>
      <c r="D24" s="12" t="s">
        <v>48</v>
      </c>
      <c r="E24" s="30" t="s">
        <v>248</v>
      </c>
      <c r="F24" s="19"/>
      <c r="G24" s="19" t="s">
        <v>250</v>
      </c>
      <c r="H24" s="32"/>
      <c r="I24" s="35"/>
      <c r="J24" s="34" t="s">
        <v>384</v>
      </c>
      <c r="K24" s="34" t="s">
        <v>134</v>
      </c>
      <c r="L24" s="34" t="s">
        <v>134</v>
      </c>
    </row>
    <row r="25" spans="1:12" s="2" customFormat="1">
      <c r="A25" s="29"/>
      <c r="B25" s="14" t="s">
        <v>112</v>
      </c>
      <c r="C25" s="14" t="s">
        <v>139</v>
      </c>
      <c r="D25" s="12" t="s">
        <v>30</v>
      </c>
      <c r="E25" s="30" t="s">
        <v>248</v>
      </c>
      <c r="F25" s="19"/>
      <c r="G25" s="19" t="s">
        <v>250</v>
      </c>
      <c r="H25" s="32"/>
      <c r="I25" s="35"/>
      <c r="J25" s="34" t="s">
        <v>384</v>
      </c>
      <c r="K25" s="34" t="s">
        <v>134</v>
      </c>
      <c r="L25" s="34" t="s">
        <v>134</v>
      </c>
    </row>
    <row r="26" spans="1:12" s="2" customFormat="1">
      <c r="A26" s="29"/>
      <c r="B26" s="49" t="s">
        <v>1973</v>
      </c>
      <c r="C26" s="49" t="s">
        <v>136</v>
      </c>
      <c r="D26" s="12" t="s">
        <v>530</v>
      </c>
      <c r="E26" s="30" t="s">
        <v>243</v>
      </c>
      <c r="F26" s="19"/>
      <c r="G26" s="19" t="s">
        <v>1306</v>
      </c>
      <c r="H26" s="49"/>
      <c r="I26" s="35"/>
      <c r="J26" s="34" t="s">
        <v>431</v>
      </c>
      <c r="K26" s="34" t="s">
        <v>134</v>
      </c>
      <c r="L26" s="34" t="s">
        <v>439</v>
      </c>
    </row>
    <row r="27" spans="1:12" s="131" customFormat="1">
      <c r="A27" s="129"/>
      <c r="B27" s="41" t="s">
        <v>814</v>
      </c>
      <c r="C27" s="41" t="s">
        <v>136</v>
      </c>
      <c r="D27" s="42" t="s">
        <v>532</v>
      </c>
      <c r="E27" s="44" t="s">
        <v>243</v>
      </c>
      <c r="F27" s="70"/>
      <c r="G27" s="70" t="s">
        <v>1307</v>
      </c>
      <c r="H27" s="45"/>
      <c r="I27" s="130" t="s">
        <v>1933</v>
      </c>
      <c r="J27" s="47" t="s">
        <v>431</v>
      </c>
      <c r="K27" s="47" t="s">
        <v>134</v>
      </c>
      <c r="L27" s="47" t="s">
        <v>533</v>
      </c>
    </row>
    <row r="28" spans="1:12" s="131" customFormat="1">
      <c r="A28" s="129"/>
      <c r="B28" s="41" t="s">
        <v>820</v>
      </c>
      <c r="C28" s="41" t="s">
        <v>136</v>
      </c>
      <c r="D28" s="42" t="s">
        <v>534</v>
      </c>
      <c r="E28" s="44" t="s">
        <v>243</v>
      </c>
      <c r="F28" s="70"/>
      <c r="G28" s="70" t="s">
        <v>1309</v>
      </c>
      <c r="H28" s="45"/>
      <c r="I28" s="130" t="s">
        <v>1933</v>
      </c>
      <c r="J28" s="47" t="s">
        <v>431</v>
      </c>
      <c r="K28" s="47" t="s">
        <v>134</v>
      </c>
      <c r="L28" s="47" t="s">
        <v>439</v>
      </c>
    </row>
    <row r="29" spans="1:12" s="131" customFormat="1">
      <c r="A29" s="129"/>
      <c r="B29" s="41" t="s">
        <v>1069</v>
      </c>
      <c r="C29" s="41" t="s">
        <v>136</v>
      </c>
      <c r="D29" s="42" t="s">
        <v>1070</v>
      </c>
      <c r="E29" s="44" t="s">
        <v>243</v>
      </c>
      <c r="F29" s="70"/>
      <c r="G29" s="70" t="s">
        <v>1371</v>
      </c>
      <c r="H29" s="45"/>
      <c r="I29" s="130" t="s">
        <v>1933</v>
      </c>
      <c r="J29" s="47" t="s">
        <v>431</v>
      </c>
      <c r="K29" s="47" t="s">
        <v>134</v>
      </c>
      <c r="L29" s="47" t="s">
        <v>439</v>
      </c>
    </row>
    <row r="30" spans="1:12" s="131" customFormat="1">
      <c r="A30" s="129"/>
      <c r="B30" s="45" t="s">
        <v>1072</v>
      </c>
      <c r="C30" s="45" t="s">
        <v>136</v>
      </c>
      <c r="D30" s="42" t="s">
        <v>1073</v>
      </c>
      <c r="E30" s="44" t="s">
        <v>243</v>
      </c>
      <c r="F30" s="70"/>
      <c r="G30" s="70" t="s">
        <v>1372</v>
      </c>
      <c r="H30" s="45"/>
      <c r="I30" s="130" t="s">
        <v>1933</v>
      </c>
      <c r="J30" s="47" t="s">
        <v>431</v>
      </c>
      <c r="K30" s="47" t="s">
        <v>134</v>
      </c>
      <c r="L30" s="47" t="s">
        <v>439</v>
      </c>
    </row>
    <row r="31" spans="1:12" s="131" customFormat="1">
      <c r="B31" s="45" t="s">
        <v>1075</v>
      </c>
      <c r="C31" s="45" t="s">
        <v>136</v>
      </c>
      <c r="D31" s="42" t="s">
        <v>1076</v>
      </c>
      <c r="E31" s="44" t="s">
        <v>243</v>
      </c>
      <c r="F31" s="70"/>
      <c r="G31" s="70" t="s">
        <v>1373</v>
      </c>
      <c r="H31" s="45"/>
      <c r="I31" s="130" t="s">
        <v>1933</v>
      </c>
      <c r="J31" s="47" t="s">
        <v>431</v>
      </c>
      <c r="K31" s="47" t="s">
        <v>134</v>
      </c>
      <c r="L31" s="47" t="s">
        <v>439</v>
      </c>
    </row>
    <row r="32" spans="1:12" s="131" customFormat="1">
      <c r="B32" s="45" t="s">
        <v>1078</v>
      </c>
      <c r="C32" s="45" t="s">
        <v>136</v>
      </c>
      <c r="D32" s="42" t="s">
        <v>1079</v>
      </c>
      <c r="E32" s="44" t="s">
        <v>243</v>
      </c>
      <c r="F32" s="70"/>
      <c r="G32" s="70" t="s">
        <v>1374</v>
      </c>
      <c r="H32" s="45"/>
      <c r="I32" s="130" t="s">
        <v>1933</v>
      </c>
      <c r="J32" s="47" t="s">
        <v>431</v>
      </c>
      <c r="K32" s="47" t="s">
        <v>134</v>
      </c>
      <c r="L32" s="47" t="s">
        <v>439</v>
      </c>
    </row>
    <row r="33" spans="1:12" s="129" customFormat="1">
      <c r="B33" s="45" t="s">
        <v>1080</v>
      </c>
      <c r="C33" s="45" t="s">
        <v>136</v>
      </c>
      <c r="D33" s="126" t="s">
        <v>1081</v>
      </c>
      <c r="E33" s="44" t="s">
        <v>243</v>
      </c>
      <c r="F33" s="70"/>
      <c r="G33" s="70" t="s">
        <v>1375</v>
      </c>
      <c r="H33" s="45"/>
      <c r="I33" s="130" t="s">
        <v>1933</v>
      </c>
      <c r="J33" s="47" t="s">
        <v>431</v>
      </c>
      <c r="K33" s="47" t="s">
        <v>134</v>
      </c>
      <c r="L33" s="47" t="s">
        <v>439</v>
      </c>
    </row>
    <row r="34" spans="1:12" s="129" customFormat="1">
      <c r="B34" s="45" t="s">
        <v>1082</v>
      </c>
      <c r="C34" s="45" t="s">
        <v>136</v>
      </c>
      <c r="D34" s="42" t="s">
        <v>1083</v>
      </c>
      <c r="E34" s="44" t="s">
        <v>243</v>
      </c>
      <c r="F34" s="70"/>
      <c r="G34" s="70" t="s">
        <v>1376</v>
      </c>
      <c r="H34" s="45"/>
      <c r="I34" s="130" t="s">
        <v>1933</v>
      </c>
      <c r="J34" s="47" t="s">
        <v>431</v>
      </c>
      <c r="K34" s="47" t="s">
        <v>134</v>
      </c>
      <c r="L34" s="47" t="s">
        <v>439</v>
      </c>
    </row>
    <row r="35" spans="1:12" s="64" customFormat="1">
      <c r="A35" s="67"/>
      <c r="B35" s="68" t="s">
        <v>1085</v>
      </c>
      <c r="C35" s="68" t="s">
        <v>136</v>
      </c>
      <c r="D35" s="42" t="s">
        <v>1086</v>
      </c>
      <c r="E35" s="44" t="s">
        <v>243</v>
      </c>
      <c r="F35" s="70"/>
      <c r="G35" s="70" t="s">
        <v>1377</v>
      </c>
      <c r="H35" s="45"/>
      <c r="I35" s="130" t="s">
        <v>1933</v>
      </c>
      <c r="J35" s="47" t="s">
        <v>431</v>
      </c>
      <c r="K35" s="47" t="s">
        <v>134</v>
      </c>
      <c r="L35" s="47" t="s">
        <v>439</v>
      </c>
    </row>
    <row r="36" spans="1:12" s="129" customFormat="1">
      <c r="B36" s="68" t="s">
        <v>1088</v>
      </c>
      <c r="C36" s="68" t="s">
        <v>136</v>
      </c>
      <c r="D36" s="42" t="s">
        <v>1089</v>
      </c>
      <c r="E36" s="44" t="s">
        <v>243</v>
      </c>
      <c r="F36" s="70"/>
      <c r="G36" s="70" t="s">
        <v>1378</v>
      </c>
      <c r="H36" s="45"/>
      <c r="I36" s="130" t="s">
        <v>1933</v>
      </c>
      <c r="J36" s="47" t="s">
        <v>431</v>
      </c>
      <c r="K36" s="47" t="s">
        <v>134</v>
      </c>
      <c r="L36" s="47" t="s">
        <v>439</v>
      </c>
    </row>
    <row r="37" spans="1:12" s="129" customFormat="1">
      <c r="B37" s="68" t="s">
        <v>1091</v>
      </c>
      <c r="C37" s="68" t="s">
        <v>136</v>
      </c>
      <c r="D37" s="42" t="s">
        <v>1092</v>
      </c>
      <c r="E37" s="44" t="s">
        <v>243</v>
      </c>
      <c r="F37" s="70"/>
      <c r="G37" s="70" t="s">
        <v>1379</v>
      </c>
      <c r="H37" s="45"/>
      <c r="I37" s="130" t="s">
        <v>1933</v>
      </c>
      <c r="J37" s="47" t="s">
        <v>431</v>
      </c>
      <c r="K37" s="47" t="s">
        <v>134</v>
      </c>
      <c r="L37" s="47" t="s">
        <v>439</v>
      </c>
    </row>
    <row r="38" spans="1:12" s="132" customFormat="1">
      <c r="B38" s="68" t="s">
        <v>1094</v>
      </c>
      <c r="C38" s="68" t="s">
        <v>136</v>
      </c>
      <c r="D38" s="42" t="s">
        <v>1095</v>
      </c>
      <c r="E38" s="44" t="s">
        <v>243</v>
      </c>
      <c r="F38" s="70"/>
      <c r="G38" s="70" t="s">
        <v>1380</v>
      </c>
      <c r="H38" s="45"/>
      <c r="I38" s="130" t="s">
        <v>1933</v>
      </c>
      <c r="J38" s="47" t="s">
        <v>431</v>
      </c>
      <c r="K38" s="47" t="s">
        <v>134</v>
      </c>
      <c r="L38" s="47" t="s">
        <v>439</v>
      </c>
    </row>
    <row r="39" spans="1:12" s="132" customFormat="1">
      <c r="B39" s="68" t="s">
        <v>1097</v>
      </c>
      <c r="C39" s="68" t="s">
        <v>136</v>
      </c>
      <c r="D39" s="42" t="s">
        <v>1098</v>
      </c>
      <c r="E39" s="44" t="s">
        <v>243</v>
      </c>
      <c r="F39" s="70"/>
      <c r="G39" s="70" t="s">
        <v>1381</v>
      </c>
      <c r="H39" s="45"/>
      <c r="I39" s="130" t="s">
        <v>1933</v>
      </c>
      <c r="J39" s="47" t="s">
        <v>431</v>
      </c>
      <c r="K39" s="47" t="s">
        <v>134</v>
      </c>
      <c r="L39" s="47" t="s">
        <v>439</v>
      </c>
    </row>
    <row r="40" spans="1:12" s="132" customFormat="1">
      <c r="B40" s="68" t="s">
        <v>1100</v>
      </c>
      <c r="C40" s="68" t="s">
        <v>136</v>
      </c>
      <c r="D40" s="42" t="s">
        <v>1101</v>
      </c>
      <c r="E40" s="44" t="s">
        <v>243</v>
      </c>
      <c r="F40" s="70"/>
      <c r="G40" s="70" t="s">
        <v>1382</v>
      </c>
      <c r="H40" s="45"/>
      <c r="I40" s="130" t="s">
        <v>1933</v>
      </c>
      <c r="J40" s="47" t="s">
        <v>431</v>
      </c>
      <c r="K40" s="47" t="s">
        <v>134</v>
      </c>
      <c r="L40" s="47" t="s">
        <v>439</v>
      </c>
    </row>
    <row r="41" spans="1:12" s="132" customFormat="1">
      <c r="B41" s="68" t="s">
        <v>1103</v>
      </c>
      <c r="C41" s="68" t="s">
        <v>245</v>
      </c>
      <c r="D41" s="42" t="s">
        <v>1104</v>
      </c>
      <c r="E41" s="44" t="s">
        <v>243</v>
      </c>
      <c r="F41" s="70"/>
      <c r="G41" s="70" t="s">
        <v>1383</v>
      </c>
      <c r="H41" s="45"/>
      <c r="I41" s="130" t="s">
        <v>1933</v>
      </c>
      <c r="J41" s="47" t="s">
        <v>431</v>
      </c>
      <c r="K41" s="47" t="s">
        <v>134</v>
      </c>
      <c r="L41" s="47" t="s">
        <v>610</v>
      </c>
    </row>
    <row r="42" spans="1:12" s="132" customFormat="1">
      <c r="B42" s="68" t="s">
        <v>948</v>
      </c>
      <c r="C42" s="68" t="s">
        <v>245</v>
      </c>
      <c r="D42" s="42" t="s">
        <v>949</v>
      </c>
      <c r="E42" s="44" t="s">
        <v>243</v>
      </c>
      <c r="F42" s="70"/>
      <c r="G42" s="70" t="s">
        <v>1344</v>
      </c>
      <c r="H42" s="45"/>
      <c r="I42" s="130" t="s">
        <v>1933</v>
      </c>
      <c r="J42" s="47" t="s">
        <v>431</v>
      </c>
      <c r="K42" s="47" t="s">
        <v>134</v>
      </c>
      <c r="L42" s="47" t="s">
        <v>439</v>
      </c>
    </row>
    <row r="43" spans="1:12" s="64" customFormat="1">
      <c r="A43" s="67"/>
      <c r="B43" s="68" t="s">
        <v>1109</v>
      </c>
      <c r="C43" s="68" t="s">
        <v>136</v>
      </c>
      <c r="D43" s="46" t="s">
        <v>1110</v>
      </c>
      <c r="E43" s="44" t="s">
        <v>243</v>
      </c>
      <c r="F43" s="70"/>
      <c r="G43" s="70" t="s">
        <v>1385</v>
      </c>
      <c r="H43" s="45"/>
      <c r="I43" s="130" t="s">
        <v>1933</v>
      </c>
      <c r="J43" s="47" t="s">
        <v>431</v>
      </c>
      <c r="K43" s="47" t="s">
        <v>134</v>
      </c>
      <c r="L43" s="47" t="s">
        <v>439</v>
      </c>
    </row>
    <row r="44" spans="1:12" s="64" customFormat="1">
      <c r="A44" s="67"/>
      <c r="B44" s="68" t="s">
        <v>1111</v>
      </c>
      <c r="C44" s="68" t="s">
        <v>136</v>
      </c>
      <c r="D44" s="46" t="s">
        <v>1112</v>
      </c>
      <c r="E44" s="44" t="s">
        <v>243</v>
      </c>
      <c r="F44" s="70"/>
      <c r="G44" s="70" t="s">
        <v>1386</v>
      </c>
      <c r="H44" s="45"/>
      <c r="I44" s="130" t="s">
        <v>1933</v>
      </c>
      <c r="J44" s="47" t="s">
        <v>431</v>
      </c>
      <c r="K44" s="47" t="s">
        <v>134</v>
      </c>
      <c r="L44" s="47" t="s">
        <v>439</v>
      </c>
    </row>
    <row r="45" spans="1:12" s="64" customFormat="1">
      <c r="A45" s="67"/>
      <c r="B45" s="68" t="s">
        <v>1113</v>
      </c>
      <c r="C45" s="68" t="s">
        <v>136</v>
      </c>
      <c r="D45" s="46" t="s">
        <v>1114</v>
      </c>
      <c r="E45" s="44" t="s">
        <v>243</v>
      </c>
      <c r="F45" s="70"/>
      <c r="G45" s="70" t="s">
        <v>1387</v>
      </c>
      <c r="H45" s="45"/>
      <c r="I45" s="130" t="s">
        <v>1933</v>
      </c>
      <c r="J45" s="47" t="s">
        <v>431</v>
      </c>
      <c r="K45" s="47" t="s">
        <v>134</v>
      </c>
      <c r="L45" s="47" t="s">
        <v>439</v>
      </c>
    </row>
    <row r="46" spans="1:12" s="64" customFormat="1">
      <c r="A46" s="67"/>
      <c r="B46" s="68" t="s">
        <v>1115</v>
      </c>
      <c r="C46" s="68" t="s">
        <v>136</v>
      </c>
      <c r="D46" s="46" t="s">
        <v>1116</v>
      </c>
      <c r="E46" s="44" t="s">
        <v>243</v>
      </c>
      <c r="F46" s="70"/>
      <c r="G46" s="70" t="s">
        <v>1388</v>
      </c>
      <c r="H46" s="45"/>
      <c r="I46" s="130" t="s">
        <v>1933</v>
      </c>
      <c r="J46" s="47" t="s">
        <v>431</v>
      </c>
      <c r="K46" s="47" t="s">
        <v>134</v>
      </c>
      <c r="L46" s="47" t="s">
        <v>439</v>
      </c>
    </row>
    <row r="47" spans="1:12" s="64" customFormat="1">
      <c r="A47" s="67"/>
      <c r="B47" s="68" t="s">
        <v>1117</v>
      </c>
      <c r="C47" s="68" t="s">
        <v>136</v>
      </c>
      <c r="D47" s="46" t="s">
        <v>1118</v>
      </c>
      <c r="E47" s="44" t="s">
        <v>243</v>
      </c>
      <c r="F47" s="70"/>
      <c r="G47" s="70" t="s">
        <v>1389</v>
      </c>
      <c r="H47" s="45"/>
      <c r="I47" s="130" t="s">
        <v>1933</v>
      </c>
      <c r="J47" s="47" t="s">
        <v>431</v>
      </c>
      <c r="K47" s="47" t="s">
        <v>134</v>
      </c>
      <c r="L47" s="47" t="s">
        <v>439</v>
      </c>
    </row>
    <row r="48" spans="1:12" s="64" customFormat="1">
      <c r="A48" s="67"/>
      <c r="B48" s="68" t="s">
        <v>1119</v>
      </c>
      <c r="C48" s="68" t="s">
        <v>136</v>
      </c>
      <c r="D48" s="46" t="s">
        <v>1120</v>
      </c>
      <c r="E48" s="44" t="s">
        <v>243</v>
      </c>
      <c r="F48" s="70"/>
      <c r="G48" s="70" t="s">
        <v>1390</v>
      </c>
      <c r="H48" s="45"/>
      <c r="I48" s="130" t="s">
        <v>1933</v>
      </c>
      <c r="J48" s="47" t="s">
        <v>431</v>
      </c>
      <c r="K48" s="47" t="s">
        <v>134</v>
      </c>
      <c r="L48" s="47" t="s">
        <v>439</v>
      </c>
    </row>
    <row r="49" spans="1:12" s="64" customFormat="1">
      <c r="A49" s="67"/>
      <c r="B49" s="68" t="s">
        <v>1121</v>
      </c>
      <c r="C49" s="68" t="s">
        <v>136</v>
      </c>
      <c r="D49" s="46" t="s">
        <v>1122</v>
      </c>
      <c r="E49" s="44" t="s">
        <v>243</v>
      </c>
      <c r="F49" s="70"/>
      <c r="G49" s="70" t="s">
        <v>1391</v>
      </c>
      <c r="H49" s="45"/>
      <c r="I49" s="130" t="s">
        <v>1933</v>
      </c>
      <c r="J49" s="47" t="s">
        <v>431</v>
      </c>
      <c r="K49" s="47" t="s">
        <v>134</v>
      </c>
      <c r="L49" s="47" t="s">
        <v>439</v>
      </c>
    </row>
    <row r="50" spans="1:12" s="64" customFormat="1">
      <c r="A50" s="67"/>
      <c r="B50" s="68" t="s">
        <v>1124</v>
      </c>
      <c r="C50" s="68" t="s">
        <v>136</v>
      </c>
      <c r="D50" s="46" t="s">
        <v>1125</v>
      </c>
      <c r="E50" s="44" t="s">
        <v>243</v>
      </c>
      <c r="F50" s="70"/>
      <c r="G50" s="70" t="s">
        <v>1392</v>
      </c>
      <c r="H50" s="45"/>
      <c r="I50" s="130" t="s">
        <v>1933</v>
      </c>
      <c r="J50" s="47" t="s">
        <v>431</v>
      </c>
      <c r="K50" s="47" t="s">
        <v>134</v>
      </c>
      <c r="L50" s="47" t="s">
        <v>439</v>
      </c>
    </row>
    <row r="51" spans="1:12" s="64" customFormat="1">
      <c r="A51" s="67"/>
      <c r="B51" s="68" t="s">
        <v>1127</v>
      </c>
      <c r="C51" s="68" t="s">
        <v>136</v>
      </c>
      <c r="D51" s="46" t="s">
        <v>1128</v>
      </c>
      <c r="E51" s="44" t="s">
        <v>243</v>
      </c>
      <c r="F51" s="70"/>
      <c r="G51" s="70" t="s">
        <v>1393</v>
      </c>
      <c r="H51" s="45"/>
      <c r="I51" s="130" t="s">
        <v>1933</v>
      </c>
      <c r="J51" s="47" t="s">
        <v>431</v>
      </c>
      <c r="K51" s="47" t="s">
        <v>134</v>
      </c>
      <c r="L51" s="47" t="s">
        <v>439</v>
      </c>
    </row>
    <row r="52" spans="1:12" s="64" customFormat="1">
      <c r="A52" s="67"/>
      <c r="B52" s="68" t="s">
        <v>1130</v>
      </c>
      <c r="C52" s="68" t="s">
        <v>136</v>
      </c>
      <c r="D52" s="46" t="s">
        <v>1131</v>
      </c>
      <c r="E52" s="44" t="s">
        <v>243</v>
      </c>
      <c r="F52" s="70"/>
      <c r="G52" s="70" t="s">
        <v>1394</v>
      </c>
      <c r="H52" s="45"/>
      <c r="I52" s="130" t="s">
        <v>1933</v>
      </c>
      <c r="J52" s="47" t="s">
        <v>431</v>
      </c>
      <c r="K52" s="47" t="s">
        <v>134</v>
      </c>
      <c r="L52" s="47" t="s">
        <v>439</v>
      </c>
    </row>
    <row r="53" spans="1:12" s="39" customFormat="1">
      <c r="B53" s="68" t="s">
        <v>1133</v>
      </c>
      <c r="C53" s="68" t="s">
        <v>136</v>
      </c>
      <c r="D53" s="46" t="s">
        <v>1134</v>
      </c>
      <c r="E53" s="44" t="s">
        <v>243</v>
      </c>
      <c r="F53" s="70"/>
      <c r="G53" s="70" t="s">
        <v>1395</v>
      </c>
      <c r="H53" s="45"/>
      <c r="I53" s="130" t="s">
        <v>1933</v>
      </c>
      <c r="J53" s="47" t="s">
        <v>431</v>
      </c>
      <c r="K53" s="47" t="s">
        <v>134</v>
      </c>
      <c r="L53" s="47" t="s">
        <v>439</v>
      </c>
    </row>
    <row r="54" spans="1:12" s="131" customFormat="1">
      <c r="A54" s="129"/>
      <c r="B54" s="68" t="s">
        <v>1136</v>
      </c>
      <c r="C54" s="68" t="s">
        <v>136</v>
      </c>
      <c r="D54" s="46" t="s">
        <v>1137</v>
      </c>
      <c r="E54" s="44" t="s">
        <v>243</v>
      </c>
      <c r="F54" s="70"/>
      <c r="G54" s="70" t="s">
        <v>1396</v>
      </c>
      <c r="H54" s="45"/>
      <c r="I54" s="130" t="s">
        <v>1933</v>
      </c>
      <c r="J54" s="47" t="s">
        <v>431</v>
      </c>
      <c r="K54" s="47" t="s">
        <v>134</v>
      </c>
      <c r="L54" s="47" t="s">
        <v>439</v>
      </c>
    </row>
    <row r="55" spans="1:12" s="131" customFormat="1">
      <c r="A55" s="129"/>
      <c r="B55" s="68" t="s">
        <v>951</v>
      </c>
      <c r="C55" s="68" t="s">
        <v>136</v>
      </c>
      <c r="D55" s="46" t="s">
        <v>952</v>
      </c>
      <c r="E55" s="44" t="s">
        <v>243</v>
      </c>
      <c r="F55" s="70"/>
      <c r="G55" s="70" t="s">
        <v>1990</v>
      </c>
      <c r="H55" s="45"/>
      <c r="I55" s="130" t="s">
        <v>1933</v>
      </c>
      <c r="J55" s="47" t="s">
        <v>431</v>
      </c>
      <c r="K55" s="47" t="s">
        <v>134</v>
      </c>
      <c r="L55" s="47" t="s">
        <v>439</v>
      </c>
    </row>
    <row r="56" spans="1:12" s="131" customFormat="1">
      <c r="A56" s="129"/>
      <c r="B56" s="68" t="s">
        <v>954</v>
      </c>
      <c r="C56" s="68" t="s">
        <v>136</v>
      </c>
      <c r="D56" s="46" t="s">
        <v>593</v>
      </c>
      <c r="E56" s="44" t="s">
        <v>243</v>
      </c>
      <c r="F56" s="70"/>
      <c r="G56" s="70" t="s">
        <v>1346</v>
      </c>
      <c r="H56" s="45"/>
      <c r="I56" s="130" t="s">
        <v>1933</v>
      </c>
      <c r="J56" s="47" t="s">
        <v>431</v>
      </c>
      <c r="K56" s="47" t="s">
        <v>134</v>
      </c>
      <c r="L56" s="47" t="s">
        <v>439</v>
      </c>
    </row>
    <row r="57" spans="1:12" s="131" customFormat="1">
      <c r="A57" s="129"/>
      <c r="B57" s="68" t="s">
        <v>956</v>
      </c>
      <c r="C57" s="68" t="s">
        <v>136</v>
      </c>
      <c r="D57" s="46" t="s">
        <v>595</v>
      </c>
      <c r="E57" s="44" t="s">
        <v>243</v>
      </c>
      <c r="F57" s="70"/>
      <c r="G57" s="70" t="s">
        <v>1347</v>
      </c>
      <c r="H57" s="45"/>
      <c r="I57" s="130" t="s">
        <v>1933</v>
      </c>
      <c r="J57" s="47" t="s">
        <v>431</v>
      </c>
      <c r="K57" s="47" t="s">
        <v>134</v>
      </c>
      <c r="L57" s="47" t="s">
        <v>439</v>
      </c>
    </row>
    <row r="58" spans="1:12" s="131" customFormat="1">
      <c r="A58" s="129"/>
      <c r="B58" s="68" t="s">
        <v>958</v>
      </c>
      <c r="C58" s="68" t="s">
        <v>136</v>
      </c>
      <c r="D58" s="46" t="s">
        <v>597</v>
      </c>
      <c r="E58" s="44" t="s">
        <v>243</v>
      </c>
      <c r="F58" s="70"/>
      <c r="G58" s="70" t="s">
        <v>1348</v>
      </c>
      <c r="H58" s="45"/>
      <c r="I58" s="130" t="s">
        <v>1933</v>
      </c>
      <c r="J58" s="47" t="s">
        <v>431</v>
      </c>
      <c r="K58" s="47" t="s">
        <v>134</v>
      </c>
      <c r="L58" s="47" t="s">
        <v>439</v>
      </c>
    </row>
    <row r="59" spans="1:12" s="131" customFormat="1">
      <c r="A59" s="129"/>
      <c r="B59" s="68" t="s">
        <v>960</v>
      </c>
      <c r="C59" s="68" t="s">
        <v>136</v>
      </c>
      <c r="D59" s="46" t="s">
        <v>599</v>
      </c>
      <c r="E59" s="44" t="s">
        <v>243</v>
      </c>
      <c r="F59" s="70"/>
      <c r="G59" s="70" t="s">
        <v>1349</v>
      </c>
      <c r="H59" s="45"/>
      <c r="I59" s="130" t="s">
        <v>1933</v>
      </c>
      <c r="J59" s="47" t="s">
        <v>431</v>
      </c>
      <c r="K59" s="47" t="s">
        <v>134</v>
      </c>
      <c r="L59" s="47" t="s">
        <v>439</v>
      </c>
    </row>
    <row r="60" spans="1:12" s="131" customFormat="1">
      <c r="A60" s="129"/>
      <c r="B60" s="68" t="s">
        <v>962</v>
      </c>
      <c r="C60" s="68" t="s">
        <v>136</v>
      </c>
      <c r="D60" s="46" t="s">
        <v>601</v>
      </c>
      <c r="E60" s="44" t="s">
        <v>243</v>
      </c>
      <c r="F60" s="70"/>
      <c r="G60" s="70" t="s">
        <v>1350</v>
      </c>
      <c r="H60" s="45"/>
      <c r="I60" s="130" t="s">
        <v>1933</v>
      </c>
      <c r="J60" s="47" t="s">
        <v>431</v>
      </c>
      <c r="K60" s="47" t="s">
        <v>134</v>
      </c>
      <c r="L60" s="47" t="s">
        <v>439</v>
      </c>
    </row>
    <row r="61" spans="1:12" s="131" customFormat="1">
      <c r="A61" s="129"/>
      <c r="B61" s="68" t="s">
        <v>964</v>
      </c>
      <c r="C61" s="68" t="s">
        <v>136</v>
      </c>
      <c r="D61" s="46" t="s">
        <v>603</v>
      </c>
      <c r="E61" s="44" t="s">
        <v>243</v>
      </c>
      <c r="F61" s="70"/>
      <c r="G61" s="70" t="s">
        <v>1351</v>
      </c>
      <c r="H61" s="45"/>
      <c r="I61" s="130" t="s">
        <v>1933</v>
      </c>
      <c r="J61" s="47" t="s">
        <v>431</v>
      </c>
      <c r="K61" s="47" t="s">
        <v>134</v>
      </c>
      <c r="L61" s="47" t="s">
        <v>439</v>
      </c>
    </row>
    <row r="62" spans="1:12" s="131" customFormat="1">
      <c r="A62" s="129"/>
      <c r="B62" s="68" t="s">
        <v>1147</v>
      </c>
      <c r="C62" s="68" t="s">
        <v>245</v>
      </c>
      <c r="D62" s="46" t="s">
        <v>1148</v>
      </c>
      <c r="E62" s="44" t="s">
        <v>243</v>
      </c>
      <c r="F62" s="70"/>
      <c r="G62" s="70" t="s">
        <v>1400</v>
      </c>
      <c r="H62" s="45"/>
      <c r="I62" s="130" t="s">
        <v>1933</v>
      </c>
      <c r="J62" s="47" t="s">
        <v>431</v>
      </c>
      <c r="K62" s="47" t="s">
        <v>134</v>
      </c>
      <c r="L62" s="47" t="s">
        <v>610</v>
      </c>
    </row>
    <row r="63" spans="1:12" s="131" customFormat="1">
      <c r="A63" s="129"/>
      <c r="B63" s="68" t="s">
        <v>1145</v>
      </c>
      <c r="C63" s="68" t="s">
        <v>136</v>
      </c>
      <c r="D63" s="46" t="s">
        <v>1146</v>
      </c>
      <c r="E63" s="44" t="s">
        <v>243</v>
      </c>
      <c r="F63" s="70"/>
      <c r="G63" s="70" t="s">
        <v>1399</v>
      </c>
      <c r="H63" s="45"/>
      <c r="I63" s="130" t="s">
        <v>1933</v>
      </c>
      <c r="J63" s="47" t="s">
        <v>431</v>
      </c>
      <c r="K63" s="47" t="s">
        <v>134</v>
      </c>
      <c r="L63" s="47" t="s">
        <v>439</v>
      </c>
    </row>
    <row r="64" spans="1:12" s="131" customFormat="1">
      <c r="A64" s="129"/>
      <c r="B64" s="68" t="s">
        <v>1151</v>
      </c>
      <c r="C64" s="68" t="s">
        <v>136</v>
      </c>
      <c r="D64" s="46" t="s">
        <v>1152</v>
      </c>
      <c r="E64" s="44" t="s">
        <v>243</v>
      </c>
      <c r="F64" s="70"/>
      <c r="G64" s="70" t="s">
        <v>1402</v>
      </c>
      <c r="H64" s="45"/>
      <c r="I64" s="130" t="s">
        <v>1933</v>
      </c>
      <c r="J64" s="47" t="s">
        <v>431</v>
      </c>
      <c r="K64" s="47" t="s">
        <v>134</v>
      </c>
      <c r="L64" s="47" t="s">
        <v>439</v>
      </c>
    </row>
    <row r="65" spans="1:12" s="131" customFormat="1">
      <c r="A65" s="129"/>
      <c r="B65" s="68" t="s">
        <v>1154</v>
      </c>
      <c r="C65" s="68" t="s">
        <v>136</v>
      </c>
      <c r="D65" s="46" t="s">
        <v>1155</v>
      </c>
      <c r="E65" s="44" t="s">
        <v>243</v>
      </c>
      <c r="F65" s="70"/>
      <c r="G65" s="70" t="s">
        <v>1403</v>
      </c>
      <c r="H65" s="45"/>
      <c r="I65" s="130" t="s">
        <v>1933</v>
      </c>
      <c r="J65" s="47" t="s">
        <v>431</v>
      </c>
      <c r="K65" s="47" t="s">
        <v>134</v>
      </c>
      <c r="L65" s="47" t="s">
        <v>439</v>
      </c>
    </row>
    <row r="66" spans="1:12" s="131" customFormat="1">
      <c r="A66" s="129"/>
      <c r="B66" s="68" t="s">
        <v>1157</v>
      </c>
      <c r="C66" s="68" t="s">
        <v>136</v>
      </c>
      <c r="D66" s="46" t="s">
        <v>1158</v>
      </c>
      <c r="E66" s="44" t="s">
        <v>243</v>
      </c>
      <c r="F66" s="70"/>
      <c r="G66" s="70" t="s">
        <v>1404</v>
      </c>
      <c r="H66" s="45"/>
      <c r="I66" s="130" t="s">
        <v>1933</v>
      </c>
      <c r="J66" s="47" t="s">
        <v>431</v>
      </c>
      <c r="K66" s="47" t="s">
        <v>134</v>
      </c>
      <c r="L66" s="47" t="s">
        <v>439</v>
      </c>
    </row>
    <row r="67" spans="1:12" s="131" customFormat="1">
      <c r="A67" s="129"/>
      <c r="B67" s="68" t="s">
        <v>1160</v>
      </c>
      <c r="C67" s="68" t="s">
        <v>136</v>
      </c>
      <c r="D67" s="46" t="s">
        <v>1161</v>
      </c>
      <c r="E67" s="44" t="s">
        <v>243</v>
      </c>
      <c r="F67" s="70"/>
      <c r="G67" s="70" t="s">
        <v>1405</v>
      </c>
      <c r="H67" s="45"/>
      <c r="I67" s="130" t="s">
        <v>1933</v>
      </c>
      <c r="J67" s="47" t="s">
        <v>431</v>
      </c>
      <c r="K67" s="47" t="s">
        <v>134</v>
      </c>
      <c r="L67" s="47" t="s">
        <v>439</v>
      </c>
    </row>
    <row r="68" spans="1:12" s="131" customFormat="1">
      <c r="A68" s="129"/>
      <c r="B68" s="68" t="s">
        <v>1163</v>
      </c>
      <c r="C68" s="68" t="s">
        <v>136</v>
      </c>
      <c r="D68" s="46" t="s">
        <v>1164</v>
      </c>
      <c r="E68" s="44" t="s">
        <v>243</v>
      </c>
      <c r="F68" s="70"/>
      <c r="G68" s="70" t="s">
        <v>1406</v>
      </c>
      <c r="H68" s="45"/>
      <c r="I68" s="130" t="s">
        <v>1933</v>
      </c>
      <c r="J68" s="47" t="s">
        <v>431</v>
      </c>
      <c r="K68" s="47" t="s">
        <v>134</v>
      </c>
      <c r="L68" s="47" t="s">
        <v>439</v>
      </c>
    </row>
    <row r="69" spans="1:12" s="131" customFormat="1">
      <c r="A69" s="129"/>
      <c r="B69" s="68" t="s">
        <v>1166</v>
      </c>
      <c r="C69" s="68" t="s">
        <v>136</v>
      </c>
      <c r="D69" s="46" t="s">
        <v>1167</v>
      </c>
      <c r="E69" s="44" t="s">
        <v>243</v>
      </c>
      <c r="F69" s="70"/>
      <c r="G69" s="70" t="s">
        <v>1407</v>
      </c>
      <c r="H69" s="45"/>
      <c r="I69" s="130" t="s">
        <v>1933</v>
      </c>
      <c r="J69" s="47" t="s">
        <v>431</v>
      </c>
      <c r="K69" s="47" t="s">
        <v>134</v>
      </c>
      <c r="L69" s="47" t="s">
        <v>439</v>
      </c>
    </row>
    <row r="70" spans="1:12" s="131" customFormat="1">
      <c r="A70" s="129"/>
      <c r="B70" s="68" t="s">
        <v>1169</v>
      </c>
      <c r="C70" s="68" t="s">
        <v>136</v>
      </c>
      <c r="D70" s="46" t="s">
        <v>1170</v>
      </c>
      <c r="E70" s="44" t="s">
        <v>243</v>
      </c>
      <c r="F70" s="70"/>
      <c r="G70" s="70" t="s">
        <v>1408</v>
      </c>
      <c r="H70" s="45"/>
      <c r="I70" s="130" t="s">
        <v>1933</v>
      </c>
      <c r="J70" s="47" t="s">
        <v>431</v>
      </c>
      <c r="K70" s="47" t="s">
        <v>134</v>
      </c>
      <c r="L70" s="47" t="s">
        <v>439</v>
      </c>
    </row>
    <row r="71" spans="1:12" s="131" customFormat="1">
      <c r="A71" s="129"/>
      <c r="B71" s="68" t="s">
        <v>1172</v>
      </c>
      <c r="C71" s="68" t="s">
        <v>136</v>
      </c>
      <c r="D71" s="46" t="s">
        <v>1173</v>
      </c>
      <c r="E71" s="44" t="s">
        <v>243</v>
      </c>
      <c r="F71" s="70"/>
      <c r="G71" s="70" t="s">
        <v>1409</v>
      </c>
      <c r="H71" s="45"/>
      <c r="I71" s="130" t="s">
        <v>1933</v>
      </c>
      <c r="J71" s="47" t="s">
        <v>431</v>
      </c>
      <c r="K71" s="47" t="s">
        <v>134</v>
      </c>
      <c r="L71" s="47" t="s">
        <v>439</v>
      </c>
    </row>
    <row r="72" spans="1:12" s="131" customFormat="1">
      <c r="A72" s="129"/>
      <c r="B72" s="68" t="s">
        <v>1175</v>
      </c>
      <c r="C72" s="68" t="s">
        <v>136</v>
      </c>
      <c r="D72" s="46" t="s">
        <v>1176</v>
      </c>
      <c r="E72" s="44" t="s">
        <v>243</v>
      </c>
      <c r="F72" s="70"/>
      <c r="G72" s="70" t="s">
        <v>1410</v>
      </c>
      <c r="H72" s="45"/>
      <c r="I72" s="130" t="s">
        <v>1933</v>
      </c>
      <c r="J72" s="47" t="s">
        <v>431</v>
      </c>
      <c r="K72" s="47" t="s">
        <v>134</v>
      </c>
      <c r="L72" s="47" t="s">
        <v>439</v>
      </c>
    </row>
    <row r="73" spans="1:12" s="131" customFormat="1">
      <c r="A73" s="129"/>
      <c r="B73" s="68" t="s">
        <v>1178</v>
      </c>
      <c r="C73" s="68" t="s">
        <v>136</v>
      </c>
      <c r="D73" s="46" t="s">
        <v>1179</v>
      </c>
      <c r="E73" s="44" t="s">
        <v>243</v>
      </c>
      <c r="F73" s="70"/>
      <c r="G73" s="70" t="s">
        <v>1411</v>
      </c>
      <c r="H73" s="45"/>
      <c r="I73" s="130" t="s">
        <v>1933</v>
      </c>
      <c r="J73" s="47" t="s">
        <v>431</v>
      </c>
      <c r="K73" s="47" t="s">
        <v>134</v>
      </c>
      <c r="L73" s="47" t="s">
        <v>439</v>
      </c>
    </row>
    <row r="74" spans="1:12" s="131" customFormat="1">
      <c r="A74" s="129"/>
      <c r="B74" s="68" t="s">
        <v>1181</v>
      </c>
      <c r="C74" s="68" t="s">
        <v>136</v>
      </c>
      <c r="D74" s="46" t="s">
        <v>1182</v>
      </c>
      <c r="E74" s="44" t="s">
        <v>243</v>
      </c>
      <c r="F74" s="70"/>
      <c r="G74" s="70" t="s">
        <v>1412</v>
      </c>
      <c r="H74" s="45"/>
      <c r="I74" s="130" t="s">
        <v>1933</v>
      </c>
      <c r="J74" s="47" t="s">
        <v>431</v>
      </c>
      <c r="K74" s="47" t="s">
        <v>134</v>
      </c>
      <c r="L74" s="47" t="s">
        <v>439</v>
      </c>
    </row>
    <row r="75" spans="1:12" s="131" customFormat="1">
      <c r="A75" s="129"/>
      <c r="B75" s="68" t="s">
        <v>1184</v>
      </c>
      <c r="C75" s="68" t="s">
        <v>136</v>
      </c>
      <c r="D75" s="46" t="s">
        <v>1185</v>
      </c>
      <c r="E75" s="44" t="s">
        <v>243</v>
      </c>
      <c r="F75" s="70"/>
      <c r="G75" s="70" t="s">
        <v>1413</v>
      </c>
      <c r="H75" s="45"/>
      <c r="I75" s="130" t="s">
        <v>1933</v>
      </c>
      <c r="J75" s="47" t="s">
        <v>431</v>
      </c>
      <c r="K75" s="47" t="s">
        <v>134</v>
      </c>
      <c r="L75" s="47" t="s">
        <v>439</v>
      </c>
    </row>
    <row r="76" spans="1:12" s="131" customFormat="1">
      <c r="A76" s="129"/>
      <c r="B76" s="68" t="s">
        <v>1935</v>
      </c>
      <c r="C76" s="68" t="s">
        <v>136</v>
      </c>
      <c r="D76" s="46" t="s">
        <v>855</v>
      </c>
      <c r="E76" s="44" t="s">
        <v>243</v>
      </c>
      <c r="F76" s="70"/>
      <c r="G76" s="70" t="s">
        <v>1995</v>
      </c>
      <c r="H76" s="45"/>
      <c r="I76" s="130" t="s">
        <v>1933</v>
      </c>
      <c r="J76" s="47" t="s">
        <v>431</v>
      </c>
      <c r="K76" s="47" t="s">
        <v>134</v>
      </c>
      <c r="L76" s="47" t="s">
        <v>439</v>
      </c>
    </row>
    <row r="77" spans="1:12" s="131" customFormat="1">
      <c r="A77" s="129"/>
      <c r="B77" s="68" t="s">
        <v>985</v>
      </c>
      <c r="C77" s="68" t="s">
        <v>136</v>
      </c>
      <c r="D77" s="46" t="s">
        <v>858</v>
      </c>
      <c r="E77" s="44" t="s">
        <v>243</v>
      </c>
      <c r="F77" s="70"/>
      <c r="G77" s="70" t="s">
        <v>1354</v>
      </c>
      <c r="H77" s="45"/>
      <c r="I77" s="130" t="s">
        <v>1933</v>
      </c>
      <c r="J77" s="47" t="s">
        <v>431</v>
      </c>
      <c r="K77" s="47" t="s">
        <v>134</v>
      </c>
      <c r="L77" s="47" t="s">
        <v>439</v>
      </c>
    </row>
    <row r="78" spans="1:12" s="131" customFormat="1">
      <c r="A78" s="129"/>
      <c r="B78" s="68" t="s">
        <v>986</v>
      </c>
      <c r="C78" s="68" t="s">
        <v>136</v>
      </c>
      <c r="D78" s="46" t="s">
        <v>861</v>
      </c>
      <c r="E78" s="44" t="s">
        <v>243</v>
      </c>
      <c r="F78" s="70"/>
      <c r="G78" s="70" t="s">
        <v>1355</v>
      </c>
      <c r="H78" s="45"/>
      <c r="I78" s="130" t="s">
        <v>1933</v>
      </c>
      <c r="J78" s="47" t="s">
        <v>431</v>
      </c>
      <c r="K78" s="47" t="s">
        <v>134</v>
      </c>
      <c r="L78" s="47" t="s">
        <v>439</v>
      </c>
    </row>
    <row r="79" spans="1:12" s="131" customFormat="1">
      <c r="A79" s="129"/>
      <c r="B79" s="68" t="s">
        <v>987</v>
      </c>
      <c r="C79" s="68" t="s">
        <v>136</v>
      </c>
      <c r="D79" s="46" t="s">
        <v>864</v>
      </c>
      <c r="E79" s="44" t="s">
        <v>243</v>
      </c>
      <c r="F79" s="70"/>
      <c r="G79" s="70" t="s">
        <v>1356</v>
      </c>
      <c r="H79" s="45"/>
      <c r="I79" s="130" t="s">
        <v>1933</v>
      </c>
      <c r="J79" s="47" t="s">
        <v>431</v>
      </c>
      <c r="K79" s="47" t="s">
        <v>134</v>
      </c>
      <c r="L79" s="47" t="s">
        <v>439</v>
      </c>
    </row>
    <row r="80" spans="1:12" s="131" customFormat="1">
      <c r="A80" s="129"/>
      <c r="B80" s="68" t="s">
        <v>988</v>
      </c>
      <c r="C80" s="68" t="s">
        <v>136</v>
      </c>
      <c r="D80" s="46" t="s">
        <v>867</v>
      </c>
      <c r="E80" s="44" t="s">
        <v>243</v>
      </c>
      <c r="F80" s="70"/>
      <c r="G80" s="70" t="s">
        <v>1357</v>
      </c>
      <c r="H80" s="45"/>
      <c r="I80" s="130" t="s">
        <v>1933</v>
      </c>
      <c r="J80" s="47" t="s">
        <v>431</v>
      </c>
      <c r="K80" s="47" t="s">
        <v>134</v>
      </c>
      <c r="L80" s="47" t="s">
        <v>439</v>
      </c>
    </row>
    <row r="81" spans="1:12" s="131" customFormat="1">
      <c r="A81" s="129"/>
      <c r="B81" s="68" t="s">
        <v>989</v>
      </c>
      <c r="C81" s="68" t="s">
        <v>136</v>
      </c>
      <c r="D81" s="46" t="s">
        <v>870</v>
      </c>
      <c r="E81" s="44" t="s">
        <v>243</v>
      </c>
      <c r="F81" s="70"/>
      <c r="G81" s="70" t="s">
        <v>1358</v>
      </c>
      <c r="H81" s="45"/>
      <c r="I81" s="130" t="s">
        <v>1933</v>
      </c>
      <c r="J81" s="47" t="s">
        <v>431</v>
      </c>
      <c r="K81" s="47" t="s">
        <v>134</v>
      </c>
      <c r="L81" s="47" t="s">
        <v>439</v>
      </c>
    </row>
    <row r="82" spans="1:12" s="131" customFormat="1">
      <c r="A82" s="129"/>
      <c r="B82" s="68" t="s">
        <v>990</v>
      </c>
      <c r="C82" s="68" t="s">
        <v>136</v>
      </c>
      <c r="D82" s="46" t="s">
        <v>873</v>
      </c>
      <c r="E82" s="44" t="s">
        <v>243</v>
      </c>
      <c r="F82" s="70"/>
      <c r="G82" s="70" t="s">
        <v>1359</v>
      </c>
      <c r="H82" s="45"/>
      <c r="I82" s="130" t="s">
        <v>1933</v>
      </c>
      <c r="J82" s="47" t="s">
        <v>431</v>
      </c>
      <c r="K82" s="47" t="s">
        <v>134</v>
      </c>
      <c r="L82" s="47" t="s">
        <v>439</v>
      </c>
    </row>
    <row r="83" spans="1:12" s="39" customFormat="1">
      <c r="A83" s="132"/>
      <c r="B83" s="68" t="s">
        <v>1191</v>
      </c>
      <c r="C83" s="68" t="s">
        <v>245</v>
      </c>
      <c r="D83" s="42" t="s">
        <v>1192</v>
      </c>
      <c r="E83" s="44" t="s">
        <v>243</v>
      </c>
      <c r="F83" s="70"/>
      <c r="G83" s="70" t="s">
        <v>1416</v>
      </c>
      <c r="H83" s="45"/>
      <c r="I83" s="130" t="s">
        <v>1933</v>
      </c>
      <c r="J83" s="47" t="s">
        <v>431</v>
      </c>
      <c r="K83" s="47" t="s">
        <v>134</v>
      </c>
      <c r="L83" s="47" t="s">
        <v>439</v>
      </c>
    </row>
    <row r="84" spans="1:12" s="39" customFormat="1">
      <c r="A84" s="132"/>
      <c r="B84" s="68" t="s">
        <v>1023</v>
      </c>
      <c r="C84" s="68" t="s">
        <v>136</v>
      </c>
      <c r="D84" s="42" t="s">
        <v>1024</v>
      </c>
      <c r="E84" s="44" t="s">
        <v>243</v>
      </c>
      <c r="F84" s="70"/>
      <c r="G84" s="70" t="s">
        <v>1360</v>
      </c>
      <c r="H84" s="45"/>
      <c r="I84" s="130" t="s">
        <v>1933</v>
      </c>
      <c r="J84" s="47" t="s">
        <v>431</v>
      </c>
      <c r="K84" s="47" t="s">
        <v>134</v>
      </c>
      <c r="L84" s="47" t="s">
        <v>439</v>
      </c>
    </row>
    <row r="85" spans="1:12" s="39" customFormat="1">
      <c r="A85" s="132"/>
      <c r="B85" s="68" t="s">
        <v>1197</v>
      </c>
      <c r="C85" s="68" t="s">
        <v>136</v>
      </c>
      <c r="D85" s="42" t="s">
        <v>1198</v>
      </c>
      <c r="E85" s="44" t="s">
        <v>243</v>
      </c>
      <c r="F85" s="70"/>
      <c r="G85" s="70" t="s">
        <v>1418</v>
      </c>
      <c r="H85" s="45"/>
      <c r="I85" s="130" t="s">
        <v>1933</v>
      </c>
      <c r="J85" s="47" t="s">
        <v>431</v>
      </c>
      <c r="K85" s="47" t="s">
        <v>134</v>
      </c>
      <c r="L85" s="47" t="s">
        <v>439</v>
      </c>
    </row>
    <row r="86" spans="1:12" s="39" customFormat="1">
      <c r="A86" s="132"/>
      <c r="B86" s="68" t="s">
        <v>1199</v>
      </c>
      <c r="C86" s="68" t="s">
        <v>136</v>
      </c>
      <c r="D86" s="42" t="s">
        <v>1200</v>
      </c>
      <c r="E86" s="44" t="s">
        <v>243</v>
      </c>
      <c r="F86" s="70"/>
      <c r="G86" s="70" t="s">
        <v>1419</v>
      </c>
      <c r="H86" s="45"/>
      <c r="I86" s="130" t="s">
        <v>1933</v>
      </c>
      <c r="J86" s="47" t="s">
        <v>431</v>
      </c>
      <c r="K86" s="47" t="s">
        <v>134</v>
      </c>
      <c r="L86" s="47" t="s">
        <v>439</v>
      </c>
    </row>
    <row r="87" spans="1:12" s="39" customFormat="1">
      <c r="A87" s="132"/>
      <c r="B87" s="68" t="s">
        <v>1201</v>
      </c>
      <c r="C87" s="68" t="s">
        <v>136</v>
      </c>
      <c r="D87" s="42" t="s">
        <v>1202</v>
      </c>
      <c r="E87" s="44" t="s">
        <v>243</v>
      </c>
      <c r="F87" s="70"/>
      <c r="G87" s="70" t="s">
        <v>1420</v>
      </c>
      <c r="H87" s="45"/>
      <c r="I87" s="130" t="s">
        <v>1933</v>
      </c>
      <c r="J87" s="47" t="s">
        <v>431</v>
      </c>
      <c r="K87" s="47" t="s">
        <v>134</v>
      </c>
      <c r="L87" s="47" t="s">
        <v>439</v>
      </c>
    </row>
    <row r="88" spans="1:12" s="39" customFormat="1">
      <c r="A88" s="132"/>
      <c r="B88" s="68" t="s">
        <v>1203</v>
      </c>
      <c r="C88" s="68" t="s">
        <v>136</v>
      </c>
      <c r="D88" s="42" t="s">
        <v>1204</v>
      </c>
      <c r="E88" s="44" t="s">
        <v>243</v>
      </c>
      <c r="F88" s="70"/>
      <c r="G88" s="70" t="s">
        <v>1421</v>
      </c>
      <c r="H88" s="45"/>
      <c r="I88" s="130" t="s">
        <v>1933</v>
      </c>
      <c r="J88" s="47" t="s">
        <v>431</v>
      </c>
      <c r="K88" s="47" t="s">
        <v>134</v>
      </c>
      <c r="L88" s="47" t="s">
        <v>439</v>
      </c>
    </row>
    <row r="89" spans="1:12" s="39" customFormat="1">
      <c r="A89" s="132"/>
      <c r="B89" s="68" t="s">
        <v>1205</v>
      </c>
      <c r="C89" s="68" t="s">
        <v>136</v>
      </c>
      <c r="D89" s="42" t="s">
        <v>1206</v>
      </c>
      <c r="E89" s="44" t="s">
        <v>243</v>
      </c>
      <c r="F89" s="70"/>
      <c r="G89" s="70" t="s">
        <v>1422</v>
      </c>
      <c r="H89" s="45"/>
      <c r="I89" s="130" t="s">
        <v>1933</v>
      </c>
      <c r="J89" s="47" t="s">
        <v>431</v>
      </c>
      <c r="K89" s="47" t="s">
        <v>134</v>
      </c>
      <c r="L89" s="47" t="s">
        <v>439</v>
      </c>
    </row>
    <row r="90" spans="1:12" s="39" customFormat="1">
      <c r="A90" s="132"/>
      <c r="B90" s="68" t="s">
        <v>1207</v>
      </c>
      <c r="C90" s="68" t="s">
        <v>136</v>
      </c>
      <c r="D90" s="42" t="s">
        <v>1208</v>
      </c>
      <c r="E90" s="44" t="s">
        <v>243</v>
      </c>
      <c r="F90" s="70"/>
      <c r="G90" s="70" t="s">
        <v>1423</v>
      </c>
      <c r="H90" s="45"/>
      <c r="I90" s="130" t="s">
        <v>1933</v>
      </c>
      <c r="J90" s="47" t="s">
        <v>431</v>
      </c>
      <c r="K90" s="47" t="s">
        <v>134</v>
      </c>
      <c r="L90" s="47" t="s">
        <v>439</v>
      </c>
    </row>
    <row r="91" spans="1:12" s="39" customFormat="1">
      <c r="A91" s="132"/>
      <c r="B91" s="68" t="s">
        <v>1209</v>
      </c>
      <c r="C91" s="68" t="s">
        <v>136</v>
      </c>
      <c r="D91" s="42" t="s">
        <v>762</v>
      </c>
      <c r="E91" s="44" t="s">
        <v>243</v>
      </c>
      <c r="F91" s="70"/>
      <c r="G91" s="70" t="s">
        <v>1424</v>
      </c>
      <c r="H91" s="45"/>
      <c r="I91" s="130" t="s">
        <v>1933</v>
      </c>
      <c r="J91" s="47" t="s">
        <v>431</v>
      </c>
      <c r="K91" s="47" t="s">
        <v>134</v>
      </c>
      <c r="L91" s="47" t="s">
        <v>439</v>
      </c>
    </row>
    <row r="92" spans="1:12" s="39" customFormat="1">
      <c r="A92" s="132"/>
      <c r="B92" s="68" t="s">
        <v>1211</v>
      </c>
      <c r="C92" s="68" t="s">
        <v>136</v>
      </c>
      <c r="D92" s="42" t="s">
        <v>765</v>
      </c>
      <c r="E92" s="44" t="s">
        <v>243</v>
      </c>
      <c r="F92" s="70"/>
      <c r="G92" s="70" t="s">
        <v>1425</v>
      </c>
      <c r="H92" s="45"/>
      <c r="I92" s="130" t="s">
        <v>1933</v>
      </c>
      <c r="J92" s="47" t="s">
        <v>431</v>
      </c>
      <c r="K92" s="47" t="s">
        <v>134</v>
      </c>
      <c r="L92" s="47" t="s">
        <v>439</v>
      </c>
    </row>
    <row r="93" spans="1:12" s="39" customFormat="1">
      <c r="A93" s="132"/>
      <c r="B93" s="68" t="s">
        <v>1213</v>
      </c>
      <c r="C93" s="68" t="s">
        <v>136</v>
      </c>
      <c r="D93" s="42" t="s">
        <v>768</v>
      </c>
      <c r="E93" s="44" t="s">
        <v>243</v>
      </c>
      <c r="F93" s="70"/>
      <c r="G93" s="70" t="s">
        <v>1426</v>
      </c>
      <c r="H93" s="45"/>
      <c r="I93" s="130" t="s">
        <v>1933</v>
      </c>
      <c r="J93" s="47" t="s">
        <v>431</v>
      </c>
      <c r="K93" s="47" t="s">
        <v>134</v>
      </c>
      <c r="L93" s="47" t="s">
        <v>439</v>
      </c>
    </row>
    <row r="94" spans="1:12" s="39" customFormat="1">
      <c r="A94" s="132"/>
      <c r="B94" s="68" t="s">
        <v>1215</v>
      </c>
      <c r="C94" s="68" t="s">
        <v>136</v>
      </c>
      <c r="D94" s="42" t="s">
        <v>771</v>
      </c>
      <c r="E94" s="44" t="s">
        <v>243</v>
      </c>
      <c r="F94" s="70"/>
      <c r="G94" s="70" t="s">
        <v>1427</v>
      </c>
      <c r="H94" s="45"/>
      <c r="I94" s="130" t="s">
        <v>1933</v>
      </c>
      <c r="J94" s="47" t="s">
        <v>431</v>
      </c>
      <c r="K94" s="47" t="s">
        <v>134</v>
      </c>
      <c r="L94" s="47" t="s">
        <v>439</v>
      </c>
    </row>
    <row r="95" spans="1:12" s="39" customFormat="1">
      <c r="A95" s="132"/>
      <c r="B95" s="68" t="s">
        <v>1217</v>
      </c>
      <c r="C95" s="68" t="s">
        <v>136</v>
      </c>
      <c r="D95" s="42" t="s">
        <v>774</v>
      </c>
      <c r="E95" s="44" t="s">
        <v>243</v>
      </c>
      <c r="F95" s="70"/>
      <c r="G95" s="70" t="s">
        <v>1428</v>
      </c>
      <c r="H95" s="45"/>
      <c r="I95" s="130" t="s">
        <v>1933</v>
      </c>
      <c r="J95" s="47" t="s">
        <v>431</v>
      </c>
      <c r="K95" s="47" t="s">
        <v>134</v>
      </c>
      <c r="L95" s="47" t="s">
        <v>439</v>
      </c>
    </row>
    <row r="96" spans="1:12" s="39" customFormat="1">
      <c r="A96" s="132"/>
      <c r="B96" s="68" t="s">
        <v>1219</v>
      </c>
      <c r="C96" s="68" t="s">
        <v>136</v>
      </c>
      <c r="D96" s="42" t="s">
        <v>777</v>
      </c>
      <c r="E96" s="44" t="s">
        <v>243</v>
      </c>
      <c r="F96" s="70"/>
      <c r="G96" s="70" t="s">
        <v>1429</v>
      </c>
      <c r="H96" s="45"/>
      <c r="I96" s="130" t="s">
        <v>1933</v>
      </c>
      <c r="J96" s="47" t="s">
        <v>431</v>
      </c>
      <c r="K96" s="47" t="s">
        <v>134</v>
      </c>
      <c r="L96" s="47" t="s">
        <v>439</v>
      </c>
    </row>
    <row r="97" spans="1:12" s="39" customFormat="1">
      <c r="A97" s="132"/>
      <c r="B97" s="45" t="s">
        <v>474</v>
      </c>
      <c r="C97" s="133" t="s">
        <v>136</v>
      </c>
      <c r="D97" s="42" t="s">
        <v>1458</v>
      </c>
      <c r="E97" s="44" t="s">
        <v>243</v>
      </c>
      <c r="F97" s="70"/>
      <c r="G97" s="70" t="s">
        <v>1234</v>
      </c>
      <c r="H97" s="44"/>
      <c r="I97" s="130" t="s">
        <v>1933</v>
      </c>
      <c r="J97" s="47" t="s">
        <v>431</v>
      </c>
      <c r="K97" s="47" t="s">
        <v>134</v>
      </c>
      <c r="L97" s="47" t="s">
        <v>533</v>
      </c>
    </row>
    <row r="98" spans="1:12" s="39" customFormat="1">
      <c r="A98" s="132"/>
      <c r="B98" s="45" t="s">
        <v>1235</v>
      </c>
      <c r="C98" s="133" t="s">
        <v>136</v>
      </c>
      <c r="D98" s="42" t="s">
        <v>1459</v>
      </c>
      <c r="E98" s="44" t="s">
        <v>243</v>
      </c>
      <c r="F98" s="70"/>
      <c r="G98" s="70" t="s">
        <v>1436</v>
      </c>
      <c r="H98" s="44"/>
      <c r="I98" s="130" t="s">
        <v>1933</v>
      </c>
      <c r="J98" s="47" t="s">
        <v>431</v>
      </c>
      <c r="K98" s="47" t="s">
        <v>134</v>
      </c>
      <c r="L98" s="47" t="s">
        <v>439</v>
      </c>
    </row>
    <row r="99" spans="1:12" s="39" customFormat="1">
      <c r="A99" s="132"/>
      <c r="B99" s="45" t="s">
        <v>468</v>
      </c>
      <c r="C99" s="133" t="s">
        <v>136</v>
      </c>
      <c r="D99" s="42" t="s">
        <v>1460</v>
      </c>
      <c r="E99" s="44" t="s">
        <v>243</v>
      </c>
      <c r="F99" s="70"/>
      <c r="G99" s="70" t="s">
        <v>1331</v>
      </c>
      <c r="H99" s="44"/>
      <c r="I99" s="130" t="s">
        <v>1933</v>
      </c>
      <c r="J99" s="47" t="s">
        <v>431</v>
      </c>
      <c r="K99" s="47" t="s">
        <v>134</v>
      </c>
      <c r="L99" s="47" t="s">
        <v>533</v>
      </c>
    </row>
    <row r="100" spans="1:12" s="39" customFormat="1">
      <c r="A100" s="132"/>
      <c r="B100" s="45" t="s">
        <v>904</v>
      </c>
      <c r="C100" s="133" t="s">
        <v>136</v>
      </c>
      <c r="D100" s="42" t="s">
        <v>1461</v>
      </c>
      <c r="E100" s="44" t="s">
        <v>243</v>
      </c>
      <c r="F100" s="70"/>
      <c r="G100" s="70" t="s">
        <v>1332</v>
      </c>
      <c r="H100" s="46"/>
      <c r="I100" s="130" t="s">
        <v>1933</v>
      </c>
      <c r="J100" s="47" t="s">
        <v>431</v>
      </c>
      <c r="K100" s="47" t="s">
        <v>134</v>
      </c>
      <c r="L100" s="47" t="s">
        <v>439</v>
      </c>
    </row>
    <row r="101" spans="1:12" s="39" customFormat="1">
      <c r="A101" s="132"/>
      <c r="B101" s="68" t="s">
        <v>471</v>
      </c>
      <c r="C101" s="68" t="s">
        <v>136</v>
      </c>
      <c r="D101" s="42" t="s">
        <v>913</v>
      </c>
      <c r="E101" s="44" t="s">
        <v>243</v>
      </c>
      <c r="F101" s="70"/>
      <c r="G101" s="70" t="s">
        <v>914</v>
      </c>
      <c r="H101" s="44"/>
      <c r="I101" s="130" t="s">
        <v>1933</v>
      </c>
      <c r="J101" s="47" t="s">
        <v>431</v>
      </c>
      <c r="K101" s="47" t="s">
        <v>134</v>
      </c>
      <c r="L101" s="47" t="s">
        <v>533</v>
      </c>
    </row>
    <row r="102" spans="1:12" s="39" customFormat="1">
      <c r="A102" s="132"/>
      <c r="B102" s="68" t="s">
        <v>915</v>
      </c>
      <c r="C102" s="68" t="s">
        <v>136</v>
      </c>
      <c r="D102" s="42" t="s">
        <v>916</v>
      </c>
      <c r="E102" s="44" t="s">
        <v>243</v>
      </c>
      <c r="F102" s="70"/>
      <c r="G102" s="70" t="s">
        <v>1335</v>
      </c>
      <c r="H102" s="44"/>
      <c r="I102" s="130" t="s">
        <v>1933</v>
      </c>
      <c r="J102" s="47" t="s">
        <v>431</v>
      </c>
      <c r="K102" s="47" t="s">
        <v>134</v>
      </c>
      <c r="L102" s="47" t="s">
        <v>439</v>
      </c>
    </row>
    <row r="103" spans="1:12" s="39" customFormat="1">
      <c r="A103" s="132"/>
      <c r="B103" s="68" t="s">
        <v>477</v>
      </c>
      <c r="C103" s="68" t="s">
        <v>136</v>
      </c>
      <c r="D103" s="42" t="s">
        <v>925</v>
      </c>
      <c r="E103" s="44" t="s">
        <v>243</v>
      </c>
      <c r="F103" s="70"/>
      <c r="G103" s="70" t="s">
        <v>926</v>
      </c>
      <c r="H103" s="44"/>
      <c r="I103" s="130" t="s">
        <v>1933</v>
      </c>
      <c r="J103" s="47" t="s">
        <v>431</v>
      </c>
      <c r="K103" s="47" t="s">
        <v>134</v>
      </c>
      <c r="L103" s="47" t="s">
        <v>533</v>
      </c>
    </row>
    <row r="104" spans="1:12" s="39" customFormat="1">
      <c r="A104" s="132"/>
      <c r="B104" s="68" t="s">
        <v>927</v>
      </c>
      <c r="C104" s="68" t="s">
        <v>136</v>
      </c>
      <c r="D104" s="42" t="s">
        <v>928</v>
      </c>
      <c r="E104" s="44" t="s">
        <v>243</v>
      </c>
      <c r="F104" s="70"/>
      <c r="G104" s="70" t="s">
        <v>1338</v>
      </c>
      <c r="H104" s="44"/>
      <c r="I104" s="130" t="s">
        <v>1933</v>
      </c>
      <c r="J104" s="47" t="s">
        <v>431</v>
      </c>
      <c r="K104" s="47" t="s">
        <v>134</v>
      </c>
      <c r="L104" s="47" t="s">
        <v>439</v>
      </c>
    </row>
    <row r="105" spans="1:12" s="64" customFormat="1">
      <c r="A105" s="67"/>
      <c r="B105" s="68" t="s">
        <v>1247</v>
      </c>
      <c r="C105" s="68" t="s">
        <v>136</v>
      </c>
      <c r="D105" s="42" t="s">
        <v>780</v>
      </c>
      <c r="E105" s="44" t="s">
        <v>243</v>
      </c>
      <c r="F105" s="46"/>
      <c r="G105" s="70" t="s">
        <v>1440</v>
      </c>
      <c r="H105" s="44"/>
      <c r="I105" s="130" t="s">
        <v>1933</v>
      </c>
      <c r="J105" s="47" t="s">
        <v>431</v>
      </c>
      <c r="K105" s="47" t="s">
        <v>134</v>
      </c>
      <c r="L105" s="47" t="s">
        <v>439</v>
      </c>
    </row>
    <row r="106" spans="1:12" s="64" customFormat="1">
      <c r="A106" s="67"/>
      <c r="B106" s="68" t="s">
        <v>1249</v>
      </c>
      <c r="C106" s="68" t="s">
        <v>136</v>
      </c>
      <c r="D106" s="42" t="s">
        <v>782</v>
      </c>
      <c r="E106" s="44" t="s">
        <v>243</v>
      </c>
      <c r="F106" s="46"/>
      <c r="G106" s="70" t="s">
        <v>1441</v>
      </c>
      <c r="H106" s="44"/>
      <c r="I106" s="130" t="s">
        <v>1933</v>
      </c>
      <c r="J106" s="47" t="s">
        <v>431</v>
      </c>
      <c r="K106" s="47" t="s">
        <v>134</v>
      </c>
      <c r="L106" s="47" t="s">
        <v>439</v>
      </c>
    </row>
    <row r="107" spans="1:12" s="64" customFormat="1">
      <c r="A107" s="67"/>
      <c r="B107" s="68" t="s">
        <v>1251</v>
      </c>
      <c r="C107" s="68" t="s">
        <v>136</v>
      </c>
      <c r="D107" s="42" t="s">
        <v>784</v>
      </c>
      <c r="E107" s="44" t="s">
        <v>243</v>
      </c>
      <c r="F107" s="46"/>
      <c r="G107" s="70" t="s">
        <v>1442</v>
      </c>
      <c r="H107" s="44"/>
      <c r="I107" s="130" t="s">
        <v>1933</v>
      </c>
      <c r="J107" s="47" t="s">
        <v>431</v>
      </c>
      <c r="K107" s="47" t="s">
        <v>134</v>
      </c>
      <c r="L107" s="47" t="s">
        <v>439</v>
      </c>
    </row>
    <row r="108" spans="1:12" s="64" customFormat="1">
      <c r="A108" s="67"/>
      <c r="B108" s="68" t="s">
        <v>1253</v>
      </c>
      <c r="C108" s="68" t="s">
        <v>136</v>
      </c>
      <c r="D108" s="42" t="s">
        <v>786</v>
      </c>
      <c r="E108" s="44" t="s">
        <v>243</v>
      </c>
      <c r="F108" s="46"/>
      <c r="G108" s="70" t="s">
        <v>1443</v>
      </c>
      <c r="H108" s="44"/>
      <c r="I108" s="130" t="s">
        <v>1933</v>
      </c>
      <c r="J108" s="47" t="s">
        <v>431</v>
      </c>
      <c r="K108" s="47" t="s">
        <v>134</v>
      </c>
      <c r="L108" s="47" t="s">
        <v>439</v>
      </c>
    </row>
    <row r="109" spans="1:12" s="64" customFormat="1">
      <c r="A109" s="67"/>
      <c r="B109" s="68" t="s">
        <v>1255</v>
      </c>
      <c r="C109" s="68" t="s">
        <v>136</v>
      </c>
      <c r="D109" s="42" t="s">
        <v>788</v>
      </c>
      <c r="E109" s="44" t="s">
        <v>243</v>
      </c>
      <c r="F109" s="46"/>
      <c r="G109" s="70" t="s">
        <v>1444</v>
      </c>
      <c r="H109" s="44"/>
      <c r="I109" s="130" t="s">
        <v>1933</v>
      </c>
      <c r="J109" s="47" t="s">
        <v>431</v>
      </c>
      <c r="K109" s="47" t="s">
        <v>134</v>
      </c>
      <c r="L109" s="47" t="s">
        <v>439</v>
      </c>
    </row>
    <row r="110" spans="1:12" s="64" customFormat="1">
      <c r="A110" s="67"/>
      <c r="B110" s="68" t="s">
        <v>1257</v>
      </c>
      <c r="C110" s="68" t="s">
        <v>136</v>
      </c>
      <c r="D110" s="42" t="s">
        <v>790</v>
      </c>
      <c r="E110" s="44" t="s">
        <v>243</v>
      </c>
      <c r="F110" s="46"/>
      <c r="G110" s="70" t="s">
        <v>1445</v>
      </c>
      <c r="H110" s="44"/>
      <c r="I110" s="130" t="s">
        <v>1933</v>
      </c>
      <c r="J110" s="47" t="s">
        <v>431</v>
      </c>
      <c r="K110" s="47" t="s">
        <v>134</v>
      </c>
      <c r="L110" s="47" t="s">
        <v>439</v>
      </c>
    </row>
    <row r="111" spans="1:12" s="64" customFormat="1">
      <c r="A111" s="67"/>
      <c r="B111" s="68" t="s">
        <v>1259</v>
      </c>
      <c r="C111" s="68" t="s">
        <v>136</v>
      </c>
      <c r="D111" s="42" t="s">
        <v>792</v>
      </c>
      <c r="E111" s="44" t="s">
        <v>243</v>
      </c>
      <c r="F111" s="46"/>
      <c r="G111" s="70" t="s">
        <v>1446</v>
      </c>
      <c r="H111" s="44"/>
      <c r="I111" s="130" t="s">
        <v>1933</v>
      </c>
      <c r="J111" s="47" t="s">
        <v>431</v>
      </c>
      <c r="K111" s="47" t="s">
        <v>134</v>
      </c>
      <c r="L111" s="47" t="s">
        <v>439</v>
      </c>
    </row>
    <row r="112" spans="1:12" s="64" customFormat="1">
      <c r="A112" s="67"/>
      <c r="B112" s="68" t="s">
        <v>1261</v>
      </c>
      <c r="C112" s="68" t="s">
        <v>136</v>
      </c>
      <c r="D112" s="42" t="s">
        <v>794</v>
      </c>
      <c r="E112" s="44" t="s">
        <v>243</v>
      </c>
      <c r="F112" s="46"/>
      <c r="G112" s="70" t="s">
        <v>1447</v>
      </c>
      <c r="H112" s="44"/>
      <c r="I112" s="130" t="s">
        <v>1933</v>
      </c>
      <c r="J112" s="47" t="s">
        <v>431</v>
      </c>
      <c r="K112" s="47" t="s">
        <v>134</v>
      </c>
      <c r="L112" s="47" t="s">
        <v>439</v>
      </c>
    </row>
    <row r="113" spans="1:12" s="64" customFormat="1">
      <c r="A113" s="67"/>
      <c r="B113" s="68" t="s">
        <v>1263</v>
      </c>
      <c r="C113" s="68" t="s">
        <v>136</v>
      </c>
      <c r="D113" s="42" t="s">
        <v>796</v>
      </c>
      <c r="E113" s="44" t="s">
        <v>243</v>
      </c>
      <c r="F113" s="46"/>
      <c r="G113" s="70" t="s">
        <v>1448</v>
      </c>
      <c r="H113" s="44"/>
      <c r="I113" s="130" t="s">
        <v>1933</v>
      </c>
      <c r="J113" s="47" t="s">
        <v>431</v>
      </c>
      <c r="K113" s="47" t="s">
        <v>134</v>
      </c>
      <c r="L113" s="47" t="s">
        <v>439</v>
      </c>
    </row>
    <row r="114" spans="1:12" s="64" customFormat="1">
      <c r="A114" s="67"/>
      <c r="B114" s="68" t="s">
        <v>1265</v>
      </c>
      <c r="C114" s="68" t="s">
        <v>136</v>
      </c>
      <c r="D114" s="42" t="s">
        <v>798</v>
      </c>
      <c r="E114" s="44" t="s">
        <v>243</v>
      </c>
      <c r="F114" s="46"/>
      <c r="G114" s="70" t="s">
        <v>1449</v>
      </c>
      <c r="H114" s="44"/>
      <c r="I114" s="130" t="s">
        <v>1933</v>
      </c>
      <c r="J114" s="47" t="s">
        <v>431</v>
      </c>
      <c r="K114" s="47" t="s">
        <v>134</v>
      </c>
      <c r="L114" s="47" t="s">
        <v>439</v>
      </c>
    </row>
    <row r="115" spans="1:12" s="64" customFormat="1">
      <c r="A115" s="67"/>
      <c r="B115" s="68" t="s">
        <v>2013</v>
      </c>
      <c r="C115" s="68" t="s">
        <v>136</v>
      </c>
      <c r="D115" s="42" t="s">
        <v>800</v>
      </c>
      <c r="E115" s="44" t="s">
        <v>243</v>
      </c>
      <c r="F115" s="46"/>
      <c r="G115" s="70" t="s">
        <v>1450</v>
      </c>
      <c r="H115" s="44"/>
      <c r="I115" s="130" t="s">
        <v>1933</v>
      </c>
      <c r="J115" s="47" t="s">
        <v>431</v>
      </c>
      <c r="K115" s="47" t="s">
        <v>134</v>
      </c>
      <c r="L115" s="47" t="s">
        <v>439</v>
      </c>
    </row>
    <row r="116" spans="1:12" s="64" customFormat="1">
      <c r="A116" s="67"/>
      <c r="B116" s="68" t="s">
        <v>1268</v>
      </c>
      <c r="C116" s="68" t="s">
        <v>136</v>
      </c>
      <c r="D116" s="42" t="s">
        <v>802</v>
      </c>
      <c r="E116" s="44" t="s">
        <v>243</v>
      </c>
      <c r="F116" s="46"/>
      <c r="G116" s="70" t="s">
        <v>1451</v>
      </c>
      <c r="H116" s="44"/>
      <c r="I116" s="130" t="s">
        <v>1933</v>
      </c>
      <c r="J116" s="47" t="s">
        <v>431</v>
      </c>
      <c r="K116" s="47" t="s">
        <v>134</v>
      </c>
      <c r="L116" s="47" t="s">
        <v>439</v>
      </c>
    </row>
    <row r="117" spans="1:12" s="64" customFormat="1">
      <c r="A117" s="67"/>
      <c r="B117" s="68" t="s">
        <v>1270</v>
      </c>
      <c r="C117" s="68" t="s">
        <v>136</v>
      </c>
      <c r="D117" s="42" t="s">
        <v>804</v>
      </c>
      <c r="E117" s="44" t="s">
        <v>243</v>
      </c>
      <c r="F117" s="46"/>
      <c r="G117" s="70" t="s">
        <v>1452</v>
      </c>
      <c r="H117" s="44"/>
      <c r="I117" s="130" t="s">
        <v>1933</v>
      </c>
      <c r="J117" s="47" t="s">
        <v>431</v>
      </c>
      <c r="K117" s="47" t="s">
        <v>134</v>
      </c>
      <c r="L117" s="47" t="s">
        <v>439</v>
      </c>
    </row>
    <row r="118" spans="1:12" s="64" customFormat="1">
      <c r="A118" s="67"/>
      <c r="B118" s="68" t="s">
        <v>1272</v>
      </c>
      <c r="C118" s="68" t="s">
        <v>136</v>
      </c>
      <c r="D118" s="42" t="s">
        <v>1273</v>
      </c>
      <c r="E118" s="44" t="s">
        <v>243</v>
      </c>
      <c r="F118" s="46"/>
      <c r="G118" s="70" t="s">
        <v>2017</v>
      </c>
      <c r="H118" s="44"/>
      <c r="I118" s="130" t="s">
        <v>1933</v>
      </c>
      <c r="J118" s="47" t="s">
        <v>431</v>
      </c>
      <c r="K118" s="47" t="s">
        <v>134</v>
      </c>
      <c r="L118" s="47" t="s">
        <v>439</v>
      </c>
    </row>
    <row r="119" spans="1:12">
      <c r="B119" s="50" t="s">
        <v>233</v>
      </c>
      <c r="C119" s="51" t="s">
        <v>139</v>
      </c>
      <c r="D119" s="37" t="s">
        <v>234</v>
      </c>
      <c r="E119" s="52"/>
      <c r="F119" s="50"/>
      <c r="G119" s="50"/>
      <c r="H119" s="50"/>
      <c r="I119" s="50"/>
      <c r="J119" s="50"/>
      <c r="K119" s="50"/>
      <c r="L119" s="50"/>
    </row>
    <row r="120" spans="1:12">
      <c r="B120" s="50" t="s">
        <v>235</v>
      </c>
      <c r="C120" s="51" t="s">
        <v>132</v>
      </c>
      <c r="D120" s="37" t="s">
        <v>236</v>
      </c>
      <c r="E120" s="52"/>
      <c r="F120" s="50"/>
      <c r="G120" s="50"/>
      <c r="H120" s="50"/>
      <c r="I120" s="50"/>
      <c r="J120" s="50"/>
      <c r="K120" s="50"/>
      <c r="L120" s="50"/>
    </row>
  </sheetData>
  <autoFilter ref="A14:L69" xr:uid="{00000000-0009-0000-0000-000012000000}"/>
  <mergeCells count="5">
    <mergeCell ref="B2:H2"/>
    <mergeCell ref="B3:H3"/>
    <mergeCell ref="B7:H7"/>
    <mergeCell ref="B13:L13"/>
    <mergeCell ref="F9:G10"/>
  </mergeCells>
  <phoneticPr fontId="19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0F2C-4BFC-4D63-9073-5C066C737470}">
  <sheetPr>
    <tabColor rgb="FFFF0000"/>
  </sheetPr>
  <dimension ref="A1:L144"/>
  <sheetViews>
    <sheetView zoomScale="85" zoomScaleNormal="85" workbookViewId="0">
      <pane ySplit="5" topLeftCell="A6" activePane="bottomLeft" state="frozen"/>
      <selection activeCell="E134" sqref="E134"/>
      <selection pane="bottomLeft" activeCell="C9" sqref="C9"/>
    </sheetView>
  </sheetViews>
  <sheetFormatPr defaultColWidth="9" defaultRowHeight="13.2"/>
  <cols>
    <col min="1" max="1" width="1.33203125" style="5" customWidth="1"/>
    <col min="2" max="2" width="23.6640625" style="5" customWidth="1"/>
    <col min="3" max="3" width="32.33203125" style="5" customWidth="1"/>
    <col min="4" max="4" width="32.21875" style="6" customWidth="1"/>
    <col min="5" max="5" width="16.21875" style="5" customWidth="1"/>
    <col min="6" max="6" width="24.88671875" style="5" customWidth="1"/>
    <col min="7" max="7" width="39.5546875" style="5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2:12">
      <c r="B1" s="7" t="str">
        <f>HYPERLINK("#导航!a2","返回")</f>
        <v>返回</v>
      </c>
    </row>
    <row r="2" spans="2:12">
      <c r="B2" s="156"/>
      <c r="C2" s="156"/>
      <c r="D2" s="156"/>
      <c r="E2" s="156"/>
      <c r="F2" s="156"/>
      <c r="G2" s="156"/>
      <c r="H2" s="156"/>
    </row>
    <row r="3" spans="2:12">
      <c r="B3" s="157" t="s">
        <v>106</v>
      </c>
      <c r="C3" s="157"/>
      <c r="D3" s="157"/>
      <c r="E3" s="157"/>
      <c r="F3" s="157"/>
      <c r="G3" s="157"/>
      <c r="H3" s="157"/>
    </row>
    <row r="4" spans="2:12">
      <c r="B4" s="9" t="s">
        <v>9</v>
      </c>
      <c r="C4" s="9" t="s">
        <v>107</v>
      </c>
      <c r="D4" s="10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2:12">
      <c r="B5" s="11" t="s">
        <v>68</v>
      </c>
      <c r="C5" s="12" t="s">
        <v>2324</v>
      </c>
      <c r="D5" s="12" t="s">
        <v>1945</v>
      </c>
      <c r="E5" s="14" t="s">
        <v>1949</v>
      </c>
      <c r="F5" s="15"/>
      <c r="G5" s="14"/>
      <c r="H5" s="14"/>
    </row>
    <row r="6" spans="2:12">
      <c r="B6" s="8"/>
      <c r="C6" s="8"/>
      <c r="D6" s="16"/>
      <c r="E6" s="8"/>
      <c r="F6" s="8"/>
      <c r="G6" s="8"/>
      <c r="H6" s="8"/>
    </row>
    <row r="7" spans="2:12">
      <c r="B7" s="157" t="s">
        <v>113</v>
      </c>
      <c r="C7" s="157"/>
      <c r="D7" s="157"/>
      <c r="E7" s="157"/>
      <c r="F7" s="157"/>
      <c r="G7" s="157"/>
      <c r="H7" s="157"/>
    </row>
    <row r="8" spans="2:12">
      <c r="B8" s="17" t="s">
        <v>114</v>
      </c>
      <c r="C8" s="17" t="s">
        <v>115</v>
      </c>
      <c r="D8" s="18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2:12" ht="19.8" customHeight="1">
      <c r="B9" s="14"/>
      <c r="C9" s="12" t="s">
        <v>2323</v>
      </c>
      <c r="D9" s="13" t="s">
        <v>1480</v>
      </c>
      <c r="E9" s="14" t="s">
        <v>243</v>
      </c>
      <c r="F9" s="162"/>
      <c r="G9" s="162"/>
      <c r="H9" s="127"/>
    </row>
    <row r="10" spans="2:12">
      <c r="G10" s="48"/>
    </row>
    <row r="11" spans="2:12">
      <c r="B11" s="5" t="s">
        <v>120</v>
      </c>
    </row>
    <row r="12" spans="2:12">
      <c r="B12" s="157" t="s">
        <v>120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</row>
    <row r="13" spans="2:12">
      <c r="B13" s="9" t="s">
        <v>121</v>
      </c>
      <c r="C13" s="9" t="s">
        <v>122</v>
      </c>
      <c r="D13" s="10" t="s">
        <v>123</v>
      </c>
      <c r="E13" s="9" t="s">
        <v>124</v>
      </c>
      <c r="F13" s="9" t="s">
        <v>125</v>
      </c>
      <c r="G13" s="9" t="s">
        <v>126</v>
      </c>
      <c r="H13" s="9" t="s">
        <v>127</v>
      </c>
      <c r="I13" s="9" t="s">
        <v>22</v>
      </c>
      <c r="J13" s="9" t="s">
        <v>128</v>
      </c>
      <c r="K13" s="9" t="s">
        <v>129</v>
      </c>
      <c r="L13" s="9" t="s">
        <v>130</v>
      </c>
    </row>
    <row r="14" spans="2:12">
      <c r="B14" s="11" t="s">
        <v>383</v>
      </c>
      <c r="C14" s="11" t="s">
        <v>132</v>
      </c>
      <c r="D14" s="128" t="s">
        <v>274</v>
      </c>
      <c r="E14" s="11" t="s">
        <v>1971</v>
      </c>
      <c r="F14" s="11" t="s">
        <v>1927</v>
      </c>
      <c r="G14" s="128" t="s">
        <v>1926</v>
      </c>
      <c r="H14" s="11"/>
      <c r="I14" s="11"/>
      <c r="J14" s="11"/>
      <c r="K14" s="11"/>
      <c r="L14" s="11"/>
    </row>
    <row r="15" spans="2:12">
      <c r="B15" s="11" t="s">
        <v>251</v>
      </c>
      <c r="C15" s="11" t="s">
        <v>132</v>
      </c>
      <c r="D15" s="128" t="s">
        <v>480</v>
      </c>
      <c r="E15" s="11" t="s">
        <v>1971</v>
      </c>
      <c r="F15" s="11" t="s">
        <v>251</v>
      </c>
      <c r="G15" s="128"/>
      <c r="H15" s="11"/>
      <c r="I15" s="11"/>
      <c r="J15" s="11"/>
      <c r="K15" s="11"/>
      <c r="L15" s="11"/>
    </row>
    <row r="16" spans="2:12">
      <c r="B16" s="11" t="s">
        <v>1465</v>
      </c>
      <c r="C16" s="11" t="s">
        <v>132</v>
      </c>
      <c r="D16" s="128" t="s">
        <v>212</v>
      </c>
      <c r="E16" s="11" t="s">
        <v>1971</v>
      </c>
      <c r="F16" s="11" t="s">
        <v>1465</v>
      </c>
      <c r="G16" s="128"/>
      <c r="H16" s="11"/>
      <c r="I16" s="11"/>
      <c r="J16" s="11"/>
      <c r="K16" s="11"/>
      <c r="L16" s="11"/>
    </row>
    <row r="17" spans="2:12">
      <c r="B17" s="11" t="s">
        <v>1467</v>
      </c>
      <c r="C17" s="11" t="s">
        <v>132</v>
      </c>
      <c r="D17" s="128" t="s">
        <v>1468</v>
      </c>
      <c r="E17" s="11" t="s">
        <v>1971</v>
      </c>
      <c r="F17" s="11" t="s">
        <v>1467</v>
      </c>
      <c r="G17" s="128"/>
      <c r="H17" s="11"/>
      <c r="I17" s="11"/>
      <c r="J17" s="11"/>
      <c r="K17" s="11"/>
      <c r="L17" s="11"/>
    </row>
    <row r="18" spans="2:12">
      <c r="B18" s="11" t="s">
        <v>1469</v>
      </c>
      <c r="C18" s="11" t="s">
        <v>132</v>
      </c>
      <c r="D18" s="128" t="s">
        <v>1482</v>
      </c>
      <c r="E18" s="11" t="s">
        <v>1971</v>
      </c>
      <c r="F18" s="11" t="s">
        <v>1469</v>
      </c>
      <c r="G18" s="128"/>
      <c r="H18" s="11"/>
      <c r="I18" s="11"/>
      <c r="J18" s="11"/>
      <c r="K18" s="11"/>
      <c r="L18" s="11"/>
    </row>
    <row r="19" spans="2:12">
      <c r="B19" s="11" t="s">
        <v>1471</v>
      </c>
      <c r="C19" s="11" t="s">
        <v>132</v>
      </c>
      <c r="D19" s="128" t="s">
        <v>1483</v>
      </c>
      <c r="E19" s="11" t="s">
        <v>1971</v>
      </c>
      <c r="F19" s="11" t="s">
        <v>1471</v>
      </c>
      <c r="G19" s="128"/>
      <c r="H19" s="11"/>
      <c r="I19" s="11"/>
      <c r="J19" s="11"/>
      <c r="K19" s="11"/>
      <c r="L19" s="11"/>
    </row>
    <row r="20" spans="2:12">
      <c r="B20" s="11" t="s">
        <v>1473</v>
      </c>
      <c r="C20" s="11" t="s">
        <v>245</v>
      </c>
      <c r="D20" s="128" t="s">
        <v>1484</v>
      </c>
      <c r="E20" s="11" t="s">
        <v>1971</v>
      </c>
      <c r="F20" s="11" t="s">
        <v>1473</v>
      </c>
      <c r="G20" s="128"/>
      <c r="H20" s="11"/>
      <c r="I20" s="11"/>
      <c r="J20" s="11"/>
      <c r="K20" s="11"/>
      <c r="L20" s="11"/>
    </row>
    <row r="21" spans="2:12">
      <c r="B21" s="11" t="s">
        <v>1475</v>
      </c>
      <c r="C21" s="11" t="s">
        <v>245</v>
      </c>
      <c r="D21" s="128" t="s">
        <v>1485</v>
      </c>
      <c r="E21" s="11" t="s">
        <v>1971</v>
      </c>
      <c r="F21" s="11" t="s">
        <v>1475</v>
      </c>
      <c r="G21" s="128"/>
      <c r="H21" s="11"/>
      <c r="I21" s="11"/>
      <c r="J21" s="11"/>
      <c r="K21" s="11"/>
      <c r="L21" s="11"/>
    </row>
    <row r="22" spans="2:12">
      <c r="B22" s="11" t="s">
        <v>2373</v>
      </c>
      <c r="C22" s="11" t="s">
        <v>132</v>
      </c>
      <c r="D22" s="128" t="s">
        <v>285</v>
      </c>
      <c r="E22" s="11" t="s">
        <v>1971</v>
      </c>
      <c r="F22" s="11" t="s">
        <v>284</v>
      </c>
      <c r="G22" s="128"/>
      <c r="H22" s="11"/>
      <c r="I22" s="11"/>
      <c r="J22" s="11"/>
      <c r="K22" s="11"/>
      <c r="L22" s="11"/>
    </row>
    <row r="23" spans="2:12">
      <c r="B23" s="11" t="s">
        <v>1058</v>
      </c>
      <c r="C23" s="11" t="s">
        <v>245</v>
      </c>
      <c r="D23" s="128" t="s">
        <v>513</v>
      </c>
      <c r="E23" s="11"/>
      <c r="F23" s="11"/>
      <c r="G23" s="128" t="s">
        <v>1972</v>
      </c>
      <c r="H23" s="11"/>
      <c r="I23" s="11"/>
      <c r="J23" s="11"/>
      <c r="K23" s="11"/>
      <c r="L23" s="11"/>
    </row>
    <row r="24" spans="2:12">
      <c r="B24" s="11" t="s">
        <v>1060</v>
      </c>
      <c r="C24" s="11" t="s">
        <v>245</v>
      </c>
      <c r="D24" s="128" t="s">
        <v>516</v>
      </c>
      <c r="E24" s="11"/>
      <c r="F24" s="11"/>
      <c r="G24" s="128" t="s">
        <v>1972</v>
      </c>
      <c r="H24" s="11"/>
      <c r="I24" s="11"/>
      <c r="J24" s="11"/>
      <c r="K24" s="11"/>
      <c r="L24" s="11"/>
    </row>
    <row r="25" spans="2:12">
      <c r="B25" s="11" t="s">
        <v>1062</v>
      </c>
      <c r="C25" s="11" t="s">
        <v>136</v>
      </c>
      <c r="D25" s="128" t="s">
        <v>519</v>
      </c>
      <c r="E25" s="11"/>
      <c r="F25" s="11"/>
      <c r="G25" s="128" t="s">
        <v>1972</v>
      </c>
      <c r="H25" s="11"/>
      <c r="I25" s="11"/>
      <c r="J25" s="11"/>
      <c r="K25" s="11"/>
      <c r="L25" s="11"/>
    </row>
    <row r="26" spans="2:12">
      <c r="B26" s="11" t="s">
        <v>936</v>
      </c>
      <c r="C26" s="11" t="s">
        <v>136</v>
      </c>
      <c r="D26" s="128" t="s">
        <v>937</v>
      </c>
      <c r="E26" s="11"/>
      <c r="F26" s="11"/>
      <c r="G26" s="128" t="s">
        <v>1972</v>
      </c>
      <c r="H26" s="11"/>
      <c r="I26" s="11"/>
      <c r="J26" s="11"/>
      <c r="K26" s="11"/>
      <c r="L26" s="11"/>
    </row>
    <row r="27" spans="2:12">
      <c r="B27" s="11" t="s">
        <v>939</v>
      </c>
      <c r="C27" s="11" t="s">
        <v>136</v>
      </c>
      <c r="D27" s="128" t="s">
        <v>940</v>
      </c>
      <c r="E27" s="11"/>
      <c r="F27" s="11"/>
      <c r="G27" s="128" t="s">
        <v>1972</v>
      </c>
      <c r="H27" s="11"/>
      <c r="I27" s="11"/>
      <c r="J27" s="11"/>
      <c r="K27" s="11"/>
      <c r="L27" s="11"/>
    </row>
    <row r="28" spans="2:12">
      <c r="B28" s="11" t="s">
        <v>942</v>
      </c>
      <c r="C28" s="11" t="s">
        <v>245</v>
      </c>
      <c r="D28" s="128" t="s">
        <v>943</v>
      </c>
      <c r="E28" s="11"/>
      <c r="F28" s="11"/>
      <c r="G28" s="128" t="s">
        <v>1972</v>
      </c>
      <c r="H28" s="11"/>
      <c r="I28" s="11"/>
      <c r="J28" s="11"/>
      <c r="K28" s="11"/>
      <c r="L28" s="11"/>
    </row>
    <row r="29" spans="2:12">
      <c r="B29" s="11" t="s">
        <v>811</v>
      </c>
      <c r="C29" s="11" t="s">
        <v>136</v>
      </c>
      <c r="D29" s="128" t="s">
        <v>530</v>
      </c>
      <c r="E29" s="11"/>
      <c r="F29" s="11"/>
      <c r="G29" s="19" t="s">
        <v>1306</v>
      </c>
      <c r="H29" s="11"/>
      <c r="I29" s="11"/>
      <c r="J29" s="11"/>
      <c r="K29" s="11"/>
      <c r="L29" s="11"/>
    </row>
    <row r="30" spans="2:12">
      <c r="B30" s="11" t="s">
        <v>1064</v>
      </c>
      <c r="C30" s="11" t="s">
        <v>136</v>
      </c>
      <c r="D30" s="128" t="s">
        <v>1970</v>
      </c>
      <c r="E30" s="11"/>
      <c r="F30" s="11"/>
      <c r="G30" s="128" t="s">
        <v>1972</v>
      </c>
      <c r="H30" s="11"/>
      <c r="I30" s="11"/>
      <c r="J30" s="11"/>
      <c r="K30" s="11"/>
      <c r="L30" s="11"/>
    </row>
    <row r="31" spans="2:12">
      <c r="B31" s="11" t="s">
        <v>1067</v>
      </c>
      <c r="C31" s="11" t="s">
        <v>136</v>
      </c>
      <c r="D31" s="128" t="s">
        <v>1068</v>
      </c>
      <c r="E31" s="11"/>
      <c r="F31" s="11"/>
      <c r="G31" s="128" t="s">
        <v>1972</v>
      </c>
      <c r="H31" s="11"/>
      <c r="I31" s="11"/>
      <c r="J31" s="11"/>
      <c r="K31" s="11"/>
      <c r="L31" s="11"/>
    </row>
    <row r="32" spans="2:12">
      <c r="B32" s="11" t="s">
        <v>2374</v>
      </c>
      <c r="C32" s="11" t="s">
        <v>136</v>
      </c>
      <c r="D32" s="128" t="s">
        <v>821</v>
      </c>
      <c r="E32" s="11"/>
      <c r="F32" s="11"/>
      <c r="G32" s="19" t="s">
        <v>1974</v>
      </c>
      <c r="H32" s="11"/>
      <c r="I32" s="11"/>
      <c r="J32" s="11"/>
      <c r="K32" s="11"/>
      <c r="L32" s="11"/>
    </row>
    <row r="33" spans="2:12">
      <c r="B33" s="11" t="s">
        <v>814</v>
      </c>
      <c r="C33" s="11" t="s">
        <v>136</v>
      </c>
      <c r="D33" s="128" t="s">
        <v>815</v>
      </c>
      <c r="E33" s="11"/>
      <c r="F33" s="11"/>
      <c r="G33" s="19" t="s">
        <v>1307</v>
      </c>
      <c r="H33" s="11"/>
      <c r="I33" s="11"/>
      <c r="J33" s="11"/>
      <c r="K33" s="11"/>
      <c r="L33" s="11"/>
    </row>
    <row r="34" spans="2:12">
      <c r="B34" s="11" t="s">
        <v>817</v>
      </c>
      <c r="C34" s="11" t="s">
        <v>245</v>
      </c>
      <c r="D34" s="128" t="s">
        <v>818</v>
      </c>
      <c r="E34" s="11"/>
      <c r="F34" s="11"/>
      <c r="G34" s="19" t="s">
        <v>1975</v>
      </c>
      <c r="H34" s="11"/>
      <c r="I34" s="11"/>
      <c r="J34" s="11"/>
      <c r="K34" s="11"/>
      <c r="L34" s="11"/>
    </row>
    <row r="35" spans="2:12">
      <c r="B35" s="11" t="s">
        <v>823</v>
      </c>
      <c r="C35" s="11" t="s">
        <v>136</v>
      </c>
      <c r="D35" s="128" t="s">
        <v>1950</v>
      </c>
      <c r="E35" s="11"/>
      <c r="F35" s="11"/>
      <c r="G35" s="19" t="s">
        <v>1976</v>
      </c>
      <c r="H35" s="11"/>
      <c r="I35" s="11"/>
      <c r="J35" s="11"/>
      <c r="K35" s="11"/>
      <c r="L35" s="11"/>
    </row>
    <row r="36" spans="2:12">
      <c r="B36" s="11" t="s">
        <v>826</v>
      </c>
      <c r="C36" s="11" t="s">
        <v>136</v>
      </c>
      <c r="D36" s="128" t="s">
        <v>1951</v>
      </c>
      <c r="E36" s="11"/>
      <c r="F36" s="11"/>
      <c r="G36" s="19" t="s">
        <v>2026</v>
      </c>
      <c r="H36" s="11"/>
      <c r="I36" s="11"/>
      <c r="J36" s="11"/>
      <c r="K36" s="11"/>
      <c r="L36" s="11"/>
    </row>
    <row r="37" spans="2:12">
      <c r="B37" s="11" t="s">
        <v>829</v>
      </c>
      <c r="C37" s="11" t="s">
        <v>136</v>
      </c>
      <c r="D37" s="128" t="s">
        <v>1952</v>
      </c>
      <c r="E37" s="11"/>
      <c r="F37" s="11"/>
      <c r="G37" s="19" t="s">
        <v>1373</v>
      </c>
      <c r="H37" s="11"/>
      <c r="I37" s="11"/>
      <c r="J37" s="11"/>
      <c r="K37" s="11"/>
      <c r="L37" s="11"/>
    </row>
    <row r="38" spans="2:12">
      <c r="B38" s="11" t="s">
        <v>832</v>
      </c>
      <c r="C38" s="11" t="s">
        <v>136</v>
      </c>
      <c r="D38" s="128" t="s">
        <v>1953</v>
      </c>
      <c r="E38" s="11"/>
      <c r="F38" s="11"/>
      <c r="G38" s="19" t="s">
        <v>1374</v>
      </c>
      <c r="H38" s="11"/>
      <c r="I38" s="11"/>
      <c r="J38" s="11"/>
      <c r="K38" s="11"/>
      <c r="L38" s="11"/>
    </row>
    <row r="39" spans="2:12">
      <c r="B39" s="11" t="s">
        <v>835</v>
      </c>
      <c r="C39" s="11" t="s">
        <v>136</v>
      </c>
      <c r="D39" s="128" t="s">
        <v>1954</v>
      </c>
      <c r="E39" s="11"/>
      <c r="F39" s="11"/>
      <c r="G39" s="19" t="s">
        <v>2025</v>
      </c>
      <c r="H39" s="11"/>
      <c r="I39" s="11"/>
      <c r="J39" s="11"/>
      <c r="K39" s="11"/>
      <c r="L39" s="11"/>
    </row>
    <row r="40" spans="2:12">
      <c r="B40" s="11" t="s">
        <v>838</v>
      </c>
      <c r="C40" s="11" t="s">
        <v>136</v>
      </c>
      <c r="D40" s="128" t="s">
        <v>1955</v>
      </c>
      <c r="E40" s="11"/>
      <c r="F40" s="11"/>
      <c r="G40" s="19" t="s">
        <v>2023</v>
      </c>
      <c r="H40" s="11"/>
      <c r="I40" s="11"/>
      <c r="J40" s="11"/>
      <c r="K40" s="11"/>
      <c r="L40" s="11"/>
    </row>
    <row r="41" spans="2:12">
      <c r="B41" s="11" t="s">
        <v>841</v>
      </c>
      <c r="C41" s="11" t="s">
        <v>136</v>
      </c>
      <c r="D41" s="128" t="s">
        <v>1956</v>
      </c>
      <c r="E41" s="11"/>
      <c r="F41" s="11"/>
      <c r="G41" s="19" t="s">
        <v>1377</v>
      </c>
      <c r="H41" s="11"/>
      <c r="I41" s="11"/>
      <c r="J41" s="11"/>
      <c r="K41" s="11"/>
      <c r="L41" s="11"/>
    </row>
    <row r="42" spans="2:12">
      <c r="B42" s="11" t="s">
        <v>1488</v>
      </c>
      <c r="C42" s="11" t="s">
        <v>136</v>
      </c>
      <c r="D42" s="128" t="s">
        <v>1957</v>
      </c>
      <c r="E42" s="11"/>
      <c r="F42" s="11"/>
      <c r="G42" s="19" t="s">
        <v>2021</v>
      </c>
      <c r="H42" s="11"/>
      <c r="I42" s="11"/>
      <c r="J42" s="11"/>
      <c r="K42" s="11"/>
      <c r="L42" s="11"/>
    </row>
    <row r="43" spans="2:12">
      <c r="B43" s="11" t="s">
        <v>1489</v>
      </c>
      <c r="C43" s="11" t="s">
        <v>136</v>
      </c>
      <c r="D43" s="128" t="s">
        <v>1958</v>
      </c>
      <c r="E43" s="11"/>
      <c r="F43" s="11"/>
      <c r="G43" s="19" t="s">
        <v>1379</v>
      </c>
      <c r="H43" s="11"/>
      <c r="I43" s="11"/>
      <c r="J43" s="11"/>
      <c r="K43" s="11"/>
      <c r="L43" s="11"/>
    </row>
    <row r="44" spans="2:12">
      <c r="B44" s="11" t="s">
        <v>1490</v>
      </c>
      <c r="C44" s="11" t="s">
        <v>136</v>
      </c>
      <c r="D44" s="128" t="s">
        <v>1959</v>
      </c>
      <c r="E44" s="11"/>
      <c r="F44" s="11"/>
      <c r="G44" s="19" t="s">
        <v>2019</v>
      </c>
      <c r="H44" s="11"/>
      <c r="I44" s="11"/>
      <c r="J44" s="11"/>
      <c r="K44" s="11"/>
      <c r="L44" s="11"/>
    </row>
    <row r="45" spans="2:12">
      <c r="B45" s="11" t="s">
        <v>1491</v>
      </c>
      <c r="C45" s="11" t="s">
        <v>136</v>
      </c>
      <c r="D45" s="128" t="s">
        <v>1960</v>
      </c>
      <c r="E45" s="11"/>
      <c r="F45" s="11"/>
      <c r="G45" s="19" t="s">
        <v>1381</v>
      </c>
      <c r="H45" s="11"/>
      <c r="I45" s="11"/>
      <c r="J45" s="11"/>
      <c r="K45" s="11"/>
      <c r="L45" s="11"/>
    </row>
    <row r="46" spans="2:12">
      <c r="B46" s="11" t="s">
        <v>1492</v>
      </c>
      <c r="C46" s="11" t="s">
        <v>136</v>
      </c>
      <c r="D46" s="128" t="s">
        <v>1961</v>
      </c>
      <c r="E46" s="11"/>
      <c r="F46" s="11"/>
      <c r="G46" s="19" t="s">
        <v>1940</v>
      </c>
      <c r="H46" s="11"/>
      <c r="I46" s="11"/>
      <c r="J46" s="11"/>
      <c r="K46" s="11"/>
      <c r="L46" s="11"/>
    </row>
    <row r="47" spans="2:12" ht="39.6">
      <c r="B47" s="11" t="s">
        <v>2028</v>
      </c>
      <c r="C47" s="11" t="s">
        <v>136</v>
      </c>
      <c r="D47" s="128" t="s">
        <v>1923</v>
      </c>
      <c r="E47" s="11"/>
      <c r="F47" s="11"/>
      <c r="G47" s="128" t="s">
        <v>1977</v>
      </c>
      <c r="H47" s="11"/>
      <c r="I47" s="11"/>
      <c r="J47" s="11"/>
      <c r="K47" s="11"/>
      <c r="L47" s="11"/>
    </row>
    <row r="48" spans="2:12" ht="39.6">
      <c r="B48" s="11" t="s">
        <v>846</v>
      </c>
      <c r="C48" s="11" t="s">
        <v>245</v>
      </c>
      <c r="D48" s="128" t="s">
        <v>1598</v>
      </c>
      <c r="E48" s="11"/>
      <c r="F48" s="11"/>
      <c r="G48" s="128" t="s">
        <v>1978</v>
      </c>
      <c r="H48" s="11"/>
      <c r="I48" s="11"/>
      <c r="J48" s="11"/>
      <c r="K48" s="11"/>
      <c r="L48" s="11"/>
    </row>
    <row r="49" spans="2:12">
      <c r="B49" s="11" t="s">
        <v>948</v>
      </c>
      <c r="C49" s="11" t="s">
        <v>136</v>
      </c>
      <c r="D49" s="128" t="s">
        <v>949</v>
      </c>
      <c r="E49" s="11"/>
      <c r="F49" s="11"/>
      <c r="G49" s="19" t="s">
        <v>1979</v>
      </c>
      <c r="H49" s="11"/>
      <c r="I49" s="11"/>
      <c r="J49" s="11"/>
      <c r="K49" s="11"/>
      <c r="L49" s="11"/>
    </row>
    <row r="50" spans="2:12">
      <c r="B50" s="11" t="s">
        <v>1103</v>
      </c>
      <c r="C50" s="11" t="s">
        <v>245</v>
      </c>
      <c r="D50" s="128" t="s">
        <v>1104</v>
      </c>
      <c r="E50" s="11"/>
      <c r="F50" s="11"/>
      <c r="G50" s="19" t="s">
        <v>1383</v>
      </c>
      <c r="H50" s="11"/>
      <c r="I50" s="11"/>
      <c r="J50" s="11"/>
      <c r="K50" s="11"/>
      <c r="L50" s="11"/>
    </row>
    <row r="51" spans="2:12">
      <c r="B51" s="11" t="s">
        <v>1106</v>
      </c>
      <c r="C51" s="11" t="s">
        <v>245</v>
      </c>
      <c r="D51" s="128" t="s">
        <v>1107</v>
      </c>
      <c r="E51" s="11"/>
      <c r="F51" s="11"/>
      <c r="G51" s="19" t="s">
        <v>1980</v>
      </c>
      <c r="H51" s="11"/>
      <c r="I51" s="11"/>
      <c r="J51" s="11"/>
      <c r="K51" s="11"/>
      <c r="L51" s="11"/>
    </row>
    <row r="52" spans="2:12">
      <c r="B52" s="11" t="s">
        <v>2435</v>
      </c>
      <c r="C52" s="11" t="s">
        <v>136</v>
      </c>
      <c r="D52" s="12" t="s">
        <v>1110</v>
      </c>
      <c r="E52" s="11"/>
      <c r="F52" s="11"/>
      <c r="G52" s="19" t="s">
        <v>1385</v>
      </c>
      <c r="H52" s="11"/>
      <c r="I52" s="11"/>
      <c r="J52" s="11"/>
      <c r="K52" s="11"/>
      <c r="L52" s="11"/>
    </row>
    <row r="53" spans="2:12">
      <c r="B53" s="11" t="s">
        <v>954</v>
      </c>
      <c r="C53" s="11" t="s">
        <v>136</v>
      </c>
      <c r="D53" s="12" t="s">
        <v>1112</v>
      </c>
      <c r="E53" s="11"/>
      <c r="F53" s="11"/>
      <c r="G53" s="19" t="s">
        <v>1386</v>
      </c>
      <c r="H53" s="11"/>
      <c r="I53" s="11"/>
      <c r="J53" s="11"/>
      <c r="K53" s="11"/>
      <c r="L53" s="11"/>
    </row>
    <row r="54" spans="2:12">
      <c r="B54" s="11" t="s">
        <v>956</v>
      </c>
      <c r="C54" s="11" t="s">
        <v>136</v>
      </c>
      <c r="D54" s="12" t="s">
        <v>1114</v>
      </c>
      <c r="E54" s="11"/>
      <c r="F54" s="11"/>
      <c r="G54" s="19" t="s">
        <v>1387</v>
      </c>
      <c r="H54" s="11"/>
      <c r="I54" s="11"/>
      <c r="J54" s="11"/>
      <c r="K54" s="11"/>
      <c r="L54" s="11"/>
    </row>
    <row r="55" spans="2:12">
      <c r="B55" s="11" t="s">
        <v>958</v>
      </c>
      <c r="C55" s="11" t="s">
        <v>136</v>
      </c>
      <c r="D55" s="12" t="s">
        <v>1116</v>
      </c>
      <c r="E55" s="11"/>
      <c r="F55" s="11"/>
      <c r="G55" s="19" t="s">
        <v>1388</v>
      </c>
      <c r="H55" s="11"/>
      <c r="I55" s="11"/>
      <c r="J55" s="11"/>
      <c r="K55" s="11"/>
      <c r="L55" s="11"/>
    </row>
    <row r="56" spans="2:12">
      <c r="B56" s="11" t="s">
        <v>960</v>
      </c>
      <c r="C56" s="11" t="s">
        <v>136</v>
      </c>
      <c r="D56" s="12" t="s">
        <v>1118</v>
      </c>
      <c r="E56" s="11"/>
      <c r="F56" s="11"/>
      <c r="G56" s="19" t="s">
        <v>1389</v>
      </c>
      <c r="H56" s="11"/>
      <c r="I56" s="11"/>
      <c r="J56" s="11"/>
      <c r="K56" s="11"/>
      <c r="L56" s="11"/>
    </row>
    <row r="57" spans="2:12">
      <c r="B57" s="11" t="s">
        <v>962</v>
      </c>
      <c r="C57" s="11" t="s">
        <v>136</v>
      </c>
      <c r="D57" s="12" t="s">
        <v>1120</v>
      </c>
      <c r="E57" s="11"/>
      <c r="F57" s="11"/>
      <c r="G57" s="19" t="s">
        <v>1390</v>
      </c>
      <c r="H57" s="11"/>
      <c r="I57" s="11"/>
      <c r="J57" s="11"/>
      <c r="K57" s="11"/>
      <c r="L57" s="11"/>
    </row>
    <row r="58" spans="2:12">
      <c r="B58" s="11" t="s">
        <v>964</v>
      </c>
      <c r="C58" s="11" t="s">
        <v>136</v>
      </c>
      <c r="D58" s="12" t="s">
        <v>1122</v>
      </c>
      <c r="E58" s="11"/>
      <c r="F58" s="11"/>
      <c r="G58" s="19" t="s">
        <v>1391</v>
      </c>
      <c r="H58" s="11"/>
      <c r="I58" s="11"/>
      <c r="J58" s="11"/>
      <c r="K58" s="11"/>
      <c r="L58" s="11"/>
    </row>
    <row r="59" spans="2:12">
      <c r="B59" s="11" t="s">
        <v>1502</v>
      </c>
      <c r="C59" s="11" t="s">
        <v>136</v>
      </c>
      <c r="D59" s="12" t="s">
        <v>1125</v>
      </c>
      <c r="E59" s="11"/>
      <c r="F59" s="11"/>
      <c r="G59" s="19" t="s">
        <v>1392</v>
      </c>
      <c r="H59" s="11"/>
      <c r="I59" s="11"/>
      <c r="J59" s="11"/>
      <c r="K59" s="11"/>
      <c r="L59" s="11"/>
    </row>
    <row r="60" spans="2:12">
      <c r="B60" s="11" t="s">
        <v>1504</v>
      </c>
      <c r="C60" s="11" t="s">
        <v>136</v>
      </c>
      <c r="D60" s="12" t="s">
        <v>1128</v>
      </c>
      <c r="E60" s="11"/>
      <c r="F60" s="11"/>
      <c r="G60" s="19" t="s">
        <v>1393</v>
      </c>
      <c r="H60" s="11"/>
      <c r="I60" s="11"/>
      <c r="J60" s="11"/>
      <c r="K60" s="11"/>
      <c r="L60" s="11"/>
    </row>
    <row r="61" spans="2:12">
      <c r="B61" s="11" t="s">
        <v>1506</v>
      </c>
      <c r="C61" s="11" t="s">
        <v>136</v>
      </c>
      <c r="D61" s="12" t="s">
        <v>1131</v>
      </c>
      <c r="E61" s="11"/>
      <c r="F61" s="11"/>
      <c r="G61" s="19" t="s">
        <v>1394</v>
      </c>
      <c r="H61" s="11"/>
      <c r="I61" s="11"/>
      <c r="J61" s="11"/>
      <c r="K61" s="11"/>
      <c r="L61" s="11"/>
    </row>
    <row r="62" spans="2:12">
      <c r="B62" s="11" t="s">
        <v>1508</v>
      </c>
      <c r="C62" s="11" t="s">
        <v>136</v>
      </c>
      <c r="D62" s="12" t="s">
        <v>1134</v>
      </c>
      <c r="E62" s="11"/>
      <c r="F62" s="11"/>
      <c r="G62" s="19" t="s">
        <v>1395</v>
      </c>
      <c r="H62" s="11"/>
      <c r="I62" s="11"/>
      <c r="J62" s="11"/>
      <c r="K62" s="11"/>
      <c r="L62" s="11"/>
    </row>
    <row r="63" spans="2:12">
      <c r="B63" s="11" t="s">
        <v>1510</v>
      </c>
      <c r="C63" s="11" t="s">
        <v>136</v>
      </c>
      <c r="D63" s="12" t="s">
        <v>1137</v>
      </c>
      <c r="E63" s="11"/>
      <c r="F63" s="11"/>
      <c r="G63" s="19" t="s">
        <v>1396</v>
      </c>
      <c r="H63" s="11"/>
      <c r="I63" s="11"/>
      <c r="J63" s="11"/>
      <c r="K63" s="11"/>
      <c r="L63" s="11"/>
    </row>
    <row r="64" spans="2:12" ht="39.6">
      <c r="B64" s="11" t="s">
        <v>1981</v>
      </c>
      <c r="C64" s="11" t="s">
        <v>136</v>
      </c>
      <c r="D64" s="128" t="s">
        <v>1931</v>
      </c>
      <c r="E64" s="11"/>
      <c r="F64" s="11"/>
      <c r="G64" s="128" t="s">
        <v>1991</v>
      </c>
      <c r="H64" s="11"/>
      <c r="I64" s="11"/>
      <c r="J64" s="11"/>
      <c r="K64" s="11"/>
      <c r="L64" s="11"/>
    </row>
    <row r="65" spans="2:12" ht="39.6">
      <c r="B65" s="11" t="s">
        <v>1142</v>
      </c>
      <c r="C65" s="11" t="s">
        <v>245</v>
      </c>
      <c r="D65" s="128" t="s">
        <v>1143</v>
      </c>
      <c r="E65" s="11"/>
      <c r="F65" s="11"/>
      <c r="G65" s="128" t="s">
        <v>1992</v>
      </c>
      <c r="H65" s="11"/>
      <c r="I65" s="11"/>
      <c r="J65" s="11"/>
      <c r="K65" s="11"/>
      <c r="L65" s="11"/>
    </row>
    <row r="66" spans="2:12">
      <c r="B66" s="11" t="s">
        <v>2375</v>
      </c>
      <c r="C66" s="11" t="s">
        <v>136</v>
      </c>
      <c r="D66" s="128" t="s">
        <v>1146</v>
      </c>
      <c r="E66" s="11"/>
      <c r="F66" s="11"/>
      <c r="G66" s="128" t="s">
        <v>1993</v>
      </c>
      <c r="H66" s="11"/>
      <c r="I66" s="11"/>
      <c r="J66" s="11"/>
      <c r="K66" s="11"/>
      <c r="L66" s="11"/>
    </row>
    <row r="67" spans="2:12">
      <c r="B67" s="11" t="s">
        <v>1147</v>
      </c>
      <c r="C67" s="11" t="s">
        <v>245</v>
      </c>
      <c r="D67" s="128" t="s">
        <v>1148</v>
      </c>
      <c r="E67" s="11"/>
      <c r="F67" s="11"/>
      <c r="G67" s="128" t="s">
        <v>1400</v>
      </c>
      <c r="H67" s="11"/>
      <c r="I67" s="11"/>
      <c r="J67" s="11"/>
      <c r="K67" s="11"/>
      <c r="L67" s="11"/>
    </row>
    <row r="68" spans="2:12">
      <c r="B68" s="11" t="s">
        <v>1149</v>
      </c>
      <c r="C68" s="11" t="s">
        <v>245</v>
      </c>
      <c r="D68" s="128" t="s">
        <v>1150</v>
      </c>
      <c r="E68" s="11"/>
      <c r="F68" s="11"/>
      <c r="G68" s="128" t="s">
        <v>1994</v>
      </c>
      <c r="H68" s="11"/>
      <c r="I68" s="11"/>
      <c r="J68" s="11"/>
      <c r="K68" s="11"/>
      <c r="L68" s="11"/>
    </row>
    <row r="69" spans="2:12">
      <c r="B69" s="11" t="s">
        <v>1513</v>
      </c>
      <c r="C69" s="11" t="s">
        <v>136</v>
      </c>
      <c r="D69" s="128" t="s">
        <v>1152</v>
      </c>
      <c r="E69" s="11"/>
      <c r="F69" s="11"/>
      <c r="G69" s="128" t="s">
        <v>1402</v>
      </c>
      <c r="H69" s="11"/>
      <c r="I69" s="11"/>
      <c r="J69" s="11"/>
      <c r="K69" s="11"/>
      <c r="L69" s="11"/>
    </row>
    <row r="70" spans="2:12">
      <c r="B70" s="11" t="s">
        <v>1515</v>
      </c>
      <c r="C70" s="11" t="s">
        <v>136</v>
      </c>
      <c r="D70" s="128" t="s">
        <v>1155</v>
      </c>
      <c r="E70" s="11"/>
      <c r="F70" s="11"/>
      <c r="G70" s="128" t="s">
        <v>1403</v>
      </c>
      <c r="H70" s="11"/>
      <c r="I70" s="11"/>
      <c r="J70" s="11"/>
      <c r="K70" s="11"/>
      <c r="L70" s="11"/>
    </row>
    <row r="71" spans="2:12">
      <c r="B71" s="11" t="s">
        <v>1517</v>
      </c>
      <c r="C71" s="11" t="s">
        <v>136</v>
      </c>
      <c r="D71" s="128" t="s">
        <v>1158</v>
      </c>
      <c r="E71" s="11"/>
      <c r="F71" s="11"/>
      <c r="G71" s="128" t="s">
        <v>1404</v>
      </c>
      <c r="H71" s="11"/>
      <c r="I71" s="11"/>
      <c r="J71" s="11"/>
      <c r="K71" s="11"/>
      <c r="L71" s="11"/>
    </row>
    <row r="72" spans="2:12">
      <c r="B72" s="11" t="s">
        <v>1519</v>
      </c>
      <c r="C72" s="11" t="s">
        <v>136</v>
      </c>
      <c r="D72" s="128" t="s">
        <v>1161</v>
      </c>
      <c r="E72" s="11"/>
      <c r="F72" s="11"/>
      <c r="G72" s="128" t="s">
        <v>1405</v>
      </c>
      <c r="H72" s="11"/>
      <c r="I72" s="11"/>
      <c r="J72" s="11"/>
      <c r="K72" s="11"/>
      <c r="L72" s="11"/>
    </row>
    <row r="73" spans="2:12">
      <c r="B73" s="11" t="s">
        <v>1521</v>
      </c>
      <c r="C73" s="11" t="s">
        <v>136</v>
      </c>
      <c r="D73" s="128" t="s">
        <v>1164</v>
      </c>
      <c r="E73" s="11"/>
      <c r="F73" s="11"/>
      <c r="G73" s="128" t="s">
        <v>1406</v>
      </c>
      <c r="H73" s="11"/>
      <c r="I73" s="11"/>
      <c r="J73" s="11"/>
      <c r="K73" s="11"/>
      <c r="L73" s="11"/>
    </row>
    <row r="74" spans="2:12">
      <c r="B74" s="11" t="s">
        <v>1523</v>
      </c>
      <c r="C74" s="11" t="s">
        <v>136</v>
      </c>
      <c r="D74" s="128" t="s">
        <v>1167</v>
      </c>
      <c r="E74" s="11"/>
      <c r="F74" s="11"/>
      <c r="G74" s="128" t="s">
        <v>1407</v>
      </c>
      <c r="H74" s="11"/>
      <c r="I74" s="11"/>
      <c r="J74" s="11"/>
      <c r="K74" s="11"/>
      <c r="L74" s="11"/>
    </row>
    <row r="75" spans="2:12">
      <c r="B75" s="11" t="s">
        <v>1525</v>
      </c>
      <c r="C75" s="11" t="s">
        <v>136</v>
      </c>
      <c r="D75" s="128" t="s">
        <v>1170</v>
      </c>
      <c r="E75" s="11"/>
      <c r="F75" s="11"/>
      <c r="G75" s="128" t="s">
        <v>1408</v>
      </c>
      <c r="H75" s="11"/>
      <c r="I75" s="11"/>
      <c r="J75" s="11"/>
      <c r="K75" s="11"/>
      <c r="L75" s="11"/>
    </row>
    <row r="76" spans="2:12">
      <c r="B76" s="11" t="s">
        <v>1527</v>
      </c>
      <c r="C76" s="11" t="s">
        <v>136</v>
      </c>
      <c r="D76" s="128" t="s">
        <v>1173</v>
      </c>
      <c r="E76" s="11"/>
      <c r="F76" s="11"/>
      <c r="G76" s="128" t="s">
        <v>1409</v>
      </c>
      <c r="H76" s="11"/>
      <c r="I76" s="11"/>
      <c r="J76" s="11"/>
      <c r="K76" s="11"/>
      <c r="L76" s="11"/>
    </row>
    <row r="77" spans="2:12">
      <c r="B77" s="11" t="s">
        <v>1529</v>
      </c>
      <c r="C77" s="11" t="s">
        <v>136</v>
      </c>
      <c r="D77" s="128" t="s">
        <v>1176</v>
      </c>
      <c r="E77" s="11"/>
      <c r="F77" s="11"/>
      <c r="G77" s="128" t="s">
        <v>1410</v>
      </c>
      <c r="H77" s="11"/>
      <c r="I77" s="11"/>
      <c r="J77" s="11"/>
      <c r="K77" s="11"/>
      <c r="L77" s="11"/>
    </row>
    <row r="78" spans="2:12">
      <c r="B78" s="11" t="s">
        <v>1531</v>
      </c>
      <c r="C78" s="11" t="s">
        <v>136</v>
      </c>
      <c r="D78" s="128" t="s">
        <v>1179</v>
      </c>
      <c r="E78" s="11"/>
      <c r="F78" s="11"/>
      <c r="G78" s="128" t="s">
        <v>1411</v>
      </c>
      <c r="H78" s="11"/>
      <c r="I78" s="11"/>
      <c r="J78" s="11"/>
      <c r="K78" s="11"/>
      <c r="L78" s="11"/>
    </row>
    <row r="79" spans="2:12">
      <c r="B79" s="11" t="s">
        <v>1533</v>
      </c>
      <c r="C79" s="11" t="s">
        <v>136</v>
      </c>
      <c r="D79" s="128" t="s">
        <v>1182</v>
      </c>
      <c r="E79" s="11"/>
      <c r="F79" s="11"/>
      <c r="G79" s="128" t="s">
        <v>1412</v>
      </c>
      <c r="H79" s="11"/>
      <c r="I79" s="11"/>
      <c r="J79" s="11"/>
      <c r="K79" s="11"/>
      <c r="L79" s="11"/>
    </row>
    <row r="80" spans="2:12">
      <c r="B80" s="11" t="s">
        <v>1535</v>
      </c>
      <c r="C80" s="11" t="s">
        <v>136</v>
      </c>
      <c r="D80" s="128" t="s">
        <v>1185</v>
      </c>
      <c r="E80" s="11"/>
      <c r="F80" s="11"/>
      <c r="G80" s="128" t="s">
        <v>1413</v>
      </c>
      <c r="H80" s="11"/>
      <c r="I80" s="11"/>
      <c r="J80" s="11"/>
      <c r="K80" s="11"/>
      <c r="L80" s="11"/>
    </row>
    <row r="81" spans="2:12" ht="39.6">
      <c r="B81" s="11" t="s">
        <v>2031</v>
      </c>
      <c r="C81" s="11" t="s">
        <v>136</v>
      </c>
      <c r="D81" s="128" t="s">
        <v>1617</v>
      </c>
      <c r="E81" s="11"/>
      <c r="F81" s="11"/>
      <c r="G81" s="128" t="s">
        <v>1996</v>
      </c>
      <c r="H81" s="11"/>
      <c r="I81" s="11"/>
      <c r="J81" s="11"/>
      <c r="K81" s="11"/>
      <c r="L81" s="11"/>
    </row>
    <row r="82" spans="2:12" ht="39.6">
      <c r="B82" s="11" t="s">
        <v>1189</v>
      </c>
      <c r="C82" s="11" t="s">
        <v>245</v>
      </c>
      <c r="D82" s="128" t="s">
        <v>1618</v>
      </c>
      <c r="E82" s="11"/>
      <c r="F82" s="11"/>
      <c r="G82" s="128" t="s">
        <v>1997</v>
      </c>
      <c r="H82" s="11"/>
      <c r="I82" s="11"/>
      <c r="J82" s="11"/>
      <c r="K82" s="11"/>
      <c r="L82" s="11"/>
    </row>
    <row r="83" spans="2:12">
      <c r="B83" s="11" t="s">
        <v>1023</v>
      </c>
      <c r="C83" s="11" t="s">
        <v>136</v>
      </c>
      <c r="D83" s="128" t="s">
        <v>1622</v>
      </c>
      <c r="E83" s="11"/>
      <c r="F83" s="11"/>
      <c r="G83" s="128" t="s">
        <v>1998</v>
      </c>
      <c r="H83" s="11"/>
      <c r="I83" s="11"/>
      <c r="J83" s="11"/>
      <c r="K83" s="11"/>
      <c r="L83" s="11"/>
    </row>
    <row r="84" spans="2:12">
      <c r="B84" s="11" t="s">
        <v>1191</v>
      </c>
      <c r="C84" s="11" t="s">
        <v>245</v>
      </c>
      <c r="D84" s="128" t="s">
        <v>1192</v>
      </c>
      <c r="E84" s="11"/>
      <c r="F84" s="11"/>
      <c r="G84" s="128" t="s">
        <v>1416</v>
      </c>
      <c r="H84" s="11"/>
      <c r="I84" s="11"/>
      <c r="J84" s="11"/>
      <c r="K84" s="11"/>
      <c r="L84" s="11"/>
    </row>
    <row r="85" spans="2:12">
      <c r="B85" s="11" t="s">
        <v>1194</v>
      </c>
      <c r="C85" s="11" t="s">
        <v>245</v>
      </c>
      <c r="D85" s="128" t="s">
        <v>1195</v>
      </c>
      <c r="E85" s="11"/>
      <c r="F85" s="11"/>
      <c r="G85" s="128" t="s">
        <v>1999</v>
      </c>
      <c r="H85" s="11"/>
      <c r="I85" s="11"/>
      <c r="J85" s="11"/>
      <c r="K85" s="11"/>
      <c r="L85" s="11"/>
    </row>
    <row r="86" spans="2:12">
      <c r="B86" s="11" t="s">
        <v>1026</v>
      </c>
      <c r="C86" s="11" t="s">
        <v>136</v>
      </c>
      <c r="D86" s="128" t="s">
        <v>1198</v>
      </c>
      <c r="E86" s="11"/>
      <c r="F86" s="11"/>
      <c r="G86" s="128" t="s">
        <v>1418</v>
      </c>
      <c r="H86" s="11"/>
      <c r="I86" s="11"/>
      <c r="J86" s="11"/>
      <c r="K86" s="11"/>
      <c r="L86" s="11"/>
    </row>
    <row r="87" spans="2:12">
      <c r="B87" s="11" t="s">
        <v>1029</v>
      </c>
      <c r="C87" s="11" t="s">
        <v>136</v>
      </c>
      <c r="D87" s="128" t="s">
        <v>1200</v>
      </c>
      <c r="E87" s="11"/>
      <c r="F87" s="11"/>
      <c r="G87" s="128" t="s">
        <v>1419</v>
      </c>
      <c r="H87" s="11"/>
      <c r="I87" s="11"/>
      <c r="J87" s="11"/>
      <c r="K87" s="11"/>
      <c r="L87" s="11"/>
    </row>
    <row r="88" spans="2:12">
      <c r="B88" s="11" t="s">
        <v>1032</v>
      </c>
      <c r="C88" s="11" t="s">
        <v>136</v>
      </c>
      <c r="D88" s="128" t="s">
        <v>1202</v>
      </c>
      <c r="E88" s="11"/>
      <c r="F88" s="11"/>
      <c r="G88" s="128" t="s">
        <v>1420</v>
      </c>
      <c r="H88" s="11"/>
      <c r="I88" s="11"/>
      <c r="J88" s="11"/>
      <c r="K88" s="11"/>
      <c r="L88" s="11"/>
    </row>
    <row r="89" spans="2:12">
      <c r="B89" s="11" t="s">
        <v>1035</v>
      </c>
      <c r="C89" s="11" t="s">
        <v>136</v>
      </c>
      <c r="D89" s="128" t="s">
        <v>1204</v>
      </c>
      <c r="E89" s="11"/>
      <c r="F89" s="11"/>
      <c r="G89" s="128" t="s">
        <v>1421</v>
      </c>
      <c r="H89" s="11"/>
      <c r="I89" s="11"/>
      <c r="J89" s="11"/>
      <c r="K89" s="11"/>
      <c r="L89" s="11"/>
    </row>
    <row r="90" spans="2:12">
      <c r="B90" s="11" t="s">
        <v>1038</v>
      </c>
      <c r="C90" s="11" t="s">
        <v>136</v>
      </c>
      <c r="D90" s="128" t="s">
        <v>1206</v>
      </c>
      <c r="E90" s="11"/>
      <c r="F90" s="11"/>
      <c r="G90" s="128" t="s">
        <v>1422</v>
      </c>
      <c r="H90" s="11"/>
      <c r="I90" s="11"/>
      <c r="J90" s="11"/>
      <c r="K90" s="11"/>
      <c r="L90" s="11"/>
    </row>
    <row r="91" spans="2:12">
      <c r="B91" s="11" t="s">
        <v>1041</v>
      </c>
      <c r="C91" s="11" t="s">
        <v>136</v>
      </c>
      <c r="D91" s="128" t="s">
        <v>1208</v>
      </c>
      <c r="E91" s="11"/>
      <c r="F91" s="11"/>
      <c r="G91" s="128" t="s">
        <v>1423</v>
      </c>
      <c r="H91" s="11"/>
      <c r="I91" s="11"/>
      <c r="J91" s="11"/>
      <c r="K91" s="11"/>
      <c r="L91" s="11"/>
    </row>
    <row r="92" spans="2:12">
      <c r="B92" s="11" t="s">
        <v>1044</v>
      </c>
      <c r="C92" s="11" t="s">
        <v>136</v>
      </c>
      <c r="D92" s="128" t="s">
        <v>762</v>
      </c>
      <c r="E92" s="11"/>
      <c r="F92" s="11"/>
      <c r="G92" s="128" t="s">
        <v>1424</v>
      </c>
      <c r="H92" s="11"/>
      <c r="I92" s="11"/>
      <c r="J92" s="11"/>
      <c r="K92" s="11"/>
      <c r="L92" s="11"/>
    </row>
    <row r="93" spans="2:12">
      <c r="B93" s="11" t="s">
        <v>1916</v>
      </c>
      <c r="C93" s="11" t="s">
        <v>136</v>
      </c>
      <c r="D93" s="128" t="s">
        <v>765</v>
      </c>
      <c r="E93" s="11"/>
      <c r="F93" s="11"/>
      <c r="G93" s="128" t="s">
        <v>1425</v>
      </c>
      <c r="H93" s="11"/>
      <c r="I93" s="11"/>
      <c r="J93" s="11"/>
      <c r="K93" s="11"/>
      <c r="L93" s="11"/>
    </row>
    <row r="94" spans="2:12">
      <c r="B94" s="11" t="s">
        <v>1917</v>
      </c>
      <c r="C94" s="11" t="s">
        <v>136</v>
      </c>
      <c r="D94" s="128" t="s">
        <v>768</v>
      </c>
      <c r="E94" s="11"/>
      <c r="F94" s="11"/>
      <c r="G94" s="128" t="s">
        <v>1426</v>
      </c>
      <c r="H94" s="11"/>
      <c r="I94" s="11"/>
      <c r="J94" s="11"/>
      <c r="K94" s="11"/>
      <c r="L94" s="11"/>
    </row>
    <row r="95" spans="2:12">
      <c r="B95" s="11" t="s">
        <v>1918</v>
      </c>
      <c r="C95" s="11" t="s">
        <v>136</v>
      </c>
      <c r="D95" s="128" t="s">
        <v>771</v>
      </c>
      <c r="E95" s="11"/>
      <c r="F95" s="11"/>
      <c r="G95" s="128" t="s">
        <v>1427</v>
      </c>
      <c r="H95" s="11"/>
      <c r="I95" s="11"/>
      <c r="J95" s="11"/>
      <c r="K95" s="11"/>
      <c r="L95" s="11"/>
    </row>
    <row r="96" spans="2:12">
      <c r="B96" s="11" t="s">
        <v>1919</v>
      </c>
      <c r="C96" s="11" t="s">
        <v>136</v>
      </c>
      <c r="D96" s="128" t="s">
        <v>774</v>
      </c>
      <c r="E96" s="11"/>
      <c r="F96" s="11"/>
      <c r="G96" s="128" t="s">
        <v>1428</v>
      </c>
      <c r="H96" s="11"/>
      <c r="I96" s="11"/>
      <c r="J96" s="11"/>
      <c r="K96" s="11"/>
      <c r="L96" s="11"/>
    </row>
    <row r="97" spans="2:12">
      <c r="B97" s="11" t="s">
        <v>1920</v>
      </c>
      <c r="C97" s="11" t="s">
        <v>136</v>
      </c>
      <c r="D97" s="128" t="s">
        <v>777</v>
      </c>
      <c r="E97" s="11"/>
      <c r="F97" s="11"/>
      <c r="G97" s="128" t="s">
        <v>1429</v>
      </c>
      <c r="H97" s="11"/>
      <c r="I97" s="11"/>
      <c r="J97" s="11"/>
      <c r="K97" s="11"/>
      <c r="L97" s="11"/>
    </row>
    <row r="98" spans="2:12">
      <c r="B98" s="11" t="s">
        <v>1221</v>
      </c>
      <c r="C98" s="11" t="s">
        <v>136</v>
      </c>
      <c r="D98" s="128" t="s">
        <v>1222</v>
      </c>
      <c r="E98" s="11"/>
      <c r="F98" s="11"/>
      <c r="G98" s="128" t="s">
        <v>1331</v>
      </c>
      <c r="H98" s="11"/>
      <c r="I98" s="11"/>
      <c r="J98" s="11"/>
      <c r="K98" s="11"/>
      <c r="L98" s="11"/>
    </row>
    <row r="99" spans="2:12">
      <c r="B99" s="11" t="s">
        <v>904</v>
      </c>
      <c r="C99" s="11" t="s">
        <v>136</v>
      </c>
      <c r="D99" s="128" t="s">
        <v>1461</v>
      </c>
      <c r="E99" s="11"/>
      <c r="F99" s="11"/>
      <c r="G99" s="128" t="s">
        <v>2000</v>
      </c>
      <c r="H99" s="11"/>
      <c r="I99" s="11"/>
      <c r="J99" s="11"/>
      <c r="K99" s="11"/>
      <c r="L99" s="11"/>
    </row>
    <row r="100" spans="2:12" ht="26.4">
      <c r="B100" s="11" t="s">
        <v>1223</v>
      </c>
      <c r="C100" s="11" t="s">
        <v>245</v>
      </c>
      <c r="D100" s="128" t="s">
        <v>1224</v>
      </c>
      <c r="E100" s="11"/>
      <c r="F100" s="11"/>
      <c r="G100" s="128" t="s">
        <v>2001</v>
      </c>
      <c r="H100" s="11"/>
      <c r="I100" s="11"/>
      <c r="J100" s="11"/>
      <c r="K100" s="11"/>
      <c r="L100" s="11"/>
    </row>
    <row r="101" spans="2:12">
      <c r="B101" s="11" t="s">
        <v>910</v>
      </c>
      <c r="C101" s="11" t="s">
        <v>245</v>
      </c>
      <c r="D101" s="128" t="s">
        <v>1967</v>
      </c>
      <c r="E101" s="11"/>
      <c r="F101" s="11"/>
      <c r="G101" s="128" t="s">
        <v>2002</v>
      </c>
      <c r="H101" s="11"/>
      <c r="I101" s="11"/>
      <c r="J101" s="11"/>
      <c r="K101" s="11"/>
      <c r="L101" s="11"/>
    </row>
    <row r="102" spans="2:12">
      <c r="B102" s="11" t="s">
        <v>1225</v>
      </c>
      <c r="C102" s="11" t="s">
        <v>136</v>
      </c>
      <c r="D102" s="128" t="s">
        <v>1226</v>
      </c>
      <c r="E102" s="11"/>
      <c r="F102" s="11"/>
      <c r="G102" s="128" t="s">
        <v>914</v>
      </c>
      <c r="H102" s="11"/>
      <c r="I102" s="11"/>
      <c r="J102" s="11"/>
      <c r="K102" s="11"/>
      <c r="L102" s="11"/>
    </row>
    <row r="103" spans="2:12">
      <c r="B103" s="11" t="s">
        <v>2376</v>
      </c>
      <c r="C103" s="11" t="s">
        <v>136</v>
      </c>
      <c r="D103" s="128" t="s">
        <v>916</v>
      </c>
      <c r="E103" s="11"/>
      <c r="F103" s="11"/>
      <c r="G103" s="128" t="s">
        <v>2003</v>
      </c>
      <c r="H103" s="11"/>
      <c r="I103" s="11"/>
      <c r="J103" s="11"/>
      <c r="K103" s="11"/>
      <c r="L103" s="11"/>
    </row>
    <row r="104" spans="2:12">
      <c r="B104" s="11" t="s">
        <v>1227</v>
      </c>
      <c r="C104" s="11" t="s">
        <v>245</v>
      </c>
      <c r="D104" s="128" t="s">
        <v>1228</v>
      </c>
      <c r="E104" s="11"/>
      <c r="F104" s="11"/>
      <c r="G104" s="128" t="s">
        <v>2004</v>
      </c>
      <c r="H104" s="11"/>
      <c r="I104" s="11"/>
      <c r="J104" s="11"/>
      <c r="K104" s="11"/>
      <c r="L104" s="11"/>
    </row>
    <row r="105" spans="2:12">
      <c r="B105" s="11" t="s">
        <v>921</v>
      </c>
      <c r="C105" s="11" t="s">
        <v>245</v>
      </c>
      <c r="D105" s="128" t="s">
        <v>1968</v>
      </c>
      <c r="E105" s="11"/>
      <c r="F105" s="11"/>
      <c r="G105" s="128" t="s">
        <v>2005</v>
      </c>
      <c r="H105" s="11"/>
      <c r="I105" s="11"/>
      <c r="J105" s="11"/>
      <c r="K105" s="11"/>
      <c r="L105" s="11"/>
    </row>
    <row r="106" spans="2:12">
      <c r="B106" s="11" t="s">
        <v>1229</v>
      </c>
      <c r="C106" s="11" t="s">
        <v>136</v>
      </c>
      <c r="D106" s="128" t="s">
        <v>1230</v>
      </c>
      <c r="E106" s="11"/>
      <c r="F106" s="11"/>
      <c r="G106" s="128" t="s">
        <v>926</v>
      </c>
      <c r="H106" s="11"/>
      <c r="I106" s="11"/>
      <c r="J106" s="11"/>
      <c r="K106" s="11"/>
      <c r="L106" s="11"/>
    </row>
    <row r="107" spans="2:12">
      <c r="B107" s="11" t="s">
        <v>927</v>
      </c>
      <c r="C107" s="11" t="s">
        <v>136</v>
      </c>
      <c r="D107" s="128" t="s">
        <v>928</v>
      </c>
      <c r="E107" s="11"/>
      <c r="F107" s="11"/>
      <c r="G107" s="128" t="s">
        <v>2006</v>
      </c>
      <c r="H107" s="11"/>
      <c r="I107" s="11"/>
      <c r="J107" s="11"/>
      <c r="K107" s="11"/>
      <c r="L107" s="11"/>
    </row>
    <row r="108" spans="2:12" ht="26.4">
      <c r="B108" s="11" t="s">
        <v>1231</v>
      </c>
      <c r="C108" s="11" t="s">
        <v>245</v>
      </c>
      <c r="D108" s="128" t="s">
        <v>1232</v>
      </c>
      <c r="E108" s="11"/>
      <c r="F108" s="11"/>
      <c r="G108" s="128" t="s">
        <v>2007</v>
      </c>
      <c r="H108" s="11"/>
      <c r="I108" s="11"/>
      <c r="J108" s="11"/>
      <c r="K108" s="11"/>
      <c r="L108" s="11"/>
    </row>
    <row r="109" spans="2:12">
      <c r="B109" s="11" t="s">
        <v>933</v>
      </c>
      <c r="C109" s="11" t="s">
        <v>245</v>
      </c>
      <c r="D109" s="128" t="s">
        <v>1969</v>
      </c>
      <c r="E109" s="11"/>
      <c r="F109" s="11"/>
      <c r="G109" s="128" t="s">
        <v>2008</v>
      </c>
      <c r="H109" s="11"/>
      <c r="I109" s="11"/>
      <c r="J109" s="11"/>
      <c r="K109" s="11"/>
      <c r="L109" s="11"/>
    </row>
    <row r="110" spans="2:12">
      <c r="B110" s="11" t="s">
        <v>474</v>
      </c>
      <c r="C110" s="11" t="s">
        <v>136</v>
      </c>
      <c r="D110" s="128" t="s">
        <v>1233</v>
      </c>
      <c r="E110" s="11"/>
      <c r="F110" s="11"/>
      <c r="G110" s="128" t="s">
        <v>1234</v>
      </c>
      <c r="H110" s="11"/>
      <c r="I110" s="11"/>
      <c r="J110" s="11"/>
      <c r="K110" s="11"/>
      <c r="L110" s="11"/>
    </row>
    <row r="111" spans="2:12">
      <c r="B111" s="11" t="s">
        <v>1235</v>
      </c>
      <c r="C111" s="11" t="s">
        <v>136</v>
      </c>
      <c r="D111" s="128" t="s">
        <v>1236</v>
      </c>
      <c r="E111" s="11"/>
      <c r="F111" s="11"/>
      <c r="G111" s="128" t="s">
        <v>2009</v>
      </c>
      <c r="H111" s="11"/>
      <c r="I111" s="11"/>
      <c r="J111" s="11"/>
      <c r="K111" s="11"/>
      <c r="L111" s="11"/>
    </row>
    <row r="112" spans="2:12" ht="26.4">
      <c r="B112" s="11" t="s">
        <v>1238</v>
      </c>
      <c r="C112" s="11" t="s">
        <v>245</v>
      </c>
      <c r="D112" s="128" t="s">
        <v>1239</v>
      </c>
      <c r="E112" s="11"/>
      <c r="F112" s="11"/>
      <c r="G112" s="128" t="s">
        <v>2010</v>
      </c>
      <c r="H112" s="11"/>
      <c r="I112" s="11"/>
      <c r="J112" s="11"/>
      <c r="K112" s="11"/>
      <c r="L112" s="11"/>
    </row>
    <row r="113" spans="1:12">
      <c r="B113" s="11" t="s">
        <v>1241</v>
      </c>
      <c r="C113" s="11" t="s">
        <v>245</v>
      </c>
      <c r="D113" s="128" t="s">
        <v>1242</v>
      </c>
      <c r="E113" s="11"/>
      <c r="F113" s="11"/>
      <c r="G113" s="128" t="s">
        <v>2011</v>
      </c>
      <c r="H113" s="11"/>
      <c r="I113" s="11"/>
      <c r="J113" s="11"/>
      <c r="K113" s="11"/>
      <c r="L113" s="11"/>
    </row>
    <row r="114" spans="1:12">
      <c r="B114" s="11" t="s">
        <v>2036</v>
      </c>
      <c r="C114" s="11" t="s">
        <v>136</v>
      </c>
      <c r="D114" s="128" t="s">
        <v>2012</v>
      </c>
      <c r="E114" s="11"/>
      <c r="F114" s="11"/>
      <c r="G114" s="128" t="s">
        <v>1450</v>
      </c>
      <c r="H114" s="11"/>
      <c r="I114" s="11"/>
      <c r="J114" s="11"/>
      <c r="K114" s="11"/>
      <c r="L114" s="11"/>
    </row>
    <row r="115" spans="1:12">
      <c r="B115" s="11" t="s">
        <v>1247</v>
      </c>
      <c r="C115" s="11" t="s">
        <v>136</v>
      </c>
      <c r="D115" s="128" t="s">
        <v>780</v>
      </c>
      <c r="E115" s="11"/>
      <c r="F115" s="11"/>
      <c r="G115" s="128" t="s">
        <v>1440</v>
      </c>
      <c r="H115" s="11"/>
      <c r="I115" s="11"/>
      <c r="J115" s="11"/>
      <c r="K115" s="11"/>
      <c r="L115" s="11"/>
    </row>
    <row r="116" spans="1:12">
      <c r="B116" s="11" t="s">
        <v>1251</v>
      </c>
      <c r="C116" s="11" t="s">
        <v>136</v>
      </c>
      <c r="D116" s="128" t="s">
        <v>784</v>
      </c>
      <c r="E116" s="11"/>
      <c r="F116" s="11"/>
      <c r="G116" s="128" t="s">
        <v>1442</v>
      </c>
      <c r="H116" s="11"/>
      <c r="I116" s="11"/>
      <c r="J116" s="11"/>
      <c r="K116" s="11"/>
      <c r="L116" s="11"/>
    </row>
    <row r="117" spans="1:12">
      <c r="B117" s="11" t="s">
        <v>1261</v>
      </c>
      <c r="C117" s="11" t="s">
        <v>136</v>
      </c>
      <c r="D117" s="128" t="s">
        <v>794</v>
      </c>
      <c r="E117" s="11"/>
      <c r="F117" s="11"/>
      <c r="G117" s="128" t="s">
        <v>1447</v>
      </c>
      <c r="H117" s="11"/>
      <c r="I117" s="11"/>
      <c r="J117" s="11"/>
      <c r="K117" s="11"/>
      <c r="L117" s="11"/>
    </row>
    <row r="118" spans="1:12">
      <c r="B118" s="11" t="s">
        <v>1265</v>
      </c>
      <c r="C118" s="11" t="s">
        <v>136</v>
      </c>
      <c r="D118" s="128" t="s">
        <v>798</v>
      </c>
      <c r="E118" s="11"/>
      <c r="F118" s="11"/>
      <c r="G118" s="128" t="s">
        <v>1449</v>
      </c>
      <c r="H118" s="11"/>
      <c r="I118" s="11"/>
      <c r="J118" s="11"/>
      <c r="K118" s="11"/>
      <c r="L118" s="11"/>
    </row>
    <row r="119" spans="1:12">
      <c r="B119" s="11" t="s">
        <v>1253</v>
      </c>
      <c r="C119" s="11" t="s">
        <v>136</v>
      </c>
      <c r="D119" s="128" t="s">
        <v>786</v>
      </c>
      <c r="E119" s="11"/>
      <c r="F119" s="11"/>
      <c r="G119" s="128" t="s">
        <v>1443</v>
      </c>
      <c r="H119" s="11"/>
      <c r="I119" s="11"/>
      <c r="J119" s="11"/>
      <c r="K119" s="11"/>
      <c r="L119" s="11"/>
    </row>
    <row r="120" spans="1:12">
      <c r="B120" s="11" t="s">
        <v>1259</v>
      </c>
      <c r="C120" s="11" t="s">
        <v>136</v>
      </c>
      <c r="D120" s="128" t="s">
        <v>792</v>
      </c>
      <c r="E120" s="11"/>
      <c r="F120" s="11"/>
      <c r="G120" s="128" t="s">
        <v>1446</v>
      </c>
      <c r="H120" s="11"/>
      <c r="I120" s="11"/>
      <c r="J120" s="11"/>
      <c r="K120" s="11"/>
      <c r="L120" s="11"/>
    </row>
    <row r="121" spans="1:12">
      <c r="B121" s="11" t="s">
        <v>1263</v>
      </c>
      <c r="C121" s="11" t="s">
        <v>136</v>
      </c>
      <c r="D121" s="128" t="s">
        <v>796</v>
      </c>
      <c r="E121" s="11"/>
      <c r="F121" s="11"/>
      <c r="G121" s="128" t="s">
        <v>1448</v>
      </c>
      <c r="H121" s="11"/>
      <c r="I121" s="11"/>
      <c r="J121" s="11"/>
      <c r="K121" s="11"/>
      <c r="L121" s="11"/>
    </row>
    <row r="122" spans="1:12">
      <c r="B122" s="11" t="s">
        <v>2013</v>
      </c>
      <c r="C122" s="11" t="s">
        <v>136</v>
      </c>
      <c r="D122" s="128" t="s">
        <v>800</v>
      </c>
      <c r="E122" s="11"/>
      <c r="F122" s="11"/>
      <c r="G122" s="128" t="s">
        <v>1450</v>
      </c>
      <c r="H122" s="11"/>
      <c r="I122" s="11"/>
      <c r="J122" s="11"/>
      <c r="K122" s="11"/>
      <c r="L122" s="11"/>
    </row>
    <row r="123" spans="1:12">
      <c r="B123" s="11" t="s">
        <v>1272</v>
      </c>
      <c r="C123" s="11" t="s">
        <v>136</v>
      </c>
      <c r="D123" s="128" t="s">
        <v>1273</v>
      </c>
      <c r="E123" s="11"/>
      <c r="F123" s="11"/>
      <c r="G123" s="128" t="s">
        <v>2017</v>
      </c>
      <c r="H123" s="11"/>
      <c r="I123" s="11"/>
      <c r="J123" s="11"/>
      <c r="K123" s="11"/>
      <c r="L123" s="11"/>
    </row>
    <row r="124" spans="1:12" s="131" customFormat="1">
      <c r="A124" s="129"/>
      <c r="B124" s="68" t="s">
        <v>1935</v>
      </c>
      <c r="C124" s="68" t="s">
        <v>136</v>
      </c>
      <c r="D124" s="46" t="s">
        <v>855</v>
      </c>
      <c r="E124" s="44" t="s">
        <v>243</v>
      </c>
      <c r="F124" s="70"/>
      <c r="G124" s="70" t="s">
        <v>1995</v>
      </c>
      <c r="H124" s="45"/>
      <c r="I124" s="130" t="s">
        <v>1933</v>
      </c>
      <c r="J124" s="47" t="s">
        <v>431</v>
      </c>
      <c r="K124" s="47" t="s">
        <v>134</v>
      </c>
      <c r="L124" s="47" t="s">
        <v>439</v>
      </c>
    </row>
    <row r="125" spans="1:12" s="131" customFormat="1">
      <c r="A125" s="129"/>
      <c r="B125" s="68" t="s">
        <v>985</v>
      </c>
      <c r="C125" s="68" t="s">
        <v>136</v>
      </c>
      <c r="D125" s="46" t="s">
        <v>858</v>
      </c>
      <c r="E125" s="44" t="s">
        <v>243</v>
      </c>
      <c r="F125" s="70"/>
      <c r="G125" s="70" t="s">
        <v>1354</v>
      </c>
      <c r="H125" s="45"/>
      <c r="I125" s="130" t="s">
        <v>1933</v>
      </c>
      <c r="J125" s="47" t="s">
        <v>431</v>
      </c>
      <c r="K125" s="47" t="s">
        <v>134</v>
      </c>
      <c r="L125" s="47" t="s">
        <v>439</v>
      </c>
    </row>
    <row r="126" spans="1:12" s="131" customFormat="1">
      <c r="A126" s="129"/>
      <c r="B126" s="68" t="s">
        <v>986</v>
      </c>
      <c r="C126" s="68" t="s">
        <v>136</v>
      </c>
      <c r="D126" s="46" t="s">
        <v>861</v>
      </c>
      <c r="E126" s="44" t="s">
        <v>243</v>
      </c>
      <c r="F126" s="70"/>
      <c r="G126" s="70" t="s">
        <v>1355</v>
      </c>
      <c r="H126" s="45"/>
      <c r="I126" s="130" t="s">
        <v>1933</v>
      </c>
      <c r="J126" s="47" t="s">
        <v>431</v>
      </c>
      <c r="K126" s="47" t="s">
        <v>134</v>
      </c>
      <c r="L126" s="47" t="s">
        <v>439</v>
      </c>
    </row>
    <row r="127" spans="1:12" s="131" customFormat="1">
      <c r="A127" s="129"/>
      <c r="B127" s="68" t="s">
        <v>987</v>
      </c>
      <c r="C127" s="68" t="s">
        <v>136</v>
      </c>
      <c r="D127" s="46" t="s">
        <v>864</v>
      </c>
      <c r="E127" s="44" t="s">
        <v>243</v>
      </c>
      <c r="F127" s="70"/>
      <c r="G127" s="70" t="s">
        <v>1356</v>
      </c>
      <c r="H127" s="45"/>
      <c r="I127" s="130" t="s">
        <v>1933</v>
      </c>
      <c r="J127" s="47" t="s">
        <v>431</v>
      </c>
      <c r="K127" s="47" t="s">
        <v>134</v>
      </c>
      <c r="L127" s="47" t="s">
        <v>439</v>
      </c>
    </row>
    <row r="128" spans="1:12" s="131" customFormat="1">
      <c r="A128" s="129"/>
      <c r="B128" s="68" t="s">
        <v>988</v>
      </c>
      <c r="C128" s="68" t="s">
        <v>136</v>
      </c>
      <c r="D128" s="46" t="s">
        <v>867</v>
      </c>
      <c r="E128" s="44" t="s">
        <v>243</v>
      </c>
      <c r="F128" s="70"/>
      <c r="G128" s="70" t="s">
        <v>1357</v>
      </c>
      <c r="H128" s="45"/>
      <c r="I128" s="130" t="s">
        <v>1933</v>
      </c>
      <c r="J128" s="47" t="s">
        <v>431</v>
      </c>
      <c r="K128" s="47" t="s">
        <v>134</v>
      </c>
      <c r="L128" s="47" t="s">
        <v>439</v>
      </c>
    </row>
    <row r="129" spans="1:12" s="131" customFormat="1">
      <c r="A129" s="129"/>
      <c r="B129" s="68" t="s">
        <v>989</v>
      </c>
      <c r="C129" s="68" t="s">
        <v>136</v>
      </c>
      <c r="D129" s="46" t="s">
        <v>870</v>
      </c>
      <c r="E129" s="44" t="s">
        <v>243</v>
      </c>
      <c r="F129" s="70"/>
      <c r="G129" s="70" t="s">
        <v>1358</v>
      </c>
      <c r="H129" s="45"/>
      <c r="I129" s="130" t="s">
        <v>1933</v>
      </c>
      <c r="J129" s="47" t="s">
        <v>431</v>
      </c>
      <c r="K129" s="47" t="s">
        <v>134</v>
      </c>
      <c r="L129" s="47" t="s">
        <v>439</v>
      </c>
    </row>
    <row r="130" spans="1:12" s="131" customFormat="1">
      <c r="A130" s="129"/>
      <c r="B130" s="68" t="s">
        <v>990</v>
      </c>
      <c r="C130" s="68" t="s">
        <v>136</v>
      </c>
      <c r="D130" s="46" t="s">
        <v>873</v>
      </c>
      <c r="E130" s="44" t="s">
        <v>243</v>
      </c>
      <c r="F130" s="70"/>
      <c r="G130" s="70" t="s">
        <v>1359</v>
      </c>
      <c r="H130" s="45"/>
      <c r="I130" s="130" t="s">
        <v>1933</v>
      </c>
      <c r="J130" s="47" t="s">
        <v>431</v>
      </c>
      <c r="K130" s="47" t="s">
        <v>134</v>
      </c>
      <c r="L130" s="47" t="s">
        <v>439</v>
      </c>
    </row>
    <row r="131" spans="1:12" s="131" customFormat="1">
      <c r="A131" s="129"/>
      <c r="B131" s="140" t="s">
        <v>2436</v>
      </c>
      <c r="C131" s="68" t="s">
        <v>136</v>
      </c>
      <c r="D131" s="46" t="s">
        <v>952</v>
      </c>
      <c r="E131" s="44" t="s">
        <v>243</v>
      </c>
      <c r="F131" s="70"/>
      <c r="G131" s="70" t="s">
        <v>1990</v>
      </c>
      <c r="H131" s="45"/>
      <c r="I131" s="130" t="s">
        <v>1933</v>
      </c>
      <c r="J131" s="47" t="s">
        <v>431</v>
      </c>
      <c r="K131" s="47" t="s">
        <v>134</v>
      </c>
      <c r="L131" s="47" t="s">
        <v>439</v>
      </c>
    </row>
    <row r="132" spans="1:12" s="131" customFormat="1">
      <c r="A132" s="129"/>
      <c r="B132" s="140" t="s">
        <v>2437</v>
      </c>
      <c r="C132" s="68" t="s">
        <v>136</v>
      </c>
      <c r="D132" s="46" t="s">
        <v>593</v>
      </c>
      <c r="E132" s="44" t="s">
        <v>243</v>
      </c>
      <c r="F132" s="70"/>
      <c r="G132" s="70" t="s">
        <v>1346</v>
      </c>
      <c r="H132" s="45"/>
      <c r="I132" s="130" t="s">
        <v>1933</v>
      </c>
      <c r="J132" s="47" t="s">
        <v>431</v>
      </c>
      <c r="K132" s="47" t="s">
        <v>134</v>
      </c>
      <c r="L132" s="47" t="s">
        <v>439</v>
      </c>
    </row>
    <row r="133" spans="1:12" s="131" customFormat="1">
      <c r="A133" s="129"/>
      <c r="B133" s="140" t="s">
        <v>2438</v>
      </c>
      <c r="C133" s="68" t="s">
        <v>136</v>
      </c>
      <c r="D133" s="46" t="s">
        <v>595</v>
      </c>
      <c r="E133" s="44" t="s">
        <v>243</v>
      </c>
      <c r="F133" s="70"/>
      <c r="G133" s="70" t="s">
        <v>1347</v>
      </c>
      <c r="H133" s="45"/>
      <c r="I133" s="130" t="s">
        <v>1933</v>
      </c>
      <c r="J133" s="47" t="s">
        <v>431</v>
      </c>
      <c r="K133" s="47" t="s">
        <v>134</v>
      </c>
      <c r="L133" s="47" t="s">
        <v>439</v>
      </c>
    </row>
    <row r="134" spans="1:12" s="131" customFormat="1">
      <c r="A134" s="129"/>
      <c r="B134" s="140" t="s">
        <v>2439</v>
      </c>
      <c r="C134" s="68" t="s">
        <v>136</v>
      </c>
      <c r="D134" s="46" t="s">
        <v>597</v>
      </c>
      <c r="E134" s="44" t="s">
        <v>243</v>
      </c>
      <c r="F134" s="70"/>
      <c r="G134" s="70" t="s">
        <v>1348</v>
      </c>
      <c r="H134" s="45"/>
      <c r="I134" s="130" t="s">
        <v>1933</v>
      </c>
      <c r="J134" s="47" t="s">
        <v>431</v>
      </c>
      <c r="K134" s="47" t="s">
        <v>134</v>
      </c>
      <c r="L134" s="47" t="s">
        <v>439</v>
      </c>
    </row>
    <row r="135" spans="1:12" s="131" customFormat="1">
      <c r="A135" s="129"/>
      <c r="B135" s="140" t="s">
        <v>2440</v>
      </c>
      <c r="C135" s="68" t="s">
        <v>136</v>
      </c>
      <c r="D135" s="46" t="s">
        <v>599</v>
      </c>
      <c r="E135" s="44" t="s">
        <v>243</v>
      </c>
      <c r="F135" s="70"/>
      <c r="G135" s="70" t="s">
        <v>1349</v>
      </c>
      <c r="H135" s="45"/>
      <c r="I135" s="130" t="s">
        <v>1933</v>
      </c>
      <c r="J135" s="47" t="s">
        <v>431</v>
      </c>
      <c r="K135" s="47" t="s">
        <v>134</v>
      </c>
      <c r="L135" s="47" t="s">
        <v>439</v>
      </c>
    </row>
    <row r="136" spans="1:12" s="131" customFormat="1">
      <c r="A136" s="129"/>
      <c r="B136" s="140" t="s">
        <v>2441</v>
      </c>
      <c r="C136" s="68" t="s">
        <v>136</v>
      </c>
      <c r="D136" s="46" t="s">
        <v>601</v>
      </c>
      <c r="E136" s="44" t="s">
        <v>243</v>
      </c>
      <c r="F136" s="70"/>
      <c r="G136" s="70" t="s">
        <v>1350</v>
      </c>
      <c r="H136" s="45"/>
      <c r="I136" s="130" t="s">
        <v>1933</v>
      </c>
      <c r="J136" s="47" t="s">
        <v>431</v>
      </c>
      <c r="K136" s="47" t="s">
        <v>134</v>
      </c>
      <c r="L136" s="47" t="s">
        <v>439</v>
      </c>
    </row>
    <row r="137" spans="1:12" s="131" customFormat="1">
      <c r="A137" s="129"/>
      <c r="B137" s="140" t="s">
        <v>2442</v>
      </c>
      <c r="C137" s="68" t="s">
        <v>136</v>
      </c>
      <c r="D137" s="46" t="s">
        <v>603</v>
      </c>
      <c r="E137" s="44" t="s">
        <v>243</v>
      </c>
      <c r="F137" s="70"/>
      <c r="G137" s="70" t="s">
        <v>1351</v>
      </c>
      <c r="H137" s="45"/>
      <c r="I137" s="130" t="s">
        <v>1933</v>
      </c>
      <c r="J137" s="47" t="s">
        <v>431</v>
      </c>
      <c r="K137" s="47" t="s">
        <v>134</v>
      </c>
      <c r="L137" s="47" t="s">
        <v>439</v>
      </c>
    </row>
    <row r="138" spans="1:12" s="39" customFormat="1">
      <c r="A138" s="132"/>
      <c r="B138" s="135" t="s">
        <v>1249</v>
      </c>
      <c r="C138" s="68" t="s">
        <v>136</v>
      </c>
      <c r="D138" s="136" t="s">
        <v>782</v>
      </c>
      <c r="E138" s="44" t="s">
        <v>243</v>
      </c>
      <c r="F138" s="135"/>
      <c r="G138" s="136" t="s">
        <v>1441</v>
      </c>
      <c r="H138" s="135"/>
      <c r="I138" s="130" t="s">
        <v>1933</v>
      </c>
      <c r="J138" s="47" t="s">
        <v>431</v>
      </c>
      <c r="K138" s="47" t="s">
        <v>134</v>
      </c>
      <c r="L138" s="47" t="s">
        <v>439</v>
      </c>
    </row>
    <row r="139" spans="1:12" s="39" customFormat="1">
      <c r="A139" s="132"/>
      <c r="B139" s="135" t="s">
        <v>1255</v>
      </c>
      <c r="C139" s="68" t="s">
        <v>136</v>
      </c>
      <c r="D139" s="136" t="s">
        <v>788</v>
      </c>
      <c r="E139" s="44" t="s">
        <v>243</v>
      </c>
      <c r="F139" s="135"/>
      <c r="G139" s="136" t="s">
        <v>1444</v>
      </c>
      <c r="H139" s="135"/>
      <c r="I139" s="130" t="s">
        <v>1933</v>
      </c>
      <c r="J139" s="47" t="s">
        <v>431</v>
      </c>
      <c r="K139" s="47" t="s">
        <v>134</v>
      </c>
      <c r="L139" s="47" t="s">
        <v>439</v>
      </c>
    </row>
    <row r="140" spans="1:12" s="39" customFormat="1">
      <c r="A140" s="132"/>
      <c r="B140" s="135" t="s">
        <v>1257</v>
      </c>
      <c r="C140" s="68" t="s">
        <v>136</v>
      </c>
      <c r="D140" s="136" t="s">
        <v>790</v>
      </c>
      <c r="E140" s="44" t="s">
        <v>243</v>
      </c>
      <c r="F140" s="135"/>
      <c r="G140" s="136" t="s">
        <v>1445</v>
      </c>
      <c r="H140" s="135"/>
      <c r="I140" s="130" t="s">
        <v>1933</v>
      </c>
      <c r="J140" s="47" t="s">
        <v>431</v>
      </c>
      <c r="K140" s="47" t="s">
        <v>134</v>
      </c>
      <c r="L140" s="47" t="s">
        <v>439</v>
      </c>
    </row>
    <row r="141" spans="1:12" s="39" customFormat="1">
      <c r="A141" s="132"/>
      <c r="B141" s="135" t="s">
        <v>1268</v>
      </c>
      <c r="C141" s="68" t="s">
        <v>136</v>
      </c>
      <c r="D141" s="136" t="s">
        <v>802</v>
      </c>
      <c r="E141" s="44" t="s">
        <v>243</v>
      </c>
      <c r="F141" s="135"/>
      <c r="G141" s="136" t="s">
        <v>1451</v>
      </c>
      <c r="H141" s="135"/>
      <c r="I141" s="130" t="s">
        <v>1933</v>
      </c>
      <c r="J141" s="47" t="s">
        <v>431</v>
      </c>
      <c r="K141" s="47" t="s">
        <v>134</v>
      </c>
      <c r="L141" s="47" t="s">
        <v>439</v>
      </c>
    </row>
    <row r="142" spans="1:12" s="39" customFormat="1">
      <c r="A142" s="132"/>
      <c r="B142" s="135" t="s">
        <v>1270</v>
      </c>
      <c r="C142" s="68" t="s">
        <v>136</v>
      </c>
      <c r="D142" s="136" t="s">
        <v>804</v>
      </c>
      <c r="E142" s="44" t="s">
        <v>243</v>
      </c>
      <c r="F142" s="135"/>
      <c r="G142" s="136" t="s">
        <v>1452</v>
      </c>
      <c r="H142" s="135"/>
      <c r="I142" s="130" t="s">
        <v>1933</v>
      </c>
      <c r="J142" s="47" t="s">
        <v>431</v>
      </c>
      <c r="K142" s="47" t="s">
        <v>134</v>
      </c>
      <c r="L142" s="47" t="s">
        <v>439</v>
      </c>
    </row>
    <row r="143" spans="1:12">
      <c r="B143" s="50" t="s">
        <v>233</v>
      </c>
      <c r="C143" s="51" t="s">
        <v>139</v>
      </c>
      <c r="D143" s="37" t="s">
        <v>234</v>
      </c>
      <c r="E143" s="52"/>
      <c r="F143" s="50"/>
      <c r="G143" s="50"/>
      <c r="H143" s="50"/>
      <c r="I143" s="50"/>
      <c r="J143" s="50"/>
      <c r="K143" s="50"/>
      <c r="L143" s="50"/>
    </row>
    <row r="144" spans="1:12">
      <c r="B144" s="50" t="s">
        <v>235</v>
      </c>
      <c r="C144" s="51" t="s">
        <v>132</v>
      </c>
      <c r="D144" s="37" t="s">
        <v>236</v>
      </c>
      <c r="E144" s="52"/>
      <c r="F144" s="50"/>
      <c r="G144" s="50"/>
      <c r="H144" s="50"/>
      <c r="I144" s="50"/>
      <c r="J144" s="50"/>
      <c r="K144" s="50"/>
      <c r="L144" s="50"/>
    </row>
  </sheetData>
  <autoFilter ref="A13:L123" xr:uid="{00000000-0009-0000-0000-000012000000}"/>
  <mergeCells count="5">
    <mergeCell ref="B2:H2"/>
    <mergeCell ref="B3:H3"/>
    <mergeCell ref="B7:H7"/>
    <mergeCell ref="F9:G9"/>
    <mergeCell ref="B12:L12"/>
  </mergeCells>
  <phoneticPr fontId="19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33D0-63C8-42D5-B312-01B30B6FB0E3}">
  <sheetPr>
    <tabColor rgb="FFFF0000"/>
  </sheetPr>
  <dimension ref="A1:L216"/>
  <sheetViews>
    <sheetView zoomScale="85" zoomScaleNormal="85" workbookViewId="0">
      <pane ySplit="5" topLeftCell="A6" activePane="bottomLeft" state="frozen"/>
      <selection activeCell="E134" sqref="E134"/>
      <selection pane="bottomLeft" activeCell="C9" sqref="C9"/>
    </sheetView>
  </sheetViews>
  <sheetFormatPr defaultColWidth="9" defaultRowHeight="13.2"/>
  <cols>
    <col min="1" max="1" width="1.33203125" style="5" customWidth="1"/>
    <col min="2" max="2" width="23.6640625" style="5" customWidth="1"/>
    <col min="3" max="3" width="36.5546875" style="5" bestFit="1" customWidth="1"/>
    <col min="4" max="4" width="32.21875" style="6" customWidth="1"/>
    <col min="5" max="5" width="16.21875" style="5" customWidth="1"/>
    <col min="6" max="6" width="24.88671875" style="5" customWidth="1"/>
    <col min="7" max="7" width="39.5546875" style="5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2:12">
      <c r="B1" s="7" t="str">
        <f>HYPERLINK("#导航!a2","返回")</f>
        <v>返回</v>
      </c>
    </row>
    <row r="2" spans="2:12">
      <c r="B2" s="156"/>
      <c r="C2" s="156"/>
      <c r="D2" s="156"/>
      <c r="E2" s="156"/>
      <c r="F2" s="156"/>
      <c r="G2" s="156"/>
      <c r="H2" s="156"/>
    </row>
    <row r="3" spans="2:12">
      <c r="B3" s="157" t="s">
        <v>106</v>
      </c>
      <c r="C3" s="157"/>
      <c r="D3" s="157"/>
      <c r="E3" s="157"/>
      <c r="F3" s="157"/>
      <c r="G3" s="157"/>
      <c r="H3" s="157"/>
    </row>
    <row r="4" spans="2:12">
      <c r="B4" s="9" t="s">
        <v>9</v>
      </c>
      <c r="C4" s="9" t="s">
        <v>107</v>
      </c>
      <c r="D4" s="10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2:12">
      <c r="B5" s="11" t="s">
        <v>68</v>
      </c>
      <c r="C5" s="12" t="s">
        <v>2040</v>
      </c>
      <c r="D5" s="12" t="s">
        <v>1946</v>
      </c>
      <c r="E5" s="14" t="s">
        <v>1949</v>
      </c>
      <c r="F5" s="15"/>
      <c r="G5" s="14"/>
      <c r="H5" s="14"/>
    </row>
    <row r="6" spans="2:12">
      <c r="B6" s="8"/>
      <c r="C6" s="8"/>
      <c r="D6" s="16"/>
      <c r="E6" s="8"/>
      <c r="F6" s="8"/>
      <c r="G6" s="8"/>
      <c r="H6" s="8"/>
    </row>
    <row r="7" spans="2:12">
      <c r="B7" s="157" t="s">
        <v>113</v>
      </c>
      <c r="C7" s="157"/>
      <c r="D7" s="157"/>
      <c r="E7" s="157"/>
      <c r="F7" s="157"/>
      <c r="G7" s="157"/>
      <c r="H7" s="157"/>
    </row>
    <row r="8" spans="2:12">
      <c r="B8" s="17" t="s">
        <v>114</v>
      </c>
      <c r="C8" s="17" t="s">
        <v>115</v>
      </c>
      <c r="D8" s="18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2:12" ht="19.8" customHeight="1">
      <c r="B9" s="14"/>
      <c r="C9" s="12" t="s">
        <v>2324</v>
      </c>
      <c r="D9" s="13" t="s">
        <v>1944</v>
      </c>
      <c r="E9" s="14" t="s">
        <v>243</v>
      </c>
      <c r="F9" s="162"/>
      <c r="G9" s="162"/>
      <c r="H9" s="127"/>
    </row>
    <row r="10" spans="2:12">
      <c r="G10" s="48"/>
    </row>
    <row r="11" spans="2:12">
      <c r="B11" s="5" t="s">
        <v>120</v>
      </c>
    </row>
    <row r="12" spans="2:12">
      <c r="B12" s="157" t="s">
        <v>120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</row>
    <row r="13" spans="2:12">
      <c r="B13" s="9" t="s">
        <v>121</v>
      </c>
      <c r="C13" s="9" t="s">
        <v>122</v>
      </c>
      <c r="D13" s="10" t="s">
        <v>123</v>
      </c>
      <c r="E13" s="9" t="s">
        <v>124</v>
      </c>
      <c r="F13" s="9" t="s">
        <v>125</v>
      </c>
      <c r="G13" s="9" t="s">
        <v>126</v>
      </c>
      <c r="H13" s="9" t="s">
        <v>127</v>
      </c>
      <c r="I13" s="9" t="s">
        <v>22</v>
      </c>
      <c r="J13" s="9" t="s">
        <v>128</v>
      </c>
      <c r="K13" s="9" t="s">
        <v>129</v>
      </c>
      <c r="L13" s="9" t="s">
        <v>130</v>
      </c>
    </row>
    <row r="14" spans="2:12">
      <c r="B14" s="11" t="s">
        <v>383</v>
      </c>
      <c r="C14" s="11" t="s">
        <v>132</v>
      </c>
      <c r="D14" s="128" t="s">
        <v>274</v>
      </c>
      <c r="E14" s="11" t="s">
        <v>1971</v>
      </c>
      <c r="F14" s="11" t="s">
        <v>1927</v>
      </c>
      <c r="G14" s="128" t="s">
        <v>1926</v>
      </c>
      <c r="H14" s="11"/>
      <c r="I14" s="11"/>
      <c r="J14" s="11"/>
      <c r="K14" s="11"/>
      <c r="L14" s="11"/>
    </row>
    <row r="15" spans="2:12">
      <c r="B15" s="11" t="s">
        <v>251</v>
      </c>
      <c r="C15" s="11" t="s">
        <v>132</v>
      </c>
      <c r="D15" s="128" t="s">
        <v>480</v>
      </c>
      <c r="E15" s="11" t="s">
        <v>1971</v>
      </c>
      <c r="F15" s="11" t="s">
        <v>251</v>
      </c>
      <c r="G15" s="128" t="s">
        <v>1926</v>
      </c>
      <c r="H15" s="11"/>
      <c r="I15" s="11"/>
      <c r="J15" s="11"/>
      <c r="K15" s="11"/>
      <c r="L15" s="11"/>
    </row>
    <row r="16" spans="2:12">
      <c r="B16" s="11" t="s">
        <v>1465</v>
      </c>
      <c r="C16" s="11" t="s">
        <v>132</v>
      </c>
      <c r="D16" s="128" t="s">
        <v>212</v>
      </c>
      <c r="E16" s="11" t="s">
        <v>1971</v>
      </c>
      <c r="F16" s="11" t="s">
        <v>1465</v>
      </c>
      <c r="G16" s="128" t="s">
        <v>1926</v>
      </c>
      <c r="H16" s="11"/>
      <c r="I16" s="11"/>
      <c r="J16" s="11"/>
      <c r="K16" s="11"/>
      <c r="L16" s="11"/>
    </row>
    <row r="17" spans="2:12">
      <c r="B17" s="11" t="s">
        <v>1467</v>
      </c>
      <c r="C17" s="11" t="s">
        <v>132</v>
      </c>
      <c r="D17" s="128" t="s">
        <v>1468</v>
      </c>
      <c r="E17" s="11" t="s">
        <v>1971</v>
      </c>
      <c r="F17" s="11" t="s">
        <v>1467</v>
      </c>
      <c r="G17" s="128" t="s">
        <v>1926</v>
      </c>
      <c r="H17" s="11"/>
      <c r="I17" s="11"/>
      <c r="J17" s="11"/>
      <c r="K17" s="11"/>
      <c r="L17" s="11"/>
    </row>
    <row r="18" spans="2:12">
      <c r="B18" s="11" t="s">
        <v>1469</v>
      </c>
      <c r="C18" s="11" t="s">
        <v>132</v>
      </c>
      <c r="D18" s="128" t="s">
        <v>1482</v>
      </c>
      <c r="E18" s="11" t="s">
        <v>1971</v>
      </c>
      <c r="F18" s="11" t="s">
        <v>1469</v>
      </c>
      <c r="G18" s="128" t="s">
        <v>1926</v>
      </c>
      <c r="H18" s="11"/>
      <c r="I18" s="11"/>
      <c r="J18" s="11"/>
      <c r="K18" s="11"/>
      <c r="L18" s="11"/>
    </row>
    <row r="19" spans="2:12">
      <c r="B19" s="11" t="s">
        <v>1471</v>
      </c>
      <c r="C19" s="11" t="s">
        <v>132</v>
      </c>
      <c r="D19" s="128" t="s">
        <v>1483</v>
      </c>
      <c r="E19" s="11" t="s">
        <v>1971</v>
      </c>
      <c r="F19" s="11" t="s">
        <v>1471</v>
      </c>
      <c r="G19" s="128" t="s">
        <v>1926</v>
      </c>
      <c r="H19" s="11"/>
      <c r="I19" s="11"/>
      <c r="J19" s="11"/>
      <c r="K19" s="11"/>
      <c r="L19" s="11"/>
    </row>
    <row r="20" spans="2:12">
      <c r="B20" s="11" t="s">
        <v>1473</v>
      </c>
      <c r="C20" s="11" t="s">
        <v>245</v>
      </c>
      <c r="D20" s="128" t="s">
        <v>1484</v>
      </c>
      <c r="E20" s="11" t="s">
        <v>1971</v>
      </c>
      <c r="F20" s="11" t="s">
        <v>1473</v>
      </c>
      <c r="G20" s="128" t="s">
        <v>1926</v>
      </c>
      <c r="H20" s="11"/>
      <c r="I20" s="11"/>
      <c r="J20" s="11"/>
      <c r="K20" s="11"/>
      <c r="L20" s="11"/>
    </row>
    <row r="21" spans="2:12">
      <c r="B21" s="11" t="s">
        <v>1475</v>
      </c>
      <c r="C21" s="11" t="s">
        <v>245</v>
      </c>
      <c r="D21" s="128" t="s">
        <v>1485</v>
      </c>
      <c r="E21" s="11" t="s">
        <v>1971</v>
      </c>
      <c r="F21" s="11" t="s">
        <v>1475</v>
      </c>
      <c r="G21" s="128" t="s">
        <v>1926</v>
      </c>
      <c r="H21" s="11"/>
      <c r="I21" s="11"/>
      <c r="J21" s="11"/>
      <c r="K21" s="11"/>
      <c r="L21" s="11"/>
    </row>
    <row r="22" spans="2:12">
      <c r="B22" s="11" t="s">
        <v>811</v>
      </c>
      <c r="C22" s="11" t="s">
        <v>136</v>
      </c>
      <c r="D22" s="128" t="str">
        <f>VLOOKUP(B22,'10'!B:L,3,0)</f>
        <v>周期性MR采样点数量</v>
      </c>
      <c r="E22" s="11"/>
      <c r="F22" s="11"/>
      <c r="G22" s="19" t="s">
        <v>1306</v>
      </c>
      <c r="H22" s="11"/>
      <c r="I22" s="11"/>
      <c r="J22" s="11"/>
      <c r="K22" s="11"/>
      <c r="L22" s="11"/>
    </row>
    <row r="23" spans="2:12">
      <c r="B23" s="11" t="s">
        <v>814</v>
      </c>
      <c r="C23" s="11" t="s">
        <v>136</v>
      </c>
      <c r="D23" s="128" t="str">
        <f>VLOOKUP(B23,'10'!B:L,3,0)</f>
        <v>总SS-RSRP值</v>
      </c>
      <c r="E23" s="11"/>
      <c r="F23" s="11"/>
      <c r="G23" s="19" t="s">
        <v>1307</v>
      </c>
      <c r="H23" s="11"/>
      <c r="I23" s="11"/>
      <c r="J23" s="11"/>
      <c r="K23" s="11"/>
      <c r="L23" s="11"/>
    </row>
    <row r="24" spans="2:12">
      <c r="B24" s="11" t="s">
        <v>817</v>
      </c>
      <c r="C24" s="11" t="s">
        <v>245</v>
      </c>
      <c r="D24" s="128" t="str">
        <f>VLOOKUP(B24,'10'!B:L,3,0)</f>
        <v>平均SS-RSRP值</v>
      </c>
      <c r="E24" s="11"/>
      <c r="F24" s="11"/>
      <c r="G24" s="19" t="s">
        <v>1975</v>
      </c>
      <c r="H24" s="11"/>
      <c r="I24" s="11"/>
      <c r="J24" s="11"/>
      <c r="K24" s="11"/>
      <c r="L24" s="11"/>
    </row>
    <row r="25" spans="2:12">
      <c r="B25" s="11" t="s">
        <v>2377</v>
      </c>
      <c r="C25" s="11" t="s">
        <v>136</v>
      </c>
      <c r="D25" s="128" t="str">
        <f>VLOOKUP(B25,'10'!B:L,3,0)</f>
        <v>SS-RSRP计数</v>
      </c>
      <c r="E25" s="11"/>
      <c r="F25" s="11"/>
      <c r="G25" s="19" t="s">
        <v>1974</v>
      </c>
      <c r="H25" s="11"/>
      <c r="I25" s="11"/>
      <c r="J25" s="11"/>
      <c r="K25" s="11"/>
      <c r="L25" s="11"/>
    </row>
    <row r="26" spans="2:12" ht="26.4">
      <c r="B26" s="11" t="s">
        <v>823</v>
      </c>
      <c r="C26" s="11" t="s">
        <v>136</v>
      </c>
      <c r="D26" s="128" t="str">
        <f>VLOOKUP(B26,'10'!B:L,3,0)</f>
        <v>RSRP在[-75,+∞）范围内的MR数目</v>
      </c>
      <c r="E26" s="11"/>
      <c r="F26" s="11"/>
      <c r="G26" s="128" t="s">
        <v>2020</v>
      </c>
      <c r="H26" s="11"/>
      <c r="I26" s="11"/>
      <c r="J26" s="11"/>
      <c r="K26" s="11"/>
      <c r="L26" s="11"/>
    </row>
    <row r="27" spans="2:12" ht="26.4">
      <c r="B27" s="11" t="s">
        <v>826</v>
      </c>
      <c r="C27" s="11" t="s">
        <v>136</v>
      </c>
      <c r="D27" s="128" t="str">
        <f>VLOOKUP(B27,'10'!B:L,3,0)</f>
        <v>RSRP在[-85,-75）范围内的MR数目</v>
      </c>
      <c r="E27" s="11"/>
      <c r="F27" s="11"/>
      <c r="G27" s="128" t="s">
        <v>2022</v>
      </c>
      <c r="H27" s="11"/>
      <c r="I27" s="11"/>
      <c r="J27" s="11"/>
      <c r="K27" s="11"/>
      <c r="L27" s="11"/>
    </row>
    <row r="28" spans="2:12" ht="26.4">
      <c r="B28" s="11" t="s">
        <v>829</v>
      </c>
      <c r="C28" s="11" t="s">
        <v>136</v>
      </c>
      <c r="D28" s="128" t="str">
        <f>VLOOKUP(B28,'10'!B:L,3,0)</f>
        <v>RSRP在[-95,-85）范围内的MR数目</v>
      </c>
      <c r="E28" s="11"/>
      <c r="F28" s="11"/>
      <c r="G28" s="19" t="s">
        <v>2024</v>
      </c>
      <c r="H28" s="11"/>
      <c r="I28" s="11"/>
      <c r="J28" s="11"/>
      <c r="K28" s="11"/>
      <c r="L28" s="11"/>
    </row>
    <row r="29" spans="2:12">
      <c r="B29" s="11" t="s">
        <v>832</v>
      </c>
      <c r="C29" s="11" t="s">
        <v>136</v>
      </c>
      <c r="D29" s="128" t="str">
        <f>VLOOKUP(B29,'10'!B:L,3,0)</f>
        <v>RSRP在[-100,-95）范围内的MR数目</v>
      </c>
      <c r="E29" s="11"/>
      <c r="F29" s="11"/>
      <c r="G29" s="128" t="s">
        <v>2025</v>
      </c>
      <c r="H29" s="11"/>
      <c r="I29" s="11"/>
      <c r="J29" s="11"/>
      <c r="K29" s="11"/>
      <c r="L29" s="11"/>
    </row>
    <row r="30" spans="2:12">
      <c r="B30" s="11" t="s">
        <v>835</v>
      </c>
      <c r="C30" s="11" t="s">
        <v>136</v>
      </c>
      <c r="D30" s="128" t="str">
        <f>VLOOKUP(B30,'10'!B:L,3,0)</f>
        <v>RSRP在[-105,-100）范围内的MR数目</v>
      </c>
      <c r="E30" s="11"/>
      <c r="F30" s="11"/>
      <c r="G30" s="128" t="s">
        <v>1374</v>
      </c>
      <c r="H30" s="11"/>
      <c r="I30" s="11"/>
      <c r="J30" s="11"/>
      <c r="K30" s="11"/>
      <c r="L30" s="11"/>
    </row>
    <row r="31" spans="2:12" ht="26.4">
      <c r="B31" s="11" t="s">
        <v>838</v>
      </c>
      <c r="C31" s="11" t="s">
        <v>136</v>
      </c>
      <c r="D31" s="128" t="str">
        <f>VLOOKUP(B31,'10'!B:L,3,0)</f>
        <v>RSRP在[-115,-105）范围内的MR数目</v>
      </c>
      <c r="E31" s="11"/>
      <c r="F31" s="11"/>
      <c r="G31" s="19" t="s">
        <v>2027</v>
      </c>
      <c r="H31" s="11"/>
      <c r="I31" s="11"/>
      <c r="J31" s="11"/>
      <c r="K31" s="11"/>
      <c r="L31" s="11"/>
    </row>
    <row r="32" spans="2:12">
      <c r="B32" s="11" t="s">
        <v>841</v>
      </c>
      <c r="C32" s="11" t="s">
        <v>136</v>
      </c>
      <c r="D32" s="128" t="str">
        <f>VLOOKUP(B32,'10'!B:L,3,0)</f>
        <v>RSRP在（-∞,-115）范围内的MR数目</v>
      </c>
      <c r="E32" s="11"/>
      <c r="F32" s="11"/>
      <c r="G32" s="19" t="s">
        <v>1371</v>
      </c>
      <c r="H32" s="11"/>
      <c r="I32" s="11"/>
      <c r="J32" s="11"/>
      <c r="K32" s="11"/>
      <c r="L32" s="11"/>
    </row>
    <row r="33" spans="2:12">
      <c r="B33" s="11" t="s">
        <v>844</v>
      </c>
      <c r="C33" s="11" t="s">
        <v>136</v>
      </c>
      <c r="D33" s="128" t="str">
        <f>VLOOKUP(B33,'10'!B:L,3,0)</f>
        <v>RSRP优良数目(&gt;=-105)</v>
      </c>
      <c r="E33" s="11"/>
      <c r="F33" s="11"/>
      <c r="G33" s="19" t="s">
        <v>2029</v>
      </c>
      <c r="H33" s="11"/>
      <c r="I33" s="11"/>
      <c r="J33" s="11"/>
      <c r="K33" s="11"/>
      <c r="L33" s="11"/>
    </row>
    <row r="34" spans="2:12">
      <c r="B34" s="11" t="s">
        <v>846</v>
      </c>
      <c r="C34" s="11" t="s">
        <v>245</v>
      </c>
      <c r="D34" s="128" t="str">
        <f>VLOOKUP(B34,'10'!B:L,3,0)</f>
        <v>RSRP优良比(&gt;=-105)</v>
      </c>
      <c r="E34" s="11"/>
      <c r="F34" s="11"/>
      <c r="G34" s="19" t="s">
        <v>2030</v>
      </c>
      <c r="H34" s="11"/>
      <c r="I34" s="11"/>
      <c r="J34" s="11"/>
      <c r="K34" s="11"/>
      <c r="L34" s="11"/>
    </row>
    <row r="35" spans="2:12">
      <c r="B35" s="11" t="s">
        <v>848</v>
      </c>
      <c r="C35" s="11" t="s">
        <v>136</v>
      </c>
      <c r="D35" s="128" t="str">
        <f>VLOOKUP(B35,'10'!B:L,3,0)</f>
        <v>ULSINR总值</v>
      </c>
      <c r="E35" s="11"/>
      <c r="F35" s="11"/>
      <c r="G35" s="128" t="s">
        <v>1400</v>
      </c>
      <c r="H35" s="11"/>
      <c r="I35" s="11"/>
      <c r="J35" s="11"/>
      <c r="K35" s="11"/>
      <c r="L35" s="11"/>
    </row>
    <row r="36" spans="2:12">
      <c r="B36" s="11" t="s">
        <v>850</v>
      </c>
      <c r="C36" s="11" t="s">
        <v>245</v>
      </c>
      <c r="D36" s="128" t="str">
        <f>VLOOKUP(B36,'10'!B:L,3,0)</f>
        <v>ULSINR平均值</v>
      </c>
      <c r="E36" s="11"/>
      <c r="F36" s="11"/>
      <c r="G36" s="128" t="s">
        <v>1994</v>
      </c>
      <c r="H36" s="11"/>
      <c r="I36" s="11"/>
      <c r="J36" s="11"/>
      <c r="K36" s="11"/>
      <c r="L36" s="11"/>
    </row>
    <row r="37" spans="2:12">
      <c r="B37" s="11" t="s">
        <v>852</v>
      </c>
      <c r="C37" s="11" t="s">
        <v>136</v>
      </c>
      <c r="D37" s="128" t="str">
        <f>VLOOKUP(B37,'10'!B:L,3,0)</f>
        <v>ULSINR有效的MR数目</v>
      </c>
      <c r="E37" s="11"/>
      <c r="F37" s="11"/>
      <c r="G37" s="19" t="s">
        <v>1993</v>
      </c>
      <c r="H37" s="11"/>
      <c r="I37" s="11"/>
      <c r="J37" s="11"/>
      <c r="K37" s="11"/>
      <c r="L37" s="11"/>
    </row>
    <row r="38" spans="2:12">
      <c r="B38" s="11" t="s">
        <v>854</v>
      </c>
      <c r="C38" s="11" t="s">
        <v>136</v>
      </c>
      <c r="D38" s="128" t="str">
        <f>VLOOKUP(B38,'10'!B:L,3,0)</f>
        <v>ULSINR在[20;+∞)范围内的MR数目</v>
      </c>
      <c r="E38" s="11"/>
      <c r="F38" s="11"/>
      <c r="G38" s="19" t="s">
        <v>1353</v>
      </c>
      <c r="H38" s="11"/>
      <c r="I38" s="11"/>
      <c r="J38" s="11"/>
      <c r="K38" s="11"/>
      <c r="L38" s="11"/>
    </row>
    <row r="39" spans="2:12">
      <c r="B39" s="11" t="s">
        <v>857</v>
      </c>
      <c r="C39" s="11" t="s">
        <v>136</v>
      </c>
      <c r="D39" s="128" t="str">
        <f>VLOOKUP(B39,'10'!B:L,3,0)</f>
        <v>ULSINR在[15;20)范围内的MR数目</v>
      </c>
      <c r="E39" s="11"/>
      <c r="F39" s="11"/>
      <c r="G39" s="19" t="s">
        <v>1354</v>
      </c>
      <c r="H39" s="11"/>
      <c r="I39" s="11"/>
      <c r="J39" s="11"/>
      <c r="K39" s="11"/>
      <c r="L39" s="11"/>
    </row>
    <row r="40" spans="2:12">
      <c r="B40" s="11" t="s">
        <v>860</v>
      </c>
      <c r="C40" s="11" t="s">
        <v>136</v>
      </c>
      <c r="D40" s="128" t="str">
        <f>VLOOKUP(B40,'10'!B:L,3,0)</f>
        <v>ULSINR在[10;15)范围内的MR数目</v>
      </c>
      <c r="E40" s="11"/>
      <c r="F40" s="11"/>
      <c r="G40" s="19" t="s">
        <v>1355</v>
      </c>
      <c r="H40" s="11"/>
      <c r="I40" s="11"/>
      <c r="J40" s="11"/>
      <c r="K40" s="11"/>
      <c r="L40" s="11"/>
    </row>
    <row r="41" spans="2:12">
      <c r="B41" s="11" t="s">
        <v>863</v>
      </c>
      <c r="C41" s="11" t="s">
        <v>136</v>
      </c>
      <c r="D41" s="128" t="str">
        <f>VLOOKUP(B41,'10'!B:L,3,0)</f>
        <v>ULSINR在[5;10)范围内的MR数目</v>
      </c>
      <c r="E41" s="11"/>
      <c r="F41" s="11"/>
      <c r="G41" s="19" t="s">
        <v>1356</v>
      </c>
      <c r="H41" s="11"/>
      <c r="I41" s="11"/>
      <c r="J41" s="11"/>
      <c r="K41" s="11"/>
      <c r="L41" s="11"/>
    </row>
    <row r="42" spans="2:12">
      <c r="B42" s="11" t="s">
        <v>866</v>
      </c>
      <c r="C42" s="11" t="s">
        <v>136</v>
      </c>
      <c r="D42" s="128" t="str">
        <f>VLOOKUP(B42,'10'!B:L,3,0)</f>
        <v>ULSINR在[0;5)范围内的MR数目</v>
      </c>
      <c r="E42" s="11"/>
      <c r="F42" s="11"/>
      <c r="G42" s="19" t="s">
        <v>1357</v>
      </c>
      <c r="H42" s="11"/>
      <c r="I42" s="11"/>
      <c r="J42" s="11"/>
      <c r="K42" s="11"/>
      <c r="L42" s="11"/>
    </row>
    <row r="43" spans="2:12">
      <c r="B43" s="11" t="s">
        <v>869</v>
      </c>
      <c r="C43" s="11" t="s">
        <v>136</v>
      </c>
      <c r="D43" s="128" t="str">
        <f>VLOOKUP(B43,'10'!B:L,3,0)</f>
        <v>ULSINR在[-3;0)范围内的MR数目</v>
      </c>
      <c r="E43" s="11"/>
      <c r="F43" s="11"/>
      <c r="G43" s="19" t="s">
        <v>1358</v>
      </c>
      <c r="H43" s="11"/>
      <c r="I43" s="11"/>
      <c r="J43" s="11"/>
      <c r="K43" s="11"/>
      <c r="L43" s="11"/>
    </row>
    <row r="44" spans="2:12">
      <c r="B44" s="11" t="s">
        <v>872</v>
      </c>
      <c r="C44" s="11" t="s">
        <v>136</v>
      </c>
      <c r="D44" s="128" t="str">
        <f>VLOOKUP(B44,'10'!B:L,3,0)</f>
        <v>ULSINR在(-∞;-3)范围内的MR数目</v>
      </c>
      <c r="E44" s="11"/>
      <c r="F44" s="11"/>
      <c r="G44" s="19" t="s">
        <v>1359</v>
      </c>
      <c r="H44" s="11"/>
      <c r="I44" s="11"/>
      <c r="J44" s="11"/>
      <c r="K44" s="11"/>
      <c r="L44" s="11"/>
    </row>
    <row r="45" spans="2:12">
      <c r="B45" s="11" t="s">
        <v>875</v>
      </c>
      <c r="C45" s="11" t="s">
        <v>136</v>
      </c>
      <c r="D45" s="128" t="str">
        <f>VLOOKUP(B45,'10'!B:L,3,0)</f>
        <v>ULSINR优良数(&gt;=0)</v>
      </c>
      <c r="E45" s="11"/>
      <c r="F45" s="11"/>
      <c r="G45" s="19" t="s">
        <v>2032</v>
      </c>
      <c r="H45" s="11"/>
      <c r="I45" s="11"/>
      <c r="J45" s="11"/>
      <c r="K45" s="11"/>
      <c r="L45" s="11"/>
    </row>
    <row r="46" spans="2:12">
      <c r="B46" s="11" t="s">
        <v>877</v>
      </c>
      <c r="C46" s="11" t="s">
        <v>245</v>
      </c>
      <c r="D46" s="128" t="str">
        <f>VLOOKUP(B46,'10'!B:L,3,0)</f>
        <v>ULSINR优良比(&gt;=0)</v>
      </c>
      <c r="E46" s="11"/>
      <c r="F46" s="11"/>
      <c r="G46" s="19" t="s">
        <v>2033</v>
      </c>
      <c r="H46" s="11"/>
      <c r="I46" s="11"/>
      <c r="J46" s="11"/>
      <c r="K46" s="11"/>
      <c r="L46" s="11"/>
    </row>
    <row r="47" spans="2:12">
      <c r="B47" s="11" t="s">
        <v>879</v>
      </c>
      <c r="C47" s="11" t="s">
        <v>136</v>
      </c>
      <c r="D47" s="128" t="str">
        <f>VLOOKUP(B47,'10'!B:L,3,0)</f>
        <v>总SS-RSRP值</v>
      </c>
      <c r="E47" s="11"/>
      <c r="F47" s="11"/>
      <c r="G47" s="128" t="s">
        <v>1972</v>
      </c>
      <c r="H47" s="11"/>
      <c r="I47" s="11"/>
      <c r="J47" s="11"/>
      <c r="K47" s="11"/>
      <c r="L47" s="11"/>
    </row>
    <row r="48" spans="2:12">
      <c r="B48" s="11" t="s">
        <v>882</v>
      </c>
      <c r="C48" s="11" t="s">
        <v>245</v>
      </c>
      <c r="D48" s="128" t="str">
        <f>VLOOKUP(B48,'10'!B:L,3,0)</f>
        <v>平均SS-RSRP值</v>
      </c>
      <c r="E48" s="11"/>
      <c r="F48" s="11"/>
      <c r="G48" s="128" t="s">
        <v>1972</v>
      </c>
      <c r="H48" s="11"/>
      <c r="I48" s="11"/>
      <c r="J48" s="11"/>
      <c r="K48" s="11"/>
      <c r="L48" s="11"/>
    </row>
    <row r="49" spans="2:12">
      <c r="B49" s="11" t="s">
        <v>883</v>
      </c>
      <c r="C49" s="11" t="s">
        <v>136</v>
      </c>
      <c r="D49" s="128" t="str">
        <f>VLOOKUP(B49,'10'!B:L,3,0)</f>
        <v>SS-RSRP计数</v>
      </c>
      <c r="E49" s="11"/>
      <c r="F49" s="11"/>
      <c r="G49" s="128" t="s">
        <v>1972</v>
      </c>
      <c r="H49" s="11"/>
      <c r="I49" s="11"/>
      <c r="J49" s="11"/>
      <c r="K49" s="11"/>
      <c r="L49" s="11"/>
    </row>
    <row r="50" spans="2:12">
      <c r="B50" s="11" t="s">
        <v>884</v>
      </c>
      <c r="C50" s="11" t="s">
        <v>136</v>
      </c>
      <c r="D50" s="128" t="str">
        <f>VLOOKUP(B50,'10'!B:L,3,0)</f>
        <v>RSRP在[-75,+∞）范围内的MR数目</v>
      </c>
      <c r="E50" s="11"/>
      <c r="F50" s="11"/>
      <c r="G50" s="128" t="s">
        <v>1972</v>
      </c>
      <c r="H50" s="11"/>
      <c r="I50" s="11"/>
      <c r="J50" s="11"/>
      <c r="K50" s="11"/>
      <c r="L50" s="11"/>
    </row>
    <row r="51" spans="2:12">
      <c r="B51" s="11" t="s">
        <v>885</v>
      </c>
      <c r="C51" s="11" t="s">
        <v>136</v>
      </c>
      <c r="D51" s="128" t="str">
        <f>VLOOKUP(B51,'10'!B:L,3,0)</f>
        <v>RSRP在[-85,-75）范围内的MR数目</v>
      </c>
      <c r="E51" s="11"/>
      <c r="F51" s="11"/>
      <c r="G51" s="128" t="s">
        <v>1972</v>
      </c>
      <c r="H51" s="11"/>
      <c r="I51" s="11"/>
      <c r="J51" s="11"/>
      <c r="K51" s="11"/>
      <c r="L51" s="11"/>
    </row>
    <row r="52" spans="2:12">
      <c r="B52" s="11" t="s">
        <v>886</v>
      </c>
      <c r="C52" s="11" t="s">
        <v>136</v>
      </c>
      <c r="D52" s="128" t="str">
        <f>VLOOKUP(B52,'10'!B:L,3,0)</f>
        <v>RSRP在[-95,-85）范围内的MR数目</v>
      </c>
      <c r="E52" s="11"/>
      <c r="F52" s="11"/>
      <c r="G52" s="128" t="s">
        <v>1972</v>
      </c>
      <c r="H52" s="11"/>
      <c r="I52" s="11"/>
      <c r="J52" s="11"/>
      <c r="K52" s="11"/>
      <c r="L52" s="11"/>
    </row>
    <row r="53" spans="2:12">
      <c r="B53" s="11" t="s">
        <v>887</v>
      </c>
      <c r="C53" s="11" t="s">
        <v>136</v>
      </c>
      <c r="D53" s="128" t="str">
        <f>VLOOKUP(B53,'10'!B:L,3,0)</f>
        <v>RSRP在[-100,-95）范围内的MR数目</v>
      </c>
      <c r="E53" s="11"/>
      <c r="F53" s="11"/>
      <c r="G53" s="128" t="s">
        <v>1972</v>
      </c>
      <c r="H53" s="11"/>
      <c r="I53" s="11"/>
      <c r="J53" s="11"/>
      <c r="K53" s="11"/>
      <c r="L53" s="11"/>
    </row>
    <row r="54" spans="2:12">
      <c r="B54" s="11" t="s">
        <v>888</v>
      </c>
      <c r="C54" s="11" t="s">
        <v>136</v>
      </c>
      <c r="D54" s="128" t="str">
        <f>VLOOKUP(B54,'10'!B:L,3,0)</f>
        <v>RSRP在[-105,-100）范围内的MR数目</v>
      </c>
      <c r="E54" s="11"/>
      <c r="F54" s="11"/>
      <c r="G54" s="128" t="s">
        <v>1972</v>
      </c>
      <c r="H54" s="11"/>
      <c r="I54" s="11"/>
      <c r="J54" s="11"/>
      <c r="K54" s="11"/>
      <c r="L54" s="11"/>
    </row>
    <row r="55" spans="2:12">
      <c r="B55" s="11" t="s">
        <v>889</v>
      </c>
      <c r="C55" s="11" t="s">
        <v>136</v>
      </c>
      <c r="D55" s="128" t="str">
        <f>VLOOKUP(B55,'10'!B:L,3,0)</f>
        <v>RSRP在[-115,-105）范围内的MR数目</v>
      </c>
      <c r="E55" s="11"/>
      <c r="F55" s="11"/>
      <c r="G55" s="128" t="s">
        <v>1972</v>
      </c>
      <c r="H55" s="11"/>
      <c r="I55" s="11"/>
      <c r="J55" s="11"/>
      <c r="K55" s="11"/>
      <c r="L55" s="11"/>
    </row>
    <row r="56" spans="2:12">
      <c r="B56" s="11" t="s">
        <v>890</v>
      </c>
      <c r="C56" s="11" t="s">
        <v>136</v>
      </c>
      <c r="D56" s="128" t="str">
        <f>VLOOKUP(B56,'10'!B:L,3,0)</f>
        <v>RSRP在（-∞,-115）范围内的MR数目</v>
      </c>
      <c r="E56" s="11"/>
      <c r="F56" s="11"/>
      <c r="G56" s="128" t="s">
        <v>1972</v>
      </c>
      <c r="H56" s="11"/>
      <c r="I56" s="11"/>
      <c r="J56" s="11"/>
      <c r="K56" s="11"/>
      <c r="L56" s="11"/>
    </row>
    <row r="57" spans="2:12">
      <c r="B57" s="11" t="s">
        <v>891</v>
      </c>
      <c r="C57" s="11" t="s">
        <v>136</v>
      </c>
      <c r="D57" s="128" t="str">
        <f>VLOOKUP(B57,'10'!B:L,3,0)</f>
        <v>RSRP优良数目(&gt;=-105)</v>
      </c>
      <c r="E57" s="11"/>
      <c r="F57" s="11"/>
      <c r="G57" s="128" t="s">
        <v>1972</v>
      </c>
      <c r="H57" s="11"/>
      <c r="I57" s="11"/>
      <c r="J57" s="11"/>
      <c r="K57" s="11"/>
      <c r="L57" s="11"/>
    </row>
    <row r="58" spans="2:12">
      <c r="B58" s="11" t="s">
        <v>892</v>
      </c>
      <c r="C58" s="11" t="s">
        <v>245</v>
      </c>
      <c r="D58" s="128" t="str">
        <f>VLOOKUP(B58,'10'!B:L,3,0)</f>
        <v>RSRP优良比(&gt;=-105)</v>
      </c>
      <c r="E58" s="11"/>
      <c r="F58" s="11"/>
      <c r="G58" s="128" t="s">
        <v>1972</v>
      </c>
      <c r="H58" s="11"/>
      <c r="I58" s="11"/>
      <c r="J58" s="11"/>
      <c r="K58" s="11"/>
      <c r="L58" s="11"/>
    </row>
    <row r="59" spans="2:12">
      <c r="B59" s="11" t="s">
        <v>2430</v>
      </c>
      <c r="C59" s="11" t="s">
        <v>136</v>
      </c>
      <c r="D59" s="128" t="str">
        <f>VLOOKUP(B59,'10'!B:L,3,0)</f>
        <v>Mod3干扰RSRP总值</v>
      </c>
      <c r="E59" s="11"/>
      <c r="F59" s="11"/>
      <c r="G59" s="19" t="s">
        <v>1234</v>
      </c>
      <c r="H59" s="11"/>
      <c r="I59" s="11"/>
      <c r="J59" s="11"/>
      <c r="K59" s="11"/>
      <c r="L59" s="11"/>
    </row>
    <row r="60" spans="2:12">
      <c r="B60" s="11" t="s">
        <v>895</v>
      </c>
      <c r="C60" s="11" t="s">
        <v>136</v>
      </c>
      <c r="D60" s="128" t="str">
        <f>VLOOKUP(B60,'10'!B:L,3,0)</f>
        <v>Mod3干扰MR数目</v>
      </c>
      <c r="E60" s="11"/>
      <c r="F60" s="11"/>
      <c r="G60" s="19" t="s">
        <v>1436</v>
      </c>
      <c r="H60" s="11"/>
      <c r="I60" s="11"/>
      <c r="J60" s="11"/>
      <c r="K60" s="11"/>
      <c r="L60" s="11"/>
    </row>
    <row r="61" spans="2:12" ht="26.4">
      <c r="B61" s="11" t="s">
        <v>897</v>
      </c>
      <c r="C61" s="11" t="s">
        <v>245</v>
      </c>
      <c r="D61" s="128" t="str">
        <f>VLOOKUP(B61,'10'!B:L,3,0)</f>
        <v>Mod3干扰RSRP平均值</v>
      </c>
      <c r="E61" s="11"/>
      <c r="F61" s="11"/>
      <c r="G61" s="19" t="s">
        <v>1437</v>
      </c>
      <c r="H61" s="11"/>
      <c r="I61" s="11"/>
      <c r="J61" s="11"/>
      <c r="K61" s="11"/>
      <c r="L61" s="11"/>
    </row>
    <row r="62" spans="2:12">
      <c r="B62" s="11" t="s">
        <v>899</v>
      </c>
      <c r="C62" s="11" t="s">
        <v>900</v>
      </c>
      <c r="D62" s="128" t="str">
        <f>VLOOKUP(B62,'10'!B:L,3,0)</f>
        <v>Mod3干扰MR数目占周期性MR数目比例</v>
      </c>
      <c r="E62" s="11"/>
      <c r="F62" s="11"/>
      <c r="G62" s="19" t="s">
        <v>1438</v>
      </c>
      <c r="H62" s="11"/>
      <c r="I62" s="11"/>
      <c r="J62" s="11"/>
      <c r="K62" s="11"/>
      <c r="L62" s="11"/>
    </row>
    <row r="63" spans="2:12">
      <c r="B63" s="11" t="s">
        <v>468</v>
      </c>
      <c r="C63" s="11" t="s">
        <v>136</v>
      </c>
      <c r="D63" s="128" t="str">
        <f>VLOOKUP(B63,'10'!B:L,3,0)</f>
        <v>弱覆盖RSRP总值(-110)</v>
      </c>
      <c r="E63" s="11"/>
      <c r="F63" s="11"/>
      <c r="G63" s="128" t="s">
        <v>1331</v>
      </c>
      <c r="H63" s="11"/>
      <c r="I63" s="11"/>
      <c r="J63" s="11"/>
      <c r="K63" s="11"/>
      <c r="L63" s="11"/>
    </row>
    <row r="64" spans="2:12">
      <c r="B64" s="11" t="s">
        <v>904</v>
      </c>
      <c r="C64" s="11" t="s">
        <v>136</v>
      </c>
      <c r="D64" s="128" t="str">
        <f>VLOOKUP(B64,'10'!B:L,3,0)</f>
        <v>弱覆盖MR数目(-110)</v>
      </c>
      <c r="E64" s="11"/>
      <c r="F64" s="11"/>
      <c r="G64" s="128" t="s">
        <v>1332</v>
      </c>
      <c r="H64" s="11"/>
      <c r="I64" s="11"/>
      <c r="J64" s="11"/>
      <c r="K64" s="11"/>
      <c r="L64" s="11"/>
    </row>
    <row r="65" spans="2:12" ht="26.4">
      <c r="B65" s="11" t="s">
        <v>907</v>
      </c>
      <c r="C65" s="11" t="s">
        <v>245</v>
      </c>
      <c r="D65" s="128" t="str">
        <f>VLOOKUP(B65,'10'!B:L,3,0)</f>
        <v>弱覆盖RSRP平均值(-110)</v>
      </c>
      <c r="E65" s="11"/>
      <c r="F65" s="11"/>
      <c r="G65" s="128" t="s">
        <v>1333</v>
      </c>
      <c r="H65" s="11"/>
      <c r="I65" s="11"/>
      <c r="J65" s="11"/>
      <c r="K65" s="11"/>
      <c r="L65" s="11"/>
    </row>
    <row r="66" spans="2:12">
      <c r="B66" s="11" t="s">
        <v>910</v>
      </c>
      <c r="C66" s="11" t="s">
        <v>900</v>
      </c>
      <c r="D66" s="128" t="str">
        <f>VLOOKUP(B66,'10'!B:L,3,0)</f>
        <v>弱覆盖MR率(-110)</v>
      </c>
      <c r="E66" s="11"/>
      <c r="F66" s="11"/>
      <c r="G66" s="128" t="s">
        <v>1334</v>
      </c>
      <c r="H66" s="11"/>
      <c r="I66" s="11"/>
      <c r="J66" s="11"/>
      <c r="K66" s="11"/>
      <c r="L66" s="11"/>
    </row>
    <row r="67" spans="2:12">
      <c r="B67" s="11" t="s">
        <v>471</v>
      </c>
      <c r="C67" s="11" t="s">
        <v>136</v>
      </c>
      <c r="D67" s="128" t="str">
        <f>VLOOKUP(B67,'10'!B:L,3,0)</f>
        <v>重叠覆盖RSRP总值</v>
      </c>
      <c r="E67" s="11"/>
      <c r="F67" s="11"/>
      <c r="G67" s="128" t="s">
        <v>914</v>
      </c>
      <c r="H67" s="11"/>
      <c r="I67" s="11"/>
      <c r="J67" s="11"/>
      <c r="K67" s="11"/>
      <c r="L67" s="11"/>
    </row>
    <row r="68" spans="2:12">
      <c r="B68" s="11" t="s">
        <v>915</v>
      </c>
      <c r="C68" s="11" t="s">
        <v>136</v>
      </c>
      <c r="D68" s="128" t="str">
        <f>VLOOKUP(B68,'10'!B:L,3,0)</f>
        <v>重叠覆盖MR数目</v>
      </c>
      <c r="E68" s="11"/>
      <c r="F68" s="11"/>
      <c r="G68" s="128" t="s">
        <v>1335</v>
      </c>
      <c r="H68" s="11"/>
      <c r="I68" s="11"/>
      <c r="J68" s="11"/>
      <c r="K68" s="11"/>
      <c r="L68" s="11"/>
    </row>
    <row r="69" spans="2:12">
      <c r="B69" s="11" t="s">
        <v>918</v>
      </c>
      <c r="C69" s="11" t="s">
        <v>245</v>
      </c>
      <c r="D69" s="128" t="str">
        <f>VLOOKUP(B69,'10'!B:L,3,0)</f>
        <v>重叠覆盖RSRP平均值</v>
      </c>
      <c r="E69" s="11"/>
      <c r="F69" s="11"/>
      <c r="G69" s="128" t="s">
        <v>1336</v>
      </c>
      <c r="H69" s="11"/>
      <c r="I69" s="11"/>
      <c r="J69" s="11"/>
      <c r="K69" s="11"/>
      <c r="L69" s="11"/>
    </row>
    <row r="70" spans="2:12">
      <c r="B70" s="11" t="s">
        <v>921</v>
      </c>
      <c r="C70" s="11" t="s">
        <v>900</v>
      </c>
      <c r="D70" s="128" t="str">
        <f>VLOOKUP(B70,'10'!B:L,3,0)</f>
        <v>重叠覆盖MR率</v>
      </c>
      <c r="E70" s="11"/>
      <c r="F70" s="11"/>
      <c r="G70" s="128" t="s">
        <v>1337</v>
      </c>
      <c r="H70" s="11"/>
      <c r="I70" s="11"/>
      <c r="J70" s="11"/>
      <c r="K70" s="11"/>
      <c r="L70" s="11"/>
    </row>
    <row r="71" spans="2:12">
      <c r="B71" s="11" t="s">
        <v>477</v>
      </c>
      <c r="C71" s="11" t="s">
        <v>136</v>
      </c>
      <c r="D71" s="128" t="str">
        <f>VLOOKUP(B71,'10'!B:L,3,0)</f>
        <v>过覆盖RSRP总值</v>
      </c>
      <c r="E71" s="11"/>
      <c r="F71" s="11"/>
      <c r="G71" s="128" t="s">
        <v>926</v>
      </c>
      <c r="H71" s="11"/>
      <c r="I71" s="11"/>
      <c r="J71" s="11"/>
      <c r="K71" s="11"/>
      <c r="L71" s="11"/>
    </row>
    <row r="72" spans="2:12">
      <c r="B72" s="11" t="s">
        <v>927</v>
      </c>
      <c r="C72" s="11" t="s">
        <v>136</v>
      </c>
      <c r="D72" s="128" t="str">
        <f>VLOOKUP(B72,'10'!B:L,3,0)</f>
        <v>过覆盖MR数目</v>
      </c>
      <c r="E72" s="11"/>
      <c r="F72" s="11"/>
      <c r="G72" s="128" t="s">
        <v>1338</v>
      </c>
      <c r="H72" s="11"/>
      <c r="I72" s="11"/>
      <c r="J72" s="11"/>
      <c r="K72" s="11"/>
      <c r="L72" s="11"/>
    </row>
    <row r="73" spans="2:12" ht="26.4">
      <c r="B73" s="11" t="s">
        <v>930</v>
      </c>
      <c r="C73" s="11" t="s">
        <v>245</v>
      </c>
      <c r="D73" s="128" t="str">
        <f>VLOOKUP(B73,'10'!B:L,3,0)</f>
        <v>过覆盖RSRP平均值</v>
      </c>
      <c r="E73" s="11"/>
      <c r="F73" s="11"/>
      <c r="G73" s="128" t="s">
        <v>1339</v>
      </c>
      <c r="H73" s="11"/>
      <c r="I73" s="11"/>
      <c r="J73" s="11"/>
      <c r="K73" s="11"/>
      <c r="L73" s="11"/>
    </row>
    <row r="74" spans="2:12">
      <c r="B74" s="11" t="s">
        <v>933</v>
      </c>
      <c r="C74" s="11" t="s">
        <v>900</v>
      </c>
      <c r="D74" s="128" t="str">
        <f>VLOOKUP(B74,'10'!B:L,3,0)</f>
        <v>过覆盖MR率</v>
      </c>
      <c r="E74" s="11"/>
      <c r="F74" s="11"/>
      <c r="G74" s="128" t="s">
        <v>1619</v>
      </c>
      <c r="H74" s="11"/>
      <c r="I74" s="11"/>
      <c r="J74" s="11"/>
      <c r="K74" s="11"/>
      <c r="L74" s="11"/>
    </row>
    <row r="75" spans="2:12">
      <c r="B75" s="11" t="s">
        <v>948</v>
      </c>
      <c r="C75" s="11" t="s">
        <v>136</v>
      </c>
      <c r="D75" s="128" t="str">
        <f>VLOOKUP(B75,'10'!B:L,3,0)</f>
        <v>SS-RSRQ计数</v>
      </c>
      <c r="E75" s="11"/>
      <c r="F75" s="11"/>
      <c r="G75" s="19" t="s">
        <v>1979</v>
      </c>
      <c r="H75" s="11"/>
      <c r="I75" s="11"/>
      <c r="J75" s="11"/>
      <c r="K75" s="11"/>
      <c r="L75" s="11"/>
    </row>
    <row r="76" spans="2:12">
      <c r="B76" s="11" t="s">
        <v>951</v>
      </c>
      <c r="C76" s="11" t="s">
        <v>136</v>
      </c>
      <c r="D76" s="128" t="str">
        <f>VLOOKUP(B76,'10'!B:L,3,0)</f>
        <v>RSRQ在[-4,21]范围内的MR数目</v>
      </c>
      <c r="E76" s="11"/>
      <c r="F76" s="11"/>
      <c r="G76" s="80" t="s">
        <v>2443</v>
      </c>
      <c r="H76" s="11"/>
      <c r="I76" s="11"/>
      <c r="J76" s="11"/>
      <c r="K76" s="11"/>
      <c r="L76" s="11"/>
    </row>
    <row r="77" spans="2:12">
      <c r="B77" s="11" t="s">
        <v>954</v>
      </c>
      <c r="C77" s="11" t="s">
        <v>136</v>
      </c>
      <c r="D77" s="128" t="str">
        <f>VLOOKUP(B77,'10'!B:L,3,0)</f>
        <v>RSRQ在[-7,-4)范围内的MR数目</v>
      </c>
      <c r="E77" s="11"/>
      <c r="F77" s="11"/>
      <c r="G77" s="80" t="s">
        <v>2444</v>
      </c>
      <c r="H77" s="11"/>
      <c r="I77" s="11"/>
      <c r="J77" s="11"/>
      <c r="K77" s="11"/>
      <c r="L77" s="11"/>
    </row>
    <row r="78" spans="2:12">
      <c r="B78" s="11" t="s">
        <v>956</v>
      </c>
      <c r="C78" s="11" t="s">
        <v>136</v>
      </c>
      <c r="D78" s="128" t="str">
        <f>VLOOKUP(B78,'10'!B:L,3,0)</f>
        <v>RSRQ在[-10,-7)范围内的MR数目</v>
      </c>
      <c r="E78" s="11"/>
      <c r="F78" s="11"/>
      <c r="G78" s="80" t="s">
        <v>2445</v>
      </c>
      <c r="H78" s="11"/>
      <c r="I78" s="11"/>
      <c r="J78" s="11"/>
      <c r="K78" s="11"/>
      <c r="L78" s="11"/>
    </row>
    <row r="79" spans="2:12">
      <c r="B79" s="11" t="s">
        <v>958</v>
      </c>
      <c r="C79" s="11" t="s">
        <v>136</v>
      </c>
      <c r="D79" s="128" t="str">
        <f>VLOOKUP(B79,'10'!B:L,3,0)</f>
        <v>RSRQ在[-13,-10)范围内的MR数目</v>
      </c>
      <c r="E79" s="11"/>
      <c r="F79" s="11"/>
      <c r="G79" s="80" t="s">
        <v>2446</v>
      </c>
      <c r="H79" s="11"/>
      <c r="I79" s="11"/>
      <c r="J79" s="11"/>
      <c r="K79" s="11"/>
      <c r="L79" s="11"/>
    </row>
    <row r="80" spans="2:12">
      <c r="B80" s="11" t="s">
        <v>960</v>
      </c>
      <c r="C80" s="11" t="s">
        <v>136</v>
      </c>
      <c r="D80" s="128" t="str">
        <f>VLOOKUP(B80,'10'!B:L,3,0)</f>
        <v>RSRQ在[-16,-13)范围内的MR数目</v>
      </c>
      <c r="E80" s="11"/>
      <c r="F80" s="11"/>
      <c r="G80" s="80" t="s">
        <v>2447</v>
      </c>
      <c r="H80" s="11"/>
      <c r="I80" s="11"/>
      <c r="J80" s="11"/>
      <c r="K80" s="11"/>
      <c r="L80" s="11"/>
    </row>
    <row r="81" spans="2:12">
      <c r="B81" s="11" t="s">
        <v>962</v>
      </c>
      <c r="C81" s="11" t="s">
        <v>136</v>
      </c>
      <c r="D81" s="128" t="str">
        <f>VLOOKUP(B81,'10'!B:L,3,0)</f>
        <v>RSRQ在[-19,-16)范围内的MR数目</v>
      </c>
      <c r="E81" s="11"/>
      <c r="F81" s="11"/>
      <c r="G81" s="80" t="s">
        <v>2448</v>
      </c>
      <c r="H81" s="11"/>
      <c r="I81" s="11"/>
      <c r="J81" s="11"/>
      <c r="K81" s="11"/>
      <c r="L81" s="11"/>
    </row>
    <row r="82" spans="2:12">
      <c r="B82" s="11" t="s">
        <v>964</v>
      </c>
      <c r="C82" s="11" t="s">
        <v>136</v>
      </c>
      <c r="D82" s="128" t="str">
        <f>VLOOKUP(B82,'10'!B:L,3,0)</f>
        <v>RSRQ在[-43,-19)范围内的MR数目</v>
      </c>
      <c r="E82" s="11"/>
      <c r="F82" s="11"/>
      <c r="G82" s="80" t="s">
        <v>2449</v>
      </c>
      <c r="H82" s="11"/>
      <c r="I82" s="11"/>
      <c r="J82" s="11"/>
      <c r="K82" s="11"/>
      <c r="L82" s="11"/>
    </row>
    <row r="83" spans="2:12">
      <c r="B83" s="11" t="s">
        <v>966</v>
      </c>
      <c r="C83" s="11" t="s">
        <v>136</v>
      </c>
      <c r="D83" s="128" t="str">
        <f>VLOOKUP(B83,'10'!B:L,3,0)</f>
        <v>PHR有效的MR数目</v>
      </c>
      <c r="E83" s="11"/>
      <c r="F83" s="11"/>
      <c r="G83" s="128" t="s">
        <v>1972</v>
      </c>
      <c r="H83" s="11"/>
      <c r="I83" s="11"/>
      <c r="J83" s="11"/>
      <c r="K83" s="11"/>
      <c r="L83" s="11"/>
    </row>
    <row r="84" spans="2:12">
      <c r="B84" s="11" t="s">
        <v>969</v>
      </c>
      <c r="C84" s="11" t="s">
        <v>136</v>
      </c>
      <c r="D84" s="128" t="str">
        <f>VLOOKUP(B84,'10'!B:L,3,0)</f>
        <v>PHR在[30;40]范围内的MR数目</v>
      </c>
      <c r="E84" s="11"/>
      <c r="F84" s="11"/>
      <c r="G84" s="128" t="s">
        <v>1972</v>
      </c>
      <c r="H84" s="11"/>
      <c r="I84" s="11"/>
      <c r="J84" s="11"/>
      <c r="K84" s="11"/>
      <c r="L84" s="11"/>
    </row>
    <row r="85" spans="2:12">
      <c r="B85" s="11" t="s">
        <v>971</v>
      </c>
      <c r="C85" s="11" t="s">
        <v>136</v>
      </c>
      <c r="D85" s="128" t="str">
        <f>VLOOKUP(B85,'10'!B:L,3,0)</f>
        <v>PHR在[20;30)范围内的MR数目</v>
      </c>
      <c r="E85" s="11"/>
      <c r="F85" s="11"/>
      <c r="G85" s="128" t="s">
        <v>1972</v>
      </c>
      <c r="H85" s="11"/>
      <c r="I85" s="11"/>
      <c r="J85" s="11"/>
      <c r="K85" s="11"/>
      <c r="L85" s="11"/>
    </row>
    <row r="86" spans="2:12">
      <c r="B86" s="11" t="s">
        <v>973</v>
      </c>
      <c r="C86" s="11" t="s">
        <v>136</v>
      </c>
      <c r="D86" s="128" t="str">
        <f>VLOOKUP(B86,'10'!B:L,3,0)</f>
        <v>PHR在[10;20)范围内的MR数目</v>
      </c>
      <c r="E86" s="11"/>
      <c r="F86" s="11"/>
      <c r="G86" s="128" t="s">
        <v>1972</v>
      </c>
      <c r="H86" s="11"/>
      <c r="I86" s="11"/>
      <c r="J86" s="11"/>
      <c r="K86" s="11"/>
      <c r="L86" s="11"/>
    </row>
    <row r="87" spans="2:12">
      <c r="B87" s="11" t="s">
        <v>975</v>
      </c>
      <c r="C87" s="11" t="s">
        <v>136</v>
      </c>
      <c r="D87" s="128" t="str">
        <f>VLOOKUP(B87,'10'!B:L,3,0)</f>
        <v>PHR在[0;10)范围内的MR数目</v>
      </c>
      <c r="E87" s="11"/>
      <c r="F87" s="11"/>
      <c r="G87" s="128" t="s">
        <v>1972</v>
      </c>
      <c r="H87" s="11"/>
      <c r="I87" s="11"/>
      <c r="J87" s="11"/>
      <c r="K87" s="11"/>
      <c r="L87" s="11"/>
    </row>
    <row r="88" spans="2:12">
      <c r="B88" s="11" t="s">
        <v>977</v>
      </c>
      <c r="C88" s="11" t="s">
        <v>136</v>
      </c>
      <c r="D88" s="128" t="str">
        <f>VLOOKUP(B88,'10'!B:L,3,0)</f>
        <v>PHR在[-5;0)范围内的MR数目</v>
      </c>
      <c r="E88" s="11"/>
      <c r="F88" s="11"/>
      <c r="G88" s="128" t="s">
        <v>1972</v>
      </c>
      <c r="H88" s="11"/>
      <c r="I88" s="11"/>
      <c r="J88" s="11"/>
      <c r="K88" s="11"/>
      <c r="L88" s="11"/>
    </row>
    <row r="89" spans="2:12">
      <c r="B89" s="11" t="s">
        <v>979</v>
      </c>
      <c r="C89" s="11" t="s">
        <v>136</v>
      </c>
      <c r="D89" s="128" t="str">
        <f>VLOOKUP(B89,'10'!B:L,3,0)</f>
        <v>PHR在[-10;-5)范围内的MR数目</v>
      </c>
      <c r="E89" s="11"/>
      <c r="F89" s="11"/>
      <c r="G89" s="128" t="s">
        <v>1972</v>
      </c>
      <c r="H89" s="11"/>
      <c r="I89" s="11"/>
      <c r="J89" s="11"/>
      <c r="K89" s="11"/>
      <c r="L89" s="11"/>
    </row>
    <row r="90" spans="2:12">
      <c r="B90" s="11" t="s">
        <v>981</v>
      </c>
      <c r="C90" s="11" t="s">
        <v>136</v>
      </c>
      <c r="D90" s="128" t="str">
        <f>VLOOKUP(B90,'10'!B:L,3,0)</f>
        <v>PHR在[-23;-10)范围内的MR数目</v>
      </c>
      <c r="E90" s="11"/>
      <c r="F90" s="11"/>
      <c r="G90" s="128" t="s">
        <v>1972</v>
      </c>
      <c r="H90" s="11"/>
      <c r="I90" s="11"/>
      <c r="J90" s="11"/>
      <c r="K90" s="11"/>
      <c r="L90" s="11"/>
    </row>
    <row r="91" spans="2:12">
      <c r="B91" s="11" t="s">
        <v>983</v>
      </c>
      <c r="C91" s="11" t="s">
        <v>136</v>
      </c>
      <c r="D91" s="128" t="str">
        <f>VLOOKUP(B91,'10'!B:L,3,0)</f>
        <v>ULSINR有效的MR数目</v>
      </c>
      <c r="E91" s="11"/>
      <c r="F91" s="11"/>
      <c r="G91" s="19" t="s">
        <v>1993</v>
      </c>
      <c r="H91" s="11"/>
      <c r="I91" s="11"/>
      <c r="J91" s="11"/>
      <c r="K91" s="11"/>
      <c r="L91" s="11"/>
    </row>
    <row r="92" spans="2:12">
      <c r="B92" s="11" t="s">
        <v>984</v>
      </c>
      <c r="C92" s="11" t="s">
        <v>136</v>
      </c>
      <c r="D92" s="128" t="str">
        <f>VLOOKUP(B92,'10'!B:L,3,0)</f>
        <v>ULSINR在[20;+∞)范围内的MR数目</v>
      </c>
      <c r="E92" s="11"/>
      <c r="F92" s="11"/>
      <c r="G92" s="19" t="s">
        <v>1353</v>
      </c>
      <c r="H92" s="11"/>
      <c r="I92" s="11"/>
      <c r="J92" s="11"/>
      <c r="K92" s="11"/>
      <c r="L92" s="11"/>
    </row>
    <row r="93" spans="2:12">
      <c r="B93" s="11" t="s">
        <v>985</v>
      </c>
      <c r="C93" s="11" t="s">
        <v>136</v>
      </c>
      <c r="D93" s="128" t="str">
        <f>VLOOKUP(B93,'10'!B:L,3,0)</f>
        <v>ULSINR在[15;20)范围内的MR数目</v>
      </c>
      <c r="E93" s="11"/>
      <c r="F93" s="11"/>
      <c r="G93" s="19" t="s">
        <v>1354</v>
      </c>
      <c r="H93" s="11"/>
      <c r="I93" s="11"/>
      <c r="J93" s="11"/>
      <c r="K93" s="11"/>
      <c r="L93" s="11"/>
    </row>
    <row r="94" spans="2:12">
      <c r="B94" s="11" t="s">
        <v>986</v>
      </c>
      <c r="C94" s="11" t="s">
        <v>136</v>
      </c>
      <c r="D94" s="128" t="str">
        <f>VLOOKUP(B94,'10'!B:L,3,0)</f>
        <v>ULSINR在[10;15)范围内的MR数目</v>
      </c>
      <c r="E94" s="11"/>
      <c r="F94" s="11"/>
      <c r="G94" s="19" t="s">
        <v>1355</v>
      </c>
      <c r="H94" s="11"/>
      <c r="I94" s="11"/>
      <c r="J94" s="11"/>
      <c r="K94" s="11"/>
      <c r="L94" s="11"/>
    </row>
    <row r="95" spans="2:12">
      <c r="B95" s="11" t="s">
        <v>987</v>
      </c>
      <c r="C95" s="11" t="s">
        <v>136</v>
      </c>
      <c r="D95" s="128" t="str">
        <f>VLOOKUP(B95,'10'!B:L,3,0)</f>
        <v>ULSINR在[5;10)范围内的MR数目</v>
      </c>
      <c r="E95" s="11"/>
      <c r="F95" s="11"/>
      <c r="G95" s="19" t="s">
        <v>1356</v>
      </c>
      <c r="H95" s="11"/>
      <c r="I95" s="11"/>
      <c r="J95" s="11"/>
      <c r="K95" s="11"/>
      <c r="L95" s="11"/>
    </row>
    <row r="96" spans="2:12">
      <c r="B96" s="11" t="s">
        <v>988</v>
      </c>
      <c r="C96" s="11" t="s">
        <v>136</v>
      </c>
      <c r="D96" s="128" t="str">
        <f>VLOOKUP(B96,'10'!B:L,3,0)</f>
        <v>ULSINR在[0;5)范围内的MR数目</v>
      </c>
      <c r="E96" s="11"/>
      <c r="F96" s="11"/>
      <c r="G96" s="19" t="s">
        <v>1357</v>
      </c>
      <c r="H96" s="11"/>
      <c r="I96" s="11"/>
      <c r="J96" s="11"/>
      <c r="K96" s="11"/>
      <c r="L96" s="11"/>
    </row>
    <row r="97" spans="2:12">
      <c r="B97" s="11" t="s">
        <v>989</v>
      </c>
      <c r="C97" s="11" t="s">
        <v>136</v>
      </c>
      <c r="D97" s="128" t="str">
        <f>VLOOKUP(B97,'10'!B:L,3,0)</f>
        <v>ULSINR在[-3;0)范围内的MR数目</v>
      </c>
      <c r="E97" s="11"/>
      <c r="F97" s="11"/>
      <c r="G97" s="19" t="s">
        <v>1358</v>
      </c>
      <c r="H97" s="11"/>
      <c r="I97" s="11"/>
      <c r="J97" s="11"/>
      <c r="K97" s="11"/>
      <c r="L97" s="11"/>
    </row>
    <row r="98" spans="2:12">
      <c r="B98" s="11" t="s">
        <v>990</v>
      </c>
      <c r="C98" s="11" t="s">
        <v>136</v>
      </c>
      <c r="D98" s="128" t="str">
        <f>VLOOKUP(B98,'10'!B:L,3,0)</f>
        <v>ULSINR在(-∞;-3)范围内的MR数目</v>
      </c>
      <c r="E98" s="11"/>
      <c r="F98" s="11"/>
      <c r="G98" s="19" t="s">
        <v>1359</v>
      </c>
      <c r="H98" s="11"/>
      <c r="I98" s="11"/>
      <c r="J98" s="11"/>
      <c r="K98" s="11"/>
      <c r="L98" s="11"/>
    </row>
    <row r="99" spans="2:12">
      <c r="B99" s="11" t="s">
        <v>991</v>
      </c>
      <c r="C99" s="11" t="s">
        <v>136</v>
      </c>
      <c r="D99" s="128" t="str">
        <f>VLOOKUP(B99,'10'!B:L,3,0)</f>
        <v>TxPower有效的MR数目</v>
      </c>
      <c r="E99" s="11"/>
      <c r="F99" s="11"/>
      <c r="G99" s="128" t="s">
        <v>1972</v>
      </c>
      <c r="H99" s="11"/>
      <c r="I99" s="11"/>
      <c r="J99" s="11"/>
      <c r="K99" s="11"/>
      <c r="L99" s="11"/>
    </row>
    <row r="100" spans="2:12">
      <c r="B100" s="11" t="s">
        <v>993</v>
      </c>
      <c r="C100" s="11" t="s">
        <v>136</v>
      </c>
      <c r="D100" s="128" t="str">
        <f>VLOOKUP(B100,'10'!B:L,3,0)</f>
        <v>TxPower在(-∞; 0]范围内的MR数目</v>
      </c>
      <c r="E100" s="11"/>
      <c r="F100" s="11"/>
      <c r="G100" s="128" t="s">
        <v>1972</v>
      </c>
      <c r="H100" s="11"/>
      <c r="I100" s="11"/>
      <c r="J100" s="11"/>
      <c r="K100" s="11"/>
      <c r="L100" s="11"/>
    </row>
    <row r="101" spans="2:12">
      <c r="B101" s="11" t="s">
        <v>995</v>
      </c>
      <c r="C101" s="11" t="s">
        <v>136</v>
      </c>
      <c r="D101" s="128" t="str">
        <f>VLOOKUP(B101,'10'!B:L,3,0)</f>
        <v>TxPower在[0; 3)范围内的MR数目</v>
      </c>
      <c r="E101" s="11"/>
      <c r="F101" s="11"/>
      <c r="G101" s="128" t="s">
        <v>1972</v>
      </c>
      <c r="H101" s="11"/>
      <c r="I101" s="11"/>
      <c r="J101" s="11"/>
      <c r="K101" s="11"/>
      <c r="L101" s="11"/>
    </row>
    <row r="102" spans="2:12">
      <c r="B102" s="11" t="s">
        <v>997</v>
      </c>
      <c r="C102" s="11" t="s">
        <v>136</v>
      </c>
      <c r="D102" s="128" t="str">
        <f>VLOOKUP(B102,'10'!B:L,3,0)</f>
        <v>TxPower在[3;10)范围内的MR数目</v>
      </c>
      <c r="E102" s="11"/>
      <c r="F102" s="11"/>
      <c r="G102" s="128" t="s">
        <v>1972</v>
      </c>
      <c r="H102" s="11"/>
      <c r="I102" s="11"/>
      <c r="J102" s="11"/>
      <c r="K102" s="11"/>
      <c r="L102" s="11"/>
    </row>
    <row r="103" spans="2:12">
      <c r="B103" s="11" t="s">
        <v>999</v>
      </c>
      <c r="C103" s="11" t="s">
        <v>136</v>
      </c>
      <c r="D103" s="128" t="str">
        <f>VLOOKUP(B103,'10'!B:L,3,0)</f>
        <v>TxPower在[10;13)范围内的MR数目</v>
      </c>
      <c r="E103" s="11"/>
      <c r="F103" s="11"/>
      <c r="G103" s="128" t="s">
        <v>1972</v>
      </c>
      <c r="H103" s="11"/>
      <c r="I103" s="11"/>
      <c r="J103" s="11"/>
      <c r="K103" s="11"/>
      <c r="L103" s="11"/>
    </row>
    <row r="104" spans="2:12">
      <c r="B104" s="11" t="s">
        <v>1001</v>
      </c>
      <c r="C104" s="11" t="s">
        <v>136</v>
      </c>
      <c r="D104" s="128" t="str">
        <f>VLOOKUP(B104,'10'!B:L,3,0)</f>
        <v>TxPower在[13;16)范围内的MR数目</v>
      </c>
      <c r="E104" s="11"/>
      <c r="F104" s="11"/>
      <c r="G104" s="128" t="s">
        <v>1972</v>
      </c>
      <c r="H104" s="11"/>
      <c r="I104" s="11"/>
      <c r="J104" s="11"/>
      <c r="K104" s="11"/>
      <c r="L104" s="11"/>
    </row>
    <row r="105" spans="2:12">
      <c r="B105" s="11" t="s">
        <v>1003</v>
      </c>
      <c r="C105" s="11" t="s">
        <v>136</v>
      </c>
      <c r="D105" s="128" t="str">
        <f>VLOOKUP(B105,'10'!B:L,3,0)</f>
        <v>TxPower在[16;20)范围内的MR数目</v>
      </c>
      <c r="E105" s="11"/>
      <c r="F105" s="11"/>
      <c r="G105" s="128" t="s">
        <v>1972</v>
      </c>
      <c r="H105" s="11"/>
      <c r="I105" s="11"/>
      <c r="J105" s="11"/>
      <c r="K105" s="11"/>
      <c r="L105" s="11"/>
    </row>
    <row r="106" spans="2:12">
      <c r="B106" s="11" t="s">
        <v>1005</v>
      </c>
      <c r="C106" s="11" t="s">
        <v>136</v>
      </c>
      <c r="D106" s="128" t="str">
        <f>VLOOKUP(B106,'10'!B:L,3,0)</f>
        <v>TxPower在[20;+∞)范围内的MR数目</v>
      </c>
      <c r="E106" s="11"/>
      <c r="F106" s="11"/>
      <c r="G106" s="128" t="s">
        <v>1972</v>
      </c>
      <c r="H106" s="11"/>
      <c r="I106" s="11"/>
      <c r="J106" s="11"/>
      <c r="K106" s="11"/>
      <c r="L106" s="11"/>
    </row>
    <row r="107" spans="2:12">
      <c r="B107" s="11" t="s">
        <v>1007</v>
      </c>
      <c r="C107" s="11" t="s">
        <v>136</v>
      </c>
      <c r="D107" s="128" t="str">
        <f>VLOOKUP(B107,'10'!B:L,3,0)</f>
        <v>CQI有效的MR数目</v>
      </c>
      <c r="E107" s="11"/>
      <c r="F107" s="11"/>
      <c r="G107" s="128" t="s">
        <v>1972</v>
      </c>
      <c r="H107" s="11"/>
      <c r="I107" s="11"/>
      <c r="J107" s="11"/>
      <c r="K107" s="11"/>
      <c r="L107" s="11"/>
    </row>
    <row r="108" spans="2:12">
      <c r="B108" s="11" t="s">
        <v>1009</v>
      </c>
      <c r="C108" s="11" t="s">
        <v>136</v>
      </c>
      <c r="D108" s="128" t="str">
        <f>VLOOKUP(B108,'10'!B:L,3,0)</f>
        <v>CQI在[10;+∞)范围内的MR数目</v>
      </c>
      <c r="E108" s="11"/>
      <c r="F108" s="11"/>
      <c r="G108" s="128" t="s">
        <v>1972</v>
      </c>
      <c r="H108" s="11"/>
      <c r="I108" s="11"/>
      <c r="J108" s="11"/>
      <c r="K108" s="11"/>
      <c r="L108" s="11"/>
    </row>
    <row r="109" spans="2:12">
      <c r="B109" s="11" t="s">
        <v>1011</v>
      </c>
      <c r="C109" s="11" t="s">
        <v>136</v>
      </c>
      <c r="D109" s="128" t="str">
        <f>VLOOKUP(B109,'10'!B:L,3,0)</f>
        <v>CQI在[9;10)范围内的MR数目</v>
      </c>
      <c r="E109" s="11"/>
      <c r="F109" s="11"/>
      <c r="G109" s="128" t="s">
        <v>1972</v>
      </c>
      <c r="H109" s="11"/>
      <c r="I109" s="11"/>
      <c r="J109" s="11"/>
      <c r="K109" s="11"/>
      <c r="L109" s="11"/>
    </row>
    <row r="110" spans="2:12">
      <c r="B110" s="11" t="s">
        <v>1013</v>
      </c>
      <c r="C110" s="11" t="s">
        <v>136</v>
      </c>
      <c r="D110" s="128" t="str">
        <f>VLOOKUP(B110,'10'!B:L,3,0)</f>
        <v>CQI在[8;9)范围内的MR数目</v>
      </c>
      <c r="E110" s="11"/>
      <c r="F110" s="11"/>
      <c r="G110" s="128" t="s">
        <v>1972</v>
      </c>
      <c r="H110" s="11"/>
      <c r="I110" s="11"/>
      <c r="J110" s="11"/>
      <c r="K110" s="11"/>
      <c r="L110" s="11"/>
    </row>
    <row r="111" spans="2:12">
      <c r="B111" s="11" t="s">
        <v>1015</v>
      </c>
      <c r="C111" s="11" t="s">
        <v>136</v>
      </c>
      <c r="D111" s="128" t="str">
        <f>VLOOKUP(B111,'10'!B:L,3,0)</f>
        <v>CQI在[6;8)范围内的MR数目</v>
      </c>
      <c r="E111" s="11"/>
      <c r="F111" s="11"/>
      <c r="G111" s="128" t="s">
        <v>1972</v>
      </c>
      <c r="H111" s="11"/>
      <c r="I111" s="11"/>
      <c r="J111" s="11"/>
      <c r="K111" s="11"/>
      <c r="L111" s="11"/>
    </row>
    <row r="112" spans="2:12">
      <c r="B112" s="11" t="s">
        <v>1017</v>
      </c>
      <c r="C112" s="11" t="s">
        <v>136</v>
      </c>
      <c r="D112" s="128" t="str">
        <f>VLOOKUP(B112,'10'!B:L,3,0)</f>
        <v>CQI在[3;6)范围内的MR数目</v>
      </c>
      <c r="E112" s="11"/>
      <c r="F112" s="11"/>
      <c r="G112" s="128" t="s">
        <v>1972</v>
      </c>
      <c r="H112" s="11"/>
      <c r="I112" s="11"/>
      <c r="J112" s="11"/>
      <c r="K112" s="11"/>
      <c r="L112" s="11"/>
    </row>
    <row r="113" spans="2:12">
      <c r="B113" s="11" t="s">
        <v>1019</v>
      </c>
      <c r="C113" s="11" t="s">
        <v>136</v>
      </c>
      <c r="D113" s="128" t="str">
        <f>VLOOKUP(B113,'10'!B:L,3,0)</f>
        <v>CQI在[1;3)范围内的MR数目</v>
      </c>
      <c r="E113" s="11"/>
      <c r="F113" s="11"/>
      <c r="G113" s="128" t="s">
        <v>1972</v>
      </c>
      <c r="H113" s="11"/>
      <c r="I113" s="11"/>
      <c r="J113" s="11"/>
      <c r="K113" s="11"/>
      <c r="L113" s="11"/>
    </row>
    <row r="114" spans="2:12">
      <c r="B114" s="11" t="s">
        <v>1021</v>
      </c>
      <c r="C114" s="11" t="s">
        <v>136</v>
      </c>
      <c r="D114" s="128" t="str">
        <f>VLOOKUP(B114,'10'!B:L,3,0)</f>
        <v>CQI在[0;1)范围内的MR数目</v>
      </c>
      <c r="E114" s="11"/>
      <c r="F114" s="11"/>
      <c r="G114" s="128" t="s">
        <v>1972</v>
      </c>
      <c r="H114" s="11"/>
      <c r="I114" s="11"/>
      <c r="J114" s="11"/>
      <c r="K114" s="11"/>
      <c r="L114" s="11"/>
    </row>
    <row r="115" spans="2:12">
      <c r="B115" s="11" t="s">
        <v>1023</v>
      </c>
      <c r="C115" s="11" t="s">
        <v>136</v>
      </c>
      <c r="D115" s="128" t="str">
        <f>VLOOKUP(B115,'10'!B:L,3,0)</f>
        <v>TA采样点数量</v>
      </c>
      <c r="E115" s="11"/>
      <c r="F115" s="11"/>
      <c r="G115" s="128" t="s">
        <v>1360</v>
      </c>
      <c r="H115" s="11"/>
      <c r="I115" s="11"/>
      <c r="J115" s="11"/>
      <c r="K115" s="11"/>
      <c r="L115" s="11"/>
    </row>
    <row r="116" spans="2:12">
      <c r="B116" s="11" t="s">
        <v>1026</v>
      </c>
      <c r="C116" s="11" t="s">
        <v>136</v>
      </c>
      <c r="D116" s="128" t="str">
        <f>VLOOKUP(B116,'10'!B:L,3,0)</f>
        <v>TA在[0;3)范围内的MR数目</v>
      </c>
      <c r="E116" s="11"/>
      <c r="F116" s="11"/>
      <c r="G116" s="128" t="s">
        <v>1418</v>
      </c>
      <c r="H116" s="11"/>
      <c r="I116" s="11"/>
      <c r="J116" s="11"/>
      <c r="K116" s="11"/>
      <c r="L116" s="11"/>
    </row>
    <row r="117" spans="2:12">
      <c r="B117" s="11" t="s">
        <v>1029</v>
      </c>
      <c r="C117" s="11" t="s">
        <v>136</v>
      </c>
      <c r="D117" s="128" t="str">
        <f>VLOOKUP(B117,'10'!B:L,3,0)</f>
        <v>TA在[3;6)范围内的MR数目</v>
      </c>
      <c r="E117" s="11"/>
      <c r="F117" s="11"/>
      <c r="G117" s="128" t="s">
        <v>1419</v>
      </c>
      <c r="H117" s="11"/>
      <c r="I117" s="11"/>
      <c r="J117" s="11"/>
      <c r="K117" s="11"/>
      <c r="L117" s="11"/>
    </row>
    <row r="118" spans="2:12">
      <c r="B118" s="11" t="s">
        <v>1032</v>
      </c>
      <c r="C118" s="11" t="s">
        <v>136</v>
      </c>
      <c r="D118" s="128" t="str">
        <f>VLOOKUP(B118,'10'!B:L,3,0)</f>
        <v>TA在[6;9)范围内的MR数目</v>
      </c>
      <c r="E118" s="11"/>
      <c r="F118" s="11"/>
      <c r="G118" s="128" t="s">
        <v>1420</v>
      </c>
      <c r="H118" s="11"/>
      <c r="I118" s="11"/>
      <c r="J118" s="11"/>
      <c r="K118" s="11"/>
      <c r="L118" s="11"/>
    </row>
    <row r="119" spans="2:12">
      <c r="B119" s="11" t="s">
        <v>1035</v>
      </c>
      <c r="C119" s="11" t="s">
        <v>136</v>
      </c>
      <c r="D119" s="128" t="str">
        <f>VLOOKUP(B119,'10'!B:L,3,0)</f>
        <v>TA在[9;12)范围内的MR数目</v>
      </c>
      <c r="E119" s="11"/>
      <c r="F119" s="11"/>
      <c r="G119" s="128" t="s">
        <v>1421</v>
      </c>
      <c r="H119" s="11"/>
      <c r="I119" s="11"/>
      <c r="J119" s="11"/>
      <c r="K119" s="11"/>
      <c r="L119" s="11"/>
    </row>
    <row r="120" spans="2:12">
      <c r="B120" s="11" t="s">
        <v>1038</v>
      </c>
      <c r="C120" s="11" t="s">
        <v>136</v>
      </c>
      <c r="D120" s="128" t="str">
        <f>VLOOKUP(B120,'10'!B:L,3,0)</f>
        <v>TA在[12;15)范围内的MR数目</v>
      </c>
      <c r="E120" s="11"/>
      <c r="F120" s="11"/>
      <c r="G120" s="128" t="s">
        <v>1422</v>
      </c>
      <c r="H120" s="11"/>
      <c r="I120" s="11"/>
      <c r="J120" s="11"/>
      <c r="K120" s="11"/>
      <c r="L120" s="11"/>
    </row>
    <row r="121" spans="2:12">
      <c r="B121" s="11" t="s">
        <v>1041</v>
      </c>
      <c r="C121" s="11" t="s">
        <v>136</v>
      </c>
      <c r="D121" s="128" t="str">
        <f>VLOOKUP(B121,'10'!B:L,3,0)</f>
        <v>TA在[15;18)范围内的MR数目</v>
      </c>
      <c r="E121" s="11"/>
      <c r="F121" s="11"/>
      <c r="G121" s="128" t="s">
        <v>1423</v>
      </c>
      <c r="H121" s="11"/>
      <c r="I121" s="11"/>
      <c r="J121" s="11"/>
      <c r="K121" s="11"/>
      <c r="L121" s="11"/>
    </row>
    <row r="122" spans="2:12">
      <c r="B122" s="11" t="s">
        <v>1044</v>
      </c>
      <c r="C122" s="11" t="s">
        <v>136</v>
      </c>
      <c r="D122" s="128" t="str">
        <f>VLOOKUP(B122,'10'!B:L,3,0)</f>
        <v>TA在[18;+∞)范围内的MR数目</v>
      </c>
      <c r="E122" s="11"/>
      <c r="F122" s="11"/>
      <c r="G122" s="128" t="s">
        <v>2034</v>
      </c>
      <c r="H122" s="11"/>
      <c r="I122" s="11"/>
      <c r="J122" s="11"/>
      <c r="K122" s="11"/>
      <c r="L122" s="11"/>
    </row>
    <row r="123" spans="2:12">
      <c r="B123" s="11" t="s">
        <v>1058</v>
      </c>
      <c r="C123" s="134" t="s">
        <v>245</v>
      </c>
      <c r="D123" s="128" t="s">
        <v>513</v>
      </c>
      <c r="E123" s="11"/>
      <c r="F123" s="11"/>
      <c r="G123" s="128" t="s">
        <v>1972</v>
      </c>
      <c r="H123" s="11"/>
      <c r="I123" s="11"/>
      <c r="J123" s="11"/>
      <c r="K123" s="11"/>
      <c r="L123" s="11"/>
    </row>
    <row r="124" spans="2:12">
      <c r="B124" s="11" t="s">
        <v>1060</v>
      </c>
      <c r="C124" s="134" t="s">
        <v>245</v>
      </c>
      <c r="D124" s="128" t="s">
        <v>516</v>
      </c>
      <c r="E124" s="11"/>
      <c r="F124" s="11"/>
      <c r="G124" s="128" t="s">
        <v>1972</v>
      </c>
      <c r="H124" s="11"/>
      <c r="I124" s="11"/>
      <c r="J124" s="11"/>
      <c r="K124" s="11"/>
      <c r="L124" s="11"/>
    </row>
    <row r="125" spans="2:12">
      <c r="B125" s="11" t="s">
        <v>1062</v>
      </c>
      <c r="C125" s="134" t="s">
        <v>136</v>
      </c>
      <c r="D125" s="128" t="s">
        <v>519</v>
      </c>
      <c r="E125" s="11"/>
      <c r="F125" s="11"/>
      <c r="G125" s="128" t="s">
        <v>1972</v>
      </c>
      <c r="H125" s="11"/>
      <c r="I125" s="11"/>
      <c r="J125" s="11"/>
      <c r="K125" s="11"/>
      <c r="L125" s="11"/>
    </row>
    <row r="126" spans="2:12">
      <c r="B126" s="11" t="s">
        <v>936</v>
      </c>
      <c r="C126" s="134" t="s">
        <v>136</v>
      </c>
      <c r="D126" s="128" t="s">
        <v>937</v>
      </c>
      <c r="E126" s="11"/>
      <c r="F126" s="11"/>
      <c r="G126" s="128" t="s">
        <v>1972</v>
      </c>
      <c r="H126" s="11"/>
      <c r="I126" s="11"/>
      <c r="J126" s="11"/>
      <c r="K126" s="11"/>
      <c r="L126" s="11"/>
    </row>
    <row r="127" spans="2:12">
      <c r="B127" s="11" t="s">
        <v>939</v>
      </c>
      <c r="C127" s="134" t="s">
        <v>136</v>
      </c>
      <c r="D127" s="128" t="s">
        <v>940</v>
      </c>
      <c r="E127" s="11"/>
      <c r="F127" s="11"/>
      <c r="G127" s="128" t="s">
        <v>1972</v>
      </c>
      <c r="H127" s="11"/>
      <c r="I127" s="11"/>
      <c r="J127" s="11"/>
      <c r="K127" s="11"/>
      <c r="L127" s="11"/>
    </row>
    <row r="128" spans="2:12">
      <c r="B128" s="11" t="s">
        <v>942</v>
      </c>
      <c r="C128" s="134" t="s">
        <v>245</v>
      </c>
      <c r="D128" s="128" t="s">
        <v>943</v>
      </c>
      <c r="E128" s="11"/>
      <c r="F128" s="11"/>
      <c r="G128" s="128" t="s">
        <v>1972</v>
      </c>
      <c r="H128" s="11"/>
      <c r="I128" s="11"/>
      <c r="J128" s="11"/>
      <c r="K128" s="11"/>
      <c r="L128" s="11"/>
    </row>
    <row r="129" spans="2:12">
      <c r="B129" s="11" t="s">
        <v>1064</v>
      </c>
      <c r="C129" s="134" t="s">
        <v>136</v>
      </c>
      <c r="D129" s="128" t="s">
        <v>2018</v>
      </c>
      <c r="E129" s="11"/>
      <c r="F129" s="11"/>
      <c r="G129" s="128" t="s">
        <v>1972</v>
      </c>
      <c r="H129" s="11"/>
      <c r="I129" s="11"/>
      <c r="J129" s="11"/>
      <c r="K129" s="11"/>
      <c r="L129" s="11"/>
    </row>
    <row r="130" spans="2:12">
      <c r="B130" s="11" t="s">
        <v>1067</v>
      </c>
      <c r="C130" s="134" t="s">
        <v>136</v>
      </c>
      <c r="D130" s="128" t="s">
        <v>1068</v>
      </c>
      <c r="E130" s="11"/>
      <c r="F130" s="11"/>
      <c r="G130" s="128" t="s">
        <v>1972</v>
      </c>
      <c r="H130" s="11"/>
      <c r="I130" s="11"/>
      <c r="J130" s="11"/>
      <c r="K130" s="11"/>
      <c r="L130" s="11"/>
    </row>
    <row r="131" spans="2:12">
      <c r="B131" s="11" t="s">
        <v>1069</v>
      </c>
      <c r="C131" s="134" t="s">
        <v>136</v>
      </c>
      <c r="D131" s="128" t="s">
        <v>1950</v>
      </c>
      <c r="E131" s="11"/>
      <c r="F131" s="11"/>
      <c r="G131" s="128" t="s">
        <v>1371</v>
      </c>
      <c r="H131" s="11"/>
      <c r="I131" s="11"/>
      <c r="J131" s="11"/>
      <c r="K131" s="11"/>
      <c r="L131" s="11"/>
    </row>
    <row r="132" spans="2:12">
      <c r="B132" s="11" t="s">
        <v>1072</v>
      </c>
      <c r="C132" s="134" t="s">
        <v>136</v>
      </c>
      <c r="D132" s="128" t="s">
        <v>1951</v>
      </c>
      <c r="E132" s="11"/>
      <c r="F132" s="11"/>
      <c r="G132" s="128" t="s">
        <v>1372</v>
      </c>
      <c r="H132" s="11"/>
      <c r="I132" s="11"/>
      <c r="J132" s="11"/>
      <c r="K132" s="11"/>
      <c r="L132" s="11"/>
    </row>
    <row r="133" spans="2:12">
      <c r="B133" s="11" t="s">
        <v>1075</v>
      </c>
      <c r="C133" s="134" t="s">
        <v>136</v>
      </c>
      <c r="D133" s="128" t="s">
        <v>1952</v>
      </c>
      <c r="E133" s="11"/>
      <c r="F133" s="11"/>
      <c r="G133" s="128" t="s">
        <v>1373</v>
      </c>
      <c r="H133" s="11"/>
      <c r="I133" s="11"/>
      <c r="J133" s="11"/>
      <c r="K133" s="11"/>
      <c r="L133" s="11"/>
    </row>
    <row r="134" spans="2:12">
      <c r="B134" s="11" t="s">
        <v>1078</v>
      </c>
      <c r="C134" s="134" t="s">
        <v>136</v>
      </c>
      <c r="D134" s="128" t="s">
        <v>1953</v>
      </c>
      <c r="E134" s="11"/>
      <c r="F134" s="11"/>
      <c r="G134" s="128" t="s">
        <v>1374</v>
      </c>
      <c r="H134" s="11"/>
      <c r="I134" s="11"/>
      <c r="J134" s="11"/>
      <c r="K134" s="11"/>
      <c r="L134" s="11"/>
    </row>
    <row r="135" spans="2:12">
      <c r="B135" s="11" t="s">
        <v>1080</v>
      </c>
      <c r="C135" s="134" t="s">
        <v>136</v>
      </c>
      <c r="D135" s="128" t="s">
        <v>1954</v>
      </c>
      <c r="E135" s="11"/>
      <c r="F135" s="11"/>
      <c r="G135" s="128" t="s">
        <v>1375</v>
      </c>
      <c r="H135" s="11"/>
      <c r="I135" s="11"/>
      <c r="J135" s="11"/>
      <c r="K135" s="11"/>
      <c r="L135" s="11"/>
    </row>
    <row r="136" spans="2:12">
      <c r="B136" s="11" t="s">
        <v>1082</v>
      </c>
      <c r="C136" s="134" t="s">
        <v>136</v>
      </c>
      <c r="D136" s="128" t="s">
        <v>1955</v>
      </c>
      <c r="E136" s="11"/>
      <c r="F136" s="11"/>
      <c r="G136" s="128" t="s">
        <v>1376</v>
      </c>
      <c r="H136" s="11"/>
      <c r="I136" s="11"/>
      <c r="J136" s="11"/>
      <c r="K136" s="11"/>
      <c r="L136" s="11"/>
    </row>
    <row r="137" spans="2:12">
      <c r="B137" s="11" t="s">
        <v>1085</v>
      </c>
      <c r="C137" s="134" t="s">
        <v>136</v>
      </c>
      <c r="D137" s="128" t="s">
        <v>1956</v>
      </c>
      <c r="E137" s="11"/>
      <c r="F137" s="11"/>
      <c r="G137" s="128" t="s">
        <v>1377</v>
      </c>
      <c r="H137" s="11"/>
      <c r="I137" s="11"/>
      <c r="J137" s="11"/>
      <c r="K137" s="11"/>
      <c r="L137" s="11"/>
    </row>
    <row r="138" spans="2:12">
      <c r="B138" s="11" t="s">
        <v>1088</v>
      </c>
      <c r="C138" s="134" t="s">
        <v>136</v>
      </c>
      <c r="D138" s="128" t="s">
        <v>1957</v>
      </c>
      <c r="E138" s="11"/>
      <c r="F138" s="11"/>
      <c r="G138" s="128" t="s">
        <v>1378</v>
      </c>
      <c r="H138" s="11"/>
      <c r="I138" s="11"/>
      <c r="J138" s="11"/>
      <c r="K138" s="11"/>
      <c r="L138" s="11"/>
    </row>
    <row r="139" spans="2:12">
      <c r="B139" s="11" t="s">
        <v>1091</v>
      </c>
      <c r="C139" s="134" t="s">
        <v>136</v>
      </c>
      <c r="D139" s="128" t="s">
        <v>1958</v>
      </c>
      <c r="E139" s="11"/>
      <c r="F139" s="11"/>
      <c r="G139" s="128" t="s">
        <v>1379</v>
      </c>
      <c r="H139" s="11"/>
      <c r="I139" s="11"/>
      <c r="J139" s="11"/>
      <c r="K139" s="11"/>
      <c r="L139" s="11"/>
    </row>
    <row r="140" spans="2:12">
      <c r="B140" s="11" t="s">
        <v>1094</v>
      </c>
      <c r="C140" s="134" t="s">
        <v>136</v>
      </c>
      <c r="D140" s="128" t="s">
        <v>1959</v>
      </c>
      <c r="E140" s="11"/>
      <c r="F140" s="11"/>
      <c r="G140" s="128" t="s">
        <v>1380</v>
      </c>
      <c r="H140" s="11"/>
      <c r="I140" s="11"/>
      <c r="J140" s="11"/>
      <c r="K140" s="11"/>
      <c r="L140" s="11"/>
    </row>
    <row r="141" spans="2:12">
      <c r="B141" s="11" t="s">
        <v>1097</v>
      </c>
      <c r="C141" s="134" t="s">
        <v>136</v>
      </c>
      <c r="D141" s="128" t="s">
        <v>1960</v>
      </c>
      <c r="E141" s="11"/>
      <c r="F141" s="11"/>
      <c r="G141" s="128" t="s">
        <v>1381</v>
      </c>
      <c r="H141" s="11"/>
      <c r="I141" s="11"/>
      <c r="J141" s="11"/>
      <c r="K141" s="11"/>
      <c r="L141" s="11"/>
    </row>
    <row r="142" spans="2:12">
      <c r="B142" s="11" t="s">
        <v>1100</v>
      </c>
      <c r="C142" s="134" t="s">
        <v>136</v>
      </c>
      <c r="D142" s="128" t="s">
        <v>1961</v>
      </c>
      <c r="E142" s="11"/>
      <c r="F142" s="11"/>
      <c r="G142" s="128" t="s">
        <v>1382</v>
      </c>
      <c r="H142" s="11"/>
      <c r="I142" s="11"/>
      <c r="J142" s="11"/>
      <c r="K142" s="11"/>
      <c r="L142" s="11"/>
    </row>
    <row r="143" spans="2:12">
      <c r="B143" s="11" t="s">
        <v>1103</v>
      </c>
      <c r="C143" s="134" t="s">
        <v>245</v>
      </c>
      <c r="D143" s="128" t="s">
        <v>1104</v>
      </c>
      <c r="E143" s="11"/>
      <c r="F143" s="11"/>
      <c r="G143" s="128" t="s">
        <v>1383</v>
      </c>
      <c r="H143" s="11"/>
      <c r="I143" s="11"/>
      <c r="J143" s="11"/>
      <c r="K143" s="11"/>
      <c r="L143" s="11"/>
    </row>
    <row r="144" spans="2:12">
      <c r="B144" s="11" t="s">
        <v>1106</v>
      </c>
      <c r="C144" s="134" t="s">
        <v>245</v>
      </c>
      <c r="D144" s="128" t="s">
        <v>1107</v>
      </c>
      <c r="E144" s="11"/>
      <c r="F144" s="11"/>
      <c r="G144" s="128" t="s">
        <v>1384</v>
      </c>
      <c r="H144" s="11"/>
      <c r="I144" s="11"/>
      <c r="J144" s="11"/>
      <c r="K144" s="11"/>
      <c r="L144" s="11"/>
    </row>
    <row r="145" spans="2:12">
      <c r="B145" s="11" t="s">
        <v>1109</v>
      </c>
      <c r="C145" s="134" t="s">
        <v>136</v>
      </c>
      <c r="D145" s="128" t="s">
        <v>1962</v>
      </c>
      <c r="E145" s="12" t="s">
        <v>1110</v>
      </c>
      <c r="F145" s="11"/>
      <c r="G145" s="80" t="s">
        <v>1345</v>
      </c>
      <c r="H145" s="139"/>
      <c r="I145" s="11"/>
      <c r="J145" s="11"/>
      <c r="K145" s="11"/>
      <c r="L145" s="11"/>
    </row>
    <row r="146" spans="2:12">
      <c r="B146" s="11" t="s">
        <v>1111</v>
      </c>
      <c r="C146" s="134" t="s">
        <v>136</v>
      </c>
      <c r="D146" s="128" t="s">
        <v>1963</v>
      </c>
      <c r="E146" s="12" t="s">
        <v>1112</v>
      </c>
      <c r="F146" s="11"/>
      <c r="G146" s="80" t="s">
        <v>1346</v>
      </c>
      <c r="H146" s="139"/>
      <c r="I146" s="11"/>
      <c r="J146" s="11"/>
      <c r="K146" s="11"/>
      <c r="L146" s="11"/>
    </row>
    <row r="147" spans="2:12">
      <c r="B147" s="11" t="s">
        <v>1113</v>
      </c>
      <c r="C147" s="134" t="s">
        <v>136</v>
      </c>
      <c r="D147" s="128" t="s">
        <v>1964</v>
      </c>
      <c r="E147" s="12" t="s">
        <v>1114</v>
      </c>
      <c r="F147" s="11"/>
      <c r="G147" s="80" t="s">
        <v>1347</v>
      </c>
      <c r="H147" s="139"/>
      <c r="I147" s="11"/>
      <c r="J147" s="11"/>
      <c r="K147" s="11"/>
      <c r="L147" s="11"/>
    </row>
    <row r="148" spans="2:12">
      <c r="B148" s="11" t="s">
        <v>1115</v>
      </c>
      <c r="C148" s="134" t="s">
        <v>136</v>
      </c>
      <c r="D148" s="128" t="s">
        <v>1965</v>
      </c>
      <c r="E148" s="12" t="s">
        <v>1116</v>
      </c>
      <c r="F148" s="11"/>
      <c r="G148" s="80" t="s">
        <v>1348</v>
      </c>
      <c r="H148" s="139"/>
      <c r="I148" s="11"/>
      <c r="J148" s="11"/>
      <c r="K148" s="11"/>
      <c r="L148" s="11"/>
    </row>
    <row r="149" spans="2:12">
      <c r="B149" s="11" t="s">
        <v>1117</v>
      </c>
      <c r="C149" s="134" t="s">
        <v>136</v>
      </c>
      <c r="D149" s="128" t="s">
        <v>1118</v>
      </c>
      <c r="E149" s="12" t="s">
        <v>1118</v>
      </c>
      <c r="F149" s="11"/>
      <c r="G149" s="80" t="s">
        <v>1349</v>
      </c>
      <c r="H149" s="139"/>
      <c r="I149" s="11"/>
      <c r="J149" s="11"/>
      <c r="K149" s="11"/>
      <c r="L149" s="11"/>
    </row>
    <row r="150" spans="2:12">
      <c r="B150" s="11" t="s">
        <v>1119</v>
      </c>
      <c r="C150" s="134" t="s">
        <v>136</v>
      </c>
      <c r="D150" s="128" t="s">
        <v>1120</v>
      </c>
      <c r="E150" s="12" t="s">
        <v>1120</v>
      </c>
      <c r="F150" s="11"/>
      <c r="G150" s="80" t="s">
        <v>1350</v>
      </c>
      <c r="H150" s="139"/>
      <c r="I150" s="11"/>
      <c r="J150" s="11"/>
      <c r="K150" s="11"/>
      <c r="L150" s="11"/>
    </row>
    <row r="151" spans="2:12">
      <c r="B151" s="11" t="s">
        <v>1121</v>
      </c>
      <c r="C151" s="134" t="s">
        <v>136</v>
      </c>
      <c r="D151" s="128" t="s">
        <v>1122</v>
      </c>
      <c r="E151" s="12" t="s">
        <v>1122</v>
      </c>
      <c r="F151" s="11"/>
      <c r="G151" s="80" t="s">
        <v>1351</v>
      </c>
      <c r="H151" s="139"/>
      <c r="I151" s="11"/>
      <c r="J151" s="11"/>
      <c r="K151" s="11"/>
      <c r="L151" s="11"/>
    </row>
    <row r="152" spans="2:12">
      <c r="B152" s="11" t="s">
        <v>1124</v>
      </c>
      <c r="C152" s="134" t="s">
        <v>136</v>
      </c>
      <c r="D152" s="128" t="s">
        <v>1125</v>
      </c>
      <c r="E152" s="12" t="s">
        <v>1125</v>
      </c>
      <c r="F152" s="11"/>
      <c r="G152" s="80" t="s">
        <v>1599</v>
      </c>
      <c r="H152" s="139"/>
      <c r="I152" s="11"/>
      <c r="J152" s="11"/>
      <c r="K152" s="11"/>
      <c r="L152" s="11"/>
    </row>
    <row r="153" spans="2:12">
      <c r="B153" s="11" t="s">
        <v>1127</v>
      </c>
      <c r="C153" s="134" t="s">
        <v>136</v>
      </c>
      <c r="D153" s="128" t="s">
        <v>1128</v>
      </c>
      <c r="E153" s="12" t="s">
        <v>1128</v>
      </c>
      <c r="F153" s="11"/>
      <c r="G153" s="80" t="s">
        <v>1600</v>
      </c>
      <c r="H153" s="139"/>
      <c r="I153" s="11"/>
      <c r="J153" s="11"/>
      <c r="K153" s="11"/>
      <c r="L153" s="11"/>
    </row>
    <row r="154" spans="2:12">
      <c r="B154" s="11" t="s">
        <v>1130</v>
      </c>
      <c r="C154" s="134" t="s">
        <v>136</v>
      </c>
      <c r="D154" s="128" t="s">
        <v>1131</v>
      </c>
      <c r="E154" s="12" t="s">
        <v>1131</v>
      </c>
      <c r="F154" s="11"/>
      <c r="G154" s="80" t="s">
        <v>1601</v>
      </c>
      <c r="H154" s="139"/>
      <c r="I154" s="11"/>
      <c r="J154" s="11"/>
      <c r="K154" s="11"/>
      <c r="L154" s="11"/>
    </row>
    <row r="155" spans="2:12">
      <c r="B155" s="11" t="s">
        <v>1133</v>
      </c>
      <c r="C155" s="134" t="s">
        <v>136</v>
      </c>
      <c r="D155" s="128" t="s">
        <v>1134</v>
      </c>
      <c r="E155" s="12" t="s">
        <v>1134</v>
      </c>
      <c r="F155" s="11"/>
      <c r="G155" s="80" t="s">
        <v>1602</v>
      </c>
      <c r="H155" s="139"/>
      <c r="I155" s="11"/>
      <c r="J155" s="11"/>
      <c r="K155" s="11"/>
      <c r="L155" s="11"/>
    </row>
    <row r="156" spans="2:12">
      <c r="B156" s="11" t="s">
        <v>1136</v>
      </c>
      <c r="C156" s="134" t="s">
        <v>136</v>
      </c>
      <c r="D156" s="128" t="s">
        <v>1966</v>
      </c>
      <c r="E156" s="12" t="s">
        <v>1137</v>
      </c>
      <c r="F156" s="11"/>
      <c r="G156" s="80" t="s">
        <v>1603</v>
      </c>
      <c r="H156" s="139"/>
      <c r="I156" s="11"/>
      <c r="J156" s="11"/>
      <c r="K156" s="11"/>
      <c r="L156" s="11"/>
    </row>
    <row r="157" spans="2:12">
      <c r="B157" s="11" t="s">
        <v>1139</v>
      </c>
      <c r="C157" s="134" t="s">
        <v>136</v>
      </c>
      <c r="D157" s="128" t="s">
        <v>1931</v>
      </c>
      <c r="E157" s="11"/>
      <c r="F157" s="11"/>
      <c r="G157" s="128" t="s">
        <v>1982</v>
      </c>
      <c r="H157" s="11"/>
      <c r="I157" s="11"/>
      <c r="J157" s="11"/>
      <c r="K157" s="11"/>
      <c r="L157" s="11"/>
    </row>
    <row r="158" spans="2:12">
      <c r="B158" s="11" t="s">
        <v>1142</v>
      </c>
      <c r="C158" s="134" t="s">
        <v>245</v>
      </c>
      <c r="D158" s="128" t="s">
        <v>1143</v>
      </c>
      <c r="E158" s="11"/>
      <c r="F158" s="11"/>
      <c r="G158" s="128" t="s">
        <v>2035</v>
      </c>
      <c r="H158" s="11"/>
      <c r="I158" s="11"/>
      <c r="J158" s="11"/>
      <c r="K158" s="11"/>
      <c r="L158" s="11"/>
    </row>
    <row r="159" spans="2:12">
      <c r="B159" s="11" t="s">
        <v>2378</v>
      </c>
      <c r="C159" s="134" t="s">
        <v>136</v>
      </c>
      <c r="D159" s="128" t="s">
        <v>1146</v>
      </c>
      <c r="E159" s="11"/>
      <c r="F159" s="11"/>
      <c r="G159" s="128" t="s">
        <v>1993</v>
      </c>
      <c r="H159" s="11"/>
      <c r="I159" s="11"/>
      <c r="J159" s="11"/>
      <c r="K159" s="11"/>
      <c r="L159" s="11"/>
    </row>
    <row r="160" spans="2:12">
      <c r="B160" s="11" t="s">
        <v>1147</v>
      </c>
      <c r="C160" s="134" t="s">
        <v>245</v>
      </c>
      <c r="D160" s="128" t="s">
        <v>1148</v>
      </c>
      <c r="E160" s="11"/>
      <c r="F160" s="11"/>
      <c r="G160" s="128" t="s">
        <v>1400</v>
      </c>
      <c r="H160" s="11"/>
      <c r="I160" s="11"/>
      <c r="J160" s="11"/>
      <c r="K160" s="11"/>
      <c r="L160" s="11"/>
    </row>
    <row r="161" spans="2:12">
      <c r="B161" s="11" t="s">
        <v>1149</v>
      </c>
      <c r="C161" s="134" t="s">
        <v>245</v>
      </c>
      <c r="D161" s="128" t="s">
        <v>1150</v>
      </c>
      <c r="E161" s="11"/>
      <c r="F161" s="11"/>
      <c r="G161" s="128" t="s">
        <v>1994</v>
      </c>
      <c r="H161" s="11"/>
      <c r="I161" s="11"/>
      <c r="J161" s="11"/>
      <c r="K161" s="11"/>
      <c r="L161" s="11"/>
    </row>
    <row r="162" spans="2:12">
      <c r="B162" s="11" t="s">
        <v>1151</v>
      </c>
      <c r="C162" s="134" t="s">
        <v>136</v>
      </c>
      <c r="D162" s="128" t="s">
        <v>1152</v>
      </c>
      <c r="E162" s="11"/>
      <c r="F162" s="11"/>
      <c r="G162" s="128" t="s">
        <v>1402</v>
      </c>
      <c r="H162" s="11"/>
      <c r="I162" s="11"/>
      <c r="J162" s="11"/>
      <c r="K162" s="11"/>
      <c r="L162" s="11"/>
    </row>
    <row r="163" spans="2:12">
      <c r="B163" s="11" t="s">
        <v>1154</v>
      </c>
      <c r="C163" s="134" t="s">
        <v>136</v>
      </c>
      <c r="D163" s="128" t="s">
        <v>1155</v>
      </c>
      <c r="E163" s="11"/>
      <c r="F163" s="11"/>
      <c r="G163" s="128" t="s">
        <v>1403</v>
      </c>
      <c r="H163" s="11"/>
      <c r="I163" s="11"/>
      <c r="J163" s="11"/>
      <c r="K163" s="11"/>
      <c r="L163" s="11"/>
    </row>
    <row r="164" spans="2:12">
      <c r="B164" s="11" t="s">
        <v>1157</v>
      </c>
      <c r="C164" s="134" t="s">
        <v>136</v>
      </c>
      <c r="D164" s="128" t="s">
        <v>1158</v>
      </c>
      <c r="E164" s="11"/>
      <c r="F164" s="11"/>
      <c r="G164" s="128" t="s">
        <v>1404</v>
      </c>
      <c r="H164" s="11"/>
      <c r="I164" s="11"/>
      <c r="J164" s="11"/>
      <c r="K164" s="11"/>
      <c r="L164" s="11"/>
    </row>
    <row r="165" spans="2:12">
      <c r="B165" s="11" t="s">
        <v>1160</v>
      </c>
      <c r="C165" s="134" t="s">
        <v>136</v>
      </c>
      <c r="D165" s="128" t="s">
        <v>1161</v>
      </c>
      <c r="E165" s="11"/>
      <c r="F165" s="11"/>
      <c r="G165" s="128" t="s">
        <v>1405</v>
      </c>
      <c r="H165" s="11"/>
      <c r="I165" s="11"/>
      <c r="J165" s="11"/>
      <c r="K165" s="11"/>
      <c r="L165" s="11"/>
    </row>
    <row r="166" spans="2:12">
      <c r="B166" s="11" t="s">
        <v>1163</v>
      </c>
      <c r="C166" s="134" t="s">
        <v>136</v>
      </c>
      <c r="D166" s="128" t="s">
        <v>1164</v>
      </c>
      <c r="E166" s="11"/>
      <c r="F166" s="11"/>
      <c r="G166" s="128" t="s">
        <v>1406</v>
      </c>
      <c r="H166" s="11"/>
      <c r="I166" s="11"/>
      <c r="J166" s="11"/>
      <c r="K166" s="11"/>
      <c r="L166" s="11"/>
    </row>
    <row r="167" spans="2:12">
      <c r="B167" s="11" t="s">
        <v>1166</v>
      </c>
      <c r="C167" s="134" t="s">
        <v>136</v>
      </c>
      <c r="D167" s="128" t="s">
        <v>1167</v>
      </c>
      <c r="E167" s="11"/>
      <c r="F167" s="11"/>
      <c r="G167" s="128" t="s">
        <v>1407</v>
      </c>
      <c r="H167" s="11"/>
      <c r="I167" s="11"/>
      <c r="J167" s="11"/>
      <c r="K167" s="11"/>
      <c r="L167" s="11"/>
    </row>
    <row r="168" spans="2:12">
      <c r="B168" s="11" t="s">
        <v>1169</v>
      </c>
      <c r="C168" s="134" t="s">
        <v>136</v>
      </c>
      <c r="D168" s="128" t="s">
        <v>1170</v>
      </c>
      <c r="E168" s="11"/>
      <c r="F168" s="11"/>
      <c r="G168" s="128" t="s">
        <v>1408</v>
      </c>
      <c r="H168" s="11"/>
      <c r="I168" s="11"/>
      <c r="J168" s="11"/>
      <c r="K168" s="11"/>
      <c r="L168" s="11"/>
    </row>
    <row r="169" spans="2:12">
      <c r="B169" s="11" t="s">
        <v>1172</v>
      </c>
      <c r="C169" s="134" t="s">
        <v>136</v>
      </c>
      <c r="D169" s="128" t="s">
        <v>1173</v>
      </c>
      <c r="E169" s="11"/>
      <c r="F169" s="11"/>
      <c r="G169" s="128" t="s">
        <v>1409</v>
      </c>
      <c r="H169" s="11"/>
      <c r="I169" s="11"/>
      <c r="J169" s="11"/>
      <c r="K169" s="11"/>
      <c r="L169" s="11"/>
    </row>
    <row r="170" spans="2:12">
      <c r="B170" s="11" t="s">
        <v>1175</v>
      </c>
      <c r="C170" s="134" t="s">
        <v>136</v>
      </c>
      <c r="D170" s="128" t="s">
        <v>1176</v>
      </c>
      <c r="E170" s="11"/>
      <c r="F170" s="11"/>
      <c r="G170" s="128" t="s">
        <v>1410</v>
      </c>
      <c r="H170" s="11"/>
      <c r="I170" s="11"/>
      <c r="J170" s="11"/>
      <c r="K170" s="11"/>
      <c r="L170" s="11"/>
    </row>
    <row r="171" spans="2:12">
      <c r="B171" s="11" t="s">
        <v>1178</v>
      </c>
      <c r="C171" s="134" t="s">
        <v>136</v>
      </c>
      <c r="D171" s="128" t="s">
        <v>1179</v>
      </c>
      <c r="E171" s="11"/>
      <c r="F171" s="11"/>
      <c r="G171" s="128" t="s">
        <v>1411</v>
      </c>
      <c r="H171" s="11"/>
      <c r="I171" s="11"/>
      <c r="J171" s="11"/>
      <c r="K171" s="11"/>
      <c r="L171" s="11"/>
    </row>
    <row r="172" spans="2:12">
      <c r="B172" s="11" t="s">
        <v>1181</v>
      </c>
      <c r="C172" s="134" t="s">
        <v>136</v>
      </c>
      <c r="D172" s="128" t="s">
        <v>1182</v>
      </c>
      <c r="E172" s="11"/>
      <c r="F172" s="11"/>
      <c r="G172" s="128" t="s">
        <v>1412</v>
      </c>
      <c r="H172" s="11"/>
      <c r="I172" s="11"/>
      <c r="J172" s="11"/>
      <c r="K172" s="11"/>
      <c r="L172" s="11"/>
    </row>
    <row r="173" spans="2:12">
      <c r="B173" s="11" t="s">
        <v>1184</v>
      </c>
      <c r="C173" s="134" t="s">
        <v>136</v>
      </c>
      <c r="D173" s="128" t="s">
        <v>1185</v>
      </c>
      <c r="E173" s="11"/>
      <c r="F173" s="11"/>
      <c r="G173" s="128" t="s">
        <v>1413</v>
      </c>
      <c r="H173" s="11"/>
      <c r="I173" s="11"/>
      <c r="J173" s="11"/>
      <c r="K173" s="11"/>
      <c r="L173" s="11"/>
    </row>
    <row r="174" spans="2:12">
      <c r="B174" s="11" t="s">
        <v>1187</v>
      </c>
      <c r="C174" s="134" t="s">
        <v>136</v>
      </c>
      <c r="D174" s="128" t="s">
        <v>1617</v>
      </c>
      <c r="E174" s="11"/>
      <c r="F174" s="11"/>
      <c r="G174" s="128" t="s">
        <v>2032</v>
      </c>
      <c r="H174" s="11"/>
      <c r="I174" s="11"/>
      <c r="J174" s="11"/>
      <c r="K174" s="11"/>
      <c r="L174" s="11"/>
    </row>
    <row r="175" spans="2:12">
      <c r="B175" s="11" t="s">
        <v>1189</v>
      </c>
      <c r="C175" s="134" t="s">
        <v>245</v>
      </c>
      <c r="D175" s="128" t="s">
        <v>1618</v>
      </c>
      <c r="E175" s="11"/>
      <c r="F175" s="11"/>
      <c r="G175" s="128" t="s">
        <v>2033</v>
      </c>
      <c r="H175" s="11"/>
      <c r="I175" s="11"/>
      <c r="J175" s="11"/>
      <c r="K175" s="11"/>
      <c r="L175" s="11"/>
    </row>
    <row r="176" spans="2:12">
      <c r="B176" s="11" t="s">
        <v>1191</v>
      </c>
      <c r="C176" s="134" t="s">
        <v>245</v>
      </c>
      <c r="D176" s="128" t="s">
        <v>1192</v>
      </c>
      <c r="E176" s="11"/>
      <c r="F176" s="11"/>
      <c r="G176" s="128" t="s">
        <v>1416</v>
      </c>
      <c r="H176" s="11"/>
      <c r="I176" s="11"/>
      <c r="J176" s="11"/>
      <c r="K176" s="11"/>
      <c r="L176" s="11"/>
    </row>
    <row r="177" spans="2:12">
      <c r="B177" s="11" t="s">
        <v>1194</v>
      </c>
      <c r="C177" s="134" t="s">
        <v>245</v>
      </c>
      <c r="D177" s="128" t="s">
        <v>1195</v>
      </c>
      <c r="E177" s="11"/>
      <c r="F177" s="11"/>
      <c r="G177" s="128" t="s">
        <v>1999</v>
      </c>
      <c r="H177" s="11"/>
      <c r="I177" s="11"/>
      <c r="J177" s="11"/>
      <c r="K177" s="11"/>
      <c r="L177" s="11"/>
    </row>
    <row r="178" spans="2:12">
      <c r="B178" s="11" t="s">
        <v>1197</v>
      </c>
      <c r="C178" s="134" t="s">
        <v>136</v>
      </c>
      <c r="D178" s="128" t="s">
        <v>1198</v>
      </c>
      <c r="E178" s="11"/>
      <c r="F178" s="11"/>
      <c r="G178" s="128" t="s">
        <v>1418</v>
      </c>
      <c r="H178" s="11"/>
      <c r="I178" s="11"/>
      <c r="J178" s="11"/>
      <c r="K178" s="11"/>
      <c r="L178" s="11"/>
    </row>
    <row r="179" spans="2:12">
      <c r="B179" s="11" t="s">
        <v>1199</v>
      </c>
      <c r="C179" s="134" t="s">
        <v>136</v>
      </c>
      <c r="D179" s="128" t="s">
        <v>1200</v>
      </c>
      <c r="E179" s="11"/>
      <c r="F179" s="11"/>
      <c r="G179" s="128" t="s">
        <v>1419</v>
      </c>
      <c r="H179" s="11"/>
      <c r="I179" s="11"/>
      <c r="J179" s="11"/>
      <c r="K179" s="11"/>
      <c r="L179" s="11"/>
    </row>
    <row r="180" spans="2:12">
      <c r="B180" s="11" t="s">
        <v>1201</v>
      </c>
      <c r="C180" s="134" t="s">
        <v>136</v>
      </c>
      <c r="D180" s="128" t="s">
        <v>1202</v>
      </c>
      <c r="E180" s="11"/>
      <c r="F180" s="11"/>
      <c r="G180" s="128" t="s">
        <v>1420</v>
      </c>
      <c r="H180" s="11"/>
      <c r="I180" s="11"/>
      <c r="J180" s="11"/>
      <c r="K180" s="11"/>
      <c r="L180" s="11"/>
    </row>
    <row r="181" spans="2:12">
      <c r="B181" s="11" t="s">
        <v>1203</v>
      </c>
      <c r="C181" s="134" t="s">
        <v>136</v>
      </c>
      <c r="D181" s="128" t="s">
        <v>1204</v>
      </c>
      <c r="E181" s="11"/>
      <c r="F181" s="11"/>
      <c r="G181" s="128" t="s">
        <v>1421</v>
      </c>
      <c r="H181" s="11"/>
      <c r="I181" s="11"/>
      <c r="J181" s="11"/>
      <c r="K181" s="11"/>
      <c r="L181" s="11"/>
    </row>
    <row r="182" spans="2:12">
      <c r="B182" s="11" t="s">
        <v>1205</v>
      </c>
      <c r="C182" s="134" t="s">
        <v>136</v>
      </c>
      <c r="D182" s="128" t="s">
        <v>1206</v>
      </c>
      <c r="E182" s="11"/>
      <c r="F182" s="11"/>
      <c r="G182" s="128" t="s">
        <v>1422</v>
      </c>
      <c r="H182" s="11"/>
      <c r="I182" s="11"/>
      <c r="J182" s="11"/>
      <c r="K182" s="11"/>
      <c r="L182" s="11"/>
    </row>
    <row r="183" spans="2:12">
      <c r="B183" s="11" t="s">
        <v>1207</v>
      </c>
      <c r="C183" s="134" t="s">
        <v>136</v>
      </c>
      <c r="D183" s="128" t="s">
        <v>1208</v>
      </c>
      <c r="E183" s="11"/>
      <c r="F183" s="11"/>
      <c r="G183" s="128" t="s">
        <v>1423</v>
      </c>
      <c r="H183" s="11"/>
      <c r="I183" s="11"/>
      <c r="J183" s="11"/>
      <c r="K183" s="11"/>
      <c r="L183" s="11"/>
    </row>
    <row r="184" spans="2:12">
      <c r="B184" s="11" t="s">
        <v>1209</v>
      </c>
      <c r="C184" s="134" t="s">
        <v>136</v>
      </c>
      <c r="D184" s="128" t="s">
        <v>762</v>
      </c>
      <c r="E184" s="11"/>
      <c r="F184" s="11"/>
      <c r="G184" s="128" t="s">
        <v>1424</v>
      </c>
      <c r="H184" s="11"/>
      <c r="I184" s="11"/>
      <c r="J184" s="11"/>
      <c r="K184" s="11"/>
      <c r="L184" s="11"/>
    </row>
    <row r="185" spans="2:12">
      <c r="B185" s="11" t="s">
        <v>1211</v>
      </c>
      <c r="C185" s="134" t="s">
        <v>136</v>
      </c>
      <c r="D185" s="128" t="s">
        <v>765</v>
      </c>
      <c r="E185" s="11"/>
      <c r="F185" s="11"/>
      <c r="G185" s="128" t="s">
        <v>1425</v>
      </c>
      <c r="H185" s="11"/>
      <c r="I185" s="11"/>
      <c r="J185" s="11"/>
      <c r="K185" s="11"/>
      <c r="L185" s="11"/>
    </row>
    <row r="186" spans="2:12">
      <c r="B186" s="11" t="s">
        <v>1213</v>
      </c>
      <c r="C186" s="134" t="s">
        <v>136</v>
      </c>
      <c r="D186" s="128" t="s">
        <v>768</v>
      </c>
      <c r="E186" s="11"/>
      <c r="F186" s="11"/>
      <c r="G186" s="128" t="s">
        <v>1426</v>
      </c>
      <c r="H186" s="11"/>
      <c r="I186" s="11"/>
      <c r="J186" s="11"/>
      <c r="K186" s="11"/>
      <c r="L186" s="11"/>
    </row>
    <row r="187" spans="2:12">
      <c r="B187" s="11" t="s">
        <v>1215</v>
      </c>
      <c r="C187" s="134" t="s">
        <v>136</v>
      </c>
      <c r="D187" s="128" t="s">
        <v>771</v>
      </c>
      <c r="E187" s="11"/>
      <c r="F187" s="11"/>
      <c r="G187" s="128" t="s">
        <v>1427</v>
      </c>
      <c r="H187" s="11"/>
      <c r="I187" s="11"/>
      <c r="J187" s="11"/>
      <c r="K187" s="11"/>
      <c r="L187" s="11"/>
    </row>
    <row r="188" spans="2:12">
      <c r="B188" s="11" t="s">
        <v>1217</v>
      </c>
      <c r="C188" s="134" t="s">
        <v>136</v>
      </c>
      <c r="D188" s="128" t="s">
        <v>774</v>
      </c>
      <c r="E188" s="11"/>
      <c r="F188" s="11"/>
      <c r="G188" s="128" t="s">
        <v>1428</v>
      </c>
      <c r="H188" s="11"/>
      <c r="I188" s="11"/>
      <c r="J188" s="11"/>
      <c r="K188" s="11"/>
      <c r="L188" s="11"/>
    </row>
    <row r="189" spans="2:12">
      <c r="B189" s="11" t="s">
        <v>1219</v>
      </c>
      <c r="C189" s="134" t="s">
        <v>136</v>
      </c>
      <c r="D189" s="128" t="s">
        <v>777</v>
      </c>
      <c r="E189" s="11"/>
      <c r="F189" s="11"/>
      <c r="G189" s="128" t="s">
        <v>1429</v>
      </c>
      <c r="H189" s="11"/>
      <c r="I189" s="11"/>
      <c r="J189" s="11"/>
      <c r="K189" s="11"/>
      <c r="L189" s="11"/>
    </row>
    <row r="190" spans="2:12">
      <c r="B190" s="11" t="s">
        <v>1221</v>
      </c>
      <c r="C190" s="134" t="s">
        <v>136</v>
      </c>
      <c r="D190" s="128" t="s">
        <v>1222</v>
      </c>
      <c r="E190" s="11"/>
      <c r="F190" s="11"/>
      <c r="G190" s="128" t="s">
        <v>1331</v>
      </c>
      <c r="H190" s="11"/>
      <c r="I190" s="11"/>
      <c r="J190" s="11"/>
      <c r="K190" s="11"/>
      <c r="L190" s="11"/>
    </row>
    <row r="191" spans="2:12" ht="26.4">
      <c r="B191" s="11" t="s">
        <v>1223</v>
      </c>
      <c r="C191" s="134" t="s">
        <v>245</v>
      </c>
      <c r="D191" s="128" t="s">
        <v>1224</v>
      </c>
      <c r="E191" s="11"/>
      <c r="F191" s="11"/>
      <c r="G191" s="128" t="s">
        <v>2001</v>
      </c>
      <c r="H191" s="11"/>
      <c r="I191" s="11"/>
      <c r="J191" s="11"/>
      <c r="K191" s="11"/>
      <c r="L191" s="11"/>
    </row>
    <row r="192" spans="2:12">
      <c r="B192" s="11" t="s">
        <v>1225</v>
      </c>
      <c r="C192" s="134" t="s">
        <v>136</v>
      </c>
      <c r="D192" s="128" t="s">
        <v>1226</v>
      </c>
      <c r="E192" s="11"/>
      <c r="F192" s="11"/>
      <c r="G192" s="128" t="s">
        <v>914</v>
      </c>
      <c r="H192" s="11"/>
      <c r="I192" s="11"/>
      <c r="J192" s="11"/>
      <c r="K192" s="11"/>
      <c r="L192" s="11"/>
    </row>
    <row r="193" spans="2:12">
      <c r="B193" s="11" t="s">
        <v>1227</v>
      </c>
      <c r="C193" s="134" t="s">
        <v>245</v>
      </c>
      <c r="D193" s="128" t="s">
        <v>1228</v>
      </c>
      <c r="E193" s="11"/>
      <c r="F193" s="11"/>
      <c r="G193" s="128" t="s">
        <v>2004</v>
      </c>
      <c r="H193" s="11"/>
      <c r="I193" s="11"/>
      <c r="J193" s="11"/>
      <c r="K193" s="11"/>
      <c r="L193" s="11"/>
    </row>
    <row r="194" spans="2:12">
      <c r="B194" s="11" t="s">
        <v>1229</v>
      </c>
      <c r="C194" s="134" t="s">
        <v>136</v>
      </c>
      <c r="D194" s="128" t="s">
        <v>1230</v>
      </c>
      <c r="E194" s="11"/>
      <c r="F194" s="11"/>
      <c r="G194" s="128" t="s">
        <v>926</v>
      </c>
      <c r="H194" s="11"/>
      <c r="I194" s="11"/>
      <c r="J194" s="11"/>
      <c r="K194" s="11"/>
      <c r="L194" s="11"/>
    </row>
    <row r="195" spans="2:12" ht="26.4">
      <c r="B195" s="11" t="s">
        <v>1231</v>
      </c>
      <c r="C195" s="134" t="s">
        <v>245</v>
      </c>
      <c r="D195" s="128" t="s">
        <v>1232</v>
      </c>
      <c r="E195" s="11"/>
      <c r="F195" s="11"/>
      <c r="G195" s="128" t="s">
        <v>2007</v>
      </c>
      <c r="H195" s="11"/>
      <c r="I195" s="11"/>
      <c r="J195" s="11"/>
      <c r="K195" s="11"/>
      <c r="L195" s="11"/>
    </row>
    <row r="196" spans="2:12">
      <c r="B196" s="11" t="s">
        <v>474</v>
      </c>
      <c r="C196" s="134" t="s">
        <v>136</v>
      </c>
      <c r="D196" s="128" t="s">
        <v>1233</v>
      </c>
      <c r="E196" s="11"/>
      <c r="F196" s="11"/>
      <c r="G196" s="128" t="s">
        <v>1234</v>
      </c>
      <c r="H196" s="11"/>
      <c r="I196" s="11"/>
      <c r="J196" s="11"/>
      <c r="K196" s="11"/>
      <c r="L196" s="11"/>
    </row>
    <row r="197" spans="2:12">
      <c r="B197" s="11" t="s">
        <v>1235</v>
      </c>
      <c r="C197" s="134" t="s">
        <v>136</v>
      </c>
      <c r="D197" s="128" t="s">
        <v>1236</v>
      </c>
      <c r="E197" s="11"/>
      <c r="F197" s="11"/>
      <c r="G197" s="128" t="s">
        <v>2009</v>
      </c>
      <c r="H197" s="11"/>
      <c r="I197" s="11"/>
      <c r="J197" s="11"/>
      <c r="K197" s="11"/>
      <c r="L197" s="11"/>
    </row>
    <row r="198" spans="2:12" ht="26.4">
      <c r="B198" s="11" t="s">
        <v>1238</v>
      </c>
      <c r="C198" s="134" t="s">
        <v>245</v>
      </c>
      <c r="D198" s="128" t="s">
        <v>1239</v>
      </c>
      <c r="E198" s="11"/>
      <c r="F198" s="11"/>
      <c r="G198" s="128" t="s">
        <v>2010</v>
      </c>
      <c r="H198" s="11"/>
      <c r="I198" s="11"/>
      <c r="J198" s="11"/>
      <c r="K198" s="11"/>
      <c r="L198" s="11"/>
    </row>
    <row r="199" spans="2:12">
      <c r="B199" s="11" t="s">
        <v>1241</v>
      </c>
      <c r="C199" s="134" t="s">
        <v>245</v>
      </c>
      <c r="D199" s="128" t="s">
        <v>1242</v>
      </c>
      <c r="E199" s="11"/>
      <c r="F199" s="11"/>
      <c r="G199" s="128" t="s">
        <v>2011</v>
      </c>
      <c r="H199" s="11"/>
      <c r="I199" s="11"/>
      <c r="J199" s="11"/>
      <c r="K199" s="11"/>
      <c r="L199" s="11"/>
    </row>
    <row r="200" spans="2:12">
      <c r="B200" s="11" t="s">
        <v>1244</v>
      </c>
      <c r="C200" s="134" t="s">
        <v>136</v>
      </c>
      <c r="D200" s="128" t="s">
        <v>1245</v>
      </c>
      <c r="E200" s="11"/>
      <c r="F200" s="11"/>
      <c r="G200" s="128" t="s">
        <v>2037</v>
      </c>
      <c r="H200" s="11"/>
      <c r="I200" s="11"/>
      <c r="J200" s="11"/>
      <c r="K200" s="11"/>
      <c r="L200" s="11"/>
    </row>
    <row r="201" spans="2:12">
      <c r="B201" s="11" t="s">
        <v>1247</v>
      </c>
      <c r="C201" s="134" t="s">
        <v>136</v>
      </c>
      <c r="D201" s="128" t="s">
        <v>780</v>
      </c>
      <c r="E201" s="11"/>
      <c r="F201" s="11"/>
      <c r="G201" s="128" t="s">
        <v>1440</v>
      </c>
      <c r="H201" s="11"/>
      <c r="I201" s="11"/>
      <c r="J201" s="11"/>
      <c r="K201" s="11"/>
      <c r="L201" s="11"/>
    </row>
    <row r="202" spans="2:12">
      <c r="B202" s="11" t="s">
        <v>1249</v>
      </c>
      <c r="C202" s="134" t="s">
        <v>136</v>
      </c>
      <c r="D202" s="128" t="s">
        <v>782</v>
      </c>
      <c r="E202" s="11"/>
      <c r="F202" s="11"/>
      <c r="G202" s="128" t="s">
        <v>1441</v>
      </c>
      <c r="H202" s="11"/>
      <c r="I202" s="11"/>
      <c r="J202" s="11"/>
      <c r="K202" s="11"/>
      <c r="L202" s="11"/>
    </row>
    <row r="203" spans="2:12">
      <c r="B203" s="11" t="s">
        <v>1251</v>
      </c>
      <c r="C203" s="134" t="s">
        <v>136</v>
      </c>
      <c r="D203" s="128" t="s">
        <v>784</v>
      </c>
      <c r="E203" s="11"/>
      <c r="F203" s="11"/>
      <c r="G203" s="128" t="s">
        <v>1442</v>
      </c>
      <c r="H203" s="11"/>
      <c r="I203" s="11"/>
      <c r="J203" s="11"/>
      <c r="K203" s="11"/>
      <c r="L203" s="11"/>
    </row>
    <row r="204" spans="2:12">
      <c r="B204" s="11" t="s">
        <v>1253</v>
      </c>
      <c r="C204" s="134" t="s">
        <v>136</v>
      </c>
      <c r="D204" s="128" t="s">
        <v>786</v>
      </c>
      <c r="E204" s="11"/>
      <c r="F204" s="11"/>
      <c r="G204" s="128" t="s">
        <v>1443</v>
      </c>
      <c r="H204" s="11"/>
      <c r="I204" s="11"/>
      <c r="J204" s="11"/>
      <c r="K204" s="11"/>
      <c r="L204" s="11"/>
    </row>
    <row r="205" spans="2:12">
      <c r="B205" s="11" t="s">
        <v>1255</v>
      </c>
      <c r="C205" s="134" t="s">
        <v>136</v>
      </c>
      <c r="D205" s="128" t="s">
        <v>788</v>
      </c>
      <c r="E205" s="11"/>
      <c r="F205" s="11"/>
      <c r="G205" s="128" t="s">
        <v>1444</v>
      </c>
      <c r="H205" s="11"/>
      <c r="I205" s="11"/>
      <c r="J205" s="11"/>
      <c r="K205" s="11"/>
      <c r="L205" s="11"/>
    </row>
    <row r="206" spans="2:12">
      <c r="B206" s="11" t="s">
        <v>1257</v>
      </c>
      <c r="C206" s="134" t="s">
        <v>136</v>
      </c>
      <c r="D206" s="128" t="s">
        <v>790</v>
      </c>
      <c r="E206" s="11"/>
      <c r="F206" s="11"/>
      <c r="G206" s="128" t="s">
        <v>1445</v>
      </c>
      <c r="H206" s="11"/>
      <c r="I206" s="11"/>
      <c r="J206" s="11"/>
      <c r="K206" s="11"/>
      <c r="L206" s="11"/>
    </row>
    <row r="207" spans="2:12">
      <c r="B207" s="11" t="s">
        <v>1259</v>
      </c>
      <c r="C207" s="134" t="s">
        <v>136</v>
      </c>
      <c r="D207" s="128" t="s">
        <v>792</v>
      </c>
      <c r="E207" s="11"/>
      <c r="F207" s="11"/>
      <c r="G207" s="128" t="s">
        <v>1446</v>
      </c>
      <c r="H207" s="11"/>
      <c r="I207" s="11"/>
      <c r="J207" s="11"/>
      <c r="K207" s="11"/>
      <c r="L207" s="11"/>
    </row>
    <row r="208" spans="2:12">
      <c r="B208" s="11" t="s">
        <v>1261</v>
      </c>
      <c r="C208" s="134" t="s">
        <v>136</v>
      </c>
      <c r="D208" s="128" t="s">
        <v>794</v>
      </c>
      <c r="E208" s="11"/>
      <c r="F208" s="11"/>
      <c r="G208" s="128" t="s">
        <v>1447</v>
      </c>
      <c r="H208" s="11"/>
      <c r="I208" s="11"/>
      <c r="J208" s="11"/>
      <c r="K208" s="11"/>
      <c r="L208" s="11"/>
    </row>
    <row r="209" spans="2:12">
      <c r="B209" s="11" t="s">
        <v>1263</v>
      </c>
      <c r="C209" s="134" t="s">
        <v>136</v>
      </c>
      <c r="D209" s="128" t="s">
        <v>796</v>
      </c>
      <c r="E209" s="11"/>
      <c r="F209" s="11"/>
      <c r="G209" s="128" t="s">
        <v>1448</v>
      </c>
      <c r="H209" s="11"/>
      <c r="I209" s="11"/>
      <c r="J209" s="11"/>
      <c r="K209" s="11"/>
      <c r="L209" s="11"/>
    </row>
    <row r="210" spans="2:12">
      <c r="B210" s="11" t="s">
        <v>1265</v>
      </c>
      <c r="C210" s="134" t="s">
        <v>136</v>
      </c>
      <c r="D210" s="128" t="s">
        <v>798</v>
      </c>
      <c r="E210" s="11"/>
      <c r="F210" s="11"/>
      <c r="G210" s="128" t="s">
        <v>1449</v>
      </c>
      <c r="H210" s="11"/>
      <c r="I210" s="11"/>
      <c r="J210" s="11"/>
      <c r="K210" s="11"/>
      <c r="L210" s="11"/>
    </row>
    <row r="211" spans="2:12">
      <c r="B211" s="11" t="s">
        <v>1267</v>
      </c>
      <c r="C211" s="134" t="s">
        <v>136</v>
      </c>
      <c r="D211" s="128" t="s">
        <v>800</v>
      </c>
      <c r="E211" s="11"/>
      <c r="F211" s="11"/>
      <c r="G211" s="128" t="s">
        <v>1450</v>
      </c>
      <c r="H211" s="11"/>
      <c r="I211" s="11"/>
      <c r="J211" s="11"/>
      <c r="K211" s="11"/>
      <c r="L211" s="11"/>
    </row>
    <row r="212" spans="2:12">
      <c r="B212" s="11" t="s">
        <v>1268</v>
      </c>
      <c r="C212" s="134" t="s">
        <v>136</v>
      </c>
      <c r="D212" s="128" t="s">
        <v>802</v>
      </c>
      <c r="E212" s="11"/>
      <c r="F212" s="11"/>
      <c r="G212" s="128" t="s">
        <v>1451</v>
      </c>
      <c r="H212" s="11"/>
      <c r="I212" s="11"/>
      <c r="J212" s="11"/>
      <c r="K212" s="11"/>
      <c r="L212" s="11"/>
    </row>
    <row r="213" spans="2:12">
      <c r="B213" s="11" t="s">
        <v>1270</v>
      </c>
      <c r="C213" s="134" t="s">
        <v>136</v>
      </c>
      <c r="D213" s="128" t="s">
        <v>804</v>
      </c>
      <c r="E213" s="11"/>
      <c r="F213" s="11"/>
      <c r="G213" s="128" t="s">
        <v>1452</v>
      </c>
      <c r="H213" s="11"/>
      <c r="I213" s="11"/>
      <c r="J213" s="11"/>
      <c r="K213" s="11"/>
      <c r="L213" s="11"/>
    </row>
    <row r="214" spans="2:12">
      <c r="B214" s="11" t="s">
        <v>1272</v>
      </c>
      <c r="C214" s="134" t="s">
        <v>136</v>
      </c>
      <c r="D214" s="128" t="s">
        <v>1273</v>
      </c>
      <c r="E214" s="11"/>
      <c r="F214" s="11"/>
      <c r="G214" s="128" t="s">
        <v>2016</v>
      </c>
      <c r="H214" s="11"/>
      <c r="I214" s="11"/>
      <c r="J214" s="11"/>
      <c r="K214" s="11"/>
      <c r="L214" s="11"/>
    </row>
    <row r="215" spans="2:12">
      <c r="B215" s="50" t="s">
        <v>233</v>
      </c>
      <c r="C215" s="51" t="s">
        <v>139</v>
      </c>
      <c r="D215" s="37" t="s">
        <v>234</v>
      </c>
      <c r="E215" s="52"/>
      <c r="F215" s="50"/>
      <c r="G215" s="50"/>
      <c r="H215" s="50"/>
      <c r="I215" s="50"/>
      <c r="J215" s="50"/>
      <c r="K215" s="50"/>
      <c r="L215" s="50"/>
    </row>
    <row r="216" spans="2:12">
      <c r="B216" s="50" t="s">
        <v>235</v>
      </c>
      <c r="C216" s="51" t="s">
        <v>132</v>
      </c>
      <c r="D216" s="37" t="s">
        <v>236</v>
      </c>
      <c r="E216" s="52"/>
      <c r="F216" s="50"/>
      <c r="G216" s="50"/>
      <c r="H216" s="50"/>
      <c r="I216" s="50"/>
      <c r="J216" s="50"/>
      <c r="K216" s="50"/>
      <c r="L216" s="50"/>
    </row>
  </sheetData>
  <mergeCells count="5">
    <mergeCell ref="B2:H2"/>
    <mergeCell ref="B3:H3"/>
    <mergeCell ref="B7:H7"/>
    <mergeCell ref="F9:G9"/>
    <mergeCell ref="B12:L12"/>
  </mergeCells>
  <phoneticPr fontId="19" type="noConversion"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76"/>
  <sheetViews>
    <sheetView zoomScale="85" zoomScaleNormal="85" workbookViewId="0">
      <pane ySplit="5" topLeftCell="A6" activePane="bottomLeft" state="frozen"/>
      <selection activeCell="F6" sqref="F6"/>
      <selection pane="bottomLeft" activeCell="C9" sqref="C9"/>
    </sheetView>
  </sheetViews>
  <sheetFormatPr defaultColWidth="9" defaultRowHeight="13.2"/>
  <cols>
    <col min="1" max="1" width="3" style="5" customWidth="1"/>
    <col min="2" max="2" width="23.6640625" style="5" customWidth="1"/>
    <col min="3" max="3" width="35.109375" style="5" bestFit="1" customWidth="1"/>
    <col min="4" max="4" width="32.21875" style="5" customWidth="1"/>
    <col min="5" max="5" width="16.21875" style="5" customWidth="1"/>
    <col min="6" max="6" width="24.88671875" style="5" customWidth="1"/>
    <col min="7" max="7" width="39.5546875" style="6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1:14">
      <c r="B1" s="7" t="str">
        <f>HYPERLINK("#导航!a2","返回")</f>
        <v>返回</v>
      </c>
    </row>
    <row r="2" spans="1:14">
      <c r="B2" s="156"/>
      <c r="C2" s="156"/>
      <c r="D2" s="156"/>
      <c r="E2" s="156"/>
      <c r="F2" s="156"/>
      <c r="G2" s="156"/>
      <c r="H2" s="156"/>
    </row>
    <row r="3" spans="1:14">
      <c r="B3" s="157" t="s">
        <v>106</v>
      </c>
      <c r="C3" s="157"/>
      <c r="D3" s="157"/>
      <c r="E3" s="157"/>
      <c r="F3" s="157"/>
      <c r="G3" s="157"/>
      <c r="H3" s="157"/>
    </row>
    <row r="4" spans="1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10" t="s">
        <v>12</v>
      </c>
      <c r="H4" s="9" t="s">
        <v>111</v>
      </c>
    </row>
    <row r="5" spans="1:14">
      <c r="B5" s="11" t="s">
        <v>55</v>
      </c>
      <c r="C5" s="12" t="s">
        <v>2379</v>
      </c>
      <c r="D5" s="13" t="s">
        <v>76</v>
      </c>
      <c r="E5" s="14" t="s">
        <v>379</v>
      </c>
      <c r="F5" s="15"/>
      <c r="G5" s="12"/>
      <c r="H5" s="14"/>
      <c r="N5" s="5"/>
    </row>
    <row r="6" spans="1:14">
      <c r="B6" s="8"/>
      <c r="C6" s="8"/>
      <c r="D6" s="8"/>
      <c r="E6" s="8"/>
      <c r="F6" s="8"/>
      <c r="G6" s="16"/>
      <c r="H6" s="8"/>
    </row>
    <row r="7" spans="1:14">
      <c r="B7" s="157" t="s">
        <v>113</v>
      </c>
      <c r="C7" s="157"/>
      <c r="D7" s="157"/>
      <c r="E7" s="157"/>
      <c r="F7" s="157"/>
      <c r="G7" s="157"/>
      <c r="H7" s="157"/>
    </row>
    <row r="8" spans="1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8" t="s">
        <v>22</v>
      </c>
      <c r="H8" s="17" t="s">
        <v>119</v>
      </c>
    </row>
    <row r="9" spans="1:14">
      <c r="B9" s="14"/>
      <c r="C9" s="12" t="s">
        <v>2313</v>
      </c>
      <c r="D9" s="13" t="s">
        <v>63</v>
      </c>
      <c r="E9" s="14" t="s">
        <v>243</v>
      </c>
      <c r="F9" s="19"/>
      <c r="G9" s="20"/>
      <c r="H9" s="21"/>
    </row>
    <row r="10" spans="1:14">
      <c r="B10" s="14"/>
      <c r="C10" s="12"/>
      <c r="D10" s="12"/>
      <c r="E10" s="14"/>
      <c r="F10" s="19"/>
      <c r="G10" s="20"/>
      <c r="H10" s="14"/>
    </row>
    <row r="11" spans="1:14">
      <c r="G11" s="22"/>
    </row>
    <row r="12" spans="1:14">
      <c r="B12" s="5" t="s">
        <v>120</v>
      </c>
    </row>
    <row r="13" spans="1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1:14">
      <c r="B14" s="23" t="s">
        <v>121</v>
      </c>
      <c r="C14" s="23" t="s">
        <v>122</v>
      </c>
      <c r="D14" s="23" t="s">
        <v>123</v>
      </c>
      <c r="E14" s="23" t="s">
        <v>124</v>
      </c>
      <c r="F14" s="23" t="s">
        <v>125</v>
      </c>
      <c r="G14" s="24" t="s">
        <v>126</v>
      </c>
      <c r="H14" s="23" t="s">
        <v>127</v>
      </c>
      <c r="I14" s="23" t="s">
        <v>22</v>
      </c>
      <c r="J14" s="23" t="s">
        <v>128</v>
      </c>
      <c r="K14" s="23" t="s">
        <v>129</v>
      </c>
      <c r="L14" s="23" t="s">
        <v>130</v>
      </c>
    </row>
    <row r="15" spans="1:14">
      <c r="A15" s="14"/>
      <c r="B15" s="14" t="s">
        <v>383</v>
      </c>
      <c r="C15" s="14" t="s">
        <v>132</v>
      </c>
      <c r="D15" s="12" t="s">
        <v>480</v>
      </c>
      <c r="E15" s="14" t="s">
        <v>243</v>
      </c>
      <c r="F15" s="14" t="s">
        <v>235</v>
      </c>
      <c r="G15" s="12" t="s">
        <v>250</v>
      </c>
      <c r="H15" s="14"/>
      <c r="I15" s="14"/>
      <c r="J15" s="14" t="s">
        <v>384</v>
      </c>
      <c r="K15" s="14" t="s">
        <v>134</v>
      </c>
      <c r="L15" s="31" t="s">
        <v>134</v>
      </c>
    </row>
    <row r="16" spans="1:14">
      <c r="A16" s="14"/>
      <c r="B16" s="14" t="s">
        <v>379</v>
      </c>
      <c r="C16" s="14" t="s">
        <v>139</v>
      </c>
      <c r="D16" s="12" t="s">
        <v>48</v>
      </c>
      <c r="E16" s="14" t="s">
        <v>243</v>
      </c>
      <c r="F16" s="14" t="s">
        <v>237</v>
      </c>
      <c r="G16" s="12" t="s">
        <v>250</v>
      </c>
      <c r="H16" s="14"/>
      <c r="I16" s="14"/>
      <c r="J16" s="14" t="s">
        <v>384</v>
      </c>
      <c r="K16" s="14" t="s">
        <v>134</v>
      </c>
      <c r="L16" s="31" t="s">
        <v>134</v>
      </c>
    </row>
    <row r="17" spans="1:12">
      <c r="A17" s="14"/>
      <c r="B17" s="14" t="s">
        <v>284</v>
      </c>
      <c r="C17" s="14" t="s">
        <v>132</v>
      </c>
      <c r="D17" s="12" t="s">
        <v>285</v>
      </c>
      <c r="E17" s="14" t="s">
        <v>243</v>
      </c>
      <c r="F17" s="14" t="s">
        <v>284</v>
      </c>
      <c r="G17" s="12" t="s">
        <v>250</v>
      </c>
      <c r="H17" s="14"/>
      <c r="I17" s="14"/>
      <c r="J17" s="14" t="s">
        <v>384</v>
      </c>
      <c r="K17" s="14" t="s">
        <v>134</v>
      </c>
      <c r="L17" s="31" t="s">
        <v>134</v>
      </c>
    </row>
    <row r="18" spans="1:12">
      <c r="A18" s="14"/>
      <c r="B18" s="14" t="s">
        <v>287</v>
      </c>
      <c r="C18" s="14" t="s">
        <v>136</v>
      </c>
      <c r="D18" s="12" t="s">
        <v>808</v>
      </c>
      <c r="E18" s="14" t="s">
        <v>243</v>
      </c>
      <c r="F18" s="14" t="s">
        <v>287</v>
      </c>
      <c r="G18" s="12" t="s">
        <v>250</v>
      </c>
      <c r="H18" s="14"/>
      <c r="I18" s="14"/>
      <c r="J18" s="14" t="s">
        <v>384</v>
      </c>
      <c r="K18" s="14" t="s">
        <v>134</v>
      </c>
      <c r="L18" s="31" t="s">
        <v>134</v>
      </c>
    </row>
    <row r="19" spans="1:12">
      <c r="A19" s="14"/>
      <c r="B19" s="14" t="s">
        <v>141</v>
      </c>
      <c r="C19" s="14" t="s">
        <v>132</v>
      </c>
      <c r="D19" s="12" t="s">
        <v>143</v>
      </c>
      <c r="E19" s="14" t="s">
        <v>243</v>
      </c>
      <c r="F19" s="14" t="s">
        <v>141</v>
      </c>
      <c r="G19" s="12" t="s">
        <v>250</v>
      </c>
      <c r="H19" s="14"/>
      <c r="I19" s="14"/>
      <c r="J19" s="14" t="s">
        <v>384</v>
      </c>
      <c r="K19" s="14" t="s">
        <v>134</v>
      </c>
      <c r="L19" s="31" t="s">
        <v>134</v>
      </c>
    </row>
    <row r="20" spans="1:12">
      <c r="A20" s="14"/>
      <c r="B20" s="14" t="s">
        <v>491</v>
      </c>
      <c r="C20" s="14" t="s">
        <v>139</v>
      </c>
      <c r="D20" s="12" t="s">
        <v>809</v>
      </c>
      <c r="E20" s="14" t="s">
        <v>243</v>
      </c>
      <c r="F20" s="14" t="s">
        <v>491</v>
      </c>
      <c r="G20" s="12" t="s">
        <v>250</v>
      </c>
      <c r="H20" s="14"/>
      <c r="I20" s="14"/>
      <c r="J20" s="14" t="s">
        <v>384</v>
      </c>
      <c r="K20" s="14" t="s">
        <v>134</v>
      </c>
      <c r="L20" s="31" t="s">
        <v>134</v>
      </c>
    </row>
    <row r="21" spans="1:12">
      <c r="A21" s="14"/>
      <c r="B21" s="14" t="s">
        <v>211</v>
      </c>
      <c r="C21" s="14" t="s">
        <v>139</v>
      </c>
      <c r="D21" s="12" t="s">
        <v>810</v>
      </c>
      <c r="E21" s="14" t="s">
        <v>243</v>
      </c>
      <c r="F21" s="14" t="s">
        <v>211</v>
      </c>
      <c r="G21" s="12" t="s">
        <v>250</v>
      </c>
      <c r="H21" s="14"/>
      <c r="I21" s="14"/>
      <c r="J21" s="14" t="s">
        <v>384</v>
      </c>
      <c r="K21" s="14" t="s">
        <v>134</v>
      </c>
      <c r="L21" s="31" t="s">
        <v>134</v>
      </c>
    </row>
    <row r="22" spans="1:12">
      <c r="A22" s="14"/>
      <c r="B22" s="14" t="s">
        <v>371</v>
      </c>
      <c r="C22" s="14" t="s">
        <v>139</v>
      </c>
      <c r="D22" s="12" t="s">
        <v>497</v>
      </c>
      <c r="E22" s="14" t="s">
        <v>243</v>
      </c>
      <c r="F22" s="14" t="s">
        <v>371</v>
      </c>
      <c r="G22" s="12" t="s">
        <v>250</v>
      </c>
      <c r="H22" s="14"/>
      <c r="I22" s="14"/>
      <c r="J22" s="14" t="s">
        <v>384</v>
      </c>
      <c r="K22" s="14" t="s">
        <v>134</v>
      </c>
      <c r="L22" s="31" t="s">
        <v>134</v>
      </c>
    </row>
    <row r="23" spans="1:12">
      <c r="A23" s="14"/>
      <c r="B23" s="14" t="s">
        <v>373</v>
      </c>
      <c r="C23" s="14" t="s">
        <v>139</v>
      </c>
      <c r="D23" s="12" t="s">
        <v>498</v>
      </c>
      <c r="E23" s="14" t="s">
        <v>243</v>
      </c>
      <c r="F23" s="14" t="s">
        <v>373</v>
      </c>
      <c r="G23" s="12" t="s">
        <v>250</v>
      </c>
      <c r="H23" s="14"/>
      <c r="I23" s="14"/>
      <c r="J23" s="14" t="s">
        <v>384</v>
      </c>
      <c r="K23" s="14" t="s">
        <v>134</v>
      </c>
      <c r="L23" s="31" t="s">
        <v>134</v>
      </c>
    </row>
    <row r="24" spans="1:12">
      <c r="A24" s="14"/>
      <c r="B24" s="14" t="s">
        <v>273</v>
      </c>
      <c r="C24" s="14" t="s">
        <v>139</v>
      </c>
      <c r="D24" s="12" t="s">
        <v>274</v>
      </c>
      <c r="E24" s="14" t="s">
        <v>243</v>
      </c>
      <c r="F24" s="14" t="s">
        <v>273</v>
      </c>
      <c r="G24" s="12" t="s">
        <v>250</v>
      </c>
      <c r="H24" s="14"/>
      <c r="I24" s="14"/>
      <c r="J24" s="14" t="s">
        <v>384</v>
      </c>
      <c r="K24" s="14" t="s">
        <v>134</v>
      </c>
      <c r="L24" s="31" t="s">
        <v>134</v>
      </c>
    </row>
    <row r="25" spans="1:12">
      <c r="A25" s="14"/>
      <c r="B25" s="14" t="s">
        <v>385</v>
      </c>
      <c r="C25" s="14" t="s">
        <v>139</v>
      </c>
      <c r="D25" s="12" t="s">
        <v>487</v>
      </c>
      <c r="E25" s="14" t="s">
        <v>243</v>
      </c>
      <c r="F25" s="14" t="s">
        <v>385</v>
      </c>
      <c r="G25" s="12" t="s">
        <v>250</v>
      </c>
      <c r="H25" s="14"/>
      <c r="I25" s="14"/>
      <c r="J25" s="14" t="s">
        <v>384</v>
      </c>
      <c r="K25" s="14" t="s">
        <v>134</v>
      </c>
      <c r="L25" s="31" t="s">
        <v>134</v>
      </c>
    </row>
    <row r="26" spans="1:12">
      <c r="A26" s="14"/>
      <c r="B26" s="14" t="s">
        <v>388</v>
      </c>
      <c r="C26" s="14" t="s">
        <v>139</v>
      </c>
      <c r="D26" s="12" t="s">
        <v>488</v>
      </c>
      <c r="E26" s="14" t="s">
        <v>243</v>
      </c>
      <c r="F26" s="14" t="s">
        <v>388</v>
      </c>
      <c r="G26" s="12" t="s">
        <v>250</v>
      </c>
      <c r="H26" s="14"/>
      <c r="I26" s="14"/>
      <c r="J26" s="14" t="s">
        <v>384</v>
      </c>
      <c r="K26" s="14" t="s">
        <v>134</v>
      </c>
      <c r="L26" s="31" t="s">
        <v>134</v>
      </c>
    </row>
    <row r="27" spans="1:12">
      <c r="A27" s="14"/>
      <c r="B27" s="14" t="s">
        <v>1058</v>
      </c>
      <c r="C27" s="14" t="s">
        <v>245</v>
      </c>
      <c r="D27" s="12" t="s">
        <v>513</v>
      </c>
      <c r="E27" s="14" t="s">
        <v>243</v>
      </c>
      <c r="F27" s="14"/>
      <c r="G27" s="12" t="s">
        <v>1368</v>
      </c>
      <c r="H27" s="14"/>
      <c r="I27" s="14"/>
      <c r="J27" s="14" t="s">
        <v>431</v>
      </c>
      <c r="K27" s="14" t="s">
        <v>134</v>
      </c>
      <c r="L27" s="31" t="s">
        <v>439</v>
      </c>
    </row>
    <row r="28" spans="1:12">
      <c r="A28" s="14"/>
      <c r="B28" s="14" t="s">
        <v>1060</v>
      </c>
      <c r="C28" s="14" t="s">
        <v>245</v>
      </c>
      <c r="D28" s="12" t="s">
        <v>516</v>
      </c>
      <c r="E28" s="14" t="s">
        <v>243</v>
      </c>
      <c r="F28" s="14"/>
      <c r="G28" s="12" t="s">
        <v>1369</v>
      </c>
      <c r="H28" s="14"/>
      <c r="I28" s="14"/>
      <c r="J28" s="14" t="s">
        <v>431</v>
      </c>
      <c r="K28" s="14" t="s">
        <v>134</v>
      </c>
      <c r="L28" s="31" t="s">
        <v>439</v>
      </c>
    </row>
    <row r="29" spans="1:12">
      <c r="A29" s="14"/>
      <c r="B29" s="14" t="s">
        <v>499</v>
      </c>
      <c r="C29" s="14" t="s">
        <v>245</v>
      </c>
      <c r="D29" s="12" t="s">
        <v>500</v>
      </c>
      <c r="E29" s="14" t="s">
        <v>243</v>
      </c>
      <c r="F29" s="14" t="s">
        <v>499</v>
      </c>
      <c r="G29" s="12" t="s">
        <v>250</v>
      </c>
      <c r="H29" s="14"/>
      <c r="I29" s="14"/>
      <c r="J29" s="14" t="s">
        <v>384</v>
      </c>
      <c r="K29" s="14" t="s">
        <v>134</v>
      </c>
      <c r="L29" s="31" t="s">
        <v>134</v>
      </c>
    </row>
    <row r="30" spans="1:12">
      <c r="A30" s="14"/>
      <c r="B30" s="14" t="s">
        <v>502</v>
      </c>
      <c r="C30" s="14" t="s">
        <v>245</v>
      </c>
      <c r="D30" s="12" t="s">
        <v>503</v>
      </c>
      <c r="E30" s="14" t="s">
        <v>243</v>
      </c>
      <c r="F30" s="14" t="s">
        <v>502</v>
      </c>
      <c r="G30" s="12" t="s">
        <v>250</v>
      </c>
      <c r="H30" s="14"/>
      <c r="I30" s="14"/>
      <c r="J30" s="14" t="s">
        <v>384</v>
      </c>
      <c r="K30" s="14" t="s">
        <v>134</v>
      </c>
      <c r="L30" s="31" t="s">
        <v>134</v>
      </c>
    </row>
    <row r="31" spans="1:12">
      <c r="A31" s="14"/>
      <c r="B31" s="14" t="s">
        <v>2294</v>
      </c>
      <c r="C31" s="14" t="s">
        <v>136</v>
      </c>
      <c r="D31" s="12" t="s">
        <v>519</v>
      </c>
      <c r="E31" s="14" t="s">
        <v>243</v>
      </c>
      <c r="F31" s="14"/>
      <c r="G31" s="12" t="s">
        <v>1370</v>
      </c>
      <c r="H31" s="14"/>
      <c r="I31" s="14"/>
      <c r="J31" s="14" t="s">
        <v>431</v>
      </c>
      <c r="K31" s="14" t="s">
        <v>134</v>
      </c>
      <c r="L31" s="31" t="s">
        <v>439</v>
      </c>
    </row>
    <row r="32" spans="1:12">
      <c r="A32" s="14"/>
      <c r="B32" s="14" t="s">
        <v>936</v>
      </c>
      <c r="C32" s="14" t="s">
        <v>245</v>
      </c>
      <c r="D32" s="12" t="s">
        <v>937</v>
      </c>
      <c r="E32" s="14" t="s">
        <v>243</v>
      </c>
      <c r="F32" s="14"/>
      <c r="G32" s="12" t="s">
        <v>1340</v>
      </c>
      <c r="H32" s="14"/>
      <c r="I32" s="14"/>
      <c r="J32" s="14" t="s">
        <v>431</v>
      </c>
      <c r="K32" s="14" t="s">
        <v>134</v>
      </c>
      <c r="L32" s="31" t="s">
        <v>439</v>
      </c>
    </row>
    <row r="33" spans="1:12">
      <c r="A33" s="14"/>
      <c r="B33" s="14" t="s">
        <v>939</v>
      </c>
      <c r="C33" s="14" t="s">
        <v>136</v>
      </c>
      <c r="D33" s="12" t="s">
        <v>940</v>
      </c>
      <c r="E33" s="14" t="s">
        <v>243</v>
      </c>
      <c r="F33" s="14"/>
      <c r="G33" s="12" t="s">
        <v>1341</v>
      </c>
      <c r="H33" s="14"/>
      <c r="I33" s="14"/>
      <c r="J33" s="14" t="s">
        <v>431</v>
      </c>
      <c r="K33" s="14" t="s">
        <v>134</v>
      </c>
      <c r="L33" s="31" t="s">
        <v>439</v>
      </c>
    </row>
    <row r="34" spans="1:12">
      <c r="A34" s="14"/>
      <c r="B34" s="14" t="s">
        <v>942</v>
      </c>
      <c r="C34" s="14" t="s">
        <v>245</v>
      </c>
      <c r="D34" s="12" t="s">
        <v>943</v>
      </c>
      <c r="E34" s="14" t="s">
        <v>243</v>
      </c>
      <c r="F34" s="14"/>
      <c r="G34" s="12" t="s">
        <v>1342</v>
      </c>
      <c r="H34" s="14"/>
      <c r="I34" s="14"/>
      <c r="J34" s="14" t="s">
        <v>431</v>
      </c>
      <c r="K34" s="14" t="s">
        <v>134</v>
      </c>
      <c r="L34" s="31" t="s">
        <v>439</v>
      </c>
    </row>
    <row r="35" spans="1:12">
      <c r="A35" s="14"/>
      <c r="B35" s="14" t="s">
        <v>811</v>
      </c>
      <c r="C35" s="14" t="s">
        <v>136</v>
      </c>
      <c r="D35" s="12" t="s">
        <v>812</v>
      </c>
      <c r="E35" s="14" t="s">
        <v>243</v>
      </c>
      <c r="F35" s="14"/>
      <c r="G35" s="12" t="s">
        <v>1306</v>
      </c>
      <c r="H35" s="14"/>
      <c r="I35" s="14"/>
      <c r="J35" s="14" t="s">
        <v>431</v>
      </c>
      <c r="K35" s="14" t="s">
        <v>134</v>
      </c>
      <c r="L35" s="31" t="s">
        <v>439</v>
      </c>
    </row>
    <row r="36" spans="1:12">
      <c r="A36" s="14"/>
      <c r="B36" s="14" t="s">
        <v>1064</v>
      </c>
      <c r="C36" s="14" t="s">
        <v>136</v>
      </c>
      <c r="D36" s="12" t="s">
        <v>1486</v>
      </c>
      <c r="E36" s="14" t="s">
        <v>243</v>
      </c>
      <c r="F36" s="14"/>
      <c r="G36" s="12" t="s">
        <v>1066</v>
      </c>
      <c r="H36" s="14"/>
      <c r="I36" s="14"/>
      <c r="J36" s="14" t="s">
        <v>431</v>
      </c>
      <c r="K36" s="14" t="s">
        <v>134</v>
      </c>
      <c r="L36" s="12">
        <v>0</v>
      </c>
    </row>
    <row r="37" spans="1:12">
      <c r="A37" s="14"/>
      <c r="B37" s="14" t="s">
        <v>1067</v>
      </c>
      <c r="C37" s="14" t="s">
        <v>136</v>
      </c>
      <c r="D37" s="12" t="s">
        <v>1487</v>
      </c>
      <c r="E37" s="14" t="s">
        <v>243</v>
      </c>
      <c r="F37" s="14"/>
      <c r="G37" s="12" t="s">
        <v>1066</v>
      </c>
      <c r="H37" s="14"/>
      <c r="I37" s="14"/>
      <c r="J37" s="14" t="s">
        <v>431</v>
      </c>
      <c r="K37" s="14" t="s">
        <v>134</v>
      </c>
      <c r="L37" s="12">
        <v>0</v>
      </c>
    </row>
    <row r="38" spans="1:12">
      <c r="A38" s="14"/>
      <c r="B38" s="14" t="s">
        <v>820</v>
      </c>
      <c r="C38" s="14" t="s">
        <v>136</v>
      </c>
      <c r="D38" s="12" t="s">
        <v>821</v>
      </c>
      <c r="E38" s="14" t="s">
        <v>243</v>
      </c>
      <c r="F38" s="14"/>
      <c r="G38" s="12" t="s">
        <v>1309</v>
      </c>
      <c r="H38" s="14"/>
      <c r="I38" s="14"/>
      <c r="J38" s="14" t="s">
        <v>431</v>
      </c>
      <c r="K38" s="14" t="s">
        <v>134</v>
      </c>
      <c r="L38" s="31" t="s">
        <v>439</v>
      </c>
    </row>
    <row r="39" spans="1:12">
      <c r="A39" s="14"/>
      <c r="B39" s="14" t="s">
        <v>814</v>
      </c>
      <c r="C39" s="14" t="s">
        <v>136</v>
      </c>
      <c r="D39" s="12" t="s">
        <v>815</v>
      </c>
      <c r="E39" s="14" t="s">
        <v>243</v>
      </c>
      <c r="F39" s="14"/>
      <c r="G39" s="12" t="s">
        <v>1307</v>
      </c>
      <c r="H39" s="14"/>
      <c r="I39" s="14"/>
      <c r="J39" s="14" t="s">
        <v>431</v>
      </c>
      <c r="K39" s="14" t="s">
        <v>134</v>
      </c>
      <c r="L39" s="31" t="s">
        <v>533</v>
      </c>
    </row>
    <row r="40" spans="1:12">
      <c r="A40" s="14"/>
      <c r="B40" s="14" t="s">
        <v>817</v>
      </c>
      <c r="C40" s="14" t="s">
        <v>245</v>
      </c>
      <c r="D40" s="12" t="s">
        <v>818</v>
      </c>
      <c r="E40" s="14" t="s">
        <v>243</v>
      </c>
      <c r="F40" s="14"/>
      <c r="G40" s="12" t="s">
        <v>1308</v>
      </c>
      <c r="H40" s="14"/>
      <c r="I40" s="14"/>
      <c r="J40" s="14" t="s">
        <v>431</v>
      </c>
      <c r="K40" s="14" t="s">
        <v>134</v>
      </c>
      <c r="L40" s="31" t="s">
        <v>432</v>
      </c>
    </row>
    <row r="41" spans="1:12">
      <c r="A41" s="14"/>
      <c r="B41" s="14" t="s">
        <v>2383</v>
      </c>
      <c r="C41" s="14" t="s">
        <v>136</v>
      </c>
      <c r="D41" s="12" t="s">
        <v>1070</v>
      </c>
      <c r="E41" s="14" t="s">
        <v>243</v>
      </c>
      <c r="F41" s="14"/>
      <c r="G41" s="19" t="s">
        <v>1371</v>
      </c>
      <c r="H41" s="14"/>
      <c r="I41" s="14"/>
      <c r="J41" s="14" t="s">
        <v>431</v>
      </c>
      <c r="K41" s="14" t="s">
        <v>134</v>
      </c>
      <c r="L41" s="31" t="s">
        <v>439</v>
      </c>
    </row>
    <row r="42" spans="1:12">
      <c r="A42" s="14"/>
      <c r="B42" s="14" t="s">
        <v>826</v>
      </c>
      <c r="C42" s="14" t="s">
        <v>136</v>
      </c>
      <c r="D42" s="12" t="s">
        <v>1073</v>
      </c>
      <c r="E42" s="14" t="s">
        <v>243</v>
      </c>
      <c r="F42" s="14"/>
      <c r="G42" s="19" t="s">
        <v>1372</v>
      </c>
      <c r="H42" s="14"/>
      <c r="I42" s="14"/>
      <c r="J42" s="14" t="s">
        <v>431</v>
      </c>
      <c r="K42" s="14" t="s">
        <v>134</v>
      </c>
      <c r="L42" s="31" t="s">
        <v>439</v>
      </c>
    </row>
    <row r="43" spans="1:12">
      <c r="A43" s="14"/>
      <c r="B43" s="14" t="s">
        <v>829</v>
      </c>
      <c r="C43" s="14" t="s">
        <v>136</v>
      </c>
      <c r="D43" s="12" t="s">
        <v>1076</v>
      </c>
      <c r="E43" s="14" t="s">
        <v>243</v>
      </c>
      <c r="F43" s="14"/>
      <c r="G43" s="19" t="s">
        <v>1373</v>
      </c>
      <c r="H43" s="14"/>
      <c r="I43" s="14"/>
      <c r="J43" s="14" t="s">
        <v>431</v>
      </c>
      <c r="K43" s="14" t="s">
        <v>134</v>
      </c>
      <c r="L43" s="31" t="s">
        <v>439</v>
      </c>
    </row>
    <row r="44" spans="1:12">
      <c r="A44" s="14"/>
      <c r="B44" s="14" t="s">
        <v>832</v>
      </c>
      <c r="C44" s="14" t="s">
        <v>136</v>
      </c>
      <c r="D44" s="12" t="s">
        <v>1079</v>
      </c>
      <c r="E44" s="14" t="s">
        <v>243</v>
      </c>
      <c r="F44" s="14"/>
      <c r="G44" s="19" t="s">
        <v>1374</v>
      </c>
      <c r="H44" s="14"/>
      <c r="I44" s="14"/>
      <c r="J44" s="14" t="s">
        <v>431</v>
      </c>
      <c r="K44" s="14" t="s">
        <v>134</v>
      </c>
      <c r="L44" s="31" t="s">
        <v>439</v>
      </c>
    </row>
    <row r="45" spans="1:12">
      <c r="A45" s="14"/>
      <c r="B45" s="14" t="s">
        <v>2381</v>
      </c>
      <c r="C45" s="14" t="s">
        <v>136</v>
      </c>
      <c r="D45" s="12" t="s">
        <v>1081</v>
      </c>
      <c r="E45" s="14" t="s">
        <v>243</v>
      </c>
      <c r="F45" s="14"/>
      <c r="G45" s="19" t="s">
        <v>1375</v>
      </c>
      <c r="H45" s="14"/>
      <c r="I45" s="14"/>
      <c r="J45" s="14" t="s">
        <v>431</v>
      </c>
      <c r="K45" s="14" t="s">
        <v>134</v>
      </c>
      <c r="L45" s="31" t="s">
        <v>439</v>
      </c>
    </row>
    <row r="46" spans="1:12">
      <c r="A46" s="14"/>
      <c r="B46" s="14" t="s">
        <v>838</v>
      </c>
      <c r="C46" s="14" t="s">
        <v>136</v>
      </c>
      <c r="D46" s="12" t="s">
        <v>1083</v>
      </c>
      <c r="E46" s="14" t="s">
        <v>243</v>
      </c>
      <c r="F46" s="14"/>
      <c r="G46" s="19" t="s">
        <v>1376</v>
      </c>
      <c r="H46" s="14"/>
      <c r="I46" s="14"/>
      <c r="J46" s="14" t="s">
        <v>431</v>
      </c>
      <c r="K46" s="14" t="s">
        <v>134</v>
      </c>
      <c r="L46" s="31" t="s">
        <v>439</v>
      </c>
    </row>
    <row r="47" spans="1:12">
      <c r="A47" s="14"/>
      <c r="B47" s="14" t="s">
        <v>841</v>
      </c>
      <c r="C47" s="14" t="s">
        <v>136</v>
      </c>
      <c r="D47" s="12" t="s">
        <v>1086</v>
      </c>
      <c r="E47" s="14" t="s">
        <v>243</v>
      </c>
      <c r="F47" s="14"/>
      <c r="G47" s="19" t="s">
        <v>1377</v>
      </c>
      <c r="H47" s="14"/>
      <c r="I47" s="14"/>
      <c r="J47" s="14" t="s">
        <v>431</v>
      </c>
      <c r="K47" s="14" t="s">
        <v>134</v>
      </c>
      <c r="L47" s="31" t="s">
        <v>439</v>
      </c>
    </row>
    <row r="48" spans="1:12">
      <c r="A48" s="14"/>
      <c r="B48" s="14" t="s">
        <v>1488</v>
      </c>
      <c r="C48" s="14" t="s">
        <v>136</v>
      </c>
      <c r="D48" s="12" t="s">
        <v>1089</v>
      </c>
      <c r="E48" s="14" t="s">
        <v>243</v>
      </c>
      <c r="F48" s="14"/>
      <c r="G48" s="19" t="s">
        <v>1378</v>
      </c>
      <c r="H48" s="14"/>
      <c r="I48" s="14"/>
      <c r="J48" s="14" t="s">
        <v>431</v>
      </c>
      <c r="K48" s="14" t="s">
        <v>134</v>
      </c>
      <c r="L48" s="31" t="s">
        <v>439</v>
      </c>
    </row>
    <row r="49" spans="1:12">
      <c r="A49" s="14"/>
      <c r="B49" s="14" t="s">
        <v>1489</v>
      </c>
      <c r="C49" s="14" t="s">
        <v>136</v>
      </c>
      <c r="D49" s="12" t="s">
        <v>1092</v>
      </c>
      <c r="E49" s="14" t="s">
        <v>243</v>
      </c>
      <c r="F49" s="14"/>
      <c r="G49" s="19" t="s">
        <v>1379</v>
      </c>
      <c r="H49" s="14"/>
      <c r="I49" s="14"/>
      <c r="J49" s="14" t="s">
        <v>431</v>
      </c>
      <c r="K49" s="14" t="s">
        <v>134</v>
      </c>
      <c r="L49" s="31" t="s">
        <v>439</v>
      </c>
    </row>
    <row r="50" spans="1:12">
      <c r="A50" s="14"/>
      <c r="B50" s="14" t="s">
        <v>1490</v>
      </c>
      <c r="C50" s="14" t="s">
        <v>136</v>
      </c>
      <c r="D50" s="12" t="s">
        <v>1095</v>
      </c>
      <c r="E50" s="14" t="s">
        <v>243</v>
      </c>
      <c r="F50" s="14"/>
      <c r="G50" s="19" t="s">
        <v>1380</v>
      </c>
      <c r="H50" s="14"/>
      <c r="I50" s="14"/>
      <c r="J50" s="14" t="s">
        <v>431</v>
      </c>
      <c r="K50" s="14" t="s">
        <v>134</v>
      </c>
      <c r="L50" s="31" t="s">
        <v>439</v>
      </c>
    </row>
    <row r="51" spans="1:12">
      <c r="A51" s="14"/>
      <c r="B51" s="14" t="s">
        <v>1491</v>
      </c>
      <c r="C51" s="14" t="s">
        <v>136</v>
      </c>
      <c r="D51" s="12" t="s">
        <v>1098</v>
      </c>
      <c r="E51" s="14" t="s">
        <v>243</v>
      </c>
      <c r="F51" s="14"/>
      <c r="G51" s="19" t="s">
        <v>1381</v>
      </c>
      <c r="H51" s="14"/>
      <c r="I51" s="14"/>
      <c r="J51" s="14" t="s">
        <v>431</v>
      </c>
      <c r="K51" s="14" t="s">
        <v>134</v>
      </c>
      <c r="L51" s="31" t="s">
        <v>439</v>
      </c>
    </row>
    <row r="52" spans="1:12">
      <c r="A52" s="14"/>
      <c r="B52" s="14" t="s">
        <v>1492</v>
      </c>
      <c r="C52" s="14" t="s">
        <v>136</v>
      </c>
      <c r="D52" s="12" t="s">
        <v>1101</v>
      </c>
      <c r="E52" s="14" t="s">
        <v>243</v>
      </c>
      <c r="F52" s="14"/>
      <c r="G52" s="19" t="s">
        <v>1382</v>
      </c>
      <c r="H52" s="14"/>
      <c r="I52" s="14"/>
      <c r="J52" s="14" t="s">
        <v>431</v>
      </c>
      <c r="K52" s="14" t="s">
        <v>134</v>
      </c>
      <c r="L52" s="31" t="s">
        <v>439</v>
      </c>
    </row>
    <row r="53" spans="1:12">
      <c r="A53" s="14"/>
      <c r="B53" s="14" t="s">
        <v>844</v>
      </c>
      <c r="C53" s="14" t="s">
        <v>136</v>
      </c>
      <c r="D53" s="12" t="s">
        <v>1493</v>
      </c>
      <c r="E53" s="14" t="s">
        <v>243</v>
      </c>
      <c r="F53" s="14"/>
      <c r="G53" s="12" t="s">
        <v>1317</v>
      </c>
      <c r="H53" s="14"/>
      <c r="I53" s="14"/>
      <c r="J53" s="14" t="s">
        <v>431</v>
      </c>
      <c r="K53" s="14" t="s">
        <v>134</v>
      </c>
      <c r="L53" s="31" t="s">
        <v>439</v>
      </c>
    </row>
    <row r="54" spans="1:12">
      <c r="A54" s="14"/>
      <c r="B54" s="14" t="s">
        <v>846</v>
      </c>
      <c r="C54" s="14" t="s">
        <v>245</v>
      </c>
      <c r="D54" s="12" t="s">
        <v>1494</v>
      </c>
      <c r="E54" s="14" t="s">
        <v>243</v>
      </c>
      <c r="F54" s="14"/>
      <c r="G54" s="12" t="s">
        <v>1318</v>
      </c>
      <c r="H54" s="14"/>
      <c r="I54" s="14"/>
      <c r="J54" s="14" t="s">
        <v>431</v>
      </c>
      <c r="K54" s="14" t="s">
        <v>134</v>
      </c>
      <c r="L54" s="31" t="s">
        <v>568</v>
      </c>
    </row>
    <row r="55" spans="1:12">
      <c r="A55" s="14"/>
      <c r="B55" s="14" t="s">
        <v>948</v>
      </c>
      <c r="C55" s="14" t="s">
        <v>136</v>
      </c>
      <c r="D55" s="12" t="s">
        <v>949</v>
      </c>
      <c r="E55" s="14" t="s">
        <v>243</v>
      </c>
      <c r="F55" s="14"/>
      <c r="G55" s="12" t="s">
        <v>1344</v>
      </c>
      <c r="H55" s="14"/>
      <c r="I55" s="14"/>
      <c r="J55" s="14" t="s">
        <v>431</v>
      </c>
      <c r="K55" s="14" t="s">
        <v>134</v>
      </c>
      <c r="L55" s="31" t="s">
        <v>439</v>
      </c>
    </row>
    <row r="56" spans="1:12">
      <c r="A56" s="14"/>
      <c r="B56" s="14" t="s">
        <v>1103</v>
      </c>
      <c r="C56" s="14" t="s">
        <v>245</v>
      </c>
      <c r="D56" s="12" t="s">
        <v>1104</v>
      </c>
      <c r="E56" s="14" t="s">
        <v>243</v>
      </c>
      <c r="F56" s="14"/>
      <c r="G56" s="12" t="s">
        <v>1383</v>
      </c>
      <c r="H56" s="14"/>
      <c r="I56" s="14"/>
      <c r="J56" s="14" t="s">
        <v>431</v>
      </c>
      <c r="K56" s="14" t="s">
        <v>134</v>
      </c>
      <c r="L56" s="31" t="s">
        <v>610</v>
      </c>
    </row>
    <row r="57" spans="1:12">
      <c r="A57" s="14"/>
      <c r="B57" s="14" t="s">
        <v>1106</v>
      </c>
      <c r="C57" s="14" t="s">
        <v>245</v>
      </c>
      <c r="D57" s="12" t="s">
        <v>1107</v>
      </c>
      <c r="E57" s="14" t="s">
        <v>243</v>
      </c>
      <c r="F57" s="14"/>
      <c r="G57" s="12" t="s">
        <v>1384</v>
      </c>
      <c r="H57" s="14"/>
      <c r="I57" s="14"/>
      <c r="J57" s="14" t="s">
        <v>431</v>
      </c>
      <c r="K57" s="14" t="s">
        <v>134</v>
      </c>
      <c r="L57" s="31" t="s">
        <v>579</v>
      </c>
    </row>
    <row r="58" spans="1:12">
      <c r="A58" s="14"/>
      <c r="B58" s="14" t="s">
        <v>951</v>
      </c>
      <c r="C58" s="14" t="s">
        <v>136</v>
      </c>
      <c r="D58" s="12" t="s">
        <v>1495</v>
      </c>
      <c r="E58" s="14" t="s">
        <v>243</v>
      </c>
      <c r="F58" s="14"/>
      <c r="G58" s="19" t="s">
        <v>1385</v>
      </c>
      <c r="H58" s="14"/>
      <c r="I58" s="14"/>
      <c r="J58" s="14" t="s">
        <v>431</v>
      </c>
      <c r="K58" s="14" t="s">
        <v>134</v>
      </c>
      <c r="L58" s="31" t="s">
        <v>439</v>
      </c>
    </row>
    <row r="59" spans="1:12">
      <c r="A59" s="14"/>
      <c r="B59" s="14" t="s">
        <v>954</v>
      </c>
      <c r="C59" s="14" t="s">
        <v>136</v>
      </c>
      <c r="D59" s="12" t="s">
        <v>1496</v>
      </c>
      <c r="E59" s="14" t="s">
        <v>243</v>
      </c>
      <c r="F59" s="14"/>
      <c r="G59" s="19" t="s">
        <v>1386</v>
      </c>
      <c r="H59" s="14"/>
      <c r="I59" s="14"/>
      <c r="J59" s="14" t="s">
        <v>431</v>
      </c>
      <c r="K59" s="14" t="s">
        <v>134</v>
      </c>
      <c r="L59" s="31" t="s">
        <v>439</v>
      </c>
    </row>
    <row r="60" spans="1:12">
      <c r="A60" s="14"/>
      <c r="B60" s="14" t="s">
        <v>956</v>
      </c>
      <c r="C60" s="14" t="s">
        <v>136</v>
      </c>
      <c r="D60" s="12" t="s">
        <v>1497</v>
      </c>
      <c r="E60" s="14" t="s">
        <v>243</v>
      </c>
      <c r="F60" s="14"/>
      <c r="G60" s="19" t="s">
        <v>1387</v>
      </c>
      <c r="H60" s="14"/>
      <c r="I60" s="14"/>
      <c r="J60" s="14" t="s">
        <v>431</v>
      </c>
      <c r="K60" s="14" t="s">
        <v>134</v>
      </c>
      <c r="L60" s="31" t="s">
        <v>439</v>
      </c>
    </row>
    <row r="61" spans="1:12">
      <c r="A61" s="14"/>
      <c r="B61" s="14" t="s">
        <v>958</v>
      </c>
      <c r="C61" s="14" t="s">
        <v>136</v>
      </c>
      <c r="D61" s="12" t="s">
        <v>1498</v>
      </c>
      <c r="E61" s="14" t="s">
        <v>243</v>
      </c>
      <c r="F61" s="14"/>
      <c r="G61" s="19" t="s">
        <v>1388</v>
      </c>
      <c r="H61" s="14"/>
      <c r="I61" s="14"/>
      <c r="J61" s="14" t="s">
        <v>431</v>
      </c>
      <c r="K61" s="14" t="s">
        <v>134</v>
      </c>
      <c r="L61" s="31" t="s">
        <v>439</v>
      </c>
    </row>
    <row r="62" spans="1:12">
      <c r="A62" s="14"/>
      <c r="B62" s="14" t="s">
        <v>960</v>
      </c>
      <c r="C62" s="14" t="s">
        <v>136</v>
      </c>
      <c r="D62" s="12" t="s">
        <v>1499</v>
      </c>
      <c r="E62" s="14" t="s">
        <v>243</v>
      </c>
      <c r="F62" s="14"/>
      <c r="G62" s="19" t="s">
        <v>1389</v>
      </c>
      <c r="H62" s="14"/>
      <c r="I62" s="14"/>
      <c r="J62" s="14" t="s">
        <v>431</v>
      </c>
      <c r="K62" s="14" t="s">
        <v>134</v>
      </c>
      <c r="L62" s="31" t="s">
        <v>439</v>
      </c>
    </row>
    <row r="63" spans="1:12">
      <c r="A63" s="14"/>
      <c r="B63" s="14" t="s">
        <v>962</v>
      </c>
      <c r="C63" s="14" t="s">
        <v>136</v>
      </c>
      <c r="D63" s="12" t="s">
        <v>1500</v>
      </c>
      <c r="E63" s="14" t="s">
        <v>243</v>
      </c>
      <c r="F63" s="14"/>
      <c r="G63" s="19" t="s">
        <v>1390</v>
      </c>
      <c r="H63" s="14"/>
      <c r="I63" s="14"/>
      <c r="J63" s="14" t="s">
        <v>431</v>
      </c>
      <c r="K63" s="14" t="s">
        <v>134</v>
      </c>
      <c r="L63" s="31" t="s">
        <v>439</v>
      </c>
    </row>
    <row r="64" spans="1:12">
      <c r="A64" s="14"/>
      <c r="B64" s="14" t="s">
        <v>964</v>
      </c>
      <c r="C64" s="14" t="s">
        <v>136</v>
      </c>
      <c r="D64" s="12" t="s">
        <v>1501</v>
      </c>
      <c r="E64" s="14" t="s">
        <v>243</v>
      </c>
      <c r="F64" s="14"/>
      <c r="G64" s="19" t="s">
        <v>1391</v>
      </c>
      <c r="H64" s="14"/>
      <c r="I64" s="14"/>
      <c r="J64" s="14" t="s">
        <v>431</v>
      </c>
      <c r="K64" s="14" t="s">
        <v>134</v>
      </c>
      <c r="L64" s="31" t="s">
        <v>439</v>
      </c>
    </row>
    <row r="65" spans="1:12">
      <c r="A65" s="14"/>
      <c r="B65" s="14" t="s">
        <v>1502</v>
      </c>
      <c r="C65" s="14" t="s">
        <v>136</v>
      </c>
      <c r="D65" s="12" t="s">
        <v>1503</v>
      </c>
      <c r="E65" s="14" t="s">
        <v>243</v>
      </c>
      <c r="F65" s="14"/>
      <c r="G65" s="19" t="s">
        <v>1392</v>
      </c>
      <c r="H65" s="14"/>
      <c r="I65" s="14"/>
      <c r="J65" s="14" t="s">
        <v>431</v>
      </c>
      <c r="K65" s="14" t="s">
        <v>134</v>
      </c>
      <c r="L65" s="31" t="s">
        <v>439</v>
      </c>
    </row>
    <row r="66" spans="1:12">
      <c r="A66" s="14"/>
      <c r="B66" s="14" t="s">
        <v>1504</v>
      </c>
      <c r="C66" s="14" t="s">
        <v>136</v>
      </c>
      <c r="D66" s="12" t="s">
        <v>1505</v>
      </c>
      <c r="E66" s="14" t="s">
        <v>243</v>
      </c>
      <c r="F66" s="14"/>
      <c r="G66" s="19" t="s">
        <v>1393</v>
      </c>
      <c r="H66" s="14"/>
      <c r="I66" s="14"/>
      <c r="J66" s="14" t="s">
        <v>431</v>
      </c>
      <c r="K66" s="14" t="s">
        <v>134</v>
      </c>
      <c r="L66" s="31" t="s">
        <v>439</v>
      </c>
    </row>
    <row r="67" spans="1:12">
      <c r="A67" s="14"/>
      <c r="B67" s="14" t="s">
        <v>1506</v>
      </c>
      <c r="C67" s="14" t="s">
        <v>136</v>
      </c>
      <c r="D67" s="12" t="s">
        <v>1507</v>
      </c>
      <c r="E67" s="14" t="s">
        <v>243</v>
      </c>
      <c r="F67" s="14"/>
      <c r="G67" s="19" t="s">
        <v>1394</v>
      </c>
      <c r="H67" s="14"/>
      <c r="I67" s="14"/>
      <c r="J67" s="14" t="s">
        <v>431</v>
      </c>
      <c r="K67" s="14" t="s">
        <v>134</v>
      </c>
      <c r="L67" s="31" t="s">
        <v>439</v>
      </c>
    </row>
    <row r="68" spans="1:12">
      <c r="A68" s="14"/>
      <c r="B68" s="14" t="s">
        <v>1508</v>
      </c>
      <c r="C68" s="14" t="s">
        <v>136</v>
      </c>
      <c r="D68" s="12" t="s">
        <v>1509</v>
      </c>
      <c r="E68" s="14" t="s">
        <v>243</v>
      </c>
      <c r="F68" s="14"/>
      <c r="G68" s="19" t="s">
        <v>1395</v>
      </c>
      <c r="H68" s="14"/>
      <c r="I68" s="14"/>
      <c r="J68" s="14" t="s">
        <v>431</v>
      </c>
      <c r="K68" s="14" t="s">
        <v>134</v>
      </c>
      <c r="L68" s="31" t="s">
        <v>439</v>
      </c>
    </row>
    <row r="69" spans="1:12">
      <c r="A69" s="14"/>
      <c r="B69" s="14" t="s">
        <v>1510</v>
      </c>
      <c r="C69" s="14" t="s">
        <v>136</v>
      </c>
      <c r="D69" s="12" t="s">
        <v>1511</v>
      </c>
      <c r="E69" s="14" t="s">
        <v>243</v>
      </c>
      <c r="F69" s="14"/>
      <c r="G69" s="19" t="s">
        <v>1396</v>
      </c>
      <c r="H69" s="14"/>
      <c r="I69" s="14"/>
      <c r="J69" s="14" t="s">
        <v>431</v>
      </c>
      <c r="K69" s="14" t="s">
        <v>134</v>
      </c>
      <c r="L69" s="31" t="s">
        <v>439</v>
      </c>
    </row>
    <row r="70" spans="1:12">
      <c r="A70" s="14"/>
      <c r="B70" s="14" t="s">
        <v>1139</v>
      </c>
      <c r="C70" s="14" t="s">
        <v>136</v>
      </c>
      <c r="D70" s="12" t="s">
        <v>1140</v>
      </c>
      <c r="E70" s="14" t="s">
        <v>243</v>
      </c>
      <c r="F70" s="14"/>
      <c r="G70" s="19" t="s">
        <v>1397</v>
      </c>
      <c r="H70" s="14"/>
      <c r="I70" s="14"/>
      <c r="J70" s="14" t="s">
        <v>431</v>
      </c>
      <c r="K70" s="14" t="s">
        <v>134</v>
      </c>
      <c r="L70" s="31" t="s">
        <v>439</v>
      </c>
    </row>
    <row r="71" spans="1:12">
      <c r="A71" s="14"/>
      <c r="B71" s="14" t="s">
        <v>1142</v>
      </c>
      <c r="C71" s="14" t="s">
        <v>245</v>
      </c>
      <c r="D71" s="12" t="s">
        <v>1512</v>
      </c>
      <c r="E71" s="14" t="s">
        <v>243</v>
      </c>
      <c r="F71" s="14"/>
      <c r="G71" s="19" t="s">
        <v>1398</v>
      </c>
      <c r="H71" s="14"/>
      <c r="I71" s="14"/>
      <c r="J71" s="14" t="s">
        <v>431</v>
      </c>
      <c r="K71" s="14" t="s">
        <v>134</v>
      </c>
      <c r="L71" s="31" t="s">
        <v>568</v>
      </c>
    </row>
    <row r="72" spans="1:12">
      <c r="A72" s="14"/>
      <c r="B72" s="14" t="s">
        <v>1145</v>
      </c>
      <c r="C72" s="14" t="s">
        <v>136</v>
      </c>
      <c r="D72" s="12" t="s">
        <v>1146</v>
      </c>
      <c r="E72" s="14" t="s">
        <v>243</v>
      </c>
      <c r="F72" s="14"/>
      <c r="G72" s="12" t="s">
        <v>1399</v>
      </c>
      <c r="H72" s="14"/>
      <c r="I72" s="14"/>
      <c r="J72" s="14" t="s">
        <v>431</v>
      </c>
      <c r="K72" s="14" t="s">
        <v>134</v>
      </c>
      <c r="L72" s="31" t="s">
        <v>439</v>
      </c>
    </row>
    <row r="73" spans="1:12">
      <c r="A73" s="14"/>
      <c r="B73" s="14" t="s">
        <v>1147</v>
      </c>
      <c r="C73" s="14" t="s">
        <v>245</v>
      </c>
      <c r="D73" s="12" t="s">
        <v>1148</v>
      </c>
      <c r="E73" s="14" t="s">
        <v>243</v>
      </c>
      <c r="F73" s="14"/>
      <c r="G73" s="12" t="s">
        <v>1400</v>
      </c>
      <c r="H73" s="14"/>
      <c r="I73" s="14"/>
      <c r="J73" s="14" t="s">
        <v>431</v>
      </c>
      <c r="K73" s="14" t="s">
        <v>134</v>
      </c>
      <c r="L73" s="31" t="s">
        <v>610</v>
      </c>
    </row>
    <row r="74" spans="1:12">
      <c r="A74" s="14"/>
      <c r="B74" s="14" t="s">
        <v>1149</v>
      </c>
      <c r="C74" s="14" t="s">
        <v>245</v>
      </c>
      <c r="D74" s="12" t="s">
        <v>1150</v>
      </c>
      <c r="E74" s="14" t="s">
        <v>243</v>
      </c>
      <c r="F74" s="14"/>
      <c r="G74" s="12" t="s">
        <v>1401</v>
      </c>
      <c r="H74" s="14"/>
      <c r="I74" s="14"/>
      <c r="J74" s="14" t="s">
        <v>431</v>
      </c>
      <c r="K74" s="14" t="s">
        <v>134</v>
      </c>
      <c r="L74" s="31" t="s">
        <v>615</v>
      </c>
    </row>
    <row r="75" spans="1:12">
      <c r="A75" s="14"/>
      <c r="B75" s="14" t="s">
        <v>2382</v>
      </c>
      <c r="C75" s="14" t="s">
        <v>136</v>
      </c>
      <c r="D75" s="12" t="s">
        <v>1514</v>
      </c>
      <c r="E75" s="14" t="s">
        <v>243</v>
      </c>
      <c r="F75" s="14"/>
      <c r="G75" s="12" t="s">
        <v>1402</v>
      </c>
      <c r="H75" s="14"/>
      <c r="I75" s="14"/>
      <c r="J75" s="14" t="s">
        <v>431</v>
      </c>
      <c r="K75" s="14" t="s">
        <v>134</v>
      </c>
      <c r="L75" s="31" t="s">
        <v>439</v>
      </c>
    </row>
    <row r="76" spans="1:12">
      <c r="A76" s="14"/>
      <c r="B76" s="14" t="s">
        <v>1515</v>
      </c>
      <c r="C76" s="14" t="s">
        <v>136</v>
      </c>
      <c r="D76" s="12" t="s">
        <v>1516</v>
      </c>
      <c r="E76" s="14" t="s">
        <v>243</v>
      </c>
      <c r="F76" s="14"/>
      <c r="G76" s="12" t="s">
        <v>1403</v>
      </c>
      <c r="H76" s="14"/>
      <c r="I76" s="14"/>
      <c r="J76" s="14" t="s">
        <v>431</v>
      </c>
      <c r="K76" s="14" t="s">
        <v>134</v>
      </c>
      <c r="L76" s="31" t="s">
        <v>439</v>
      </c>
    </row>
    <row r="77" spans="1:12">
      <c r="A77" s="14"/>
      <c r="B77" s="14" t="s">
        <v>1517</v>
      </c>
      <c r="C77" s="14" t="s">
        <v>136</v>
      </c>
      <c r="D77" s="12" t="s">
        <v>1518</v>
      </c>
      <c r="E77" s="14" t="s">
        <v>243</v>
      </c>
      <c r="F77" s="14"/>
      <c r="G77" s="12" t="s">
        <v>1404</v>
      </c>
      <c r="H77" s="14"/>
      <c r="I77" s="14"/>
      <c r="J77" s="14" t="s">
        <v>431</v>
      </c>
      <c r="K77" s="14" t="s">
        <v>134</v>
      </c>
      <c r="L77" s="31" t="s">
        <v>439</v>
      </c>
    </row>
    <row r="78" spans="1:12">
      <c r="A78" s="14"/>
      <c r="B78" s="14" t="s">
        <v>1519</v>
      </c>
      <c r="C78" s="14" t="s">
        <v>136</v>
      </c>
      <c r="D78" s="12" t="s">
        <v>1520</v>
      </c>
      <c r="E78" s="14" t="s">
        <v>243</v>
      </c>
      <c r="F78" s="14"/>
      <c r="G78" s="12" t="s">
        <v>1405</v>
      </c>
      <c r="H78" s="14"/>
      <c r="I78" s="14"/>
      <c r="J78" s="14" t="s">
        <v>431</v>
      </c>
      <c r="K78" s="14" t="s">
        <v>134</v>
      </c>
      <c r="L78" s="31" t="s">
        <v>439</v>
      </c>
    </row>
    <row r="79" spans="1:12">
      <c r="A79" s="14"/>
      <c r="B79" s="14" t="s">
        <v>1521</v>
      </c>
      <c r="C79" s="14" t="s">
        <v>136</v>
      </c>
      <c r="D79" s="12" t="s">
        <v>1522</v>
      </c>
      <c r="E79" s="14" t="s">
        <v>243</v>
      </c>
      <c r="F79" s="14"/>
      <c r="G79" s="12" t="s">
        <v>1406</v>
      </c>
      <c r="H79" s="14"/>
      <c r="I79" s="14"/>
      <c r="J79" s="14" t="s">
        <v>431</v>
      </c>
      <c r="K79" s="14" t="s">
        <v>134</v>
      </c>
      <c r="L79" s="31" t="s">
        <v>439</v>
      </c>
    </row>
    <row r="80" spans="1:12">
      <c r="A80" s="14"/>
      <c r="B80" s="14" t="s">
        <v>1523</v>
      </c>
      <c r="C80" s="14" t="s">
        <v>136</v>
      </c>
      <c r="D80" s="12" t="s">
        <v>1524</v>
      </c>
      <c r="E80" s="14" t="s">
        <v>243</v>
      </c>
      <c r="F80" s="14"/>
      <c r="G80" s="12" t="s">
        <v>1407</v>
      </c>
      <c r="H80" s="14"/>
      <c r="I80" s="14"/>
      <c r="J80" s="14" t="s">
        <v>431</v>
      </c>
      <c r="K80" s="14" t="s">
        <v>134</v>
      </c>
      <c r="L80" s="31" t="s">
        <v>439</v>
      </c>
    </row>
    <row r="81" spans="1:12">
      <c r="A81" s="14"/>
      <c r="B81" s="14" t="s">
        <v>1525</v>
      </c>
      <c r="C81" s="14" t="s">
        <v>136</v>
      </c>
      <c r="D81" s="12" t="s">
        <v>1526</v>
      </c>
      <c r="E81" s="14" t="s">
        <v>243</v>
      </c>
      <c r="F81" s="14"/>
      <c r="G81" s="12" t="s">
        <v>1408</v>
      </c>
      <c r="H81" s="14"/>
      <c r="I81" s="14"/>
      <c r="J81" s="14" t="s">
        <v>431</v>
      </c>
      <c r="K81" s="14" t="s">
        <v>134</v>
      </c>
      <c r="L81" s="31" t="s">
        <v>439</v>
      </c>
    </row>
    <row r="82" spans="1:12">
      <c r="A82" s="14"/>
      <c r="B82" s="14" t="s">
        <v>1527</v>
      </c>
      <c r="C82" s="14" t="s">
        <v>136</v>
      </c>
      <c r="D82" s="12" t="s">
        <v>1528</v>
      </c>
      <c r="E82" s="14" t="s">
        <v>243</v>
      </c>
      <c r="F82" s="14"/>
      <c r="G82" s="12" t="s">
        <v>1409</v>
      </c>
      <c r="H82" s="14"/>
      <c r="I82" s="14"/>
      <c r="J82" s="14" t="s">
        <v>431</v>
      </c>
      <c r="K82" s="14" t="s">
        <v>134</v>
      </c>
      <c r="L82" s="31" t="s">
        <v>439</v>
      </c>
    </row>
    <row r="83" spans="1:12">
      <c r="A83" s="14"/>
      <c r="B83" s="14" t="s">
        <v>1529</v>
      </c>
      <c r="C83" s="14" t="s">
        <v>136</v>
      </c>
      <c r="D83" s="12" t="s">
        <v>1530</v>
      </c>
      <c r="E83" s="14" t="s">
        <v>243</v>
      </c>
      <c r="F83" s="14"/>
      <c r="G83" s="12" t="s">
        <v>1410</v>
      </c>
      <c r="H83" s="14"/>
      <c r="I83" s="14"/>
      <c r="J83" s="14" t="s">
        <v>431</v>
      </c>
      <c r="K83" s="14" t="s">
        <v>134</v>
      </c>
      <c r="L83" s="31" t="s">
        <v>439</v>
      </c>
    </row>
    <row r="84" spans="1:12">
      <c r="A84" s="14"/>
      <c r="B84" s="14" t="s">
        <v>1531</v>
      </c>
      <c r="C84" s="14" t="s">
        <v>136</v>
      </c>
      <c r="D84" s="12" t="s">
        <v>1532</v>
      </c>
      <c r="E84" s="14" t="s">
        <v>243</v>
      </c>
      <c r="F84" s="14"/>
      <c r="G84" s="12" t="s">
        <v>1411</v>
      </c>
      <c r="H84" s="14"/>
      <c r="I84" s="14"/>
      <c r="J84" s="14" t="s">
        <v>431</v>
      </c>
      <c r="K84" s="14" t="s">
        <v>134</v>
      </c>
      <c r="L84" s="31" t="s">
        <v>439</v>
      </c>
    </row>
    <row r="85" spans="1:12">
      <c r="A85" s="14"/>
      <c r="B85" s="14" t="s">
        <v>1533</v>
      </c>
      <c r="C85" s="14" t="s">
        <v>136</v>
      </c>
      <c r="D85" s="12" t="s">
        <v>1534</v>
      </c>
      <c r="E85" s="14" t="s">
        <v>243</v>
      </c>
      <c r="F85" s="14"/>
      <c r="G85" s="12" t="s">
        <v>1412</v>
      </c>
      <c r="H85" s="14"/>
      <c r="I85" s="14"/>
      <c r="J85" s="14" t="s">
        <v>431</v>
      </c>
      <c r="K85" s="14" t="s">
        <v>134</v>
      </c>
      <c r="L85" s="31" t="s">
        <v>439</v>
      </c>
    </row>
    <row r="86" spans="1:12">
      <c r="A86" s="14"/>
      <c r="B86" s="14" t="s">
        <v>1535</v>
      </c>
      <c r="C86" s="14" t="s">
        <v>136</v>
      </c>
      <c r="D86" s="12" t="s">
        <v>1536</v>
      </c>
      <c r="E86" s="14" t="s">
        <v>243</v>
      </c>
      <c r="F86" s="14"/>
      <c r="G86" s="12" t="s">
        <v>1413</v>
      </c>
      <c r="H86" s="14"/>
      <c r="I86" s="14"/>
      <c r="J86" s="14" t="s">
        <v>431</v>
      </c>
      <c r="K86" s="14" t="s">
        <v>134</v>
      </c>
      <c r="L86" s="31" t="s">
        <v>439</v>
      </c>
    </row>
    <row r="87" spans="1:12">
      <c r="A87" s="14"/>
      <c r="B87" s="14" t="s">
        <v>1187</v>
      </c>
      <c r="C87" s="14" t="s">
        <v>136</v>
      </c>
      <c r="D87" s="12" t="s">
        <v>1188</v>
      </c>
      <c r="E87" s="14" t="s">
        <v>243</v>
      </c>
      <c r="F87" s="14"/>
      <c r="G87" s="19" t="s">
        <v>1414</v>
      </c>
      <c r="H87" s="14"/>
      <c r="I87" s="14"/>
      <c r="J87" s="14" t="s">
        <v>431</v>
      </c>
      <c r="K87" s="14" t="s">
        <v>134</v>
      </c>
      <c r="L87" s="31" t="s">
        <v>439</v>
      </c>
    </row>
    <row r="88" spans="1:12">
      <c r="A88" s="14"/>
      <c r="B88" s="14" t="s">
        <v>1189</v>
      </c>
      <c r="C88" s="14" t="s">
        <v>245</v>
      </c>
      <c r="D88" s="12" t="s">
        <v>1190</v>
      </c>
      <c r="E88" s="14" t="s">
        <v>243</v>
      </c>
      <c r="F88" s="14"/>
      <c r="G88" s="19" t="s">
        <v>1415</v>
      </c>
      <c r="H88" s="14"/>
      <c r="I88" s="14"/>
      <c r="J88" s="14" t="s">
        <v>431</v>
      </c>
      <c r="K88" s="14" t="s">
        <v>134</v>
      </c>
      <c r="L88" s="31" t="s">
        <v>568</v>
      </c>
    </row>
    <row r="89" spans="1:12">
      <c r="A89" s="14"/>
      <c r="B89" s="14" t="s">
        <v>2302</v>
      </c>
      <c r="C89" s="14" t="s">
        <v>136</v>
      </c>
      <c r="D89" s="12" t="s">
        <v>1222</v>
      </c>
      <c r="E89" s="14" t="s">
        <v>243</v>
      </c>
      <c r="F89" s="14"/>
      <c r="G89" s="12" t="s">
        <v>2303</v>
      </c>
      <c r="H89" s="14"/>
      <c r="I89" s="14"/>
      <c r="J89" s="14" t="s">
        <v>431</v>
      </c>
      <c r="K89" s="14" t="s">
        <v>134</v>
      </c>
      <c r="L89" s="31" t="s">
        <v>533</v>
      </c>
    </row>
    <row r="90" spans="1:12">
      <c r="A90" s="14"/>
      <c r="B90" s="14" t="s">
        <v>2304</v>
      </c>
      <c r="C90" s="14" t="s">
        <v>136</v>
      </c>
      <c r="D90" s="12" t="s">
        <v>1537</v>
      </c>
      <c r="E90" s="14" t="s">
        <v>243</v>
      </c>
      <c r="F90" s="14"/>
      <c r="G90" s="12" t="s">
        <v>1332</v>
      </c>
      <c r="H90" s="14"/>
      <c r="I90" s="14"/>
      <c r="J90" s="14" t="s">
        <v>431</v>
      </c>
      <c r="K90" s="14" t="s">
        <v>134</v>
      </c>
      <c r="L90" s="31" t="s">
        <v>439</v>
      </c>
    </row>
    <row r="91" spans="1:12">
      <c r="A91" s="14"/>
      <c r="B91" s="14" t="s">
        <v>1223</v>
      </c>
      <c r="C91" s="14" t="s">
        <v>245</v>
      </c>
      <c r="D91" s="12" t="s">
        <v>1224</v>
      </c>
      <c r="E91" s="14" t="s">
        <v>243</v>
      </c>
      <c r="F91" s="14"/>
      <c r="G91" s="12" t="s">
        <v>1333</v>
      </c>
      <c r="H91" s="14"/>
      <c r="I91" s="14"/>
      <c r="J91" s="14" t="s">
        <v>431</v>
      </c>
      <c r="K91" s="14" t="s">
        <v>134</v>
      </c>
      <c r="L91" s="31" t="s">
        <v>432</v>
      </c>
    </row>
    <row r="92" spans="1:12">
      <c r="A92" s="14"/>
      <c r="B92" s="14" t="s">
        <v>910</v>
      </c>
      <c r="C92" s="14" t="s">
        <v>900</v>
      </c>
      <c r="D92" s="12" t="s">
        <v>1538</v>
      </c>
      <c r="E92" s="14" t="s">
        <v>243</v>
      </c>
      <c r="F92" s="14"/>
      <c r="G92" s="12" t="s">
        <v>1334</v>
      </c>
      <c r="H92" s="14"/>
      <c r="I92" s="14"/>
      <c r="J92" s="14" t="s">
        <v>431</v>
      </c>
      <c r="K92" s="14" t="s">
        <v>134</v>
      </c>
      <c r="L92" s="31" t="s">
        <v>568</v>
      </c>
    </row>
    <row r="93" spans="1:12">
      <c r="A93" s="14"/>
      <c r="B93" s="14" t="s">
        <v>1225</v>
      </c>
      <c r="C93" s="14" t="s">
        <v>136</v>
      </c>
      <c r="D93" s="12" t="s">
        <v>1226</v>
      </c>
      <c r="E93" s="14" t="s">
        <v>243</v>
      </c>
      <c r="F93" s="14"/>
      <c r="G93" s="12" t="s">
        <v>914</v>
      </c>
      <c r="H93" s="14"/>
      <c r="I93" s="14"/>
      <c r="J93" s="14" t="s">
        <v>431</v>
      </c>
      <c r="K93" s="14" t="s">
        <v>134</v>
      </c>
      <c r="L93" s="31" t="s">
        <v>533</v>
      </c>
    </row>
    <row r="94" spans="1:12">
      <c r="A94" s="14"/>
      <c r="B94" s="14" t="s">
        <v>915</v>
      </c>
      <c r="C94" s="14" t="s">
        <v>136</v>
      </c>
      <c r="D94" s="12" t="s">
        <v>1539</v>
      </c>
      <c r="E94" s="14" t="s">
        <v>243</v>
      </c>
      <c r="F94" s="14"/>
      <c r="G94" s="12" t="s">
        <v>1335</v>
      </c>
      <c r="H94" s="14"/>
      <c r="I94" s="14"/>
      <c r="J94" s="14" t="s">
        <v>431</v>
      </c>
      <c r="K94" s="14" t="s">
        <v>134</v>
      </c>
      <c r="L94" s="31" t="s">
        <v>439</v>
      </c>
    </row>
    <row r="95" spans="1:12">
      <c r="A95" s="14"/>
      <c r="B95" s="14" t="s">
        <v>1227</v>
      </c>
      <c r="C95" s="14" t="s">
        <v>245</v>
      </c>
      <c r="D95" s="12" t="s">
        <v>1228</v>
      </c>
      <c r="E95" s="14" t="s">
        <v>243</v>
      </c>
      <c r="F95" s="14"/>
      <c r="G95" s="12" t="s">
        <v>1336</v>
      </c>
      <c r="H95" s="14"/>
      <c r="I95" s="14"/>
      <c r="J95" s="14" t="s">
        <v>431</v>
      </c>
      <c r="K95" s="14" t="s">
        <v>134</v>
      </c>
      <c r="L95" s="31" t="s">
        <v>432</v>
      </c>
    </row>
    <row r="96" spans="1:12">
      <c r="A96" s="14"/>
      <c r="B96" s="14" t="s">
        <v>921</v>
      </c>
      <c r="C96" s="14" t="s">
        <v>900</v>
      </c>
      <c r="D96" s="12" t="s">
        <v>1540</v>
      </c>
      <c r="E96" s="14" t="s">
        <v>243</v>
      </c>
      <c r="F96" s="14"/>
      <c r="G96" s="12" t="s">
        <v>1337</v>
      </c>
      <c r="H96" s="14"/>
      <c r="I96" s="14"/>
      <c r="J96" s="14" t="s">
        <v>431</v>
      </c>
      <c r="K96" s="14" t="s">
        <v>134</v>
      </c>
      <c r="L96" s="31" t="s">
        <v>568</v>
      </c>
    </row>
    <row r="97" spans="1:12">
      <c r="A97" s="14"/>
      <c r="B97" s="14" t="s">
        <v>1229</v>
      </c>
      <c r="C97" s="14" t="s">
        <v>136</v>
      </c>
      <c r="D97" s="12" t="s">
        <v>1230</v>
      </c>
      <c r="E97" s="14" t="s">
        <v>243</v>
      </c>
      <c r="F97" s="14"/>
      <c r="G97" s="12" t="s">
        <v>926</v>
      </c>
      <c r="H97" s="14"/>
      <c r="I97" s="14"/>
      <c r="J97" s="14" t="s">
        <v>431</v>
      </c>
      <c r="K97" s="14" t="s">
        <v>134</v>
      </c>
      <c r="L97" s="31" t="s">
        <v>533</v>
      </c>
    </row>
    <row r="98" spans="1:12">
      <c r="A98" s="14"/>
      <c r="B98" s="14" t="s">
        <v>927</v>
      </c>
      <c r="C98" s="14" t="s">
        <v>136</v>
      </c>
      <c r="D98" s="12" t="s">
        <v>1541</v>
      </c>
      <c r="E98" s="14" t="s">
        <v>243</v>
      </c>
      <c r="F98" s="14"/>
      <c r="G98" s="12" t="s">
        <v>1338</v>
      </c>
      <c r="H98" s="14"/>
      <c r="I98" s="14"/>
      <c r="J98" s="14" t="s">
        <v>431</v>
      </c>
      <c r="K98" s="14" t="s">
        <v>134</v>
      </c>
      <c r="L98" s="31" t="s">
        <v>439</v>
      </c>
    </row>
    <row r="99" spans="1:12">
      <c r="A99" s="14"/>
      <c r="B99" s="14" t="s">
        <v>1231</v>
      </c>
      <c r="C99" s="14" t="s">
        <v>245</v>
      </c>
      <c r="D99" s="12" t="s">
        <v>1232</v>
      </c>
      <c r="E99" s="14" t="s">
        <v>243</v>
      </c>
      <c r="F99" s="14"/>
      <c r="G99" s="12" t="s">
        <v>1339</v>
      </c>
      <c r="H99" s="14"/>
      <c r="I99" s="14"/>
      <c r="J99" s="14" t="s">
        <v>431</v>
      </c>
      <c r="K99" s="14" t="s">
        <v>134</v>
      </c>
      <c r="L99" s="31" t="s">
        <v>432</v>
      </c>
    </row>
    <row r="100" spans="1:12">
      <c r="A100" s="14"/>
      <c r="B100" s="14" t="s">
        <v>933</v>
      </c>
      <c r="C100" s="14" t="s">
        <v>900</v>
      </c>
      <c r="D100" s="12" t="s">
        <v>1542</v>
      </c>
      <c r="E100" s="14" t="s">
        <v>243</v>
      </c>
      <c r="F100" s="14"/>
      <c r="G100" s="12" t="s">
        <v>1619</v>
      </c>
      <c r="H100" s="14"/>
      <c r="I100" s="14"/>
      <c r="J100" s="14" t="s">
        <v>431</v>
      </c>
      <c r="K100" s="14" t="s">
        <v>134</v>
      </c>
      <c r="L100" s="31" t="s">
        <v>568</v>
      </c>
    </row>
    <row r="101" spans="1:12">
      <c r="A101" s="14"/>
      <c r="B101" s="14" t="s">
        <v>1244</v>
      </c>
      <c r="C101" s="14" t="s">
        <v>136</v>
      </c>
      <c r="D101" s="12" t="s">
        <v>1245</v>
      </c>
      <c r="E101" s="14" t="s">
        <v>243</v>
      </c>
      <c r="F101" s="14"/>
      <c r="G101" s="19" t="s">
        <v>1439</v>
      </c>
      <c r="H101" s="14"/>
      <c r="I101" s="14"/>
      <c r="J101" s="14" t="s">
        <v>431</v>
      </c>
      <c r="K101" s="14" t="s">
        <v>134</v>
      </c>
      <c r="L101" s="31" t="s">
        <v>439</v>
      </c>
    </row>
    <row r="102" spans="1:12">
      <c r="A102" s="14"/>
      <c r="B102" s="14" t="s">
        <v>504</v>
      </c>
      <c r="C102" s="14" t="s">
        <v>245</v>
      </c>
      <c r="D102" s="12" t="s">
        <v>505</v>
      </c>
      <c r="E102" s="14" t="s">
        <v>243</v>
      </c>
      <c r="F102" s="14" t="s">
        <v>504</v>
      </c>
      <c r="G102" s="12" t="s">
        <v>250</v>
      </c>
      <c r="H102" s="12"/>
      <c r="I102" s="14"/>
      <c r="J102" s="14" t="s">
        <v>384</v>
      </c>
      <c r="K102" s="14" t="s">
        <v>134</v>
      </c>
      <c r="L102" s="31" t="s">
        <v>134</v>
      </c>
    </row>
    <row r="103" spans="1:12">
      <c r="A103" s="14"/>
      <c r="B103" s="14" t="s">
        <v>506</v>
      </c>
      <c r="C103" s="14" t="s">
        <v>245</v>
      </c>
      <c r="D103" s="12" t="s">
        <v>507</v>
      </c>
      <c r="E103" s="14" t="s">
        <v>243</v>
      </c>
      <c r="F103" s="14" t="s">
        <v>506</v>
      </c>
      <c r="G103" s="12" t="s">
        <v>250</v>
      </c>
      <c r="H103" s="14"/>
      <c r="I103" s="14"/>
      <c r="J103" s="14" t="s">
        <v>384</v>
      </c>
      <c r="K103" s="14" t="s">
        <v>134</v>
      </c>
      <c r="L103" s="31" t="s">
        <v>134</v>
      </c>
    </row>
    <row r="104" spans="1:12">
      <c r="A104" s="14"/>
      <c r="B104" s="14" t="s">
        <v>508</v>
      </c>
      <c r="C104" s="14" t="s">
        <v>245</v>
      </c>
      <c r="D104" s="12" t="s">
        <v>509</v>
      </c>
      <c r="E104" s="14" t="s">
        <v>243</v>
      </c>
      <c r="F104" s="14" t="s">
        <v>508</v>
      </c>
      <c r="G104" s="12" t="s">
        <v>250</v>
      </c>
      <c r="H104" s="14"/>
      <c r="I104" s="14"/>
      <c r="J104" s="14" t="s">
        <v>384</v>
      </c>
      <c r="K104" s="14" t="s">
        <v>134</v>
      </c>
      <c r="L104" s="31" t="s">
        <v>134</v>
      </c>
    </row>
    <row r="105" spans="1:12">
      <c r="A105" s="14"/>
      <c r="B105" s="14" t="s">
        <v>510</v>
      </c>
      <c r="C105" s="14" t="s">
        <v>245</v>
      </c>
      <c r="D105" s="12" t="s">
        <v>511</v>
      </c>
      <c r="E105" s="14" t="s">
        <v>243</v>
      </c>
      <c r="F105" s="14" t="s">
        <v>510</v>
      </c>
      <c r="G105" s="12" t="s">
        <v>250</v>
      </c>
      <c r="H105" s="14"/>
      <c r="I105" s="14"/>
      <c r="J105" s="14" t="s">
        <v>384</v>
      </c>
      <c r="K105" s="14" t="s">
        <v>134</v>
      </c>
      <c r="L105" s="31" t="s">
        <v>134</v>
      </c>
    </row>
    <row r="106" spans="1:12">
      <c r="A106" s="14"/>
      <c r="B106" s="14" t="s">
        <v>474</v>
      </c>
      <c r="C106" s="14" t="s">
        <v>136</v>
      </c>
      <c r="D106" s="12" t="s">
        <v>1543</v>
      </c>
      <c r="E106" s="14" t="s">
        <v>243</v>
      </c>
      <c r="F106" s="14"/>
      <c r="G106" s="12" t="s">
        <v>1234</v>
      </c>
      <c r="H106" s="14"/>
      <c r="I106" s="14"/>
      <c r="J106" s="14" t="s">
        <v>431</v>
      </c>
      <c r="K106" s="14" t="s">
        <v>134</v>
      </c>
      <c r="L106" s="31" t="s">
        <v>533</v>
      </c>
    </row>
    <row r="107" spans="1:12">
      <c r="A107" s="14"/>
      <c r="B107" s="14" t="s">
        <v>1235</v>
      </c>
      <c r="C107" s="14" t="s">
        <v>136</v>
      </c>
      <c r="D107" s="12" t="s">
        <v>1544</v>
      </c>
      <c r="E107" s="14" t="s">
        <v>243</v>
      </c>
      <c r="F107" s="14"/>
      <c r="G107" s="12" t="s">
        <v>1436</v>
      </c>
      <c r="H107" s="14"/>
      <c r="I107" s="14"/>
      <c r="J107" s="14" t="s">
        <v>431</v>
      </c>
      <c r="K107" s="14" t="s">
        <v>134</v>
      </c>
      <c r="L107" s="31" t="s">
        <v>439</v>
      </c>
    </row>
    <row r="108" spans="1:12">
      <c r="A108" s="14"/>
      <c r="B108" s="14" t="s">
        <v>1238</v>
      </c>
      <c r="C108" s="14" t="s">
        <v>245</v>
      </c>
      <c r="D108" s="12" t="s">
        <v>1545</v>
      </c>
      <c r="E108" s="14" t="s">
        <v>243</v>
      </c>
      <c r="F108" s="14"/>
      <c r="G108" s="12" t="s">
        <v>1437</v>
      </c>
      <c r="H108" s="14"/>
      <c r="I108" s="14"/>
      <c r="J108" s="14" t="s">
        <v>431</v>
      </c>
      <c r="K108" s="14" t="s">
        <v>134</v>
      </c>
      <c r="L108" s="31" t="s">
        <v>432</v>
      </c>
    </row>
    <row r="109" spans="1:12">
      <c r="A109" s="14"/>
      <c r="B109" s="14" t="s">
        <v>1241</v>
      </c>
      <c r="C109" s="14" t="s">
        <v>900</v>
      </c>
      <c r="D109" s="12" t="s">
        <v>1546</v>
      </c>
      <c r="E109" s="14" t="s">
        <v>243</v>
      </c>
      <c r="F109" s="14"/>
      <c r="G109" s="12" t="s">
        <v>1438</v>
      </c>
      <c r="H109" s="14"/>
      <c r="I109" s="14"/>
      <c r="J109" s="14" t="s">
        <v>431</v>
      </c>
      <c r="K109" s="14" t="s">
        <v>134</v>
      </c>
      <c r="L109" s="31" t="s">
        <v>568</v>
      </c>
    </row>
    <row r="110" spans="1:12" s="64" customFormat="1" ht="79.2">
      <c r="A110" s="67"/>
      <c r="B110" s="68" t="s">
        <v>2380</v>
      </c>
      <c r="C110" s="69" t="s">
        <v>139</v>
      </c>
      <c r="D110" s="43" t="s">
        <v>228</v>
      </c>
      <c r="E110" s="44" t="s">
        <v>243</v>
      </c>
      <c r="F110" s="70" t="s">
        <v>227</v>
      </c>
      <c r="G110" s="70" t="s">
        <v>250</v>
      </c>
      <c r="H110" s="44"/>
      <c r="I110" s="66" t="s">
        <v>662</v>
      </c>
      <c r="J110" s="66" t="s">
        <v>384</v>
      </c>
      <c r="K110" s="47" t="s">
        <v>134</v>
      </c>
      <c r="L110" s="47" t="s">
        <v>134</v>
      </c>
    </row>
    <row r="111" spans="1:12" s="64" customFormat="1">
      <c r="A111" s="67"/>
      <c r="B111" s="68" t="s">
        <v>392</v>
      </c>
      <c r="C111" s="69" t="s">
        <v>132</v>
      </c>
      <c r="D111" s="43" t="s">
        <v>391</v>
      </c>
      <c r="E111" s="44" t="s">
        <v>243</v>
      </c>
      <c r="F111" s="70" t="s">
        <v>392</v>
      </c>
      <c r="G111" s="70" t="s">
        <v>250</v>
      </c>
      <c r="H111" s="44"/>
      <c r="I111" s="66" t="s">
        <v>662</v>
      </c>
      <c r="J111" s="66" t="s">
        <v>384</v>
      </c>
      <c r="K111" s="47" t="s">
        <v>134</v>
      </c>
      <c r="L111" s="47" t="s">
        <v>134</v>
      </c>
    </row>
    <row r="112" spans="1:12" s="64" customFormat="1">
      <c r="A112" s="67"/>
      <c r="B112" s="68" t="s">
        <v>395</v>
      </c>
      <c r="C112" s="69" t="s">
        <v>132</v>
      </c>
      <c r="D112" s="43" t="s">
        <v>489</v>
      </c>
      <c r="E112" s="44" t="s">
        <v>243</v>
      </c>
      <c r="F112" s="70" t="s">
        <v>395</v>
      </c>
      <c r="G112" s="70" t="s">
        <v>250</v>
      </c>
      <c r="H112" s="44"/>
      <c r="I112" s="66" t="s">
        <v>662</v>
      </c>
      <c r="J112" s="66" t="s">
        <v>384</v>
      </c>
      <c r="K112" s="47" t="s">
        <v>134</v>
      </c>
      <c r="L112" s="47" t="s">
        <v>134</v>
      </c>
    </row>
    <row r="113" spans="1:12" s="64" customFormat="1">
      <c r="A113" s="67"/>
      <c r="B113" s="68" t="s">
        <v>398</v>
      </c>
      <c r="C113" s="69" t="s">
        <v>132</v>
      </c>
      <c r="D113" s="43" t="s">
        <v>490</v>
      </c>
      <c r="E113" s="44" t="s">
        <v>243</v>
      </c>
      <c r="F113" s="70" t="s">
        <v>398</v>
      </c>
      <c r="G113" s="70" t="s">
        <v>250</v>
      </c>
      <c r="H113" s="44"/>
      <c r="I113" s="66" t="s">
        <v>662</v>
      </c>
      <c r="J113" s="66" t="s">
        <v>384</v>
      </c>
      <c r="K113" s="47" t="s">
        <v>134</v>
      </c>
      <c r="L113" s="47" t="s">
        <v>134</v>
      </c>
    </row>
    <row r="114" spans="1:12" s="64" customFormat="1">
      <c r="A114" s="67"/>
      <c r="B114" s="68" t="s">
        <v>377</v>
      </c>
      <c r="C114" s="69" t="s">
        <v>132</v>
      </c>
      <c r="D114" s="43" t="s">
        <v>482</v>
      </c>
      <c r="E114" s="44" t="s">
        <v>243</v>
      </c>
      <c r="F114" s="70" t="s">
        <v>377</v>
      </c>
      <c r="G114" s="70" t="s">
        <v>250</v>
      </c>
      <c r="H114" s="44"/>
      <c r="I114" s="66" t="s">
        <v>662</v>
      </c>
      <c r="J114" s="66" t="s">
        <v>384</v>
      </c>
      <c r="K114" s="47" t="s">
        <v>134</v>
      </c>
      <c r="L114" s="47" t="s">
        <v>134</v>
      </c>
    </row>
    <row r="115" spans="1:12" s="64" customFormat="1">
      <c r="A115" s="67"/>
      <c r="B115" s="68" t="s">
        <v>400</v>
      </c>
      <c r="C115" s="69" t="s">
        <v>132</v>
      </c>
      <c r="D115" s="43" t="s">
        <v>485</v>
      </c>
      <c r="E115" s="44" t="s">
        <v>243</v>
      </c>
      <c r="F115" s="70" t="s">
        <v>400</v>
      </c>
      <c r="G115" s="70" t="s">
        <v>250</v>
      </c>
      <c r="H115" s="44"/>
      <c r="I115" s="66" t="s">
        <v>662</v>
      </c>
      <c r="J115" s="66" t="s">
        <v>384</v>
      </c>
      <c r="K115" s="47" t="s">
        <v>134</v>
      </c>
      <c r="L115" s="47" t="s">
        <v>134</v>
      </c>
    </row>
    <row r="116" spans="1:12" s="39" customFormat="1">
      <c r="A116" s="67"/>
      <c r="B116" s="41" t="s">
        <v>616</v>
      </c>
      <c r="C116" s="41" t="s">
        <v>136</v>
      </c>
      <c r="D116" s="42" t="s">
        <v>855</v>
      </c>
      <c r="E116" s="41" t="s">
        <v>243</v>
      </c>
      <c r="F116" s="41"/>
      <c r="G116" s="42" t="s">
        <v>1353</v>
      </c>
      <c r="H116" s="41"/>
      <c r="I116" s="41" t="s">
        <v>662</v>
      </c>
      <c r="J116" s="41" t="s">
        <v>431</v>
      </c>
      <c r="K116" s="41" t="s">
        <v>134</v>
      </c>
      <c r="L116" s="46" t="s">
        <v>439</v>
      </c>
    </row>
    <row r="117" spans="1:12" s="39" customFormat="1">
      <c r="A117" s="67"/>
      <c r="B117" s="41" t="s">
        <v>618</v>
      </c>
      <c r="C117" s="41" t="s">
        <v>136</v>
      </c>
      <c r="D117" s="42" t="s">
        <v>858</v>
      </c>
      <c r="E117" s="41" t="s">
        <v>243</v>
      </c>
      <c r="F117" s="41"/>
      <c r="G117" s="42" t="s">
        <v>1354</v>
      </c>
      <c r="H117" s="41"/>
      <c r="I117" s="41" t="s">
        <v>662</v>
      </c>
      <c r="J117" s="41" t="s">
        <v>431</v>
      </c>
      <c r="K117" s="41" t="s">
        <v>134</v>
      </c>
      <c r="L117" s="46" t="s">
        <v>439</v>
      </c>
    </row>
    <row r="118" spans="1:12" s="39" customFormat="1">
      <c r="A118" s="67"/>
      <c r="B118" s="41" t="s">
        <v>620</v>
      </c>
      <c r="C118" s="41" t="s">
        <v>136</v>
      </c>
      <c r="D118" s="42" t="s">
        <v>861</v>
      </c>
      <c r="E118" s="41" t="s">
        <v>243</v>
      </c>
      <c r="F118" s="41"/>
      <c r="G118" s="42" t="s">
        <v>1355</v>
      </c>
      <c r="H118" s="41"/>
      <c r="I118" s="41" t="s">
        <v>662</v>
      </c>
      <c r="J118" s="41" t="s">
        <v>431</v>
      </c>
      <c r="K118" s="41" t="s">
        <v>134</v>
      </c>
      <c r="L118" s="46" t="s">
        <v>439</v>
      </c>
    </row>
    <row r="119" spans="1:12" s="39" customFormat="1">
      <c r="A119" s="67"/>
      <c r="B119" s="41" t="s">
        <v>622</v>
      </c>
      <c r="C119" s="41" t="s">
        <v>136</v>
      </c>
      <c r="D119" s="42" t="s">
        <v>864</v>
      </c>
      <c r="E119" s="41" t="s">
        <v>243</v>
      </c>
      <c r="F119" s="41"/>
      <c r="G119" s="42" t="s">
        <v>1356</v>
      </c>
      <c r="H119" s="41"/>
      <c r="I119" s="41" t="s">
        <v>662</v>
      </c>
      <c r="J119" s="41" t="s">
        <v>431</v>
      </c>
      <c r="K119" s="41" t="s">
        <v>134</v>
      </c>
      <c r="L119" s="46" t="s">
        <v>439</v>
      </c>
    </row>
    <row r="120" spans="1:12" s="39" customFormat="1">
      <c r="A120" s="67"/>
      <c r="B120" s="41" t="s">
        <v>624</v>
      </c>
      <c r="C120" s="41" t="s">
        <v>136</v>
      </c>
      <c r="D120" s="42" t="s">
        <v>867</v>
      </c>
      <c r="E120" s="41" t="s">
        <v>243</v>
      </c>
      <c r="F120" s="41"/>
      <c r="G120" s="42" t="s">
        <v>1357</v>
      </c>
      <c r="H120" s="41"/>
      <c r="I120" s="41" t="s">
        <v>662</v>
      </c>
      <c r="J120" s="41" t="s">
        <v>431</v>
      </c>
      <c r="K120" s="41" t="s">
        <v>134</v>
      </c>
      <c r="L120" s="46" t="s">
        <v>439</v>
      </c>
    </row>
    <row r="121" spans="1:12" s="39" customFormat="1">
      <c r="A121" s="67"/>
      <c r="B121" s="41" t="s">
        <v>626</v>
      </c>
      <c r="C121" s="41" t="s">
        <v>136</v>
      </c>
      <c r="D121" s="42" t="s">
        <v>870</v>
      </c>
      <c r="E121" s="41" t="s">
        <v>243</v>
      </c>
      <c r="F121" s="41"/>
      <c r="G121" s="42" t="s">
        <v>1358</v>
      </c>
      <c r="H121" s="41"/>
      <c r="I121" s="41" t="s">
        <v>662</v>
      </c>
      <c r="J121" s="41" t="s">
        <v>431</v>
      </c>
      <c r="K121" s="41" t="s">
        <v>134</v>
      </c>
      <c r="L121" s="46" t="s">
        <v>439</v>
      </c>
    </row>
    <row r="122" spans="1:12" s="39" customFormat="1">
      <c r="A122" s="67"/>
      <c r="B122" s="41" t="s">
        <v>628</v>
      </c>
      <c r="C122" s="41" t="s">
        <v>136</v>
      </c>
      <c r="D122" s="42" t="s">
        <v>873</v>
      </c>
      <c r="E122" s="41" t="s">
        <v>243</v>
      </c>
      <c r="F122" s="41"/>
      <c r="G122" s="42" t="s">
        <v>1359</v>
      </c>
      <c r="H122" s="41"/>
      <c r="I122" s="41" t="s">
        <v>662</v>
      </c>
      <c r="J122" s="41" t="s">
        <v>431</v>
      </c>
      <c r="K122" s="41" t="s">
        <v>134</v>
      </c>
      <c r="L122" s="46" t="s">
        <v>439</v>
      </c>
    </row>
    <row r="123" spans="1:12" s="64" customFormat="1">
      <c r="A123" s="67"/>
      <c r="B123" s="68" t="s">
        <v>462</v>
      </c>
      <c r="C123" s="69" t="s">
        <v>136</v>
      </c>
      <c r="D123" s="43" t="s">
        <v>463</v>
      </c>
      <c r="E123" s="44" t="s">
        <v>243</v>
      </c>
      <c r="F123" s="70"/>
      <c r="G123" s="70" t="s">
        <v>1456</v>
      </c>
      <c r="H123" s="44"/>
      <c r="I123" s="66" t="s">
        <v>662</v>
      </c>
      <c r="J123" s="47" t="s">
        <v>431</v>
      </c>
      <c r="K123" s="47" t="s">
        <v>134</v>
      </c>
      <c r="L123" s="47" t="s">
        <v>439</v>
      </c>
    </row>
    <row r="124" spans="1:12" s="64" customFormat="1">
      <c r="A124" s="67"/>
      <c r="B124" s="68" t="s">
        <v>658</v>
      </c>
      <c r="C124" s="69" t="s">
        <v>136</v>
      </c>
      <c r="D124" s="43" t="s">
        <v>659</v>
      </c>
      <c r="E124" s="44" t="s">
        <v>243</v>
      </c>
      <c r="F124" s="70"/>
      <c r="G124" s="70" t="s">
        <v>1416</v>
      </c>
      <c r="H124" s="44"/>
      <c r="I124" s="66" t="s">
        <v>662</v>
      </c>
      <c r="J124" s="47" t="s">
        <v>431</v>
      </c>
      <c r="K124" s="47" t="s">
        <v>134</v>
      </c>
      <c r="L124" s="47" t="s">
        <v>439</v>
      </c>
    </row>
    <row r="125" spans="1:12" s="64" customFormat="1">
      <c r="A125" s="67"/>
      <c r="B125" s="68" t="s">
        <v>665</v>
      </c>
      <c r="C125" s="69" t="s">
        <v>136</v>
      </c>
      <c r="D125" s="43" t="s">
        <v>1024</v>
      </c>
      <c r="E125" s="44" t="s">
        <v>243</v>
      </c>
      <c r="F125" s="70"/>
      <c r="G125" s="70" t="s">
        <v>1360</v>
      </c>
      <c r="H125" s="44"/>
      <c r="I125" s="66" t="s">
        <v>662</v>
      </c>
      <c r="J125" s="47" t="s">
        <v>431</v>
      </c>
      <c r="K125" s="47" t="s">
        <v>134</v>
      </c>
      <c r="L125" s="47" t="s">
        <v>439</v>
      </c>
    </row>
    <row r="126" spans="1:12" s="64" customFormat="1">
      <c r="A126" s="67"/>
      <c r="B126" s="68" t="s">
        <v>669</v>
      </c>
      <c r="C126" s="69" t="s">
        <v>245</v>
      </c>
      <c r="D126" s="43" t="s">
        <v>670</v>
      </c>
      <c r="E126" s="44" t="s">
        <v>243</v>
      </c>
      <c r="F126" s="70"/>
      <c r="G126" s="70" t="s">
        <v>1417</v>
      </c>
      <c r="H126" s="44"/>
      <c r="I126" s="66" t="s">
        <v>662</v>
      </c>
      <c r="J126" s="47" t="s">
        <v>431</v>
      </c>
      <c r="K126" s="47" t="s">
        <v>134</v>
      </c>
      <c r="L126" s="47" t="s">
        <v>439</v>
      </c>
    </row>
    <row r="127" spans="1:12" s="64" customFormat="1">
      <c r="A127" s="67"/>
      <c r="B127" s="68" t="s">
        <v>743</v>
      </c>
      <c r="C127" s="68" t="s">
        <v>136</v>
      </c>
      <c r="D127" s="42" t="s">
        <v>1027</v>
      </c>
      <c r="E127" s="44" t="s">
        <v>243</v>
      </c>
      <c r="F127" s="70"/>
      <c r="G127" s="70" t="s">
        <v>1361</v>
      </c>
      <c r="H127" s="71"/>
      <c r="I127" s="66" t="s">
        <v>662</v>
      </c>
      <c r="J127" s="47" t="s">
        <v>431</v>
      </c>
      <c r="K127" s="47" t="s">
        <v>134</v>
      </c>
      <c r="L127" s="47" t="s">
        <v>439</v>
      </c>
    </row>
    <row r="128" spans="1:12" s="64" customFormat="1">
      <c r="A128" s="67"/>
      <c r="B128" s="68" t="s">
        <v>746</v>
      </c>
      <c r="C128" s="68" t="s">
        <v>136</v>
      </c>
      <c r="D128" s="42" t="s">
        <v>1030</v>
      </c>
      <c r="E128" s="44" t="s">
        <v>243</v>
      </c>
      <c r="F128" s="70"/>
      <c r="G128" s="70" t="s">
        <v>1362</v>
      </c>
      <c r="H128" s="71"/>
      <c r="I128" s="66" t="s">
        <v>662</v>
      </c>
      <c r="J128" s="47" t="s">
        <v>431</v>
      </c>
      <c r="K128" s="47" t="s">
        <v>134</v>
      </c>
      <c r="L128" s="47" t="s">
        <v>439</v>
      </c>
    </row>
    <row r="129" spans="1:12" s="64" customFormat="1">
      <c r="A129" s="67"/>
      <c r="B129" s="68" t="s">
        <v>749</v>
      </c>
      <c r="C129" s="68" t="s">
        <v>136</v>
      </c>
      <c r="D129" s="42" t="s">
        <v>1033</v>
      </c>
      <c r="E129" s="44" t="s">
        <v>243</v>
      </c>
      <c r="F129" s="70"/>
      <c r="G129" s="70" t="s">
        <v>1363</v>
      </c>
      <c r="H129" s="71"/>
      <c r="I129" s="66" t="s">
        <v>662</v>
      </c>
      <c r="J129" s="47" t="s">
        <v>431</v>
      </c>
      <c r="K129" s="47" t="s">
        <v>134</v>
      </c>
      <c r="L129" s="47" t="s">
        <v>439</v>
      </c>
    </row>
    <row r="130" spans="1:12" s="64" customFormat="1">
      <c r="A130" s="67"/>
      <c r="B130" s="68" t="s">
        <v>752</v>
      </c>
      <c r="C130" s="68" t="s">
        <v>136</v>
      </c>
      <c r="D130" s="42" t="s">
        <v>1036</v>
      </c>
      <c r="E130" s="44" t="s">
        <v>243</v>
      </c>
      <c r="F130" s="70"/>
      <c r="G130" s="70" t="s">
        <v>1364</v>
      </c>
      <c r="H130" s="71"/>
      <c r="I130" s="66" t="s">
        <v>662</v>
      </c>
      <c r="J130" s="47" t="s">
        <v>431</v>
      </c>
      <c r="K130" s="47" t="s">
        <v>134</v>
      </c>
      <c r="L130" s="47" t="s">
        <v>439</v>
      </c>
    </row>
    <row r="131" spans="1:12" s="64" customFormat="1">
      <c r="A131" s="67"/>
      <c r="B131" s="68" t="s">
        <v>755</v>
      </c>
      <c r="C131" s="68" t="s">
        <v>136</v>
      </c>
      <c r="D131" s="42" t="s">
        <v>1039</v>
      </c>
      <c r="E131" s="44" t="s">
        <v>243</v>
      </c>
      <c r="F131" s="70"/>
      <c r="G131" s="70" t="s">
        <v>1365</v>
      </c>
      <c r="H131" s="71"/>
      <c r="I131" s="66" t="s">
        <v>662</v>
      </c>
      <c r="J131" s="47" t="s">
        <v>431</v>
      </c>
      <c r="K131" s="47" t="s">
        <v>134</v>
      </c>
      <c r="L131" s="47" t="s">
        <v>439</v>
      </c>
    </row>
    <row r="132" spans="1:12" s="64" customFormat="1">
      <c r="A132" s="67"/>
      <c r="B132" s="68" t="s">
        <v>758</v>
      </c>
      <c r="C132" s="68" t="s">
        <v>136</v>
      </c>
      <c r="D132" s="42" t="s">
        <v>1042</v>
      </c>
      <c r="E132" s="44" t="s">
        <v>243</v>
      </c>
      <c r="F132" s="70"/>
      <c r="G132" s="70" t="s">
        <v>1366</v>
      </c>
      <c r="H132" s="71"/>
      <c r="I132" s="66" t="s">
        <v>662</v>
      </c>
      <c r="J132" s="47" t="s">
        <v>431</v>
      </c>
      <c r="K132" s="47" t="s">
        <v>134</v>
      </c>
      <c r="L132" s="47" t="s">
        <v>439</v>
      </c>
    </row>
    <row r="133" spans="1:12" s="64" customFormat="1">
      <c r="A133" s="67"/>
      <c r="B133" s="68" t="s">
        <v>1547</v>
      </c>
      <c r="C133" s="68" t="s">
        <v>136</v>
      </c>
      <c r="D133" s="42" t="s">
        <v>1045</v>
      </c>
      <c r="E133" s="44" t="s">
        <v>243</v>
      </c>
      <c r="F133" s="70"/>
      <c r="G133" s="70" t="s">
        <v>1367</v>
      </c>
      <c r="H133" s="71"/>
      <c r="I133" s="66" t="s">
        <v>662</v>
      </c>
      <c r="J133" s="47" t="s">
        <v>431</v>
      </c>
      <c r="K133" s="47" t="s">
        <v>134</v>
      </c>
      <c r="L133" s="47" t="s">
        <v>439</v>
      </c>
    </row>
    <row r="134" spans="1:12" s="64" customFormat="1">
      <c r="A134" s="67"/>
      <c r="B134" s="68" t="s">
        <v>673</v>
      </c>
      <c r="C134" s="68" t="s">
        <v>136</v>
      </c>
      <c r="D134" s="42" t="s">
        <v>674</v>
      </c>
      <c r="E134" s="44" t="s">
        <v>243</v>
      </c>
      <c r="F134" s="70"/>
      <c r="G134" s="70" t="s">
        <v>1284</v>
      </c>
      <c r="H134" s="71"/>
      <c r="I134" s="66" t="s">
        <v>662</v>
      </c>
      <c r="J134" s="47" t="s">
        <v>431</v>
      </c>
      <c r="K134" s="47" t="s">
        <v>134</v>
      </c>
      <c r="L134" s="47" t="s">
        <v>439</v>
      </c>
    </row>
    <row r="135" spans="1:12" s="64" customFormat="1">
      <c r="A135" s="67"/>
      <c r="B135" s="68" t="s">
        <v>676</v>
      </c>
      <c r="C135" s="68" t="s">
        <v>136</v>
      </c>
      <c r="D135" s="42" t="s">
        <v>677</v>
      </c>
      <c r="E135" s="44" t="s">
        <v>243</v>
      </c>
      <c r="F135" s="70"/>
      <c r="G135" s="70" t="s">
        <v>1285</v>
      </c>
      <c r="H135" s="71"/>
      <c r="I135" s="66" t="s">
        <v>662</v>
      </c>
      <c r="J135" s="47" t="s">
        <v>431</v>
      </c>
      <c r="K135" s="47" t="s">
        <v>134</v>
      </c>
      <c r="L135" s="47" t="s">
        <v>439</v>
      </c>
    </row>
    <row r="136" spans="1:12" s="64" customFormat="1">
      <c r="A136" s="67"/>
      <c r="B136" s="68" t="s">
        <v>679</v>
      </c>
      <c r="C136" s="68" t="s">
        <v>136</v>
      </c>
      <c r="D136" s="42" t="s">
        <v>680</v>
      </c>
      <c r="E136" s="44" t="s">
        <v>243</v>
      </c>
      <c r="F136" s="70"/>
      <c r="G136" s="70" t="s">
        <v>1286</v>
      </c>
      <c r="H136" s="71"/>
      <c r="I136" s="66" t="s">
        <v>662</v>
      </c>
      <c r="J136" s="47" t="s">
        <v>431</v>
      </c>
      <c r="K136" s="47" t="s">
        <v>134</v>
      </c>
      <c r="L136" s="47" t="s">
        <v>439</v>
      </c>
    </row>
    <row r="137" spans="1:12" s="64" customFormat="1">
      <c r="A137" s="67"/>
      <c r="B137" s="68" t="s">
        <v>682</v>
      </c>
      <c r="C137" s="68" t="s">
        <v>136</v>
      </c>
      <c r="D137" s="42" t="s">
        <v>683</v>
      </c>
      <c r="E137" s="44" t="s">
        <v>243</v>
      </c>
      <c r="F137" s="70"/>
      <c r="G137" s="70" t="s">
        <v>1287</v>
      </c>
      <c r="H137" s="71"/>
      <c r="I137" s="66" t="s">
        <v>662</v>
      </c>
      <c r="J137" s="47" t="s">
        <v>431</v>
      </c>
      <c r="K137" s="47" t="s">
        <v>134</v>
      </c>
      <c r="L137" s="47" t="s">
        <v>439</v>
      </c>
    </row>
    <row r="138" spans="1:12" s="64" customFormat="1">
      <c r="A138" s="67"/>
      <c r="B138" s="68" t="s">
        <v>685</v>
      </c>
      <c r="C138" s="68" t="s">
        <v>136</v>
      </c>
      <c r="D138" s="42" t="s">
        <v>686</v>
      </c>
      <c r="E138" s="44" t="s">
        <v>243</v>
      </c>
      <c r="F138" s="70"/>
      <c r="G138" s="70" t="s">
        <v>1288</v>
      </c>
      <c r="H138" s="71"/>
      <c r="I138" s="66" t="s">
        <v>662</v>
      </c>
      <c r="J138" s="47" t="s">
        <v>431</v>
      </c>
      <c r="K138" s="47" t="s">
        <v>134</v>
      </c>
      <c r="L138" s="47" t="s">
        <v>439</v>
      </c>
    </row>
    <row r="139" spans="1:12" s="64" customFormat="1">
      <c r="A139" s="67"/>
      <c r="B139" s="68" t="s">
        <v>688</v>
      </c>
      <c r="C139" s="68" t="s">
        <v>136</v>
      </c>
      <c r="D139" s="42" t="s">
        <v>689</v>
      </c>
      <c r="E139" s="44" t="s">
        <v>243</v>
      </c>
      <c r="F139" s="70"/>
      <c r="G139" s="70" t="s">
        <v>1289</v>
      </c>
      <c r="H139" s="71"/>
      <c r="I139" s="66" t="s">
        <v>662</v>
      </c>
      <c r="J139" s="47" t="s">
        <v>431</v>
      </c>
      <c r="K139" s="47" t="s">
        <v>134</v>
      </c>
      <c r="L139" s="47" t="s">
        <v>439</v>
      </c>
    </row>
    <row r="140" spans="1:12" s="64" customFormat="1">
      <c r="A140" s="67"/>
      <c r="B140" s="68" t="s">
        <v>691</v>
      </c>
      <c r="C140" s="68" t="s">
        <v>136</v>
      </c>
      <c r="D140" s="42" t="s">
        <v>692</v>
      </c>
      <c r="E140" s="44" t="s">
        <v>243</v>
      </c>
      <c r="F140" s="70"/>
      <c r="G140" s="70" t="s">
        <v>1290</v>
      </c>
      <c r="H140" s="71"/>
      <c r="I140" s="66" t="s">
        <v>662</v>
      </c>
      <c r="J140" s="47" t="s">
        <v>431</v>
      </c>
      <c r="K140" s="47" t="s">
        <v>134</v>
      </c>
      <c r="L140" s="47" t="s">
        <v>439</v>
      </c>
    </row>
    <row r="141" spans="1:12" s="64" customFormat="1">
      <c r="A141" s="67"/>
      <c r="B141" s="68" t="s">
        <v>694</v>
      </c>
      <c r="C141" s="68" t="s">
        <v>136</v>
      </c>
      <c r="D141" s="42" t="s">
        <v>695</v>
      </c>
      <c r="E141" s="44" t="s">
        <v>243</v>
      </c>
      <c r="F141" s="70"/>
      <c r="G141" s="70" t="s">
        <v>1291</v>
      </c>
      <c r="H141" s="71"/>
      <c r="I141" s="66" t="s">
        <v>662</v>
      </c>
      <c r="J141" s="47" t="s">
        <v>431</v>
      </c>
      <c r="K141" s="47" t="s">
        <v>134</v>
      </c>
      <c r="L141" s="47" t="s">
        <v>439</v>
      </c>
    </row>
    <row r="142" spans="1:12" s="64" customFormat="1">
      <c r="A142" s="67"/>
      <c r="B142" s="68" t="s">
        <v>698</v>
      </c>
      <c r="C142" s="68" t="s">
        <v>136</v>
      </c>
      <c r="D142" s="42" t="s">
        <v>699</v>
      </c>
      <c r="E142" s="44" t="s">
        <v>243</v>
      </c>
      <c r="F142" s="70"/>
      <c r="G142" s="70" t="s">
        <v>1292</v>
      </c>
      <c r="H142" s="71"/>
      <c r="I142" s="66" t="s">
        <v>662</v>
      </c>
      <c r="J142" s="47" t="s">
        <v>431</v>
      </c>
      <c r="K142" s="47" t="s">
        <v>134</v>
      </c>
      <c r="L142" s="47" t="s">
        <v>439</v>
      </c>
    </row>
    <row r="143" spans="1:12" s="64" customFormat="1">
      <c r="A143" s="67"/>
      <c r="B143" s="68" t="s">
        <v>702</v>
      </c>
      <c r="C143" s="68" t="s">
        <v>136</v>
      </c>
      <c r="D143" s="42" t="s">
        <v>703</v>
      </c>
      <c r="E143" s="44" t="s">
        <v>243</v>
      </c>
      <c r="F143" s="70"/>
      <c r="G143" s="70" t="s">
        <v>1293</v>
      </c>
      <c r="H143" s="71"/>
      <c r="I143" s="66" t="s">
        <v>662</v>
      </c>
      <c r="J143" s="47" t="s">
        <v>431</v>
      </c>
      <c r="K143" s="47" t="s">
        <v>134</v>
      </c>
      <c r="L143" s="47" t="s">
        <v>439</v>
      </c>
    </row>
    <row r="144" spans="1:12" s="64" customFormat="1">
      <c r="A144" s="67"/>
      <c r="B144" s="68" t="s">
        <v>706</v>
      </c>
      <c r="C144" s="68" t="s">
        <v>136</v>
      </c>
      <c r="D144" s="42" t="s">
        <v>707</v>
      </c>
      <c r="E144" s="44" t="s">
        <v>243</v>
      </c>
      <c r="F144" s="70"/>
      <c r="G144" s="70" t="s">
        <v>1294</v>
      </c>
      <c r="H144" s="71"/>
      <c r="I144" s="66" t="s">
        <v>662</v>
      </c>
      <c r="J144" s="47" t="s">
        <v>431</v>
      </c>
      <c r="K144" s="47" t="s">
        <v>134</v>
      </c>
      <c r="L144" s="47" t="s">
        <v>439</v>
      </c>
    </row>
    <row r="145" spans="1:12" s="64" customFormat="1">
      <c r="A145" s="67"/>
      <c r="B145" s="68" t="s">
        <v>709</v>
      </c>
      <c r="C145" s="68" t="s">
        <v>136</v>
      </c>
      <c r="D145" s="42" t="s">
        <v>710</v>
      </c>
      <c r="E145" s="44" t="s">
        <v>243</v>
      </c>
      <c r="F145" s="70"/>
      <c r="G145" s="70" t="s">
        <v>1295</v>
      </c>
      <c r="H145" s="71"/>
      <c r="I145" s="66" t="s">
        <v>662</v>
      </c>
      <c r="J145" s="47" t="s">
        <v>431</v>
      </c>
      <c r="K145" s="47" t="s">
        <v>134</v>
      </c>
      <c r="L145" s="47" t="s">
        <v>439</v>
      </c>
    </row>
    <row r="146" spans="1:12" s="64" customFormat="1">
      <c r="A146" s="67"/>
      <c r="B146" s="68" t="s">
        <v>713</v>
      </c>
      <c r="C146" s="68" t="s">
        <v>136</v>
      </c>
      <c r="D146" s="42" t="s">
        <v>714</v>
      </c>
      <c r="E146" s="44" t="s">
        <v>243</v>
      </c>
      <c r="F146" s="70"/>
      <c r="G146" s="70" t="s">
        <v>1296</v>
      </c>
      <c r="H146" s="71"/>
      <c r="I146" s="66" t="s">
        <v>662</v>
      </c>
      <c r="J146" s="47" t="s">
        <v>431</v>
      </c>
      <c r="K146" s="47" t="s">
        <v>134</v>
      </c>
      <c r="L146" s="47" t="s">
        <v>439</v>
      </c>
    </row>
    <row r="147" spans="1:12" s="64" customFormat="1">
      <c r="A147" s="67"/>
      <c r="B147" s="68" t="s">
        <v>716</v>
      </c>
      <c r="C147" s="68" t="s">
        <v>136</v>
      </c>
      <c r="D147" s="42" t="s">
        <v>717</v>
      </c>
      <c r="E147" s="44" t="s">
        <v>243</v>
      </c>
      <c r="F147" s="70"/>
      <c r="G147" s="70" t="s">
        <v>1297</v>
      </c>
      <c r="H147" s="71"/>
      <c r="I147" s="66" t="s">
        <v>662</v>
      </c>
      <c r="J147" s="47" t="s">
        <v>431</v>
      </c>
      <c r="K147" s="47" t="s">
        <v>134</v>
      </c>
      <c r="L147" s="47" t="s">
        <v>439</v>
      </c>
    </row>
    <row r="148" spans="1:12" s="64" customFormat="1">
      <c r="A148" s="67"/>
      <c r="B148" s="68" t="s">
        <v>719</v>
      </c>
      <c r="C148" s="68" t="s">
        <v>136</v>
      </c>
      <c r="D148" s="42" t="s">
        <v>720</v>
      </c>
      <c r="E148" s="44" t="s">
        <v>243</v>
      </c>
      <c r="F148" s="70"/>
      <c r="G148" s="70" t="s">
        <v>1298</v>
      </c>
      <c r="H148" s="71"/>
      <c r="I148" s="66" t="s">
        <v>662</v>
      </c>
      <c r="J148" s="47" t="s">
        <v>431</v>
      </c>
      <c r="K148" s="47" t="s">
        <v>134</v>
      </c>
      <c r="L148" s="47" t="s">
        <v>439</v>
      </c>
    </row>
    <row r="149" spans="1:12" s="64" customFormat="1">
      <c r="A149" s="67"/>
      <c r="B149" s="68" t="s">
        <v>722</v>
      </c>
      <c r="C149" s="68" t="s">
        <v>136</v>
      </c>
      <c r="D149" s="42" t="s">
        <v>723</v>
      </c>
      <c r="E149" s="44" t="s">
        <v>243</v>
      </c>
      <c r="F149" s="70"/>
      <c r="G149" s="70" t="s">
        <v>1299</v>
      </c>
      <c r="H149" s="71"/>
      <c r="I149" s="66" t="s">
        <v>662</v>
      </c>
      <c r="J149" s="47" t="s">
        <v>431</v>
      </c>
      <c r="K149" s="47" t="s">
        <v>134</v>
      </c>
      <c r="L149" s="47" t="s">
        <v>439</v>
      </c>
    </row>
    <row r="150" spans="1:12" s="64" customFormat="1">
      <c r="A150" s="67"/>
      <c r="B150" s="68" t="s">
        <v>725</v>
      </c>
      <c r="C150" s="68" t="s">
        <v>136</v>
      </c>
      <c r="D150" s="42" t="s">
        <v>726</v>
      </c>
      <c r="E150" s="44" t="s">
        <v>243</v>
      </c>
      <c r="F150" s="70"/>
      <c r="G150" s="70" t="s">
        <v>1300</v>
      </c>
      <c r="H150" s="71"/>
      <c r="I150" s="66" t="s">
        <v>662</v>
      </c>
      <c r="J150" s="47" t="s">
        <v>431</v>
      </c>
      <c r="K150" s="47" t="s">
        <v>134</v>
      </c>
      <c r="L150" s="47" t="s">
        <v>439</v>
      </c>
    </row>
    <row r="151" spans="1:12" s="64" customFormat="1">
      <c r="A151" s="67"/>
      <c r="B151" s="68" t="s">
        <v>728</v>
      </c>
      <c r="C151" s="68" t="s">
        <v>136</v>
      </c>
      <c r="D151" s="42" t="s">
        <v>729</v>
      </c>
      <c r="E151" s="44" t="s">
        <v>243</v>
      </c>
      <c r="F151" s="70"/>
      <c r="G151" s="70" t="s">
        <v>1301</v>
      </c>
      <c r="H151" s="71"/>
      <c r="I151" s="66" t="s">
        <v>662</v>
      </c>
      <c r="J151" s="47" t="s">
        <v>431</v>
      </c>
      <c r="K151" s="47" t="s">
        <v>134</v>
      </c>
      <c r="L151" s="47" t="s">
        <v>439</v>
      </c>
    </row>
    <row r="152" spans="1:12" s="64" customFormat="1">
      <c r="A152" s="67"/>
      <c r="B152" s="68" t="s">
        <v>731</v>
      </c>
      <c r="C152" s="68" t="s">
        <v>136</v>
      </c>
      <c r="D152" s="42" t="s">
        <v>732</v>
      </c>
      <c r="E152" s="44" t="s">
        <v>243</v>
      </c>
      <c r="F152" s="70"/>
      <c r="G152" s="70" t="s">
        <v>1302</v>
      </c>
      <c r="H152" s="71"/>
      <c r="I152" s="66" t="s">
        <v>662</v>
      </c>
      <c r="J152" s="47" t="s">
        <v>431</v>
      </c>
      <c r="K152" s="47" t="s">
        <v>134</v>
      </c>
      <c r="L152" s="47" t="s">
        <v>439</v>
      </c>
    </row>
    <row r="153" spans="1:12" s="64" customFormat="1">
      <c r="A153" s="67"/>
      <c r="B153" s="68" t="s">
        <v>734</v>
      </c>
      <c r="C153" s="68" t="s">
        <v>136</v>
      </c>
      <c r="D153" s="42" t="s">
        <v>735</v>
      </c>
      <c r="E153" s="44" t="s">
        <v>243</v>
      </c>
      <c r="F153" s="70"/>
      <c r="G153" s="70" t="s">
        <v>1303</v>
      </c>
      <c r="H153" s="71"/>
      <c r="I153" s="66" t="s">
        <v>662</v>
      </c>
      <c r="J153" s="47" t="s">
        <v>431</v>
      </c>
      <c r="K153" s="47" t="s">
        <v>134</v>
      </c>
      <c r="L153" s="47" t="s">
        <v>439</v>
      </c>
    </row>
    <row r="154" spans="1:12" s="64" customFormat="1">
      <c r="A154" s="67"/>
      <c r="B154" s="68" t="s">
        <v>737</v>
      </c>
      <c r="C154" s="68" t="s">
        <v>136</v>
      </c>
      <c r="D154" s="42" t="s">
        <v>738</v>
      </c>
      <c r="E154" s="44" t="s">
        <v>243</v>
      </c>
      <c r="F154" s="70"/>
      <c r="G154" s="70" t="s">
        <v>1304</v>
      </c>
      <c r="H154" s="71"/>
      <c r="I154" s="66" t="s">
        <v>662</v>
      </c>
      <c r="J154" s="47" t="s">
        <v>431</v>
      </c>
      <c r="K154" s="47" t="s">
        <v>134</v>
      </c>
      <c r="L154" s="47" t="s">
        <v>439</v>
      </c>
    </row>
    <row r="155" spans="1:12" s="64" customFormat="1">
      <c r="A155" s="67"/>
      <c r="B155" s="68" t="s">
        <v>740</v>
      </c>
      <c r="C155" s="68" t="s">
        <v>136</v>
      </c>
      <c r="D155" s="42" t="s">
        <v>741</v>
      </c>
      <c r="E155" s="44" t="s">
        <v>243</v>
      </c>
      <c r="F155" s="70"/>
      <c r="G155" s="70" t="s">
        <v>1305</v>
      </c>
      <c r="H155" s="71"/>
      <c r="I155" s="66" t="s">
        <v>662</v>
      </c>
      <c r="J155" s="47" t="s">
        <v>431</v>
      </c>
      <c r="K155" s="47" t="s">
        <v>134</v>
      </c>
      <c r="L155" s="47" t="s">
        <v>439</v>
      </c>
    </row>
    <row r="156" spans="1:12" s="64" customFormat="1">
      <c r="A156" s="67"/>
      <c r="B156" s="68" t="s">
        <v>779</v>
      </c>
      <c r="C156" s="69" t="s">
        <v>136</v>
      </c>
      <c r="D156" s="43" t="s">
        <v>780</v>
      </c>
      <c r="E156" s="44" t="s">
        <v>243</v>
      </c>
      <c r="F156" s="70"/>
      <c r="G156" s="70" t="s">
        <v>1440</v>
      </c>
      <c r="H156" s="44"/>
      <c r="I156" s="66" t="s">
        <v>662</v>
      </c>
      <c r="J156" s="47" t="s">
        <v>431</v>
      </c>
      <c r="K156" s="47" t="s">
        <v>134</v>
      </c>
      <c r="L156" s="47" t="s">
        <v>439</v>
      </c>
    </row>
    <row r="157" spans="1:12" s="64" customFormat="1">
      <c r="A157" s="67"/>
      <c r="B157" s="68" t="s">
        <v>781</v>
      </c>
      <c r="C157" s="69" t="s">
        <v>136</v>
      </c>
      <c r="D157" s="43" t="s">
        <v>782</v>
      </c>
      <c r="E157" s="44" t="s">
        <v>243</v>
      </c>
      <c r="F157" s="70"/>
      <c r="G157" s="70" t="s">
        <v>1441</v>
      </c>
      <c r="H157" s="44"/>
      <c r="I157" s="66" t="s">
        <v>662</v>
      </c>
      <c r="J157" s="47" t="s">
        <v>431</v>
      </c>
      <c r="K157" s="47" t="s">
        <v>134</v>
      </c>
      <c r="L157" s="47" t="s">
        <v>439</v>
      </c>
    </row>
    <row r="158" spans="1:12" s="64" customFormat="1">
      <c r="A158" s="67"/>
      <c r="B158" s="68" t="s">
        <v>783</v>
      </c>
      <c r="C158" s="69" t="s">
        <v>136</v>
      </c>
      <c r="D158" s="43" t="s">
        <v>784</v>
      </c>
      <c r="E158" s="44" t="s">
        <v>243</v>
      </c>
      <c r="F158" s="70"/>
      <c r="G158" s="70" t="s">
        <v>1442</v>
      </c>
      <c r="H158" s="44"/>
      <c r="I158" s="66" t="s">
        <v>662</v>
      </c>
      <c r="J158" s="47" t="s">
        <v>431</v>
      </c>
      <c r="K158" s="47" t="s">
        <v>134</v>
      </c>
      <c r="L158" s="47" t="s">
        <v>439</v>
      </c>
    </row>
    <row r="159" spans="1:12" s="64" customFormat="1">
      <c r="A159" s="67"/>
      <c r="B159" s="68" t="s">
        <v>785</v>
      </c>
      <c r="C159" s="69" t="s">
        <v>136</v>
      </c>
      <c r="D159" s="43" t="s">
        <v>786</v>
      </c>
      <c r="E159" s="44" t="s">
        <v>243</v>
      </c>
      <c r="F159" s="70"/>
      <c r="G159" s="70" t="s">
        <v>1443</v>
      </c>
      <c r="H159" s="44"/>
      <c r="I159" s="66" t="s">
        <v>662</v>
      </c>
      <c r="J159" s="47" t="s">
        <v>431</v>
      </c>
      <c r="K159" s="47" t="s">
        <v>134</v>
      </c>
      <c r="L159" s="47" t="s">
        <v>439</v>
      </c>
    </row>
    <row r="160" spans="1:12" s="64" customFormat="1">
      <c r="A160" s="67"/>
      <c r="B160" s="68" t="s">
        <v>787</v>
      </c>
      <c r="C160" s="69" t="s">
        <v>136</v>
      </c>
      <c r="D160" s="43" t="s">
        <v>788</v>
      </c>
      <c r="E160" s="44" t="s">
        <v>243</v>
      </c>
      <c r="F160" s="70"/>
      <c r="G160" s="70" t="s">
        <v>1444</v>
      </c>
      <c r="H160" s="44"/>
      <c r="I160" s="66" t="s">
        <v>662</v>
      </c>
      <c r="J160" s="47" t="s">
        <v>431</v>
      </c>
      <c r="K160" s="47" t="s">
        <v>134</v>
      </c>
      <c r="L160" s="47" t="s">
        <v>439</v>
      </c>
    </row>
    <row r="161" spans="1:12" s="64" customFormat="1">
      <c r="A161" s="67"/>
      <c r="B161" s="68" t="s">
        <v>789</v>
      </c>
      <c r="C161" s="69" t="s">
        <v>136</v>
      </c>
      <c r="D161" s="43" t="s">
        <v>790</v>
      </c>
      <c r="E161" s="44" t="s">
        <v>243</v>
      </c>
      <c r="F161" s="70"/>
      <c r="G161" s="70" t="s">
        <v>1445</v>
      </c>
      <c r="H161" s="44"/>
      <c r="I161" s="66" t="s">
        <v>662</v>
      </c>
      <c r="J161" s="47" t="s">
        <v>431</v>
      </c>
      <c r="K161" s="47" t="s">
        <v>134</v>
      </c>
      <c r="L161" s="47" t="s">
        <v>439</v>
      </c>
    </row>
    <row r="162" spans="1:12" s="64" customFormat="1">
      <c r="A162" s="67"/>
      <c r="B162" s="68" t="s">
        <v>791</v>
      </c>
      <c r="C162" s="69" t="s">
        <v>136</v>
      </c>
      <c r="D162" s="43" t="s">
        <v>792</v>
      </c>
      <c r="E162" s="44" t="s">
        <v>243</v>
      </c>
      <c r="F162" s="70"/>
      <c r="G162" s="70" t="s">
        <v>1446</v>
      </c>
      <c r="H162" s="44"/>
      <c r="I162" s="66" t="s">
        <v>662</v>
      </c>
      <c r="J162" s="47" t="s">
        <v>431</v>
      </c>
      <c r="K162" s="47" t="s">
        <v>134</v>
      </c>
      <c r="L162" s="47" t="s">
        <v>439</v>
      </c>
    </row>
    <row r="163" spans="1:12" s="64" customFormat="1">
      <c r="A163" s="67"/>
      <c r="B163" s="68" t="s">
        <v>2384</v>
      </c>
      <c r="C163" s="69" t="s">
        <v>136</v>
      </c>
      <c r="D163" s="43" t="s">
        <v>794</v>
      </c>
      <c r="E163" s="44" t="s">
        <v>243</v>
      </c>
      <c r="F163" s="70"/>
      <c r="G163" s="70" t="s">
        <v>1447</v>
      </c>
      <c r="H163" s="44"/>
      <c r="I163" s="66" t="s">
        <v>662</v>
      </c>
      <c r="J163" s="47" t="s">
        <v>431</v>
      </c>
      <c r="K163" s="47" t="s">
        <v>134</v>
      </c>
      <c r="L163" s="47" t="s">
        <v>439</v>
      </c>
    </row>
    <row r="164" spans="1:12" s="64" customFormat="1">
      <c r="A164" s="67"/>
      <c r="B164" s="68" t="s">
        <v>2385</v>
      </c>
      <c r="C164" s="69" t="s">
        <v>136</v>
      </c>
      <c r="D164" s="43" t="s">
        <v>796</v>
      </c>
      <c r="E164" s="44" t="s">
        <v>243</v>
      </c>
      <c r="F164" s="70"/>
      <c r="G164" s="70" t="s">
        <v>1448</v>
      </c>
      <c r="H164" s="44"/>
      <c r="I164" s="66" t="s">
        <v>662</v>
      </c>
      <c r="J164" s="47" t="s">
        <v>431</v>
      </c>
      <c r="K164" s="47" t="s">
        <v>134</v>
      </c>
      <c r="L164" s="47" t="s">
        <v>439</v>
      </c>
    </row>
    <row r="165" spans="1:12" s="64" customFormat="1">
      <c r="A165" s="67"/>
      <c r="B165" s="68" t="s">
        <v>2386</v>
      </c>
      <c r="C165" s="69" t="s">
        <v>136</v>
      </c>
      <c r="D165" s="43" t="s">
        <v>798</v>
      </c>
      <c r="E165" s="44" t="s">
        <v>243</v>
      </c>
      <c r="F165" s="70"/>
      <c r="G165" s="70" t="s">
        <v>1449</v>
      </c>
      <c r="H165" s="44"/>
      <c r="I165" s="66" t="s">
        <v>662</v>
      </c>
      <c r="J165" s="47" t="s">
        <v>431</v>
      </c>
      <c r="K165" s="47" t="s">
        <v>134</v>
      </c>
      <c r="L165" s="47" t="s">
        <v>439</v>
      </c>
    </row>
    <row r="166" spans="1:12" s="64" customFormat="1">
      <c r="A166" s="67"/>
      <c r="B166" s="68" t="s">
        <v>2387</v>
      </c>
      <c r="C166" s="69" t="s">
        <v>136</v>
      </c>
      <c r="D166" s="43" t="s">
        <v>800</v>
      </c>
      <c r="E166" s="44" t="s">
        <v>243</v>
      </c>
      <c r="F166" s="70"/>
      <c r="G166" s="70" t="s">
        <v>1450</v>
      </c>
      <c r="H166" s="44"/>
      <c r="I166" s="66" t="s">
        <v>662</v>
      </c>
      <c r="J166" s="47" t="s">
        <v>431</v>
      </c>
      <c r="K166" s="47" t="s">
        <v>134</v>
      </c>
      <c r="L166" s="47" t="s">
        <v>439</v>
      </c>
    </row>
    <row r="167" spans="1:12" s="64" customFormat="1">
      <c r="A167" s="67"/>
      <c r="B167" s="68" t="s">
        <v>2388</v>
      </c>
      <c r="C167" s="69" t="s">
        <v>136</v>
      </c>
      <c r="D167" s="43" t="s">
        <v>802</v>
      </c>
      <c r="E167" s="44" t="s">
        <v>243</v>
      </c>
      <c r="F167" s="70"/>
      <c r="G167" s="70" t="s">
        <v>1451</v>
      </c>
      <c r="H167" s="44"/>
      <c r="I167" s="66" t="s">
        <v>662</v>
      </c>
      <c r="J167" s="47" t="s">
        <v>431</v>
      </c>
      <c r="K167" s="47" t="s">
        <v>134</v>
      </c>
      <c r="L167" s="47" t="s">
        <v>439</v>
      </c>
    </row>
    <row r="168" spans="1:12" s="64" customFormat="1">
      <c r="A168" s="67"/>
      <c r="B168" s="68" t="s">
        <v>2389</v>
      </c>
      <c r="C168" s="69" t="s">
        <v>136</v>
      </c>
      <c r="D168" s="43" t="s">
        <v>804</v>
      </c>
      <c r="E168" s="44" t="s">
        <v>243</v>
      </c>
      <c r="F168" s="70"/>
      <c r="G168" s="70" t="s">
        <v>1452</v>
      </c>
      <c r="H168" s="44"/>
      <c r="I168" s="66" t="s">
        <v>662</v>
      </c>
      <c r="J168" s="47" t="s">
        <v>431</v>
      </c>
      <c r="K168" s="47" t="s">
        <v>134</v>
      </c>
      <c r="L168" s="47" t="s">
        <v>439</v>
      </c>
    </row>
    <row r="169" spans="1:12" s="64" customFormat="1">
      <c r="A169" s="67"/>
      <c r="B169" s="68" t="s">
        <v>2057</v>
      </c>
      <c r="C169" s="69" t="s">
        <v>136</v>
      </c>
      <c r="D169" s="43" t="s">
        <v>806</v>
      </c>
      <c r="E169" s="44" t="s">
        <v>243</v>
      </c>
      <c r="F169" s="70"/>
      <c r="G169" s="70" t="s">
        <v>1453</v>
      </c>
      <c r="H169" s="44"/>
      <c r="I169" s="66" t="s">
        <v>662</v>
      </c>
      <c r="J169" s="47" t="s">
        <v>431</v>
      </c>
      <c r="K169" s="47" t="s">
        <v>134</v>
      </c>
      <c r="L169" s="47" t="s">
        <v>439</v>
      </c>
    </row>
    <row r="170" spans="1:12" s="64" customFormat="1">
      <c r="A170" s="67"/>
      <c r="B170" s="68" t="s">
        <v>2056</v>
      </c>
      <c r="C170" s="68" t="s">
        <v>136</v>
      </c>
      <c r="D170" s="43" t="s">
        <v>2055</v>
      </c>
      <c r="E170" s="44" t="s">
        <v>243</v>
      </c>
      <c r="F170" s="70"/>
      <c r="G170" s="70" t="s">
        <v>2062</v>
      </c>
      <c r="H170" s="71"/>
      <c r="I170" s="66" t="s">
        <v>662</v>
      </c>
      <c r="J170" s="47" t="s">
        <v>431</v>
      </c>
      <c r="K170" s="47" t="s">
        <v>134</v>
      </c>
      <c r="L170" s="47" t="s">
        <v>439</v>
      </c>
    </row>
    <row r="171" spans="1:12" s="64" customFormat="1">
      <c r="A171" s="67"/>
      <c r="B171" s="68" t="s">
        <v>2060</v>
      </c>
      <c r="C171" s="68" t="s">
        <v>136</v>
      </c>
      <c r="D171" s="43" t="s">
        <v>2061</v>
      </c>
      <c r="E171" s="44" t="s">
        <v>243</v>
      </c>
      <c r="F171" s="70"/>
      <c r="G171" s="70" t="s">
        <v>2063</v>
      </c>
      <c r="H171" s="71"/>
      <c r="I171" s="66" t="s">
        <v>662</v>
      </c>
      <c r="J171" s="47" t="s">
        <v>431</v>
      </c>
      <c r="K171" s="47" t="s">
        <v>134</v>
      </c>
      <c r="L171" s="47" t="s">
        <v>439</v>
      </c>
    </row>
    <row r="172" spans="1:12" s="64" customFormat="1">
      <c r="A172" s="67"/>
      <c r="B172" s="68" t="s">
        <v>2599</v>
      </c>
      <c r="C172" s="69" t="s">
        <v>136</v>
      </c>
      <c r="D172" s="43" t="s">
        <v>2592</v>
      </c>
      <c r="E172" s="44" t="s">
        <v>248</v>
      </c>
      <c r="F172" s="70"/>
      <c r="G172" s="70" t="s">
        <v>2597</v>
      </c>
      <c r="H172" s="44"/>
      <c r="I172" s="66" t="s">
        <v>662</v>
      </c>
      <c r="J172" s="47" t="s">
        <v>431</v>
      </c>
      <c r="K172" s="47" t="s">
        <v>134</v>
      </c>
      <c r="L172" s="47" t="s">
        <v>439</v>
      </c>
    </row>
    <row r="173" spans="1:12" s="64" customFormat="1" ht="26.4">
      <c r="A173" s="67"/>
      <c r="B173" s="68" t="s">
        <v>2594</v>
      </c>
      <c r="C173" s="69" t="s">
        <v>136</v>
      </c>
      <c r="D173" s="43" t="s">
        <v>2595</v>
      </c>
      <c r="E173" s="44" t="s">
        <v>248</v>
      </c>
      <c r="F173" s="70"/>
      <c r="G173" s="70" t="s">
        <v>2598</v>
      </c>
      <c r="H173" s="44"/>
      <c r="I173" s="66" t="s">
        <v>662</v>
      </c>
      <c r="J173" s="47" t="s">
        <v>431</v>
      </c>
      <c r="K173" s="47" t="s">
        <v>134</v>
      </c>
      <c r="L173" s="47" t="s">
        <v>533</v>
      </c>
    </row>
    <row r="174" spans="1:12" s="4" customFormat="1">
      <c r="A174" s="36"/>
      <c r="B174" s="36" t="s">
        <v>233</v>
      </c>
      <c r="C174" s="36" t="s">
        <v>139</v>
      </c>
      <c r="D174" s="37" t="s">
        <v>234</v>
      </c>
      <c r="E174" s="36"/>
      <c r="F174" s="36"/>
      <c r="G174" s="37"/>
      <c r="H174" s="36"/>
      <c r="I174" s="36"/>
      <c r="J174" s="36"/>
      <c r="K174" s="36"/>
      <c r="L174" s="38"/>
    </row>
    <row r="175" spans="1:12" s="4" customFormat="1">
      <c r="A175" s="36"/>
      <c r="B175" s="36" t="s">
        <v>235</v>
      </c>
      <c r="C175" s="36" t="s">
        <v>132</v>
      </c>
      <c r="D175" s="37" t="s">
        <v>1548</v>
      </c>
      <c r="E175" s="36"/>
      <c r="F175" s="36"/>
      <c r="G175" s="37"/>
      <c r="H175" s="36"/>
      <c r="I175" s="36"/>
      <c r="J175" s="36"/>
      <c r="K175" s="36"/>
      <c r="L175" s="38"/>
    </row>
    <row r="176" spans="1:12" s="4" customFormat="1">
      <c r="A176" s="36"/>
      <c r="B176" s="36" t="s">
        <v>237</v>
      </c>
      <c r="C176" s="36" t="s">
        <v>139</v>
      </c>
      <c r="D176" s="37" t="s">
        <v>238</v>
      </c>
      <c r="E176" s="36"/>
      <c r="F176" s="36"/>
      <c r="G176" s="37"/>
      <c r="H176" s="36"/>
      <c r="I176" s="36"/>
      <c r="J176" s="36"/>
      <c r="K176" s="36"/>
      <c r="L176" s="38"/>
    </row>
  </sheetData>
  <autoFilter ref="A14:Q176" xr:uid="{00000000-0009-0000-0000-000013000000}">
    <sortState xmlns:xlrd2="http://schemas.microsoft.com/office/spreadsheetml/2017/richdata2" ref="A14:Q176">
      <sortCondition ref="A14"/>
    </sortState>
  </autoFilter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137"/>
  <sheetViews>
    <sheetView zoomScale="85" zoomScaleNormal="85" workbookViewId="0">
      <pane ySplit="5" topLeftCell="A6" activePane="bottomLeft" state="frozen"/>
      <selection activeCell="G26" sqref="G26:G118"/>
      <selection pane="bottomLeft" activeCell="C10" sqref="C9:C10"/>
    </sheetView>
  </sheetViews>
  <sheetFormatPr defaultColWidth="9" defaultRowHeight="13.2"/>
  <cols>
    <col min="1" max="1" width="3" style="5" customWidth="1"/>
    <col min="2" max="2" width="23.6640625" style="5" customWidth="1"/>
    <col min="3" max="3" width="35.109375" style="5" bestFit="1" customWidth="1"/>
    <col min="4" max="4" width="32.21875" style="5" customWidth="1"/>
    <col min="5" max="5" width="16.21875" style="5" customWidth="1"/>
    <col min="6" max="6" width="24.88671875" style="5" customWidth="1"/>
    <col min="7" max="7" width="39.5546875" style="6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1:14">
      <c r="B1" s="7" t="str">
        <f>HYPERLINK("#导航!a2","返回")</f>
        <v>返回</v>
      </c>
    </row>
    <row r="2" spans="1:14">
      <c r="B2" s="156"/>
      <c r="C2" s="156"/>
      <c r="D2" s="156"/>
      <c r="E2" s="156"/>
      <c r="F2" s="156"/>
      <c r="G2" s="156"/>
      <c r="H2" s="156"/>
    </row>
    <row r="3" spans="1:14">
      <c r="B3" s="157" t="s">
        <v>106</v>
      </c>
      <c r="C3" s="157"/>
      <c r="D3" s="157"/>
      <c r="E3" s="157"/>
      <c r="F3" s="157"/>
      <c r="G3" s="157"/>
      <c r="H3" s="157"/>
    </row>
    <row r="4" spans="1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10" t="s">
        <v>12</v>
      </c>
      <c r="H4" s="9" t="s">
        <v>111</v>
      </c>
    </row>
    <row r="5" spans="1:14">
      <c r="B5" s="11" t="s">
        <v>55</v>
      </c>
      <c r="C5" s="12" t="s">
        <v>78</v>
      </c>
      <c r="D5" s="13" t="s">
        <v>79</v>
      </c>
      <c r="E5" s="14" t="s">
        <v>379</v>
      </c>
      <c r="F5" s="15"/>
      <c r="G5" s="12"/>
      <c r="H5" s="14"/>
      <c r="N5" s="5"/>
    </row>
    <row r="6" spans="1:14">
      <c r="B6" s="8"/>
      <c r="C6" s="8"/>
      <c r="D6" s="8"/>
      <c r="E6" s="8"/>
      <c r="F6" s="8"/>
      <c r="G6" s="16"/>
      <c r="H6" s="8"/>
    </row>
    <row r="7" spans="1:14">
      <c r="B7" s="157" t="s">
        <v>113</v>
      </c>
      <c r="C7" s="157"/>
      <c r="D7" s="157"/>
      <c r="E7" s="157"/>
      <c r="F7" s="157"/>
      <c r="G7" s="157"/>
      <c r="H7" s="157"/>
    </row>
    <row r="8" spans="1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8" t="s">
        <v>22</v>
      </c>
      <c r="H8" s="17" t="s">
        <v>119</v>
      </c>
    </row>
    <row r="9" spans="1:14">
      <c r="B9" s="14"/>
      <c r="C9" s="12" t="s">
        <v>2313</v>
      </c>
      <c r="D9" s="13" t="s">
        <v>63</v>
      </c>
      <c r="E9" s="14" t="s">
        <v>243</v>
      </c>
      <c r="F9" s="19"/>
      <c r="G9" s="20" t="s">
        <v>2289</v>
      </c>
      <c r="H9" s="21"/>
    </row>
    <row r="10" spans="1:14">
      <c r="B10" s="14"/>
      <c r="C10" s="12"/>
      <c r="D10" s="12"/>
      <c r="E10" s="14"/>
      <c r="F10" s="19"/>
      <c r="G10" s="20"/>
      <c r="H10" s="14"/>
    </row>
    <row r="11" spans="1:14">
      <c r="G11" s="22"/>
    </row>
    <row r="12" spans="1:14">
      <c r="B12" s="5" t="s">
        <v>120</v>
      </c>
    </row>
    <row r="13" spans="1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1:14">
      <c r="B14" s="23" t="s">
        <v>121</v>
      </c>
      <c r="C14" s="23" t="s">
        <v>122</v>
      </c>
      <c r="D14" s="23" t="s">
        <v>123</v>
      </c>
      <c r="E14" s="23" t="s">
        <v>124</v>
      </c>
      <c r="F14" s="23" t="s">
        <v>125</v>
      </c>
      <c r="G14" s="24" t="s">
        <v>126</v>
      </c>
      <c r="H14" s="23" t="s">
        <v>127</v>
      </c>
      <c r="I14" s="23" t="s">
        <v>22</v>
      </c>
      <c r="J14" s="23" t="s">
        <v>128</v>
      </c>
      <c r="K14" s="23" t="s">
        <v>129</v>
      </c>
      <c r="L14" s="23" t="s">
        <v>130</v>
      </c>
    </row>
    <row r="15" spans="1:14">
      <c r="A15" s="14"/>
      <c r="B15" s="14" t="s">
        <v>383</v>
      </c>
      <c r="C15" s="14" t="s">
        <v>132</v>
      </c>
      <c r="D15" s="12" t="s">
        <v>480</v>
      </c>
      <c r="E15" s="14" t="s">
        <v>243</v>
      </c>
      <c r="F15" s="14" t="s">
        <v>235</v>
      </c>
      <c r="G15" s="12" t="s">
        <v>250</v>
      </c>
      <c r="H15" s="14"/>
      <c r="I15" s="14"/>
      <c r="J15" s="14" t="s">
        <v>384</v>
      </c>
      <c r="K15" s="14" t="s">
        <v>134</v>
      </c>
      <c r="L15" s="31" t="s">
        <v>134</v>
      </c>
    </row>
    <row r="16" spans="1:14">
      <c r="A16" s="14"/>
      <c r="B16" s="14" t="s">
        <v>379</v>
      </c>
      <c r="C16" s="14" t="s">
        <v>139</v>
      </c>
      <c r="D16" s="12" t="s">
        <v>48</v>
      </c>
      <c r="E16" s="14" t="s">
        <v>243</v>
      </c>
      <c r="F16" s="14" t="s">
        <v>237</v>
      </c>
      <c r="G16" s="12" t="s">
        <v>250</v>
      </c>
      <c r="H16" s="14"/>
      <c r="I16" s="14"/>
      <c r="J16" s="14" t="s">
        <v>384</v>
      </c>
      <c r="K16" s="14" t="s">
        <v>134</v>
      </c>
      <c r="L16" s="31" t="s">
        <v>134</v>
      </c>
    </row>
    <row r="17" spans="1:12">
      <c r="A17" s="14"/>
      <c r="B17" s="14" t="s">
        <v>284</v>
      </c>
      <c r="C17" s="14" t="s">
        <v>132</v>
      </c>
      <c r="D17" s="12" t="s">
        <v>285</v>
      </c>
      <c r="E17" s="14" t="s">
        <v>243</v>
      </c>
      <c r="F17" s="14" t="s">
        <v>284</v>
      </c>
      <c r="G17" s="12" t="s">
        <v>250</v>
      </c>
      <c r="H17" s="14"/>
      <c r="I17" s="14"/>
      <c r="J17" s="14" t="s">
        <v>384</v>
      </c>
      <c r="K17" s="14" t="s">
        <v>134</v>
      </c>
      <c r="L17" s="31" t="s">
        <v>134</v>
      </c>
    </row>
    <row r="18" spans="1:12" s="1" customFormat="1">
      <c r="A18" s="25"/>
      <c r="B18" s="26" t="s">
        <v>2276</v>
      </c>
      <c r="C18" s="27" t="s">
        <v>132</v>
      </c>
      <c r="D18" s="20" t="s">
        <v>485</v>
      </c>
      <c r="E18" s="28" t="s">
        <v>243</v>
      </c>
      <c r="F18" s="19" t="s">
        <v>400</v>
      </c>
      <c r="G18" s="19" t="s">
        <v>250</v>
      </c>
      <c r="H18" s="14"/>
      <c r="I18" s="33"/>
      <c r="J18" s="33" t="s">
        <v>384</v>
      </c>
      <c r="K18" s="34" t="s">
        <v>134</v>
      </c>
      <c r="L18" s="34" t="s">
        <v>134</v>
      </c>
    </row>
    <row r="19" spans="1:12">
      <c r="A19" s="14"/>
      <c r="B19" s="14" t="s">
        <v>287</v>
      </c>
      <c r="C19" s="14" t="s">
        <v>136</v>
      </c>
      <c r="D19" s="12" t="s">
        <v>808</v>
      </c>
      <c r="E19" s="14" t="s">
        <v>243</v>
      </c>
      <c r="F19" s="14" t="s">
        <v>287</v>
      </c>
      <c r="G19" s="12" t="s">
        <v>250</v>
      </c>
      <c r="H19" s="14"/>
      <c r="I19" s="14"/>
      <c r="J19" s="14" t="s">
        <v>384</v>
      </c>
      <c r="K19" s="14" t="s">
        <v>134</v>
      </c>
      <c r="L19" s="31" t="s">
        <v>134</v>
      </c>
    </row>
    <row r="20" spans="1:12">
      <c r="A20" s="14"/>
      <c r="B20" s="14" t="s">
        <v>141</v>
      </c>
      <c r="C20" s="14" t="s">
        <v>132</v>
      </c>
      <c r="D20" s="12" t="s">
        <v>143</v>
      </c>
      <c r="E20" s="14" t="s">
        <v>243</v>
      </c>
      <c r="F20" s="14" t="s">
        <v>141</v>
      </c>
      <c r="G20" s="12" t="s">
        <v>250</v>
      </c>
      <c r="H20" s="14"/>
      <c r="I20" s="14"/>
      <c r="J20" s="14" t="s">
        <v>384</v>
      </c>
      <c r="K20" s="14" t="s">
        <v>134</v>
      </c>
      <c r="L20" s="31" t="s">
        <v>134</v>
      </c>
    </row>
    <row r="21" spans="1:12" s="2" customFormat="1">
      <c r="A21" s="29"/>
      <c r="B21" s="14" t="s">
        <v>251</v>
      </c>
      <c r="C21" s="14" t="s">
        <v>132</v>
      </c>
      <c r="D21" s="12" t="s">
        <v>494</v>
      </c>
      <c r="E21" s="30" t="s">
        <v>243</v>
      </c>
      <c r="F21" s="19" t="s">
        <v>251</v>
      </c>
      <c r="G21" s="31" t="s">
        <v>250</v>
      </c>
      <c r="H21" s="14"/>
      <c r="I21" s="35"/>
      <c r="J21" s="14" t="s">
        <v>384</v>
      </c>
      <c r="K21" s="14" t="s">
        <v>134</v>
      </c>
      <c r="L21" s="31" t="s">
        <v>134</v>
      </c>
    </row>
    <row r="22" spans="1:12" s="2" customFormat="1">
      <c r="A22" s="29"/>
      <c r="B22" s="14" t="s">
        <v>257</v>
      </c>
      <c r="C22" s="14" t="s">
        <v>132</v>
      </c>
      <c r="D22" s="12" t="s">
        <v>280</v>
      </c>
      <c r="E22" s="30" t="s">
        <v>243</v>
      </c>
      <c r="F22" s="19" t="s">
        <v>257</v>
      </c>
      <c r="G22" s="31" t="s">
        <v>250</v>
      </c>
      <c r="H22" s="14"/>
      <c r="I22" s="35"/>
      <c r="J22" s="14" t="s">
        <v>384</v>
      </c>
      <c r="K22" s="14" t="s">
        <v>134</v>
      </c>
      <c r="L22" s="31" t="s">
        <v>134</v>
      </c>
    </row>
    <row r="23" spans="1:12" s="2" customFormat="1">
      <c r="A23" s="29"/>
      <c r="B23" s="14" t="s">
        <v>254</v>
      </c>
      <c r="C23" s="14" t="s">
        <v>132</v>
      </c>
      <c r="D23" s="12" t="s">
        <v>495</v>
      </c>
      <c r="E23" s="30" t="s">
        <v>243</v>
      </c>
      <c r="F23" s="19" t="s">
        <v>254</v>
      </c>
      <c r="G23" s="31" t="s">
        <v>250</v>
      </c>
      <c r="H23" s="14"/>
      <c r="I23" s="35"/>
      <c r="J23" s="14" t="s">
        <v>384</v>
      </c>
      <c r="K23" s="14" t="s">
        <v>134</v>
      </c>
      <c r="L23" s="31" t="s">
        <v>134</v>
      </c>
    </row>
    <row r="24" spans="1:12">
      <c r="A24" s="14"/>
      <c r="B24" s="14" t="s">
        <v>273</v>
      </c>
      <c r="C24" s="14" t="s">
        <v>139</v>
      </c>
      <c r="D24" s="12" t="s">
        <v>274</v>
      </c>
      <c r="E24" s="14" t="s">
        <v>243</v>
      </c>
      <c r="F24" s="14" t="s">
        <v>273</v>
      </c>
      <c r="G24" s="12" t="s">
        <v>250</v>
      </c>
      <c r="H24" s="14"/>
      <c r="I24" s="14"/>
      <c r="J24" s="14" t="s">
        <v>384</v>
      </c>
      <c r="K24" s="14" t="s">
        <v>134</v>
      </c>
      <c r="L24" s="31" t="s">
        <v>134</v>
      </c>
    </row>
    <row r="25" spans="1:12">
      <c r="A25" s="14"/>
      <c r="B25" s="14" t="s">
        <v>385</v>
      </c>
      <c r="C25" s="14" t="s">
        <v>139</v>
      </c>
      <c r="D25" s="12" t="s">
        <v>487</v>
      </c>
      <c r="E25" s="14" t="s">
        <v>243</v>
      </c>
      <c r="F25" s="14" t="s">
        <v>385</v>
      </c>
      <c r="G25" s="12" t="s">
        <v>250</v>
      </c>
      <c r="H25" s="14"/>
      <c r="I25" s="14"/>
      <c r="J25" s="14" t="s">
        <v>384</v>
      </c>
      <c r="K25" s="14" t="s">
        <v>134</v>
      </c>
      <c r="L25" s="31" t="s">
        <v>134</v>
      </c>
    </row>
    <row r="26" spans="1:12">
      <c r="A26" s="14"/>
      <c r="B26" s="14" t="s">
        <v>388</v>
      </c>
      <c r="C26" s="14" t="s">
        <v>139</v>
      </c>
      <c r="D26" s="12" t="s">
        <v>488</v>
      </c>
      <c r="E26" s="14" t="s">
        <v>243</v>
      </c>
      <c r="F26" s="14" t="s">
        <v>388</v>
      </c>
      <c r="G26" s="12" t="s">
        <v>250</v>
      </c>
      <c r="H26" s="14"/>
      <c r="I26" s="14"/>
      <c r="J26" s="14" t="s">
        <v>384</v>
      </c>
      <c r="K26" s="14" t="s">
        <v>134</v>
      </c>
      <c r="L26" s="31" t="s">
        <v>134</v>
      </c>
    </row>
    <row r="27" spans="1:12">
      <c r="A27" s="14"/>
      <c r="B27" s="14" t="s">
        <v>392</v>
      </c>
      <c r="C27" s="14" t="s">
        <v>132</v>
      </c>
      <c r="D27" s="12" t="s">
        <v>391</v>
      </c>
      <c r="E27" s="14" t="s">
        <v>243</v>
      </c>
      <c r="F27" s="14" t="s">
        <v>392</v>
      </c>
      <c r="G27" s="12" t="s">
        <v>250</v>
      </c>
      <c r="H27" s="14"/>
      <c r="I27" s="14"/>
      <c r="J27" s="14" t="s">
        <v>384</v>
      </c>
      <c r="K27" s="14" t="s">
        <v>134</v>
      </c>
      <c r="L27" s="31" t="s">
        <v>134</v>
      </c>
    </row>
    <row r="28" spans="1:12">
      <c r="A28" s="14"/>
      <c r="B28" s="14" t="s">
        <v>395</v>
      </c>
      <c r="C28" s="14" t="s">
        <v>132</v>
      </c>
      <c r="D28" s="12" t="s">
        <v>489</v>
      </c>
      <c r="E28" s="14" t="s">
        <v>243</v>
      </c>
      <c r="F28" s="14" t="s">
        <v>395</v>
      </c>
      <c r="G28" s="12" t="s">
        <v>250</v>
      </c>
      <c r="H28" s="14"/>
      <c r="I28" s="14"/>
      <c r="J28" s="14" t="s">
        <v>384</v>
      </c>
      <c r="K28" s="14" t="s">
        <v>134</v>
      </c>
      <c r="L28" s="31" t="s">
        <v>134</v>
      </c>
    </row>
    <row r="29" spans="1:12">
      <c r="A29" s="14"/>
      <c r="B29" s="14" t="s">
        <v>398</v>
      </c>
      <c r="C29" s="14" t="s">
        <v>132</v>
      </c>
      <c r="D29" s="12" t="s">
        <v>490</v>
      </c>
      <c r="E29" s="14" t="s">
        <v>243</v>
      </c>
      <c r="F29" s="14" t="s">
        <v>398</v>
      </c>
      <c r="G29" s="12" t="s">
        <v>250</v>
      </c>
      <c r="H29" s="14"/>
      <c r="I29" s="14"/>
      <c r="J29" s="14" t="s">
        <v>384</v>
      </c>
      <c r="K29" s="14" t="s">
        <v>134</v>
      </c>
      <c r="L29" s="31" t="s">
        <v>134</v>
      </c>
    </row>
    <row r="30" spans="1:12">
      <c r="A30" s="14"/>
      <c r="B30" s="14" t="s">
        <v>377</v>
      </c>
      <c r="C30" s="14" t="s">
        <v>132</v>
      </c>
      <c r="D30" s="12" t="s">
        <v>482</v>
      </c>
      <c r="E30" s="14" t="s">
        <v>243</v>
      </c>
      <c r="F30" s="14" t="s">
        <v>377</v>
      </c>
      <c r="G30" s="12" t="s">
        <v>250</v>
      </c>
      <c r="H30" s="14"/>
      <c r="I30" s="14"/>
      <c r="J30" s="14" t="s">
        <v>384</v>
      </c>
      <c r="K30" s="14" t="s">
        <v>134</v>
      </c>
      <c r="L30" s="31" t="s">
        <v>134</v>
      </c>
    </row>
    <row r="31" spans="1:12">
      <c r="A31" s="14"/>
      <c r="B31" s="14" t="s">
        <v>811</v>
      </c>
      <c r="C31" s="14" t="s">
        <v>136</v>
      </c>
      <c r="D31" s="12" t="s">
        <v>812</v>
      </c>
      <c r="E31" s="14" t="s">
        <v>243</v>
      </c>
      <c r="F31" s="14"/>
      <c r="G31" s="12" t="s">
        <v>1306</v>
      </c>
      <c r="H31" s="14"/>
      <c r="I31" s="14"/>
      <c r="J31" s="14" t="s">
        <v>431</v>
      </c>
      <c r="K31" s="14" t="s">
        <v>134</v>
      </c>
      <c r="L31" s="31" t="s">
        <v>439</v>
      </c>
    </row>
    <row r="32" spans="1:12">
      <c r="A32" s="14"/>
      <c r="B32" s="14" t="s">
        <v>2190</v>
      </c>
      <c r="C32" s="14" t="s">
        <v>136</v>
      </c>
      <c r="D32" s="12" t="s">
        <v>821</v>
      </c>
      <c r="E32" s="14" t="s">
        <v>243</v>
      </c>
      <c r="F32" s="14"/>
      <c r="G32" s="12" t="s">
        <v>2201</v>
      </c>
      <c r="H32" s="14"/>
      <c r="I32" s="14"/>
      <c r="J32" s="14" t="s">
        <v>431</v>
      </c>
      <c r="K32" s="14" t="s">
        <v>134</v>
      </c>
      <c r="L32" s="31" t="s">
        <v>439</v>
      </c>
    </row>
    <row r="33" spans="1:12">
      <c r="A33" s="14"/>
      <c r="B33" s="14" t="s">
        <v>2198</v>
      </c>
      <c r="C33" s="14" t="s">
        <v>136</v>
      </c>
      <c r="D33" s="12" t="s">
        <v>815</v>
      </c>
      <c r="E33" s="14" t="s">
        <v>243</v>
      </c>
      <c r="F33" s="14"/>
      <c r="G33" s="12" t="s">
        <v>1307</v>
      </c>
      <c r="H33" s="14"/>
      <c r="I33" s="14"/>
      <c r="J33" s="14" t="s">
        <v>431</v>
      </c>
      <c r="K33" s="14" t="s">
        <v>134</v>
      </c>
      <c r="L33" s="31" t="s">
        <v>533</v>
      </c>
    </row>
    <row r="34" spans="1:12">
      <c r="A34" s="14"/>
      <c r="B34" s="14" t="s">
        <v>2426</v>
      </c>
      <c r="C34" s="14" t="s">
        <v>245</v>
      </c>
      <c r="D34" s="12" t="s">
        <v>818</v>
      </c>
      <c r="E34" s="14" t="s">
        <v>243</v>
      </c>
      <c r="F34" s="14"/>
      <c r="G34" s="12" t="s">
        <v>1308</v>
      </c>
      <c r="H34" s="14"/>
      <c r="I34" s="14"/>
      <c r="J34" s="14" t="s">
        <v>431</v>
      </c>
      <c r="K34" s="14" t="s">
        <v>134</v>
      </c>
      <c r="L34" s="31" t="s">
        <v>432</v>
      </c>
    </row>
    <row r="35" spans="1:12">
      <c r="A35" s="14"/>
      <c r="B35" s="14" t="s">
        <v>1549</v>
      </c>
      <c r="C35" s="14" t="s">
        <v>136</v>
      </c>
      <c r="D35" s="12" t="s">
        <v>1070</v>
      </c>
      <c r="E35" s="14" t="s">
        <v>243</v>
      </c>
      <c r="F35" s="14"/>
      <c r="G35" s="12" t="s">
        <v>1371</v>
      </c>
      <c r="H35" s="14"/>
      <c r="I35" s="14"/>
      <c r="J35" s="14" t="s">
        <v>431</v>
      </c>
      <c r="K35" s="14" t="s">
        <v>134</v>
      </c>
      <c r="L35" s="31" t="s">
        <v>439</v>
      </c>
    </row>
    <row r="36" spans="1:12">
      <c r="A36" s="14"/>
      <c r="B36" s="14" t="s">
        <v>1550</v>
      </c>
      <c r="C36" s="14" t="s">
        <v>136</v>
      </c>
      <c r="D36" s="12" t="s">
        <v>1073</v>
      </c>
      <c r="E36" s="14" t="s">
        <v>243</v>
      </c>
      <c r="F36" s="14"/>
      <c r="G36" s="12" t="s">
        <v>1372</v>
      </c>
      <c r="H36" s="14"/>
      <c r="I36" s="14"/>
      <c r="J36" s="14" t="s">
        <v>431</v>
      </c>
      <c r="K36" s="14" t="s">
        <v>134</v>
      </c>
      <c r="L36" s="31" t="s">
        <v>439</v>
      </c>
    </row>
    <row r="37" spans="1:12">
      <c r="A37" s="14"/>
      <c r="B37" s="14" t="s">
        <v>554</v>
      </c>
      <c r="C37" s="14" t="s">
        <v>136</v>
      </c>
      <c r="D37" s="12" t="s">
        <v>1076</v>
      </c>
      <c r="E37" s="14" t="s">
        <v>243</v>
      </c>
      <c r="F37" s="14"/>
      <c r="G37" s="12" t="s">
        <v>1373</v>
      </c>
      <c r="H37" s="14"/>
      <c r="I37" s="14"/>
      <c r="J37" s="14" t="s">
        <v>431</v>
      </c>
      <c r="K37" s="14" t="s">
        <v>134</v>
      </c>
      <c r="L37" s="31" t="s">
        <v>439</v>
      </c>
    </row>
    <row r="38" spans="1:12">
      <c r="A38" s="14"/>
      <c r="B38" s="14" t="s">
        <v>552</v>
      </c>
      <c r="C38" s="14" t="s">
        <v>136</v>
      </c>
      <c r="D38" s="12" t="s">
        <v>1079</v>
      </c>
      <c r="E38" s="14" t="s">
        <v>243</v>
      </c>
      <c r="F38" s="14"/>
      <c r="G38" s="12" t="s">
        <v>1374</v>
      </c>
      <c r="H38" s="14"/>
      <c r="I38" s="14"/>
      <c r="J38" s="14" t="s">
        <v>431</v>
      </c>
      <c r="K38" s="14" t="s">
        <v>134</v>
      </c>
      <c r="L38" s="31" t="s">
        <v>439</v>
      </c>
    </row>
    <row r="39" spans="1:12">
      <c r="A39" s="14"/>
      <c r="B39" s="14" t="s">
        <v>550</v>
      </c>
      <c r="C39" s="14" t="s">
        <v>136</v>
      </c>
      <c r="D39" s="12" t="s">
        <v>1081</v>
      </c>
      <c r="E39" s="14" t="s">
        <v>243</v>
      </c>
      <c r="F39" s="14"/>
      <c r="G39" s="12" t="s">
        <v>1375</v>
      </c>
      <c r="H39" s="14"/>
      <c r="I39" s="14"/>
      <c r="J39" s="14" t="s">
        <v>431</v>
      </c>
      <c r="K39" s="14" t="s">
        <v>134</v>
      </c>
      <c r="L39" s="31" t="s">
        <v>439</v>
      </c>
    </row>
    <row r="40" spans="1:12">
      <c r="A40" s="14"/>
      <c r="B40" s="14" t="s">
        <v>548</v>
      </c>
      <c r="C40" s="14" t="s">
        <v>136</v>
      </c>
      <c r="D40" s="12" t="s">
        <v>1083</v>
      </c>
      <c r="E40" s="14" t="s">
        <v>243</v>
      </c>
      <c r="F40" s="14"/>
      <c r="G40" s="12" t="s">
        <v>1376</v>
      </c>
      <c r="H40" s="14"/>
      <c r="I40" s="14"/>
      <c r="J40" s="14" t="s">
        <v>431</v>
      </c>
      <c r="K40" s="14" t="s">
        <v>134</v>
      </c>
      <c r="L40" s="31" t="s">
        <v>439</v>
      </c>
    </row>
    <row r="41" spans="1:12">
      <c r="A41" s="14"/>
      <c r="B41" s="14" t="s">
        <v>546</v>
      </c>
      <c r="C41" s="14" t="s">
        <v>136</v>
      </c>
      <c r="D41" s="12" t="s">
        <v>1086</v>
      </c>
      <c r="E41" s="14" t="s">
        <v>243</v>
      </c>
      <c r="F41" s="14"/>
      <c r="G41" s="12" t="s">
        <v>1377</v>
      </c>
      <c r="H41" s="14"/>
      <c r="I41" s="14"/>
      <c r="J41" s="14" t="s">
        <v>431</v>
      </c>
      <c r="K41" s="14" t="s">
        <v>134</v>
      </c>
      <c r="L41" s="31" t="s">
        <v>439</v>
      </c>
    </row>
    <row r="42" spans="1:12">
      <c r="A42" s="14"/>
      <c r="B42" s="14" t="s">
        <v>544</v>
      </c>
      <c r="C42" s="14" t="s">
        <v>136</v>
      </c>
      <c r="D42" s="12" t="s">
        <v>1089</v>
      </c>
      <c r="E42" s="14" t="s">
        <v>243</v>
      </c>
      <c r="F42" s="14"/>
      <c r="G42" s="12" t="s">
        <v>1378</v>
      </c>
      <c r="H42" s="14"/>
      <c r="I42" s="14"/>
      <c r="J42" s="14" t="s">
        <v>431</v>
      </c>
      <c r="K42" s="14" t="s">
        <v>134</v>
      </c>
      <c r="L42" s="31" t="s">
        <v>439</v>
      </c>
    </row>
    <row r="43" spans="1:12">
      <c r="A43" s="14"/>
      <c r="B43" s="14" t="s">
        <v>542</v>
      </c>
      <c r="C43" s="14" t="s">
        <v>136</v>
      </c>
      <c r="D43" s="12" t="s">
        <v>1092</v>
      </c>
      <c r="E43" s="14" t="s">
        <v>243</v>
      </c>
      <c r="F43" s="14"/>
      <c r="G43" s="12" t="s">
        <v>1379</v>
      </c>
      <c r="H43" s="14"/>
      <c r="I43" s="14"/>
      <c r="J43" s="14" t="s">
        <v>431</v>
      </c>
      <c r="K43" s="14" t="s">
        <v>134</v>
      </c>
      <c r="L43" s="31" t="s">
        <v>439</v>
      </c>
    </row>
    <row r="44" spans="1:12">
      <c r="A44" s="14"/>
      <c r="B44" s="14" t="s">
        <v>540</v>
      </c>
      <c r="C44" s="14" t="s">
        <v>136</v>
      </c>
      <c r="D44" s="12" t="s">
        <v>1095</v>
      </c>
      <c r="E44" s="14" t="s">
        <v>243</v>
      </c>
      <c r="F44" s="14"/>
      <c r="G44" s="12" t="s">
        <v>1380</v>
      </c>
      <c r="H44" s="14"/>
      <c r="I44" s="14"/>
      <c r="J44" s="14" t="s">
        <v>431</v>
      </c>
      <c r="K44" s="14" t="s">
        <v>134</v>
      </c>
      <c r="L44" s="31" t="s">
        <v>439</v>
      </c>
    </row>
    <row r="45" spans="1:12">
      <c r="A45" s="14"/>
      <c r="B45" s="14" t="s">
        <v>538</v>
      </c>
      <c r="C45" s="14" t="s">
        <v>136</v>
      </c>
      <c r="D45" s="12" t="s">
        <v>1098</v>
      </c>
      <c r="E45" s="14" t="s">
        <v>243</v>
      </c>
      <c r="F45" s="14"/>
      <c r="G45" s="12" t="s">
        <v>1381</v>
      </c>
      <c r="H45" s="14"/>
      <c r="I45" s="14"/>
      <c r="J45" s="14" t="s">
        <v>431</v>
      </c>
      <c r="K45" s="14" t="s">
        <v>134</v>
      </c>
      <c r="L45" s="31" t="s">
        <v>439</v>
      </c>
    </row>
    <row r="46" spans="1:12">
      <c r="A46" s="14"/>
      <c r="B46" s="14" t="s">
        <v>536</v>
      </c>
      <c r="C46" s="14" t="s">
        <v>136</v>
      </c>
      <c r="D46" s="12" t="s">
        <v>1101</v>
      </c>
      <c r="E46" s="14" t="s">
        <v>243</v>
      </c>
      <c r="F46" s="14"/>
      <c r="G46" s="12" t="s">
        <v>1382</v>
      </c>
      <c r="H46" s="14"/>
      <c r="I46" s="14"/>
      <c r="J46" s="14" t="s">
        <v>431</v>
      </c>
      <c r="K46" s="14" t="s">
        <v>134</v>
      </c>
      <c r="L46" s="31" t="s">
        <v>439</v>
      </c>
    </row>
    <row r="47" spans="1:12">
      <c r="A47" s="14"/>
      <c r="B47" s="14" t="s">
        <v>2202</v>
      </c>
      <c r="C47" s="14" t="s">
        <v>136</v>
      </c>
      <c r="D47" s="12" t="s">
        <v>1493</v>
      </c>
      <c r="E47" s="14" t="s">
        <v>243</v>
      </c>
      <c r="F47" s="14"/>
      <c r="G47" s="12" t="s">
        <v>1317</v>
      </c>
      <c r="H47" s="14"/>
      <c r="I47" s="14"/>
      <c r="J47" s="14" t="s">
        <v>431</v>
      </c>
      <c r="K47" s="14" t="s">
        <v>134</v>
      </c>
      <c r="L47" s="31" t="s">
        <v>439</v>
      </c>
    </row>
    <row r="48" spans="1:12">
      <c r="A48" s="14"/>
      <c r="B48" s="14" t="s">
        <v>2204</v>
      </c>
      <c r="C48" s="14" t="s">
        <v>245</v>
      </c>
      <c r="D48" s="12" t="s">
        <v>1494</v>
      </c>
      <c r="E48" s="14" t="s">
        <v>243</v>
      </c>
      <c r="F48" s="14"/>
      <c r="G48" s="12" t="s">
        <v>1318</v>
      </c>
      <c r="H48" s="14"/>
      <c r="I48" s="14"/>
      <c r="J48" s="14" t="s">
        <v>431</v>
      </c>
      <c r="K48" s="14" t="s">
        <v>134</v>
      </c>
      <c r="L48" s="31" t="s">
        <v>568</v>
      </c>
    </row>
    <row r="49" spans="1:12">
      <c r="A49" s="14"/>
      <c r="B49" s="14" t="s">
        <v>2206</v>
      </c>
      <c r="C49" s="14" t="s">
        <v>136</v>
      </c>
      <c r="D49" s="12" t="s">
        <v>949</v>
      </c>
      <c r="E49" s="14" t="s">
        <v>243</v>
      </c>
      <c r="F49" s="14"/>
      <c r="G49" s="12" t="s">
        <v>1344</v>
      </c>
      <c r="H49" s="14"/>
      <c r="I49" s="14"/>
      <c r="J49" s="14" t="s">
        <v>431</v>
      </c>
      <c r="K49" s="14" t="s">
        <v>134</v>
      </c>
      <c r="L49" s="31" t="s">
        <v>439</v>
      </c>
    </row>
    <row r="50" spans="1:12">
      <c r="A50" s="14"/>
      <c r="B50" s="14" t="s">
        <v>2208</v>
      </c>
      <c r="C50" s="14" t="s">
        <v>245</v>
      </c>
      <c r="D50" s="12" t="s">
        <v>1104</v>
      </c>
      <c r="E50" s="14" t="s">
        <v>243</v>
      </c>
      <c r="F50" s="14"/>
      <c r="G50" s="12" t="s">
        <v>1383</v>
      </c>
      <c r="H50" s="14"/>
      <c r="I50" s="14"/>
      <c r="J50" s="14" t="s">
        <v>431</v>
      </c>
      <c r="K50" s="14" t="s">
        <v>134</v>
      </c>
      <c r="L50" s="31" t="s">
        <v>610</v>
      </c>
    </row>
    <row r="51" spans="1:12">
      <c r="A51" s="14"/>
      <c r="B51" s="14" t="s">
        <v>2432</v>
      </c>
      <c r="C51" s="14" t="s">
        <v>245</v>
      </c>
      <c r="D51" s="12" t="s">
        <v>1107</v>
      </c>
      <c r="E51" s="14" t="s">
        <v>243</v>
      </c>
      <c r="F51" s="14"/>
      <c r="G51" s="12" t="s">
        <v>1384</v>
      </c>
      <c r="H51" s="14"/>
      <c r="I51" s="14"/>
      <c r="J51" s="14" t="s">
        <v>431</v>
      </c>
      <c r="K51" s="14" t="s">
        <v>134</v>
      </c>
      <c r="L51" s="31" t="s">
        <v>579</v>
      </c>
    </row>
    <row r="52" spans="1:12">
      <c r="A52" s="14"/>
      <c r="B52" s="14" t="s">
        <v>602</v>
      </c>
      <c r="C52" s="14" t="s">
        <v>136</v>
      </c>
      <c r="D52" s="12" t="s">
        <v>1551</v>
      </c>
      <c r="E52" s="14" t="s">
        <v>243</v>
      </c>
      <c r="F52" s="14"/>
      <c r="G52" s="12" t="s">
        <v>1385</v>
      </c>
      <c r="H52" s="14"/>
      <c r="I52" s="14"/>
      <c r="J52" s="14" t="s">
        <v>431</v>
      </c>
      <c r="K52" s="14" t="s">
        <v>134</v>
      </c>
      <c r="L52" s="31" t="s">
        <v>439</v>
      </c>
    </row>
    <row r="53" spans="1:12">
      <c r="A53" s="14"/>
      <c r="B53" s="14" t="s">
        <v>600</v>
      </c>
      <c r="C53" s="14" t="s">
        <v>136</v>
      </c>
      <c r="D53" s="12" t="s">
        <v>1552</v>
      </c>
      <c r="E53" s="14" t="s">
        <v>243</v>
      </c>
      <c r="F53" s="14"/>
      <c r="G53" s="12" t="s">
        <v>1386</v>
      </c>
      <c r="H53" s="14"/>
      <c r="I53" s="14"/>
      <c r="J53" s="14" t="s">
        <v>431</v>
      </c>
      <c r="K53" s="14" t="s">
        <v>134</v>
      </c>
      <c r="L53" s="31" t="s">
        <v>439</v>
      </c>
    </row>
    <row r="54" spans="1:12">
      <c r="A54" s="14"/>
      <c r="B54" s="14" t="s">
        <v>598</v>
      </c>
      <c r="C54" s="14" t="s">
        <v>136</v>
      </c>
      <c r="D54" s="12" t="s">
        <v>1553</v>
      </c>
      <c r="E54" s="14" t="s">
        <v>243</v>
      </c>
      <c r="F54" s="14"/>
      <c r="G54" s="12" t="s">
        <v>1387</v>
      </c>
      <c r="H54" s="14"/>
      <c r="I54" s="14"/>
      <c r="J54" s="14" t="s">
        <v>431</v>
      </c>
      <c r="K54" s="14" t="s">
        <v>134</v>
      </c>
      <c r="L54" s="31" t="s">
        <v>439</v>
      </c>
    </row>
    <row r="55" spans="1:12">
      <c r="A55" s="14"/>
      <c r="B55" s="14" t="s">
        <v>596</v>
      </c>
      <c r="C55" s="14" t="s">
        <v>136</v>
      </c>
      <c r="D55" s="12" t="s">
        <v>1554</v>
      </c>
      <c r="E55" s="14" t="s">
        <v>243</v>
      </c>
      <c r="F55" s="14"/>
      <c r="G55" s="12" t="s">
        <v>1388</v>
      </c>
      <c r="H55" s="14"/>
      <c r="I55" s="14"/>
      <c r="J55" s="14" t="s">
        <v>431</v>
      </c>
      <c r="K55" s="14" t="s">
        <v>134</v>
      </c>
      <c r="L55" s="31" t="s">
        <v>439</v>
      </c>
    </row>
    <row r="56" spans="1:12">
      <c r="A56" s="14"/>
      <c r="B56" s="14" t="s">
        <v>594</v>
      </c>
      <c r="C56" s="14" t="s">
        <v>136</v>
      </c>
      <c r="D56" s="12" t="s">
        <v>1499</v>
      </c>
      <c r="E56" s="14" t="s">
        <v>243</v>
      </c>
      <c r="F56" s="14"/>
      <c r="G56" s="12" t="s">
        <v>1389</v>
      </c>
      <c r="H56" s="14"/>
      <c r="I56" s="14"/>
      <c r="J56" s="14" t="s">
        <v>431</v>
      </c>
      <c r="K56" s="14" t="s">
        <v>134</v>
      </c>
      <c r="L56" s="31" t="s">
        <v>439</v>
      </c>
    </row>
    <row r="57" spans="1:12">
      <c r="A57" s="14"/>
      <c r="B57" s="14" t="s">
        <v>592</v>
      </c>
      <c r="C57" s="14" t="s">
        <v>136</v>
      </c>
      <c r="D57" s="12" t="s">
        <v>1500</v>
      </c>
      <c r="E57" s="14" t="s">
        <v>243</v>
      </c>
      <c r="F57" s="14"/>
      <c r="G57" s="12" t="s">
        <v>1390</v>
      </c>
      <c r="H57" s="14"/>
      <c r="I57" s="14"/>
      <c r="J57" s="14" t="s">
        <v>431</v>
      </c>
      <c r="K57" s="14" t="s">
        <v>134</v>
      </c>
      <c r="L57" s="31" t="s">
        <v>439</v>
      </c>
    </row>
    <row r="58" spans="1:12">
      <c r="A58" s="14"/>
      <c r="B58" s="14" t="s">
        <v>590</v>
      </c>
      <c r="C58" s="14" t="s">
        <v>136</v>
      </c>
      <c r="D58" s="12" t="s">
        <v>1501</v>
      </c>
      <c r="E58" s="14" t="s">
        <v>243</v>
      </c>
      <c r="F58" s="14"/>
      <c r="G58" s="12" t="s">
        <v>1391</v>
      </c>
      <c r="H58" s="14"/>
      <c r="I58" s="14"/>
      <c r="J58" s="14" t="s">
        <v>431</v>
      </c>
      <c r="K58" s="14" t="s">
        <v>134</v>
      </c>
      <c r="L58" s="31" t="s">
        <v>439</v>
      </c>
    </row>
    <row r="59" spans="1:12">
      <c r="A59" s="14"/>
      <c r="B59" s="14" t="s">
        <v>588</v>
      </c>
      <c r="C59" s="14" t="s">
        <v>136</v>
      </c>
      <c r="D59" s="12" t="s">
        <v>1503</v>
      </c>
      <c r="E59" s="14" t="s">
        <v>243</v>
      </c>
      <c r="F59" s="14"/>
      <c r="G59" s="12" t="s">
        <v>1392</v>
      </c>
      <c r="H59" s="14"/>
      <c r="I59" s="14"/>
      <c r="J59" s="14" t="s">
        <v>431</v>
      </c>
      <c r="K59" s="14" t="s">
        <v>134</v>
      </c>
      <c r="L59" s="31" t="s">
        <v>439</v>
      </c>
    </row>
    <row r="60" spans="1:12">
      <c r="A60" s="14"/>
      <c r="B60" s="14" t="s">
        <v>586</v>
      </c>
      <c r="C60" s="14" t="s">
        <v>136</v>
      </c>
      <c r="D60" s="12" t="s">
        <v>1505</v>
      </c>
      <c r="E60" s="14" t="s">
        <v>243</v>
      </c>
      <c r="F60" s="14"/>
      <c r="G60" s="12" t="s">
        <v>1393</v>
      </c>
      <c r="H60" s="14"/>
      <c r="I60" s="14"/>
      <c r="J60" s="14" t="s">
        <v>431</v>
      </c>
      <c r="K60" s="14" t="s">
        <v>134</v>
      </c>
      <c r="L60" s="31" t="s">
        <v>439</v>
      </c>
    </row>
    <row r="61" spans="1:12">
      <c r="A61" s="14"/>
      <c r="B61" s="14" t="s">
        <v>584</v>
      </c>
      <c r="C61" s="14" t="s">
        <v>136</v>
      </c>
      <c r="D61" s="12" t="s">
        <v>1507</v>
      </c>
      <c r="E61" s="14" t="s">
        <v>243</v>
      </c>
      <c r="F61" s="14"/>
      <c r="G61" s="12" t="s">
        <v>1394</v>
      </c>
      <c r="H61" s="14"/>
      <c r="I61" s="14"/>
      <c r="J61" s="14" t="s">
        <v>431</v>
      </c>
      <c r="K61" s="14" t="s">
        <v>134</v>
      </c>
      <c r="L61" s="31" t="s">
        <v>439</v>
      </c>
    </row>
    <row r="62" spans="1:12">
      <c r="A62" s="14"/>
      <c r="B62" s="14" t="s">
        <v>582</v>
      </c>
      <c r="C62" s="14" t="s">
        <v>136</v>
      </c>
      <c r="D62" s="12" t="s">
        <v>1509</v>
      </c>
      <c r="E62" s="14" t="s">
        <v>243</v>
      </c>
      <c r="F62" s="14"/>
      <c r="G62" s="12" t="s">
        <v>1395</v>
      </c>
      <c r="H62" s="14"/>
      <c r="I62" s="14"/>
      <c r="J62" s="14" t="s">
        <v>431</v>
      </c>
      <c r="K62" s="14" t="s">
        <v>134</v>
      </c>
      <c r="L62" s="31" t="s">
        <v>439</v>
      </c>
    </row>
    <row r="63" spans="1:12">
      <c r="A63" s="14"/>
      <c r="B63" s="14" t="s">
        <v>580</v>
      </c>
      <c r="C63" s="14" t="s">
        <v>136</v>
      </c>
      <c r="D63" s="12" t="s">
        <v>1511</v>
      </c>
      <c r="E63" s="14" t="s">
        <v>243</v>
      </c>
      <c r="F63" s="14"/>
      <c r="G63" s="12" t="s">
        <v>1396</v>
      </c>
      <c r="H63" s="14"/>
      <c r="I63" s="14"/>
      <c r="J63" s="14" t="s">
        <v>431</v>
      </c>
      <c r="K63" s="14" t="s">
        <v>134</v>
      </c>
      <c r="L63" s="31" t="s">
        <v>439</v>
      </c>
    </row>
    <row r="64" spans="1:12">
      <c r="A64" s="14"/>
      <c r="B64" s="26" t="s">
        <v>2211</v>
      </c>
      <c r="C64" s="14" t="s">
        <v>136</v>
      </c>
      <c r="D64" s="12" t="s">
        <v>1140</v>
      </c>
      <c r="E64" s="14" t="s">
        <v>243</v>
      </c>
      <c r="F64" s="14"/>
      <c r="G64" s="12" t="s">
        <v>1397</v>
      </c>
      <c r="H64" s="14"/>
      <c r="I64" s="14"/>
      <c r="J64" s="14" t="s">
        <v>431</v>
      </c>
      <c r="K64" s="14" t="s">
        <v>134</v>
      </c>
      <c r="L64" s="31" t="s">
        <v>439</v>
      </c>
    </row>
    <row r="65" spans="1:12">
      <c r="A65" s="14"/>
      <c r="B65" s="26" t="s">
        <v>606</v>
      </c>
      <c r="C65" s="14" t="s">
        <v>245</v>
      </c>
      <c r="D65" s="12" t="s">
        <v>1512</v>
      </c>
      <c r="E65" s="14" t="s">
        <v>243</v>
      </c>
      <c r="F65" s="14"/>
      <c r="G65" s="12" t="s">
        <v>1398</v>
      </c>
      <c r="H65" s="14"/>
      <c r="I65" s="14"/>
      <c r="J65" s="14" t="s">
        <v>431</v>
      </c>
      <c r="K65" s="14" t="s">
        <v>134</v>
      </c>
      <c r="L65" s="31" t="s">
        <v>568</v>
      </c>
    </row>
    <row r="66" spans="1:12">
      <c r="A66" s="14"/>
      <c r="B66" s="14" t="s">
        <v>2214</v>
      </c>
      <c r="C66" s="14" t="s">
        <v>136</v>
      </c>
      <c r="D66" s="12" t="s">
        <v>1146</v>
      </c>
      <c r="E66" s="14" t="s">
        <v>243</v>
      </c>
      <c r="F66" s="14"/>
      <c r="G66" s="12" t="s">
        <v>1399</v>
      </c>
      <c r="H66" s="14"/>
      <c r="I66" s="14"/>
      <c r="J66" s="14" t="s">
        <v>431</v>
      </c>
      <c r="K66" s="14" t="s">
        <v>134</v>
      </c>
      <c r="L66" s="31" t="s">
        <v>439</v>
      </c>
    </row>
    <row r="67" spans="1:12">
      <c r="A67" s="14"/>
      <c r="B67" s="14" t="s">
        <v>2216</v>
      </c>
      <c r="C67" s="14" t="s">
        <v>245</v>
      </c>
      <c r="D67" s="12" t="s">
        <v>1148</v>
      </c>
      <c r="E67" s="14" t="s">
        <v>243</v>
      </c>
      <c r="F67" s="14"/>
      <c r="G67" s="12" t="s">
        <v>1400</v>
      </c>
      <c r="H67" s="14"/>
      <c r="I67" s="14"/>
      <c r="J67" s="14" t="s">
        <v>431</v>
      </c>
      <c r="K67" s="14" t="s">
        <v>134</v>
      </c>
      <c r="L67" s="31" t="s">
        <v>610</v>
      </c>
    </row>
    <row r="68" spans="1:12">
      <c r="A68" s="14"/>
      <c r="B68" s="14" t="s">
        <v>2433</v>
      </c>
      <c r="C68" s="14" t="s">
        <v>245</v>
      </c>
      <c r="D68" s="12" t="s">
        <v>1150</v>
      </c>
      <c r="E68" s="14" t="s">
        <v>243</v>
      </c>
      <c r="F68" s="14"/>
      <c r="G68" s="12" t="s">
        <v>1401</v>
      </c>
      <c r="H68" s="14"/>
      <c r="I68" s="14"/>
      <c r="J68" s="14" t="s">
        <v>431</v>
      </c>
      <c r="K68" s="14" t="s">
        <v>134</v>
      </c>
      <c r="L68" s="31" t="s">
        <v>615</v>
      </c>
    </row>
    <row r="69" spans="1:12">
      <c r="A69" s="14"/>
      <c r="B69" s="14" t="s">
        <v>628</v>
      </c>
      <c r="C69" s="14" t="s">
        <v>136</v>
      </c>
      <c r="D69" s="12" t="s">
        <v>873</v>
      </c>
      <c r="E69" s="14" t="s">
        <v>243</v>
      </c>
      <c r="F69" s="14"/>
      <c r="G69" s="12" t="s">
        <v>1359</v>
      </c>
      <c r="H69" s="14"/>
      <c r="I69" s="14"/>
      <c r="J69" s="14" t="s">
        <v>431</v>
      </c>
      <c r="K69" s="14" t="s">
        <v>134</v>
      </c>
      <c r="L69" s="31" t="s">
        <v>439</v>
      </c>
    </row>
    <row r="70" spans="1:12">
      <c r="A70" s="14"/>
      <c r="B70" s="14" t="s">
        <v>626</v>
      </c>
      <c r="C70" s="14" t="s">
        <v>136</v>
      </c>
      <c r="D70" s="12" t="s">
        <v>870</v>
      </c>
      <c r="E70" s="14" t="s">
        <v>243</v>
      </c>
      <c r="F70" s="14"/>
      <c r="G70" s="12" t="s">
        <v>1358</v>
      </c>
      <c r="H70" s="14"/>
      <c r="I70" s="14"/>
      <c r="J70" s="14" t="s">
        <v>431</v>
      </c>
      <c r="K70" s="14" t="s">
        <v>134</v>
      </c>
      <c r="L70" s="31" t="s">
        <v>439</v>
      </c>
    </row>
    <row r="71" spans="1:12">
      <c r="A71" s="14"/>
      <c r="B71" s="14" t="s">
        <v>624</v>
      </c>
      <c r="C71" s="14" t="s">
        <v>136</v>
      </c>
      <c r="D71" s="12" t="s">
        <v>867</v>
      </c>
      <c r="E71" s="14" t="s">
        <v>243</v>
      </c>
      <c r="F71" s="14"/>
      <c r="G71" s="12" t="s">
        <v>1357</v>
      </c>
      <c r="H71" s="14"/>
      <c r="I71" s="14"/>
      <c r="J71" s="14" t="s">
        <v>431</v>
      </c>
      <c r="K71" s="14" t="s">
        <v>134</v>
      </c>
      <c r="L71" s="31" t="s">
        <v>439</v>
      </c>
    </row>
    <row r="72" spans="1:12">
      <c r="A72" s="14"/>
      <c r="B72" s="14" t="s">
        <v>622</v>
      </c>
      <c r="C72" s="14" t="s">
        <v>136</v>
      </c>
      <c r="D72" s="12" t="s">
        <v>864</v>
      </c>
      <c r="E72" s="14" t="s">
        <v>243</v>
      </c>
      <c r="F72" s="14"/>
      <c r="G72" s="12" t="s">
        <v>1356</v>
      </c>
      <c r="H72" s="14"/>
      <c r="I72" s="14"/>
      <c r="J72" s="14" t="s">
        <v>431</v>
      </c>
      <c r="K72" s="14" t="s">
        <v>134</v>
      </c>
      <c r="L72" s="31" t="s">
        <v>439</v>
      </c>
    </row>
    <row r="73" spans="1:12">
      <c r="A73" s="14"/>
      <c r="B73" s="14" t="s">
        <v>620</v>
      </c>
      <c r="C73" s="14" t="s">
        <v>136</v>
      </c>
      <c r="D73" s="12" t="s">
        <v>861</v>
      </c>
      <c r="E73" s="14" t="s">
        <v>243</v>
      </c>
      <c r="F73" s="14"/>
      <c r="G73" s="12" t="s">
        <v>1355</v>
      </c>
      <c r="H73" s="14"/>
      <c r="I73" s="14"/>
      <c r="J73" s="14" t="s">
        <v>431</v>
      </c>
      <c r="K73" s="14" t="s">
        <v>134</v>
      </c>
      <c r="L73" s="31" t="s">
        <v>439</v>
      </c>
    </row>
    <row r="74" spans="1:12">
      <c r="A74" s="14"/>
      <c r="B74" s="14" t="s">
        <v>618</v>
      </c>
      <c r="C74" s="14" t="s">
        <v>136</v>
      </c>
      <c r="D74" s="12" t="s">
        <v>858</v>
      </c>
      <c r="E74" s="14" t="s">
        <v>243</v>
      </c>
      <c r="F74" s="14"/>
      <c r="G74" s="12" t="s">
        <v>1354</v>
      </c>
      <c r="H74" s="14"/>
      <c r="I74" s="14"/>
      <c r="J74" s="14" t="s">
        <v>431</v>
      </c>
      <c r="K74" s="14" t="s">
        <v>134</v>
      </c>
      <c r="L74" s="31" t="s">
        <v>439</v>
      </c>
    </row>
    <row r="75" spans="1:12">
      <c r="A75" s="14"/>
      <c r="B75" s="14" t="s">
        <v>616</v>
      </c>
      <c r="C75" s="14" t="s">
        <v>136</v>
      </c>
      <c r="D75" s="12" t="s">
        <v>855</v>
      </c>
      <c r="E75" s="14" t="s">
        <v>243</v>
      </c>
      <c r="F75" s="14"/>
      <c r="G75" s="12" t="s">
        <v>1353</v>
      </c>
      <c r="H75" s="14"/>
      <c r="I75" s="14"/>
      <c r="J75" s="14" t="s">
        <v>431</v>
      </c>
      <c r="K75" s="14" t="s">
        <v>134</v>
      </c>
      <c r="L75" s="31" t="s">
        <v>439</v>
      </c>
    </row>
    <row r="76" spans="1:12" s="1" customFormat="1">
      <c r="A76" s="25"/>
      <c r="B76" s="26" t="s">
        <v>2241</v>
      </c>
      <c r="C76" s="27" t="s">
        <v>136</v>
      </c>
      <c r="D76" s="20" t="s">
        <v>1555</v>
      </c>
      <c r="E76" s="28" t="s">
        <v>243</v>
      </c>
      <c r="F76" s="14"/>
      <c r="G76" s="19" t="s">
        <v>1413</v>
      </c>
      <c r="H76" s="28"/>
      <c r="I76" s="33"/>
      <c r="J76" s="34" t="s">
        <v>431</v>
      </c>
      <c r="K76" s="34" t="s">
        <v>134</v>
      </c>
      <c r="L76" s="34" t="s">
        <v>439</v>
      </c>
    </row>
    <row r="77" spans="1:12" s="1" customFormat="1">
      <c r="A77" s="25"/>
      <c r="B77" s="26" t="s">
        <v>2239</v>
      </c>
      <c r="C77" s="27" t="s">
        <v>136</v>
      </c>
      <c r="D77" s="20" t="s">
        <v>1556</v>
      </c>
      <c r="E77" s="28" t="s">
        <v>243</v>
      </c>
      <c r="F77" s="14"/>
      <c r="G77" s="19" t="s">
        <v>1412</v>
      </c>
      <c r="H77" s="28"/>
      <c r="I77" s="33"/>
      <c r="J77" s="34" t="s">
        <v>431</v>
      </c>
      <c r="K77" s="34" t="s">
        <v>134</v>
      </c>
      <c r="L77" s="34" t="s">
        <v>439</v>
      </c>
    </row>
    <row r="78" spans="1:12" s="1" customFormat="1">
      <c r="A78" s="25"/>
      <c r="B78" s="26" t="s">
        <v>2237</v>
      </c>
      <c r="C78" s="27" t="s">
        <v>136</v>
      </c>
      <c r="D78" s="20" t="s">
        <v>1557</v>
      </c>
      <c r="E78" s="28" t="s">
        <v>243</v>
      </c>
      <c r="F78" s="14"/>
      <c r="G78" s="19" t="s">
        <v>1411</v>
      </c>
      <c r="H78" s="28"/>
      <c r="I78" s="33"/>
      <c r="J78" s="34" t="s">
        <v>431</v>
      </c>
      <c r="K78" s="34" t="s">
        <v>134</v>
      </c>
      <c r="L78" s="34" t="s">
        <v>439</v>
      </c>
    </row>
    <row r="79" spans="1:12" s="1" customFormat="1">
      <c r="A79" s="25"/>
      <c r="B79" s="26" t="s">
        <v>2235</v>
      </c>
      <c r="C79" s="27" t="s">
        <v>136</v>
      </c>
      <c r="D79" s="20" t="s">
        <v>1558</v>
      </c>
      <c r="E79" s="28" t="s">
        <v>243</v>
      </c>
      <c r="F79" s="14"/>
      <c r="G79" s="19" t="s">
        <v>1410</v>
      </c>
      <c r="H79" s="28"/>
      <c r="I79" s="33"/>
      <c r="J79" s="34" t="s">
        <v>431</v>
      </c>
      <c r="K79" s="34" t="s">
        <v>134</v>
      </c>
      <c r="L79" s="34" t="s">
        <v>439</v>
      </c>
    </row>
    <row r="80" spans="1:12" s="1" customFormat="1">
      <c r="A80" s="25"/>
      <c r="B80" s="26" t="s">
        <v>2233</v>
      </c>
      <c r="C80" s="27" t="s">
        <v>136</v>
      </c>
      <c r="D80" s="20" t="s">
        <v>1559</v>
      </c>
      <c r="E80" s="28" t="s">
        <v>243</v>
      </c>
      <c r="F80" s="14"/>
      <c r="G80" s="19" t="s">
        <v>1409</v>
      </c>
      <c r="H80" s="28"/>
      <c r="I80" s="33"/>
      <c r="J80" s="34" t="s">
        <v>431</v>
      </c>
      <c r="K80" s="34" t="s">
        <v>134</v>
      </c>
      <c r="L80" s="34" t="s">
        <v>439</v>
      </c>
    </row>
    <row r="81" spans="1:12" s="1" customFormat="1">
      <c r="A81" s="25"/>
      <c r="B81" s="26" t="s">
        <v>2231</v>
      </c>
      <c r="C81" s="27" t="s">
        <v>136</v>
      </c>
      <c r="D81" s="20" t="s">
        <v>1560</v>
      </c>
      <c r="E81" s="28" t="s">
        <v>243</v>
      </c>
      <c r="F81" s="14"/>
      <c r="G81" s="19" t="s">
        <v>1408</v>
      </c>
      <c r="H81" s="28"/>
      <c r="I81" s="33"/>
      <c r="J81" s="34" t="s">
        <v>431</v>
      </c>
      <c r="K81" s="34" t="s">
        <v>134</v>
      </c>
      <c r="L81" s="34" t="s">
        <v>439</v>
      </c>
    </row>
    <row r="82" spans="1:12" s="1" customFormat="1">
      <c r="A82" s="25"/>
      <c r="B82" s="26" t="s">
        <v>2229</v>
      </c>
      <c r="C82" s="27" t="s">
        <v>136</v>
      </c>
      <c r="D82" s="20" t="s">
        <v>1561</v>
      </c>
      <c r="E82" s="28" t="s">
        <v>243</v>
      </c>
      <c r="F82" s="14"/>
      <c r="G82" s="19" t="s">
        <v>1407</v>
      </c>
      <c r="H82" s="28"/>
      <c r="I82" s="33"/>
      <c r="J82" s="34" t="s">
        <v>431</v>
      </c>
      <c r="K82" s="34" t="s">
        <v>134</v>
      </c>
      <c r="L82" s="34" t="s">
        <v>439</v>
      </c>
    </row>
    <row r="83" spans="1:12" s="1" customFormat="1">
      <c r="A83" s="25"/>
      <c r="B83" s="26" t="s">
        <v>2227</v>
      </c>
      <c r="C83" s="27" t="s">
        <v>136</v>
      </c>
      <c r="D83" s="20" t="s">
        <v>1562</v>
      </c>
      <c r="E83" s="28" t="s">
        <v>243</v>
      </c>
      <c r="F83" s="14"/>
      <c r="G83" s="19" t="s">
        <v>1406</v>
      </c>
      <c r="H83" s="28"/>
      <c r="I83" s="33"/>
      <c r="J83" s="34" t="s">
        <v>431</v>
      </c>
      <c r="K83" s="34" t="s">
        <v>134</v>
      </c>
      <c r="L83" s="34" t="s">
        <v>439</v>
      </c>
    </row>
    <row r="84" spans="1:12" s="1" customFormat="1">
      <c r="A84" s="25"/>
      <c r="B84" s="26" t="s">
        <v>2225</v>
      </c>
      <c r="C84" s="27" t="s">
        <v>136</v>
      </c>
      <c r="D84" s="20" t="s">
        <v>1563</v>
      </c>
      <c r="E84" s="28" t="s">
        <v>243</v>
      </c>
      <c r="F84" s="14"/>
      <c r="G84" s="19" t="s">
        <v>1405</v>
      </c>
      <c r="H84" s="28"/>
      <c r="I84" s="33"/>
      <c r="J84" s="34" t="s">
        <v>431</v>
      </c>
      <c r="K84" s="34" t="s">
        <v>134</v>
      </c>
      <c r="L84" s="34" t="s">
        <v>439</v>
      </c>
    </row>
    <row r="85" spans="1:12" s="1" customFormat="1">
      <c r="A85" s="25"/>
      <c r="B85" s="26" t="s">
        <v>2223</v>
      </c>
      <c r="C85" s="27" t="s">
        <v>136</v>
      </c>
      <c r="D85" s="20" t="s">
        <v>1564</v>
      </c>
      <c r="E85" s="28" t="s">
        <v>243</v>
      </c>
      <c r="F85" s="14"/>
      <c r="G85" s="19" t="s">
        <v>1404</v>
      </c>
      <c r="H85" s="28"/>
      <c r="I85" s="33"/>
      <c r="J85" s="34" t="s">
        <v>431</v>
      </c>
      <c r="K85" s="34" t="s">
        <v>134</v>
      </c>
      <c r="L85" s="34" t="s">
        <v>439</v>
      </c>
    </row>
    <row r="86" spans="1:12" s="1" customFormat="1">
      <c r="A86" s="25"/>
      <c r="B86" s="26" t="s">
        <v>2221</v>
      </c>
      <c r="C86" s="27" t="s">
        <v>136</v>
      </c>
      <c r="D86" s="20" t="s">
        <v>1565</v>
      </c>
      <c r="E86" s="28" t="s">
        <v>243</v>
      </c>
      <c r="F86" s="14"/>
      <c r="G86" s="19" t="s">
        <v>1403</v>
      </c>
      <c r="H86" s="28"/>
      <c r="I86" s="33"/>
      <c r="J86" s="34" t="s">
        <v>431</v>
      </c>
      <c r="K86" s="34" t="s">
        <v>134</v>
      </c>
      <c r="L86" s="34" t="s">
        <v>439</v>
      </c>
    </row>
    <row r="87" spans="1:12" s="1" customFormat="1">
      <c r="A87" s="25"/>
      <c r="B87" s="26" t="s">
        <v>2219</v>
      </c>
      <c r="C87" s="27" t="s">
        <v>136</v>
      </c>
      <c r="D87" s="20" t="s">
        <v>1566</v>
      </c>
      <c r="E87" s="28" t="s">
        <v>243</v>
      </c>
      <c r="F87" s="14"/>
      <c r="G87" s="19" t="s">
        <v>1402</v>
      </c>
      <c r="H87" s="28"/>
      <c r="I87" s="33"/>
      <c r="J87" s="34" t="s">
        <v>431</v>
      </c>
      <c r="K87" s="34" t="s">
        <v>134</v>
      </c>
      <c r="L87" s="34" t="s">
        <v>439</v>
      </c>
    </row>
    <row r="88" spans="1:12">
      <c r="A88" s="14"/>
      <c r="B88" s="14" t="s">
        <v>2243</v>
      </c>
      <c r="C88" s="14" t="s">
        <v>136</v>
      </c>
      <c r="D88" s="12" t="s">
        <v>1188</v>
      </c>
      <c r="E88" s="14" t="s">
        <v>243</v>
      </c>
      <c r="F88" s="14"/>
      <c r="G88" s="12" t="s">
        <v>1414</v>
      </c>
      <c r="H88" s="14"/>
      <c r="I88" s="14"/>
      <c r="J88" s="14" t="s">
        <v>431</v>
      </c>
      <c r="K88" s="14" t="s">
        <v>134</v>
      </c>
      <c r="L88" s="31" t="s">
        <v>439</v>
      </c>
    </row>
    <row r="89" spans="1:12">
      <c r="A89" s="14"/>
      <c r="B89" s="14" t="s">
        <v>656</v>
      </c>
      <c r="C89" s="14" t="s">
        <v>245</v>
      </c>
      <c r="D89" s="12" t="s">
        <v>1190</v>
      </c>
      <c r="E89" s="14" t="s">
        <v>243</v>
      </c>
      <c r="F89" s="14"/>
      <c r="G89" s="12" t="s">
        <v>1415</v>
      </c>
      <c r="H89" s="14"/>
      <c r="I89" s="14"/>
      <c r="J89" s="14" t="s">
        <v>431</v>
      </c>
      <c r="K89" s="14" t="s">
        <v>134</v>
      </c>
      <c r="L89" s="31" t="s">
        <v>568</v>
      </c>
    </row>
    <row r="90" spans="1:12">
      <c r="A90" s="14"/>
      <c r="B90" s="14" t="s">
        <v>2247</v>
      </c>
      <c r="C90" s="14" t="s">
        <v>136</v>
      </c>
      <c r="D90" s="12" t="s">
        <v>659</v>
      </c>
      <c r="E90" s="14" t="s">
        <v>243</v>
      </c>
      <c r="F90" s="14"/>
      <c r="G90" s="12" t="s">
        <v>1416</v>
      </c>
      <c r="H90" s="14"/>
      <c r="I90" s="14"/>
      <c r="J90" s="14" t="s">
        <v>431</v>
      </c>
      <c r="K90" s="14" t="s">
        <v>134</v>
      </c>
      <c r="L90" s="31" t="s">
        <v>439</v>
      </c>
    </row>
    <row r="91" spans="1:12">
      <c r="A91" s="14"/>
      <c r="B91" s="14" t="s">
        <v>2246</v>
      </c>
      <c r="C91" s="14" t="s">
        <v>136</v>
      </c>
      <c r="D91" s="12" t="s">
        <v>1024</v>
      </c>
      <c r="E91" s="14" t="s">
        <v>243</v>
      </c>
      <c r="F91" s="14"/>
      <c r="G91" s="12" t="s">
        <v>1360</v>
      </c>
      <c r="H91" s="14"/>
      <c r="I91" s="14"/>
      <c r="J91" s="14" t="s">
        <v>431</v>
      </c>
      <c r="K91" s="14" t="s">
        <v>134</v>
      </c>
      <c r="L91" s="31" t="s">
        <v>439</v>
      </c>
    </row>
    <row r="92" spans="1:12">
      <c r="A92" s="14"/>
      <c r="B92" s="14" t="s">
        <v>669</v>
      </c>
      <c r="C92" s="14" t="s">
        <v>245</v>
      </c>
      <c r="D92" s="12" t="s">
        <v>670</v>
      </c>
      <c r="E92" s="14" t="s">
        <v>243</v>
      </c>
      <c r="F92" s="14"/>
      <c r="G92" s="12" t="s">
        <v>1417</v>
      </c>
      <c r="H92" s="14"/>
      <c r="I92" s="14"/>
      <c r="J92" s="14" t="s">
        <v>431</v>
      </c>
      <c r="K92" s="14" t="s">
        <v>134</v>
      </c>
      <c r="L92" s="31" t="s">
        <v>439</v>
      </c>
    </row>
    <row r="93" spans="1:12">
      <c r="A93" s="14"/>
      <c r="B93" s="14" t="s">
        <v>2248</v>
      </c>
      <c r="C93" s="14" t="s">
        <v>136</v>
      </c>
      <c r="D93" s="12" t="s">
        <v>1027</v>
      </c>
      <c r="E93" s="14" t="s">
        <v>243</v>
      </c>
      <c r="F93" s="14"/>
      <c r="G93" s="12" t="s">
        <v>1361</v>
      </c>
      <c r="H93" s="14"/>
      <c r="I93" s="14"/>
      <c r="J93" s="14" t="s">
        <v>431</v>
      </c>
      <c r="K93" s="14" t="s">
        <v>134</v>
      </c>
      <c r="L93" s="31" t="s">
        <v>439</v>
      </c>
    </row>
    <row r="94" spans="1:12">
      <c r="A94" s="14"/>
      <c r="B94" s="14" t="s">
        <v>2249</v>
      </c>
      <c r="C94" s="14" t="s">
        <v>136</v>
      </c>
      <c r="D94" s="12" t="s">
        <v>1030</v>
      </c>
      <c r="E94" s="14" t="s">
        <v>243</v>
      </c>
      <c r="F94" s="14"/>
      <c r="G94" s="12" t="s">
        <v>1362</v>
      </c>
      <c r="H94" s="14"/>
      <c r="I94" s="14"/>
      <c r="J94" s="14" t="s">
        <v>431</v>
      </c>
      <c r="K94" s="14" t="s">
        <v>134</v>
      </c>
      <c r="L94" s="31" t="s">
        <v>439</v>
      </c>
    </row>
    <row r="95" spans="1:12">
      <c r="A95" s="14"/>
      <c r="B95" s="14" t="s">
        <v>749</v>
      </c>
      <c r="C95" s="14" t="s">
        <v>136</v>
      </c>
      <c r="D95" s="12" t="s">
        <v>1033</v>
      </c>
      <c r="E95" s="14" t="s">
        <v>243</v>
      </c>
      <c r="F95" s="14"/>
      <c r="G95" s="12" t="s">
        <v>1363</v>
      </c>
      <c r="H95" s="14"/>
      <c r="I95" s="14"/>
      <c r="J95" s="14" t="s">
        <v>431</v>
      </c>
      <c r="K95" s="14" t="s">
        <v>134</v>
      </c>
      <c r="L95" s="31" t="s">
        <v>439</v>
      </c>
    </row>
    <row r="96" spans="1:12">
      <c r="A96" s="14"/>
      <c r="B96" s="14" t="s">
        <v>752</v>
      </c>
      <c r="C96" s="14" t="s">
        <v>136</v>
      </c>
      <c r="D96" s="12" t="s">
        <v>1036</v>
      </c>
      <c r="E96" s="14" t="s">
        <v>243</v>
      </c>
      <c r="F96" s="14"/>
      <c r="G96" s="12" t="s">
        <v>1364</v>
      </c>
      <c r="H96" s="14"/>
      <c r="I96" s="14"/>
      <c r="J96" s="14" t="s">
        <v>431</v>
      </c>
      <c r="K96" s="14" t="s">
        <v>134</v>
      </c>
      <c r="L96" s="31" t="s">
        <v>439</v>
      </c>
    </row>
    <row r="97" spans="1:12">
      <c r="A97" s="14"/>
      <c r="B97" s="14" t="s">
        <v>755</v>
      </c>
      <c r="C97" s="14" t="s">
        <v>136</v>
      </c>
      <c r="D97" s="12" t="s">
        <v>1039</v>
      </c>
      <c r="E97" s="14" t="s">
        <v>243</v>
      </c>
      <c r="F97" s="14"/>
      <c r="G97" s="12" t="s">
        <v>1365</v>
      </c>
      <c r="H97" s="14"/>
      <c r="I97" s="14"/>
      <c r="J97" s="14" t="s">
        <v>431</v>
      </c>
      <c r="K97" s="14" t="s">
        <v>134</v>
      </c>
      <c r="L97" s="31" t="s">
        <v>439</v>
      </c>
    </row>
    <row r="98" spans="1:12">
      <c r="A98" s="14"/>
      <c r="B98" s="14" t="s">
        <v>758</v>
      </c>
      <c r="C98" s="14" t="s">
        <v>136</v>
      </c>
      <c r="D98" s="12" t="s">
        <v>1042</v>
      </c>
      <c r="E98" s="14" t="s">
        <v>243</v>
      </c>
      <c r="F98" s="14"/>
      <c r="G98" s="12" t="s">
        <v>1366</v>
      </c>
      <c r="H98" s="14"/>
      <c r="I98" s="14"/>
      <c r="J98" s="14" t="s">
        <v>431</v>
      </c>
      <c r="K98" s="14" t="s">
        <v>134</v>
      </c>
      <c r="L98" s="31" t="s">
        <v>439</v>
      </c>
    </row>
    <row r="99" spans="1:12">
      <c r="A99" s="14"/>
      <c r="B99" s="14" t="s">
        <v>1547</v>
      </c>
      <c r="C99" s="14" t="s">
        <v>136</v>
      </c>
      <c r="D99" s="12" t="s">
        <v>1045</v>
      </c>
      <c r="E99" s="14" t="s">
        <v>243</v>
      </c>
      <c r="F99" s="14"/>
      <c r="G99" s="12" t="s">
        <v>1367</v>
      </c>
      <c r="H99" s="14"/>
      <c r="I99" s="14"/>
      <c r="J99" s="14" t="s">
        <v>431</v>
      </c>
      <c r="K99" s="14" t="s">
        <v>134</v>
      </c>
      <c r="L99" s="31" t="s">
        <v>439</v>
      </c>
    </row>
    <row r="100" spans="1:12">
      <c r="A100" s="14"/>
      <c r="B100" s="14" t="s">
        <v>468</v>
      </c>
      <c r="C100" s="14" t="s">
        <v>136</v>
      </c>
      <c r="D100" s="12" t="s">
        <v>1222</v>
      </c>
      <c r="E100" s="14" t="s">
        <v>243</v>
      </c>
      <c r="F100" s="14"/>
      <c r="G100" s="12" t="s">
        <v>1331</v>
      </c>
      <c r="H100" s="14"/>
      <c r="I100" s="14"/>
      <c r="J100" s="14" t="s">
        <v>431</v>
      </c>
      <c r="K100" s="14" t="s">
        <v>134</v>
      </c>
      <c r="L100" s="31" t="s">
        <v>533</v>
      </c>
    </row>
    <row r="101" spans="1:12">
      <c r="A101" s="14"/>
      <c r="B101" s="14" t="s">
        <v>2250</v>
      </c>
      <c r="C101" s="14" t="s">
        <v>136</v>
      </c>
      <c r="D101" s="12" t="s">
        <v>1537</v>
      </c>
      <c r="E101" s="14" t="s">
        <v>243</v>
      </c>
      <c r="F101" s="14"/>
      <c r="G101" s="12" t="s">
        <v>1332</v>
      </c>
      <c r="H101" s="14"/>
      <c r="I101" s="14"/>
      <c r="J101" s="14" t="s">
        <v>431</v>
      </c>
      <c r="K101" s="14" t="s">
        <v>134</v>
      </c>
      <c r="L101" s="31" t="s">
        <v>439</v>
      </c>
    </row>
    <row r="102" spans="1:12">
      <c r="A102" s="14"/>
      <c r="B102" s="14" t="s">
        <v>907</v>
      </c>
      <c r="C102" s="14" t="s">
        <v>245</v>
      </c>
      <c r="D102" s="12" t="s">
        <v>1224</v>
      </c>
      <c r="E102" s="14" t="s">
        <v>243</v>
      </c>
      <c r="F102" s="14"/>
      <c r="G102" s="12" t="s">
        <v>1333</v>
      </c>
      <c r="H102" s="14"/>
      <c r="I102" s="14"/>
      <c r="J102" s="14" t="s">
        <v>431</v>
      </c>
      <c r="K102" s="14" t="s">
        <v>134</v>
      </c>
      <c r="L102" s="31" t="s">
        <v>432</v>
      </c>
    </row>
    <row r="103" spans="1:12">
      <c r="A103" s="14"/>
      <c r="B103" s="14" t="s">
        <v>1567</v>
      </c>
      <c r="C103" s="14" t="s">
        <v>900</v>
      </c>
      <c r="D103" s="12" t="s">
        <v>1538</v>
      </c>
      <c r="E103" s="14" t="s">
        <v>243</v>
      </c>
      <c r="F103" s="14"/>
      <c r="G103" s="12" t="s">
        <v>1334</v>
      </c>
      <c r="H103" s="14"/>
      <c r="I103" s="14"/>
      <c r="J103" s="14" t="s">
        <v>431</v>
      </c>
      <c r="K103" s="14" t="s">
        <v>134</v>
      </c>
      <c r="L103" s="31" t="s">
        <v>568</v>
      </c>
    </row>
    <row r="104" spans="1:12">
      <c r="A104" s="14"/>
      <c r="B104" s="14" t="s">
        <v>471</v>
      </c>
      <c r="C104" s="14" t="s">
        <v>136</v>
      </c>
      <c r="D104" s="12" t="s">
        <v>1226</v>
      </c>
      <c r="E104" s="14" t="s">
        <v>243</v>
      </c>
      <c r="F104" s="14"/>
      <c r="G104" s="12" t="s">
        <v>914</v>
      </c>
      <c r="H104" s="14"/>
      <c r="I104" s="14"/>
      <c r="J104" s="14" t="s">
        <v>431</v>
      </c>
      <c r="K104" s="14" t="s">
        <v>134</v>
      </c>
      <c r="L104" s="31" t="s">
        <v>533</v>
      </c>
    </row>
    <row r="105" spans="1:12">
      <c r="A105" s="14"/>
      <c r="B105" s="14" t="s">
        <v>2084</v>
      </c>
      <c r="C105" s="14" t="s">
        <v>136</v>
      </c>
      <c r="D105" s="12" t="s">
        <v>1539</v>
      </c>
      <c r="E105" s="14" t="s">
        <v>243</v>
      </c>
      <c r="F105" s="14"/>
      <c r="G105" s="12" t="s">
        <v>1335</v>
      </c>
      <c r="H105" s="14"/>
      <c r="I105" s="14"/>
      <c r="J105" s="14" t="s">
        <v>431</v>
      </c>
      <c r="K105" s="14" t="s">
        <v>134</v>
      </c>
      <c r="L105" s="31" t="s">
        <v>439</v>
      </c>
    </row>
    <row r="106" spans="1:12">
      <c r="A106" s="14"/>
      <c r="B106" s="14" t="s">
        <v>918</v>
      </c>
      <c r="C106" s="14" t="s">
        <v>245</v>
      </c>
      <c r="D106" s="12" t="s">
        <v>1228</v>
      </c>
      <c r="E106" s="14" t="s">
        <v>243</v>
      </c>
      <c r="F106" s="14"/>
      <c r="G106" s="12" t="s">
        <v>1336</v>
      </c>
      <c r="H106" s="14"/>
      <c r="I106" s="14"/>
      <c r="J106" s="14" t="s">
        <v>431</v>
      </c>
      <c r="K106" s="14" t="s">
        <v>134</v>
      </c>
      <c r="L106" s="31" t="s">
        <v>432</v>
      </c>
    </row>
    <row r="107" spans="1:12">
      <c r="A107" s="14"/>
      <c r="B107" s="14" t="s">
        <v>1568</v>
      </c>
      <c r="C107" s="14" t="s">
        <v>900</v>
      </c>
      <c r="D107" s="12" t="s">
        <v>1540</v>
      </c>
      <c r="E107" s="14" t="s">
        <v>243</v>
      </c>
      <c r="F107" s="14"/>
      <c r="G107" s="12" t="s">
        <v>1337</v>
      </c>
      <c r="H107" s="14"/>
      <c r="I107" s="14"/>
      <c r="J107" s="14" t="s">
        <v>431</v>
      </c>
      <c r="K107" s="14" t="s">
        <v>134</v>
      </c>
      <c r="L107" s="31" t="s">
        <v>568</v>
      </c>
    </row>
    <row r="108" spans="1:12">
      <c r="A108" s="14"/>
      <c r="B108" s="14" t="s">
        <v>477</v>
      </c>
      <c r="C108" s="14" t="s">
        <v>136</v>
      </c>
      <c r="D108" s="12" t="s">
        <v>1230</v>
      </c>
      <c r="E108" s="14" t="s">
        <v>243</v>
      </c>
      <c r="F108" s="14"/>
      <c r="G108" s="12" t="s">
        <v>926</v>
      </c>
      <c r="H108" s="14"/>
      <c r="I108" s="14"/>
      <c r="J108" s="14" t="s">
        <v>431</v>
      </c>
      <c r="K108" s="14" t="s">
        <v>134</v>
      </c>
      <c r="L108" s="31" t="s">
        <v>533</v>
      </c>
    </row>
    <row r="109" spans="1:12">
      <c r="A109" s="14"/>
      <c r="B109" s="14" t="s">
        <v>2086</v>
      </c>
      <c r="C109" s="14" t="s">
        <v>136</v>
      </c>
      <c r="D109" s="12" t="s">
        <v>1541</v>
      </c>
      <c r="E109" s="14" t="s">
        <v>243</v>
      </c>
      <c r="F109" s="14"/>
      <c r="G109" s="12" t="s">
        <v>1338</v>
      </c>
      <c r="H109" s="14"/>
      <c r="I109" s="14"/>
      <c r="J109" s="14" t="s">
        <v>431</v>
      </c>
      <c r="K109" s="14" t="s">
        <v>134</v>
      </c>
      <c r="L109" s="31" t="s">
        <v>439</v>
      </c>
    </row>
    <row r="110" spans="1:12">
      <c r="A110" s="14"/>
      <c r="B110" s="14" t="s">
        <v>930</v>
      </c>
      <c r="C110" s="14" t="s">
        <v>245</v>
      </c>
      <c r="D110" s="12" t="s">
        <v>1232</v>
      </c>
      <c r="E110" s="14" t="s">
        <v>243</v>
      </c>
      <c r="F110" s="14"/>
      <c r="G110" s="12" t="s">
        <v>1339</v>
      </c>
      <c r="H110" s="14"/>
      <c r="I110" s="14"/>
      <c r="J110" s="14" t="s">
        <v>431</v>
      </c>
      <c r="K110" s="14" t="s">
        <v>134</v>
      </c>
      <c r="L110" s="31" t="s">
        <v>432</v>
      </c>
    </row>
    <row r="111" spans="1:12">
      <c r="A111" s="14"/>
      <c r="B111" s="14" t="s">
        <v>1569</v>
      </c>
      <c r="C111" s="14" t="s">
        <v>900</v>
      </c>
      <c r="D111" s="12" t="s">
        <v>1542</v>
      </c>
      <c r="E111" s="14" t="s">
        <v>243</v>
      </c>
      <c r="F111" s="14"/>
      <c r="G111" s="12" t="s">
        <v>1619</v>
      </c>
      <c r="H111" s="14"/>
      <c r="I111" s="14"/>
      <c r="J111" s="14" t="s">
        <v>431</v>
      </c>
      <c r="K111" s="14" t="s">
        <v>134</v>
      </c>
      <c r="L111" s="31" t="s">
        <v>568</v>
      </c>
    </row>
    <row r="112" spans="1:12">
      <c r="A112" s="14"/>
      <c r="B112" s="14" t="s">
        <v>474</v>
      </c>
      <c r="C112" s="14" t="s">
        <v>136</v>
      </c>
      <c r="D112" s="12" t="s">
        <v>1543</v>
      </c>
      <c r="E112" s="14" t="s">
        <v>243</v>
      </c>
      <c r="F112" s="14"/>
      <c r="G112" s="12" t="s">
        <v>1234</v>
      </c>
      <c r="H112" s="14"/>
      <c r="I112" s="14"/>
      <c r="J112" s="14" t="s">
        <v>431</v>
      </c>
      <c r="K112" s="14" t="s">
        <v>134</v>
      </c>
      <c r="L112" s="31" t="s">
        <v>533</v>
      </c>
    </row>
    <row r="113" spans="1:12">
      <c r="A113" s="14"/>
      <c r="B113" s="14" t="s">
        <v>2088</v>
      </c>
      <c r="C113" s="14" t="s">
        <v>136</v>
      </c>
      <c r="D113" s="12" t="s">
        <v>1544</v>
      </c>
      <c r="E113" s="14" t="s">
        <v>243</v>
      </c>
      <c r="F113" s="14"/>
      <c r="G113" s="12" t="s">
        <v>1436</v>
      </c>
      <c r="H113" s="14"/>
      <c r="I113" s="14"/>
      <c r="J113" s="14" t="s">
        <v>431</v>
      </c>
      <c r="K113" s="14" t="s">
        <v>134</v>
      </c>
      <c r="L113" s="31" t="s">
        <v>439</v>
      </c>
    </row>
    <row r="114" spans="1:12">
      <c r="A114" s="14"/>
      <c r="B114" s="14" t="s">
        <v>1238</v>
      </c>
      <c r="C114" s="14" t="s">
        <v>245</v>
      </c>
      <c r="D114" s="12" t="s">
        <v>1545</v>
      </c>
      <c r="E114" s="14" t="s">
        <v>243</v>
      </c>
      <c r="F114" s="14"/>
      <c r="G114" s="12" t="s">
        <v>1437</v>
      </c>
      <c r="H114" s="14"/>
      <c r="I114" s="14"/>
      <c r="J114" s="14" t="s">
        <v>431</v>
      </c>
      <c r="K114" s="14" t="s">
        <v>134</v>
      </c>
      <c r="L114" s="31" t="s">
        <v>432</v>
      </c>
    </row>
    <row r="115" spans="1:12">
      <c r="A115" s="14"/>
      <c r="B115" s="14" t="s">
        <v>1241</v>
      </c>
      <c r="C115" s="14" t="s">
        <v>900</v>
      </c>
      <c r="D115" s="12" t="s">
        <v>1546</v>
      </c>
      <c r="E115" s="14" t="s">
        <v>243</v>
      </c>
      <c r="F115" s="14"/>
      <c r="G115" s="12" t="s">
        <v>1438</v>
      </c>
      <c r="H115" s="14"/>
      <c r="I115" s="14"/>
      <c r="J115" s="14" t="s">
        <v>431</v>
      </c>
      <c r="K115" s="14" t="s">
        <v>134</v>
      </c>
      <c r="L115" s="31" t="s">
        <v>568</v>
      </c>
    </row>
    <row r="116" spans="1:12">
      <c r="A116" s="14"/>
      <c r="B116" s="14" t="s">
        <v>462</v>
      </c>
      <c r="C116" s="14" t="s">
        <v>136</v>
      </c>
      <c r="D116" s="12" t="s">
        <v>463</v>
      </c>
      <c r="E116" s="14" t="s">
        <v>243</v>
      </c>
      <c r="F116" s="14"/>
      <c r="G116" s="12" t="s">
        <v>1456</v>
      </c>
      <c r="H116" s="14"/>
      <c r="I116" s="14"/>
      <c r="J116" s="14" t="s">
        <v>431</v>
      </c>
      <c r="K116" s="14" t="s">
        <v>134</v>
      </c>
      <c r="L116" s="31" t="s">
        <v>439</v>
      </c>
    </row>
    <row r="117" spans="1:12" s="1" customFormat="1">
      <c r="A117" s="25"/>
      <c r="B117" s="26" t="s">
        <v>2260</v>
      </c>
      <c r="C117" s="27" t="s">
        <v>136</v>
      </c>
      <c r="D117" s="20" t="s">
        <v>780</v>
      </c>
      <c r="E117" s="28" t="s">
        <v>243</v>
      </c>
      <c r="F117" s="14"/>
      <c r="G117" s="19" t="s">
        <v>1440</v>
      </c>
      <c r="H117" s="28"/>
      <c r="I117" s="33"/>
      <c r="J117" s="34" t="s">
        <v>431</v>
      </c>
      <c r="K117" s="34" t="s">
        <v>134</v>
      </c>
      <c r="L117" s="34" t="s">
        <v>439</v>
      </c>
    </row>
    <row r="118" spans="1:12" s="1" customFormat="1">
      <c r="A118" s="25"/>
      <c r="B118" s="26" t="s">
        <v>2278</v>
      </c>
      <c r="C118" s="27" t="s">
        <v>136</v>
      </c>
      <c r="D118" s="20" t="s">
        <v>782</v>
      </c>
      <c r="E118" s="28" t="s">
        <v>243</v>
      </c>
      <c r="F118" s="14"/>
      <c r="G118" s="19" t="s">
        <v>1441</v>
      </c>
      <c r="H118" s="28"/>
      <c r="I118" s="33"/>
      <c r="J118" s="34" t="s">
        <v>431</v>
      </c>
      <c r="K118" s="34" t="s">
        <v>134</v>
      </c>
      <c r="L118" s="34" t="s">
        <v>439</v>
      </c>
    </row>
    <row r="119" spans="1:12" s="1" customFormat="1">
      <c r="A119" s="25"/>
      <c r="B119" s="26" t="s">
        <v>2262</v>
      </c>
      <c r="C119" s="27" t="s">
        <v>136</v>
      </c>
      <c r="D119" s="20" t="s">
        <v>784</v>
      </c>
      <c r="E119" s="28" t="s">
        <v>243</v>
      </c>
      <c r="F119" s="14"/>
      <c r="G119" s="19" t="s">
        <v>1442</v>
      </c>
      <c r="H119" s="28"/>
      <c r="I119" s="33"/>
      <c r="J119" s="34" t="s">
        <v>431</v>
      </c>
      <c r="K119" s="34" t="s">
        <v>134</v>
      </c>
      <c r="L119" s="34" t="s">
        <v>439</v>
      </c>
    </row>
    <row r="120" spans="1:12" s="1" customFormat="1">
      <c r="A120" s="25"/>
      <c r="B120" s="26" t="s">
        <v>2268</v>
      </c>
      <c r="C120" s="27" t="s">
        <v>136</v>
      </c>
      <c r="D120" s="20" t="s">
        <v>786</v>
      </c>
      <c r="E120" s="28" t="s">
        <v>243</v>
      </c>
      <c r="F120" s="14"/>
      <c r="G120" s="19" t="s">
        <v>1443</v>
      </c>
      <c r="H120" s="28"/>
      <c r="I120" s="33"/>
      <c r="J120" s="34" t="s">
        <v>431</v>
      </c>
      <c r="K120" s="34" t="s">
        <v>134</v>
      </c>
      <c r="L120" s="34" t="s">
        <v>439</v>
      </c>
    </row>
    <row r="121" spans="1:12" s="1" customFormat="1">
      <c r="A121" s="25"/>
      <c r="B121" s="26" t="s">
        <v>2280</v>
      </c>
      <c r="C121" s="27" t="s">
        <v>136</v>
      </c>
      <c r="D121" s="20" t="s">
        <v>788</v>
      </c>
      <c r="E121" s="28" t="s">
        <v>243</v>
      </c>
      <c r="F121" s="14"/>
      <c r="G121" s="19" t="s">
        <v>1444</v>
      </c>
      <c r="H121" s="28"/>
      <c r="I121" s="33"/>
      <c r="J121" s="34" t="s">
        <v>431</v>
      </c>
      <c r="K121" s="34" t="s">
        <v>134</v>
      </c>
      <c r="L121" s="34" t="s">
        <v>439</v>
      </c>
    </row>
    <row r="122" spans="1:12" s="1" customFormat="1">
      <c r="A122" s="25"/>
      <c r="B122" s="26" t="s">
        <v>2282</v>
      </c>
      <c r="C122" s="27" t="s">
        <v>136</v>
      </c>
      <c r="D122" s="20" t="s">
        <v>790</v>
      </c>
      <c r="E122" s="28" t="s">
        <v>243</v>
      </c>
      <c r="F122" s="14"/>
      <c r="G122" s="19" t="s">
        <v>1445</v>
      </c>
      <c r="H122" s="28"/>
      <c r="I122" s="33"/>
      <c r="J122" s="34" t="s">
        <v>431</v>
      </c>
      <c r="K122" s="34" t="s">
        <v>134</v>
      </c>
      <c r="L122" s="34" t="s">
        <v>439</v>
      </c>
    </row>
    <row r="123" spans="1:12" s="1" customFormat="1">
      <c r="A123" s="25"/>
      <c r="B123" s="26" t="s">
        <v>2270</v>
      </c>
      <c r="C123" s="27" t="s">
        <v>136</v>
      </c>
      <c r="D123" s="20" t="s">
        <v>792</v>
      </c>
      <c r="E123" s="28" t="s">
        <v>243</v>
      </c>
      <c r="F123" s="14"/>
      <c r="G123" s="19" t="s">
        <v>1446</v>
      </c>
      <c r="H123" s="28"/>
      <c r="I123" s="33"/>
      <c r="J123" s="34" t="s">
        <v>431</v>
      </c>
      <c r="K123" s="34" t="s">
        <v>134</v>
      </c>
      <c r="L123" s="34" t="s">
        <v>439</v>
      </c>
    </row>
    <row r="124" spans="1:12" s="1" customFormat="1">
      <c r="A124" s="25"/>
      <c r="B124" s="26" t="s">
        <v>2264</v>
      </c>
      <c r="C124" s="27" t="s">
        <v>136</v>
      </c>
      <c r="D124" s="20" t="s">
        <v>794</v>
      </c>
      <c r="E124" s="28" t="s">
        <v>243</v>
      </c>
      <c r="F124" s="14"/>
      <c r="G124" s="19" t="s">
        <v>1447</v>
      </c>
      <c r="H124" s="28"/>
      <c r="I124" s="33"/>
      <c r="J124" s="34" t="s">
        <v>431</v>
      </c>
      <c r="K124" s="34" t="s">
        <v>134</v>
      </c>
      <c r="L124" s="34" t="s">
        <v>439</v>
      </c>
    </row>
    <row r="125" spans="1:12" s="1" customFormat="1">
      <c r="A125" s="25"/>
      <c r="B125" s="26" t="s">
        <v>2272</v>
      </c>
      <c r="C125" s="27" t="s">
        <v>136</v>
      </c>
      <c r="D125" s="20" t="s">
        <v>796</v>
      </c>
      <c r="E125" s="28" t="s">
        <v>243</v>
      </c>
      <c r="F125" s="14"/>
      <c r="G125" s="19" t="s">
        <v>1448</v>
      </c>
      <c r="H125" s="28"/>
      <c r="I125" s="33"/>
      <c r="J125" s="34" t="s">
        <v>431</v>
      </c>
      <c r="K125" s="34" t="s">
        <v>134</v>
      </c>
      <c r="L125" s="34" t="s">
        <v>439</v>
      </c>
    </row>
    <row r="126" spans="1:12" s="1" customFormat="1">
      <c r="A126" s="25"/>
      <c r="B126" s="26" t="s">
        <v>2266</v>
      </c>
      <c r="C126" s="27" t="s">
        <v>136</v>
      </c>
      <c r="D126" s="20" t="s">
        <v>798</v>
      </c>
      <c r="E126" s="28" t="s">
        <v>243</v>
      </c>
      <c r="F126" s="14"/>
      <c r="G126" s="19" t="s">
        <v>1449</v>
      </c>
      <c r="H126" s="28"/>
      <c r="I126" s="33"/>
      <c r="J126" s="34" t="s">
        <v>431</v>
      </c>
      <c r="K126" s="34" t="s">
        <v>134</v>
      </c>
      <c r="L126" s="34" t="s">
        <v>439</v>
      </c>
    </row>
    <row r="127" spans="1:12" s="1" customFormat="1">
      <c r="A127" s="25"/>
      <c r="B127" s="26" t="s">
        <v>2258</v>
      </c>
      <c r="C127" s="27" t="s">
        <v>136</v>
      </c>
      <c r="D127" s="20" t="s">
        <v>800</v>
      </c>
      <c r="E127" s="28" t="s">
        <v>243</v>
      </c>
      <c r="F127" s="14"/>
      <c r="G127" s="19" t="s">
        <v>1450</v>
      </c>
      <c r="H127" s="28"/>
      <c r="I127" s="33"/>
      <c r="J127" s="34" t="s">
        <v>431</v>
      </c>
      <c r="K127" s="34" t="s">
        <v>134</v>
      </c>
      <c r="L127" s="34" t="s">
        <v>439</v>
      </c>
    </row>
    <row r="128" spans="1:12" s="1" customFormat="1">
      <c r="A128" s="25"/>
      <c r="B128" s="26" t="s">
        <v>2284</v>
      </c>
      <c r="C128" s="27" t="s">
        <v>136</v>
      </c>
      <c r="D128" s="20" t="s">
        <v>802</v>
      </c>
      <c r="E128" s="28" t="s">
        <v>243</v>
      </c>
      <c r="F128" s="14"/>
      <c r="G128" s="19" t="s">
        <v>1451</v>
      </c>
      <c r="H128" s="28"/>
      <c r="I128" s="33"/>
      <c r="J128" s="34" t="s">
        <v>431</v>
      </c>
      <c r="K128" s="34" t="s">
        <v>134</v>
      </c>
      <c r="L128" s="34" t="s">
        <v>439</v>
      </c>
    </row>
    <row r="129" spans="1:12" s="1" customFormat="1">
      <c r="A129" s="25"/>
      <c r="B129" s="26" t="s">
        <v>2286</v>
      </c>
      <c r="C129" s="27" t="s">
        <v>136</v>
      </c>
      <c r="D129" s="20" t="s">
        <v>804</v>
      </c>
      <c r="E129" s="28" t="s">
        <v>243</v>
      </c>
      <c r="F129" s="14"/>
      <c r="G129" s="19" t="s">
        <v>1452</v>
      </c>
      <c r="H129" s="28"/>
      <c r="I129" s="33"/>
      <c r="J129" s="34" t="s">
        <v>431</v>
      </c>
      <c r="K129" s="34" t="s">
        <v>134</v>
      </c>
      <c r="L129" s="34" t="s">
        <v>439</v>
      </c>
    </row>
    <row r="130" spans="1:12" s="1" customFormat="1">
      <c r="A130" s="25"/>
      <c r="B130" s="26" t="s">
        <v>2274</v>
      </c>
      <c r="C130" s="27" t="s">
        <v>136</v>
      </c>
      <c r="D130" s="20" t="s">
        <v>806</v>
      </c>
      <c r="E130" s="28" t="s">
        <v>243</v>
      </c>
      <c r="F130" s="14"/>
      <c r="G130" s="19" t="s">
        <v>1453</v>
      </c>
      <c r="H130" s="28"/>
      <c r="I130" s="33"/>
      <c r="J130" s="34" t="s">
        <v>431</v>
      </c>
      <c r="K130" s="34" t="s">
        <v>134</v>
      </c>
      <c r="L130" s="34" t="s">
        <v>439</v>
      </c>
    </row>
    <row r="131" spans="1:12" s="1" customFormat="1">
      <c r="A131" s="25"/>
      <c r="B131" s="26" t="s">
        <v>2056</v>
      </c>
      <c r="C131" s="26" t="s">
        <v>136</v>
      </c>
      <c r="D131" s="20" t="s">
        <v>2055</v>
      </c>
      <c r="E131" s="28" t="s">
        <v>243</v>
      </c>
      <c r="F131" s="19"/>
      <c r="G131" s="19" t="s">
        <v>2062</v>
      </c>
      <c r="H131" s="137"/>
      <c r="I131" s="33"/>
      <c r="J131" s="34" t="s">
        <v>431</v>
      </c>
      <c r="K131" s="34" t="s">
        <v>134</v>
      </c>
      <c r="L131" s="34" t="s">
        <v>439</v>
      </c>
    </row>
    <row r="132" spans="1:12" s="1" customFormat="1">
      <c r="A132" s="25"/>
      <c r="B132" s="26" t="s">
        <v>2060</v>
      </c>
      <c r="C132" s="26" t="s">
        <v>136</v>
      </c>
      <c r="D132" s="20" t="s">
        <v>2061</v>
      </c>
      <c r="E132" s="28" t="s">
        <v>243</v>
      </c>
      <c r="F132" s="19"/>
      <c r="G132" s="19" t="s">
        <v>2063</v>
      </c>
      <c r="H132" s="137"/>
      <c r="I132" s="33"/>
      <c r="J132" s="34" t="s">
        <v>431</v>
      </c>
      <c r="K132" s="34" t="s">
        <v>134</v>
      </c>
      <c r="L132" s="34" t="s">
        <v>439</v>
      </c>
    </row>
    <row r="133" spans="1:12">
      <c r="A133" s="14"/>
      <c r="B133" s="14" t="s">
        <v>2076</v>
      </c>
      <c r="C133" s="14" t="s">
        <v>132</v>
      </c>
      <c r="D133" s="12" t="s">
        <v>2068</v>
      </c>
      <c r="E133" s="14" t="s">
        <v>243</v>
      </c>
      <c r="F133" s="14"/>
      <c r="G133" s="12" t="s">
        <v>2077</v>
      </c>
      <c r="H133" s="14"/>
      <c r="I133" s="14"/>
      <c r="J133" s="14" t="s">
        <v>431</v>
      </c>
      <c r="K133" s="14" t="s">
        <v>134</v>
      </c>
      <c r="L133" s="31" t="s">
        <v>1623</v>
      </c>
    </row>
    <row r="134" spans="1:12">
      <c r="A134" s="14"/>
      <c r="B134" s="14" t="s">
        <v>2078</v>
      </c>
      <c r="C134" s="14" t="s">
        <v>132</v>
      </c>
      <c r="D134" s="12" t="s">
        <v>2071</v>
      </c>
      <c r="E134" s="14" t="s">
        <v>243</v>
      </c>
      <c r="F134" s="14"/>
      <c r="G134" s="12" t="s">
        <v>2079</v>
      </c>
      <c r="H134" s="14"/>
      <c r="I134" s="14"/>
      <c r="J134" s="14" t="s">
        <v>431</v>
      </c>
      <c r="K134" s="14" t="s">
        <v>134</v>
      </c>
      <c r="L134" s="31" t="s">
        <v>1623</v>
      </c>
    </row>
    <row r="135" spans="1:12" s="4" customFormat="1">
      <c r="A135" s="36"/>
      <c r="B135" s="36" t="s">
        <v>233</v>
      </c>
      <c r="C135" s="36" t="s">
        <v>139</v>
      </c>
      <c r="D135" s="37" t="s">
        <v>234</v>
      </c>
      <c r="E135" s="36"/>
      <c r="F135" s="37"/>
      <c r="G135" s="37"/>
      <c r="H135" s="36"/>
      <c r="I135" s="36"/>
      <c r="J135" s="36"/>
      <c r="K135" s="36"/>
      <c r="L135" s="38"/>
    </row>
    <row r="136" spans="1:12" s="4" customFormat="1">
      <c r="A136" s="36"/>
      <c r="B136" s="36" t="s">
        <v>235</v>
      </c>
      <c r="C136" s="36" t="s">
        <v>132</v>
      </c>
      <c r="D136" s="37" t="s">
        <v>1548</v>
      </c>
      <c r="E136" s="36"/>
      <c r="F136" s="37"/>
      <c r="G136" s="37"/>
      <c r="H136" s="36"/>
      <c r="I136" s="36"/>
      <c r="J136" s="36"/>
      <c r="K136" s="36"/>
      <c r="L136" s="38"/>
    </row>
    <row r="137" spans="1:12" s="4" customFormat="1">
      <c r="A137" s="36"/>
      <c r="B137" s="36" t="s">
        <v>237</v>
      </c>
      <c r="C137" s="36" t="s">
        <v>139</v>
      </c>
      <c r="D137" s="37" t="s">
        <v>238</v>
      </c>
      <c r="E137" s="36"/>
      <c r="F137" s="37"/>
      <c r="G137" s="37"/>
      <c r="H137" s="36"/>
      <c r="I137" s="36"/>
      <c r="J137" s="36"/>
      <c r="K137" s="36"/>
      <c r="L137" s="38"/>
    </row>
  </sheetData>
  <autoFilter ref="A14:Q137" xr:uid="{00000000-0009-0000-0000-000014000000}">
    <sortState xmlns:xlrd2="http://schemas.microsoft.com/office/spreadsheetml/2017/richdata2" ref="A14:Q137">
      <sortCondition ref="A14"/>
    </sortState>
  </autoFilter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69"/>
  <sheetViews>
    <sheetView zoomScale="85" zoomScaleNormal="85" workbookViewId="0">
      <pane ySplit="5" topLeftCell="A6" activePane="bottomLeft" state="frozen"/>
      <selection activeCell="D107" sqref="B106:D107"/>
      <selection pane="bottomLeft" activeCell="C9" sqref="C9"/>
    </sheetView>
  </sheetViews>
  <sheetFormatPr defaultColWidth="9" defaultRowHeight="13.2"/>
  <cols>
    <col min="1" max="1" width="3" style="5" customWidth="1"/>
    <col min="2" max="2" width="23.6640625" style="5" customWidth="1"/>
    <col min="3" max="3" width="35.109375" style="5" bestFit="1" customWidth="1"/>
    <col min="4" max="4" width="32.21875" style="5" customWidth="1"/>
    <col min="5" max="5" width="16.21875" style="5" customWidth="1"/>
    <col min="6" max="6" width="24.88671875" style="5" customWidth="1"/>
    <col min="7" max="7" width="39.5546875" style="6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1:14">
      <c r="B1" s="7" t="str">
        <f>HYPERLINK("#导航!a2","返回")</f>
        <v>返回</v>
      </c>
    </row>
    <row r="2" spans="1:14">
      <c r="B2" s="156"/>
      <c r="C2" s="156"/>
      <c r="D2" s="156"/>
      <c r="E2" s="156"/>
      <c r="F2" s="156"/>
      <c r="G2" s="156"/>
      <c r="H2" s="156"/>
    </row>
    <row r="3" spans="1:14">
      <c r="B3" s="157" t="s">
        <v>106</v>
      </c>
      <c r="C3" s="157"/>
      <c r="D3" s="157"/>
      <c r="E3" s="157"/>
      <c r="F3" s="157"/>
      <c r="G3" s="157"/>
      <c r="H3" s="157"/>
    </row>
    <row r="4" spans="1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10" t="s">
        <v>12</v>
      </c>
      <c r="H4" s="9" t="s">
        <v>111</v>
      </c>
    </row>
    <row r="5" spans="1:14">
      <c r="B5" s="11" t="s">
        <v>55</v>
      </c>
      <c r="C5" s="12" t="s">
        <v>81</v>
      </c>
      <c r="D5" s="13" t="s">
        <v>82</v>
      </c>
      <c r="E5" s="14" t="s">
        <v>379</v>
      </c>
      <c r="F5" s="15"/>
      <c r="G5" s="12"/>
      <c r="H5" s="14"/>
      <c r="N5" s="5"/>
    </row>
    <row r="6" spans="1:14">
      <c r="B6" s="8"/>
      <c r="C6" s="8"/>
      <c r="D6" s="8"/>
      <c r="E6" s="8"/>
      <c r="F6" s="8"/>
      <c r="G6" s="16"/>
      <c r="H6" s="8"/>
    </row>
    <row r="7" spans="1:14">
      <c r="B7" s="157" t="s">
        <v>113</v>
      </c>
      <c r="C7" s="157"/>
      <c r="D7" s="157"/>
      <c r="E7" s="157"/>
      <c r="F7" s="157"/>
      <c r="G7" s="157"/>
      <c r="H7" s="157"/>
    </row>
    <row r="8" spans="1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8" t="s">
        <v>22</v>
      </c>
      <c r="H8" s="17" t="s">
        <v>119</v>
      </c>
    </row>
    <row r="9" spans="1:14">
      <c r="B9" s="14"/>
      <c r="C9" s="12" t="s">
        <v>2313</v>
      </c>
      <c r="D9" s="13" t="s">
        <v>63</v>
      </c>
      <c r="E9" s="14" t="s">
        <v>243</v>
      </c>
      <c r="F9" s="19"/>
      <c r="G9" s="20" t="s">
        <v>2289</v>
      </c>
      <c r="H9" s="21"/>
    </row>
    <row r="10" spans="1:14">
      <c r="B10" s="14"/>
      <c r="C10" s="12"/>
      <c r="D10" s="12"/>
      <c r="E10" s="14"/>
      <c r="F10" s="19"/>
      <c r="G10" s="20"/>
      <c r="H10" s="14"/>
    </row>
    <row r="11" spans="1:14">
      <c r="G11" s="22"/>
    </row>
    <row r="12" spans="1:14">
      <c r="B12" s="5" t="s">
        <v>120</v>
      </c>
    </row>
    <row r="13" spans="1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1:14">
      <c r="B14" s="23" t="s">
        <v>121</v>
      </c>
      <c r="C14" s="23" t="s">
        <v>122</v>
      </c>
      <c r="D14" s="23" t="s">
        <v>123</v>
      </c>
      <c r="E14" s="23" t="s">
        <v>124</v>
      </c>
      <c r="F14" s="23" t="s">
        <v>125</v>
      </c>
      <c r="G14" s="24" t="s">
        <v>126</v>
      </c>
      <c r="H14" s="23" t="s">
        <v>127</v>
      </c>
      <c r="I14" s="23" t="s">
        <v>22</v>
      </c>
      <c r="J14" s="23" t="s">
        <v>128</v>
      </c>
      <c r="K14" s="23" t="s">
        <v>129</v>
      </c>
      <c r="L14" s="23" t="s">
        <v>130</v>
      </c>
    </row>
    <row r="15" spans="1:14">
      <c r="A15" s="14"/>
      <c r="B15" s="14" t="s">
        <v>383</v>
      </c>
      <c r="C15" s="14" t="s">
        <v>132</v>
      </c>
      <c r="D15" s="12" t="s">
        <v>480</v>
      </c>
      <c r="E15" s="14" t="s">
        <v>243</v>
      </c>
      <c r="F15" s="14" t="s">
        <v>235</v>
      </c>
      <c r="G15" s="12" t="s">
        <v>250</v>
      </c>
      <c r="H15" s="14"/>
      <c r="I15" s="14"/>
      <c r="J15" s="14" t="s">
        <v>384</v>
      </c>
      <c r="K15" s="14" t="s">
        <v>134</v>
      </c>
      <c r="L15" s="31" t="s">
        <v>134</v>
      </c>
    </row>
    <row r="16" spans="1:14">
      <c r="A16" s="14"/>
      <c r="B16" s="14" t="s">
        <v>379</v>
      </c>
      <c r="C16" s="14" t="s">
        <v>139</v>
      </c>
      <c r="D16" s="12" t="s">
        <v>48</v>
      </c>
      <c r="E16" s="14" t="s">
        <v>243</v>
      </c>
      <c r="F16" s="14" t="s">
        <v>237</v>
      </c>
      <c r="G16" s="12" t="s">
        <v>250</v>
      </c>
      <c r="H16" s="14"/>
      <c r="I16" s="14"/>
      <c r="J16" s="14" t="s">
        <v>384</v>
      </c>
      <c r="K16" s="14" t="s">
        <v>134</v>
      </c>
      <c r="L16" s="31" t="s">
        <v>134</v>
      </c>
    </row>
    <row r="17" spans="1:12">
      <c r="A17" s="14"/>
      <c r="B17" s="14" t="s">
        <v>251</v>
      </c>
      <c r="C17" s="14" t="s">
        <v>132</v>
      </c>
      <c r="D17" s="12" t="s">
        <v>494</v>
      </c>
      <c r="E17" s="14" t="s">
        <v>243</v>
      </c>
      <c r="F17" s="14" t="s">
        <v>251</v>
      </c>
      <c r="G17" s="12" t="s">
        <v>250</v>
      </c>
      <c r="H17" s="14"/>
      <c r="I17" s="14"/>
      <c r="J17" s="14" t="s">
        <v>384</v>
      </c>
      <c r="K17" s="14" t="s">
        <v>134</v>
      </c>
      <c r="L17" s="31" t="s">
        <v>134</v>
      </c>
    </row>
    <row r="18" spans="1:12" s="1" customFormat="1">
      <c r="A18" s="25"/>
      <c r="B18" s="26" t="s">
        <v>257</v>
      </c>
      <c r="C18" s="27" t="s">
        <v>132</v>
      </c>
      <c r="D18" s="20" t="s">
        <v>280</v>
      </c>
      <c r="E18" s="28" t="s">
        <v>243</v>
      </c>
      <c r="F18" s="19" t="s">
        <v>257</v>
      </c>
      <c r="G18" s="19" t="s">
        <v>250</v>
      </c>
      <c r="H18" s="14"/>
      <c r="I18" s="33"/>
      <c r="J18" s="33" t="s">
        <v>384</v>
      </c>
      <c r="K18" s="34" t="s">
        <v>134</v>
      </c>
      <c r="L18" s="34" t="s">
        <v>134</v>
      </c>
    </row>
    <row r="19" spans="1:12">
      <c r="A19" s="14"/>
      <c r="B19" s="14" t="s">
        <v>254</v>
      </c>
      <c r="C19" s="14" t="s">
        <v>132</v>
      </c>
      <c r="D19" s="12" t="s">
        <v>495</v>
      </c>
      <c r="E19" s="14" t="s">
        <v>243</v>
      </c>
      <c r="F19" s="14" t="s">
        <v>254</v>
      </c>
      <c r="G19" s="12" t="s">
        <v>250</v>
      </c>
      <c r="H19" s="14"/>
      <c r="I19" s="14"/>
      <c r="J19" s="14" t="s">
        <v>384</v>
      </c>
      <c r="K19" s="14" t="s">
        <v>134</v>
      </c>
      <c r="L19" s="31" t="s">
        <v>134</v>
      </c>
    </row>
    <row r="20" spans="1:12">
      <c r="A20" s="14"/>
      <c r="B20" s="14" t="s">
        <v>141</v>
      </c>
      <c r="C20" s="14" t="s">
        <v>132</v>
      </c>
      <c r="D20" s="12" t="s">
        <v>143</v>
      </c>
      <c r="E20" s="14" t="s">
        <v>243</v>
      </c>
      <c r="F20" s="14" t="s">
        <v>141</v>
      </c>
      <c r="G20" s="12" t="s">
        <v>250</v>
      </c>
      <c r="H20" s="14"/>
      <c r="I20" s="14"/>
      <c r="J20" s="14" t="s">
        <v>384</v>
      </c>
      <c r="K20" s="14" t="s">
        <v>134</v>
      </c>
      <c r="L20" s="31" t="s">
        <v>134</v>
      </c>
    </row>
    <row r="21" spans="1:12" s="2" customFormat="1">
      <c r="A21" s="29"/>
      <c r="B21" s="14" t="s">
        <v>211</v>
      </c>
      <c r="C21" s="14" t="s">
        <v>139</v>
      </c>
      <c r="D21" s="12" t="s">
        <v>810</v>
      </c>
      <c r="E21" s="30" t="s">
        <v>243</v>
      </c>
      <c r="F21" s="19" t="s">
        <v>211</v>
      </c>
      <c r="G21" s="19" t="s">
        <v>250</v>
      </c>
      <c r="H21" s="14"/>
      <c r="I21" s="35"/>
      <c r="J21" s="34" t="s">
        <v>384</v>
      </c>
      <c r="K21" s="34" t="s">
        <v>134</v>
      </c>
      <c r="L21" s="34" t="s">
        <v>134</v>
      </c>
    </row>
    <row r="22" spans="1:12" s="2" customFormat="1">
      <c r="A22" s="29"/>
      <c r="B22" s="14" t="s">
        <v>371</v>
      </c>
      <c r="C22" s="14" t="s">
        <v>139</v>
      </c>
      <c r="D22" s="12" t="s">
        <v>497</v>
      </c>
      <c r="E22" s="30" t="s">
        <v>243</v>
      </c>
      <c r="F22" s="19" t="s">
        <v>371</v>
      </c>
      <c r="G22" s="19" t="s">
        <v>250</v>
      </c>
      <c r="H22" s="14"/>
      <c r="I22" s="35"/>
      <c r="J22" s="34" t="s">
        <v>384</v>
      </c>
      <c r="K22" s="34" t="s">
        <v>134</v>
      </c>
      <c r="L22" s="34" t="s">
        <v>134</v>
      </c>
    </row>
    <row r="23" spans="1:12" s="2" customFormat="1">
      <c r="A23" s="29"/>
      <c r="B23" s="14" t="s">
        <v>373</v>
      </c>
      <c r="C23" s="14" t="s">
        <v>139</v>
      </c>
      <c r="D23" s="12" t="s">
        <v>498</v>
      </c>
      <c r="E23" s="30" t="s">
        <v>243</v>
      </c>
      <c r="F23" s="19" t="s">
        <v>373</v>
      </c>
      <c r="G23" s="19" t="s">
        <v>250</v>
      </c>
      <c r="H23" s="14"/>
      <c r="I23" s="35"/>
      <c r="J23" s="34" t="s">
        <v>384</v>
      </c>
      <c r="K23" s="34" t="s">
        <v>134</v>
      </c>
      <c r="L23" s="34" t="s">
        <v>134</v>
      </c>
    </row>
    <row r="24" spans="1:12">
      <c r="A24" s="14"/>
      <c r="B24" s="14" t="s">
        <v>273</v>
      </c>
      <c r="C24" s="14" t="s">
        <v>139</v>
      </c>
      <c r="D24" s="12" t="s">
        <v>274</v>
      </c>
      <c r="E24" s="14" t="s">
        <v>243</v>
      </c>
      <c r="F24" s="14" t="s">
        <v>273</v>
      </c>
      <c r="G24" s="12" t="s">
        <v>250</v>
      </c>
      <c r="H24" s="14"/>
      <c r="I24" s="14"/>
      <c r="J24" s="14" t="s">
        <v>384</v>
      </c>
      <c r="K24" s="14" t="s">
        <v>134</v>
      </c>
      <c r="L24" s="31" t="s">
        <v>134</v>
      </c>
    </row>
    <row r="25" spans="1:12">
      <c r="A25" s="14"/>
      <c r="B25" s="14" t="s">
        <v>385</v>
      </c>
      <c r="C25" s="14" t="s">
        <v>139</v>
      </c>
      <c r="D25" s="12" t="s">
        <v>487</v>
      </c>
      <c r="E25" s="14" t="s">
        <v>243</v>
      </c>
      <c r="F25" s="14" t="s">
        <v>385</v>
      </c>
      <c r="G25" s="12" t="s">
        <v>250</v>
      </c>
      <c r="H25" s="14"/>
      <c r="I25" s="14"/>
      <c r="J25" s="14" t="s">
        <v>384</v>
      </c>
      <c r="K25" s="14" t="s">
        <v>134</v>
      </c>
      <c r="L25" s="31" t="s">
        <v>134</v>
      </c>
    </row>
    <row r="26" spans="1:12">
      <c r="A26" s="14"/>
      <c r="B26" s="14" t="s">
        <v>388</v>
      </c>
      <c r="C26" s="14" t="s">
        <v>139</v>
      </c>
      <c r="D26" s="12" t="s">
        <v>488</v>
      </c>
      <c r="E26" s="14" t="s">
        <v>243</v>
      </c>
      <c r="F26" s="14" t="s">
        <v>388</v>
      </c>
      <c r="G26" s="12" t="s">
        <v>250</v>
      </c>
      <c r="H26" s="14"/>
      <c r="I26" s="14"/>
      <c r="J26" s="14" t="s">
        <v>384</v>
      </c>
      <c r="K26" s="14" t="s">
        <v>134</v>
      </c>
      <c r="L26" s="31" t="s">
        <v>134</v>
      </c>
    </row>
    <row r="27" spans="1:12">
      <c r="A27" s="14"/>
      <c r="B27" s="14" t="s">
        <v>392</v>
      </c>
      <c r="C27" s="14" t="s">
        <v>132</v>
      </c>
      <c r="D27" s="12" t="s">
        <v>391</v>
      </c>
      <c r="E27" s="14" t="s">
        <v>243</v>
      </c>
      <c r="F27" s="14" t="s">
        <v>392</v>
      </c>
      <c r="G27" s="12" t="s">
        <v>250</v>
      </c>
      <c r="H27" s="14"/>
      <c r="I27" s="14"/>
      <c r="J27" s="14" t="s">
        <v>384</v>
      </c>
      <c r="K27" s="14" t="s">
        <v>134</v>
      </c>
      <c r="L27" s="31" t="s">
        <v>134</v>
      </c>
    </row>
    <row r="28" spans="1:12">
      <c r="A28" s="14"/>
      <c r="B28" s="14" t="s">
        <v>395</v>
      </c>
      <c r="C28" s="14" t="s">
        <v>132</v>
      </c>
      <c r="D28" s="12" t="s">
        <v>489</v>
      </c>
      <c r="E28" s="14" t="s">
        <v>243</v>
      </c>
      <c r="F28" s="14" t="s">
        <v>395</v>
      </c>
      <c r="G28" s="12" t="s">
        <v>250</v>
      </c>
      <c r="H28" s="14"/>
      <c r="I28" s="14"/>
      <c r="J28" s="14" t="s">
        <v>384</v>
      </c>
      <c r="K28" s="14" t="s">
        <v>134</v>
      </c>
      <c r="L28" s="31" t="s">
        <v>134</v>
      </c>
    </row>
    <row r="29" spans="1:12">
      <c r="A29" s="14"/>
      <c r="B29" s="14" t="s">
        <v>398</v>
      </c>
      <c r="C29" s="14" t="s">
        <v>132</v>
      </c>
      <c r="D29" s="12" t="s">
        <v>490</v>
      </c>
      <c r="E29" s="14" t="s">
        <v>243</v>
      </c>
      <c r="F29" s="14" t="s">
        <v>398</v>
      </c>
      <c r="G29" s="12" t="s">
        <v>250</v>
      </c>
      <c r="H29" s="14"/>
      <c r="I29" s="14"/>
      <c r="J29" s="14" t="s">
        <v>384</v>
      </c>
      <c r="K29" s="14" t="s">
        <v>134</v>
      </c>
      <c r="L29" s="31" t="s">
        <v>134</v>
      </c>
    </row>
    <row r="30" spans="1:12">
      <c r="A30" s="14"/>
      <c r="B30" s="14" t="s">
        <v>811</v>
      </c>
      <c r="C30" s="14" t="s">
        <v>136</v>
      </c>
      <c r="D30" s="12" t="s">
        <v>812</v>
      </c>
      <c r="E30" s="14" t="s">
        <v>243</v>
      </c>
      <c r="F30" s="14"/>
      <c r="G30" s="12" t="s">
        <v>1306</v>
      </c>
      <c r="H30" s="14"/>
      <c r="I30" s="14"/>
      <c r="J30" s="14" t="s">
        <v>431</v>
      </c>
      <c r="K30" s="14" t="s">
        <v>134</v>
      </c>
      <c r="L30" s="31" t="s">
        <v>439</v>
      </c>
    </row>
    <row r="31" spans="1:12">
      <c r="A31" s="14"/>
      <c r="B31" s="14" t="s">
        <v>448</v>
      </c>
      <c r="C31" s="14" t="s">
        <v>136</v>
      </c>
      <c r="D31" s="12" t="s">
        <v>821</v>
      </c>
      <c r="E31" s="14" t="s">
        <v>243</v>
      </c>
      <c r="F31" s="14"/>
      <c r="G31" s="12" t="s">
        <v>1309</v>
      </c>
      <c r="H31" s="14"/>
      <c r="I31" s="14"/>
      <c r="J31" s="14" t="s">
        <v>431</v>
      </c>
      <c r="K31" s="14" t="s">
        <v>134</v>
      </c>
      <c r="L31" s="31" t="s">
        <v>439</v>
      </c>
    </row>
    <row r="32" spans="1:12">
      <c r="A32" s="14"/>
      <c r="B32" s="14" t="s">
        <v>444</v>
      </c>
      <c r="C32" s="14" t="s">
        <v>136</v>
      </c>
      <c r="D32" s="12" t="s">
        <v>815</v>
      </c>
      <c r="E32" s="14" t="s">
        <v>243</v>
      </c>
      <c r="F32" s="14"/>
      <c r="G32" s="12" t="s">
        <v>1307</v>
      </c>
      <c r="H32" s="14"/>
      <c r="I32" s="14"/>
      <c r="J32" s="14" t="s">
        <v>431</v>
      </c>
      <c r="K32" s="14" t="s">
        <v>134</v>
      </c>
      <c r="L32" s="31" t="s">
        <v>533</v>
      </c>
    </row>
    <row r="33" spans="1:12">
      <c r="A33" s="14"/>
      <c r="B33" s="14" t="s">
        <v>2395</v>
      </c>
      <c r="C33" s="14" t="s">
        <v>245</v>
      </c>
      <c r="D33" s="12" t="s">
        <v>818</v>
      </c>
      <c r="E33" s="14" t="s">
        <v>243</v>
      </c>
      <c r="F33" s="14"/>
      <c r="G33" s="12" t="s">
        <v>1308</v>
      </c>
      <c r="H33" s="14"/>
      <c r="I33" s="14"/>
      <c r="J33" s="14" t="s">
        <v>431</v>
      </c>
      <c r="K33" s="14" t="s">
        <v>134</v>
      </c>
      <c r="L33" s="31" t="s">
        <v>432</v>
      </c>
    </row>
    <row r="34" spans="1:12">
      <c r="A34" s="14"/>
      <c r="B34" s="14" t="s">
        <v>2401</v>
      </c>
      <c r="C34" s="14" t="s">
        <v>136</v>
      </c>
      <c r="D34" s="12" t="s">
        <v>1070</v>
      </c>
      <c r="E34" s="14" t="s">
        <v>243</v>
      </c>
      <c r="F34" s="14"/>
      <c r="G34" s="12" t="s">
        <v>1371</v>
      </c>
      <c r="H34" s="14"/>
      <c r="I34" s="14"/>
      <c r="J34" s="14" t="s">
        <v>431</v>
      </c>
      <c r="K34" s="14" t="s">
        <v>134</v>
      </c>
      <c r="L34" s="31" t="s">
        <v>439</v>
      </c>
    </row>
    <row r="35" spans="1:12">
      <c r="A35" s="14"/>
      <c r="B35" s="14" t="s">
        <v>2399</v>
      </c>
      <c r="C35" s="14" t="s">
        <v>136</v>
      </c>
      <c r="D35" s="12" t="s">
        <v>1073</v>
      </c>
      <c r="E35" s="14" t="s">
        <v>243</v>
      </c>
      <c r="F35" s="14"/>
      <c r="G35" s="12" t="s">
        <v>1372</v>
      </c>
      <c r="H35" s="14"/>
      <c r="I35" s="14"/>
      <c r="J35" s="14" t="s">
        <v>431</v>
      </c>
      <c r="K35" s="14" t="s">
        <v>134</v>
      </c>
      <c r="L35" s="31" t="s">
        <v>439</v>
      </c>
    </row>
    <row r="36" spans="1:12">
      <c r="A36" s="14"/>
      <c r="B36" s="14" t="s">
        <v>2400</v>
      </c>
      <c r="C36" s="14" t="s">
        <v>136</v>
      </c>
      <c r="D36" s="12" t="s">
        <v>1076</v>
      </c>
      <c r="E36" s="14" t="s">
        <v>243</v>
      </c>
      <c r="F36" s="14"/>
      <c r="G36" s="12" t="s">
        <v>1373</v>
      </c>
      <c r="H36" s="14"/>
      <c r="I36" s="14"/>
      <c r="J36" s="14" t="s">
        <v>431</v>
      </c>
      <c r="K36" s="14" t="s">
        <v>134</v>
      </c>
      <c r="L36" s="31" t="s">
        <v>439</v>
      </c>
    </row>
    <row r="37" spans="1:12">
      <c r="A37" s="14"/>
      <c r="B37" s="14" t="s">
        <v>2398</v>
      </c>
      <c r="C37" s="14" t="s">
        <v>136</v>
      </c>
      <c r="D37" s="12" t="s">
        <v>1079</v>
      </c>
      <c r="E37" s="14" t="s">
        <v>243</v>
      </c>
      <c r="F37" s="14"/>
      <c r="G37" s="12" t="s">
        <v>1374</v>
      </c>
      <c r="H37" s="14"/>
      <c r="I37" s="14"/>
      <c r="J37" s="14" t="s">
        <v>431</v>
      </c>
      <c r="K37" s="14" t="s">
        <v>134</v>
      </c>
      <c r="L37" s="31" t="s">
        <v>439</v>
      </c>
    </row>
    <row r="38" spans="1:12">
      <c r="A38" s="14"/>
      <c r="B38" s="14" t="s">
        <v>2397</v>
      </c>
      <c r="C38" s="14" t="s">
        <v>136</v>
      </c>
      <c r="D38" s="12" t="s">
        <v>1081</v>
      </c>
      <c r="E38" s="14" t="s">
        <v>243</v>
      </c>
      <c r="F38" s="14"/>
      <c r="G38" s="12" t="s">
        <v>1375</v>
      </c>
      <c r="H38" s="14"/>
      <c r="I38" s="14"/>
      <c r="J38" s="14" t="s">
        <v>431</v>
      </c>
      <c r="K38" s="14" t="s">
        <v>134</v>
      </c>
      <c r="L38" s="31" t="s">
        <v>439</v>
      </c>
    </row>
    <row r="39" spans="1:12">
      <c r="A39" s="14"/>
      <c r="B39" s="14" t="s">
        <v>2396</v>
      </c>
      <c r="C39" s="14" t="s">
        <v>136</v>
      </c>
      <c r="D39" s="12" t="s">
        <v>1083</v>
      </c>
      <c r="E39" s="14" t="s">
        <v>243</v>
      </c>
      <c r="F39" s="14"/>
      <c r="G39" s="12" t="s">
        <v>1376</v>
      </c>
      <c r="H39" s="14"/>
      <c r="I39" s="14"/>
      <c r="J39" s="14" t="s">
        <v>431</v>
      </c>
      <c r="K39" s="14" t="s">
        <v>134</v>
      </c>
      <c r="L39" s="31" t="s">
        <v>439</v>
      </c>
    </row>
    <row r="40" spans="1:12">
      <c r="A40" s="14"/>
      <c r="B40" s="14" t="s">
        <v>2290</v>
      </c>
      <c r="C40" s="14" t="s">
        <v>136</v>
      </c>
      <c r="D40" s="12" t="s">
        <v>2291</v>
      </c>
      <c r="E40" s="14" t="s">
        <v>243</v>
      </c>
      <c r="F40" s="14"/>
      <c r="G40" s="12" t="s">
        <v>2292</v>
      </c>
      <c r="H40" s="14"/>
      <c r="I40" s="14"/>
      <c r="J40" s="14" t="s">
        <v>431</v>
      </c>
      <c r="K40" s="14" t="s">
        <v>134</v>
      </c>
      <c r="L40" s="31" t="s">
        <v>439</v>
      </c>
    </row>
    <row r="41" spans="1:12">
      <c r="A41" s="14"/>
      <c r="B41" s="14" t="s">
        <v>564</v>
      </c>
      <c r="C41" s="14" t="s">
        <v>136</v>
      </c>
      <c r="D41" s="12" t="s">
        <v>1493</v>
      </c>
      <c r="E41" s="14" t="s">
        <v>243</v>
      </c>
      <c r="F41" s="14"/>
      <c r="G41" s="12" t="s">
        <v>1317</v>
      </c>
      <c r="H41" s="14"/>
      <c r="I41" s="14"/>
      <c r="J41" s="14" t="s">
        <v>431</v>
      </c>
      <c r="K41" s="14" t="s">
        <v>134</v>
      </c>
      <c r="L41" s="31" t="s">
        <v>439</v>
      </c>
    </row>
    <row r="42" spans="1:12">
      <c r="A42" s="14"/>
      <c r="B42" s="14" t="s">
        <v>566</v>
      </c>
      <c r="C42" s="14" t="s">
        <v>245</v>
      </c>
      <c r="D42" s="12" t="s">
        <v>1494</v>
      </c>
      <c r="E42" s="14" t="s">
        <v>243</v>
      </c>
      <c r="F42" s="14"/>
      <c r="G42" s="12" t="s">
        <v>1318</v>
      </c>
      <c r="H42" s="14"/>
      <c r="I42" s="14"/>
      <c r="J42" s="14" t="s">
        <v>431</v>
      </c>
      <c r="K42" s="14" t="s">
        <v>134</v>
      </c>
      <c r="L42" s="31" t="s">
        <v>568</v>
      </c>
    </row>
    <row r="43" spans="1:12">
      <c r="A43" s="14"/>
      <c r="B43" s="14" t="s">
        <v>611</v>
      </c>
      <c r="C43" s="14" t="s">
        <v>136</v>
      </c>
      <c r="D43" s="12" t="s">
        <v>1146</v>
      </c>
      <c r="E43" s="14" t="s">
        <v>243</v>
      </c>
      <c r="F43" s="14"/>
      <c r="G43" s="12" t="s">
        <v>1399</v>
      </c>
      <c r="H43" s="14"/>
      <c r="I43" s="14"/>
      <c r="J43" s="14" t="s">
        <v>431</v>
      </c>
      <c r="K43" s="14" t="s">
        <v>134</v>
      </c>
      <c r="L43" s="31" t="s">
        <v>439</v>
      </c>
    </row>
    <row r="44" spans="1:12">
      <c r="A44" s="14"/>
      <c r="B44" s="14" t="s">
        <v>608</v>
      </c>
      <c r="C44" s="14" t="s">
        <v>245</v>
      </c>
      <c r="D44" s="12" t="s">
        <v>1148</v>
      </c>
      <c r="E44" s="14" t="s">
        <v>243</v>
      </c>
      <c r="F44" s="14"/>
      <c r="G44" s="12" t="s">
        <v>1400</v>
      </c>
      <c r="H44" s="14"/>
      <c r="I44" s="14"/>
      <c r="J44" s="14" t="s">
        <v>431</v>
      </c>
      <c r="K44" s="14" t="s">
        <v>134</v>
      </c>
      <c r="L44" s="31" t="s">
        <v>610</v>
      </c>
    </row>
    <row r="45" spans="1:12">
      <c r="A45" s="14"/>
      <c r="B45" s="14" t="s">
        <v>2402</v>
      </c>
      <c r="C45" s="14" t="s">
        <v>245</v>
      </c>
      <c r="D45" s="12" t="s">
        <v>1150</v>
      </c>
      <c r="E45" s="14" t="s">
        <v>243</v>
      </c>
      <c r="F45" s="14"/>
      <c r="G45" s="12" t="s">
        <v>1401</v>
      </c>
      <c r="H45" s="14"/>
      <c r="I45" s="14"/>
      <c r="J45" s="14" t="s">
        <v>431</v>
      </c>
      <c r="K45" s="14" t="s">
        <v>134</v>
      </c>
      <c r="L45" s="31" t="s">
        <v>615</v>
      </c>
    </row>
    <row r="46" spans="1:12">
      <c r="A46" s="14"/>
      <c r="B46" s="14" t="s">
        <v>628</v>
      </c>
      <c r="C46" s="14" t="s">
        <v>136</v>
      </c>
      <c r="D46" s="12" t="s">
        <v>873</v>
      </c>
      <c r="E46" s="14" t="s">
        <v>243</v>
      </c>
      <c r="F46" s="14"/>
      <c r="G46" s="12" t="s">
        <v>1359</v>
      </c>
      <c r="H46" s="14"/>
      <c r="I46" s="14"/>
      <c r="J46" s="14" t="s">
        <v>431</v>
      </c>
      <c r="K46" s="14" t="s">
        <v>134</v>
      </c>
      <c r="L46" s="31" t="s">
        <v>439</v>
      </c>
    </row>
    <row r="47" spans="1:12">
      <c r="A47" s="14"/>
      <c r="B47" s="14" t="s">
        <v>626</v>
      </c>
      <c r="C47" s="14" t="s">
        <v>136</v>
      </c>
      <c r="D47" s="12" t="s">
        <v>870</v>
      </c>
      <c r="E47" s="14" t="s">
        <v>243</v>
      </c>
      <c r="F47" s="14"/>
      <c r="G47" s="12" t="s">
        <v>1358</v>
      </c>
      <c r="H47" s="14"/>
      <c r="I47" s="14"/>
      <c r="J47" s="14" t="s">
        <v>431</v>
      </c>
      <c r="K47" s="14" t="s">
        <v>134</v>
      </c>
      <c r="L47" s="31" t="s">
        <v>439</v>
      </c>
    </row>
    <row r="48" spans="1:12">
      <c r="A48" s="14"/>
      <c r="B48" s="14" t="s">
        <v>624</v>
      </c>
      <c r="C48" s="14" t="s">
        <v>136</v>
      </c>
      <c r="D48" s="12" t="s">
        <v>867</v>
      </c>
      <c r="E48" s="14" t="s">
        <v>243</v>
      </c>
      <c r="F48" s="14"/>
      <c r="G48" s="12" t="s">
        <v>1357</v>
      </c>
      <c r="H48" s="14"/>
      <c r="I48" s="14"/>
      <c r="J48" s="14" t="s">
        <v>431</v>
      </c>
      <c r="K48" s="14" t="s">
        <v>134</v>
      </c>
      <c r="L48" s="31" t="s">
        <v>439</v>
      </c>
    </row>
    <row r="49" spans="1:12">
      <c r="A49" s="14"/>
      <c r="B49" s="14" t="s">
        <v>622</v>
      </c>
      <c r="C49" s="14" t="s">
        <v>136</v>
      </c>
      <c r="D49" s="12" t="s">
        <v>864</v>
      </c>
      <c r="E49" s="14" t="s">
        <v>243</v>
      </c>
      <c r="F49" s="14"/>
      <c r="G49" s="12" t="s">
        <v>1356</v>
      </c>
      <c r="H49" s="14"/>
      <c r="I49" s="14"/>
      <c r="J49" s="14" t="s">
        <v>431</v>
      </c>
      <c r="K49" s="14" t="s">
        <v>134</v>
      </c>
      <c r="L49" s="31" t="s">
        <v>439</v>
      </c>
    </row>
    <row r="50" spans="1:12">
      <c r="A50" s="14"/>
      <c r="B50" s="14" t="s">
        <v>620</v>
      </c>
      <c r="C50" s="14" t="s">
        <v>136</v>
      </c>
      <c r="D50" s="12" t="s">
        <v>861</v>
      </c>
      <c r="E50" s="14" t="s">
        <v>243</v>
      </c>
      <c r="F50" s="14"/>
      <c r="G50" s="12" t="s">
        <v>1355</v>
      </c>
      <c r="H50" s="14"/>
      <c r="I50" s="14"/>
      <c r="J50" s="14" t="s">
        <v>431</v>
      </c>
      <c r="K50" s="14" t="s">
        <v>134</v>
      </c>
      <c r="L50" s="31" t="s">
        <v>439</v>
      </c>
    </row>
    <row r="51" spans="1:12">
      <c r="A51" s="14"/>
      <c r="B51" s="14" t="s">
        <v>618</v>
      </c>
      <c r="C51" s="14" t="s">
        <v>136</v>
      </c>
      <c r="D51" s="12" t="s">
        <v>858</v>
      </c>
      <c r="E51" s="14" t="s">
        <v>243</v>
      </c>
      <c r="F51" s="14"/>
      <c r="G51" s="12" t="s">
        <v>1354</v>
      </c>
      <c r="H51" s="14"/>
      <c r="I51" s="14"/>
      <c r="J51" s="14" t="s">
        <v>431</v>
      </c>
      <c r="K51" s="14" t="s">
        <v>134</v>
      </c>
      <c r="L51" s="31" t="s">
        <v>439</v>
      </c>
    </row>
    <row r="52" spans="1:12">
      <c r="A52" s="14"/>
      <c r="B52" s="14" t="s">
        <v>616</v>
      </c>
      <c r="C52" s="14" t="s">
        <v>136</v>
      </c>
      <c r="D52" s="12" t="s">
        <v>855</v>
      </c>
      <c r="E52" s="14" t="s">
        <v>243</v>
      </c>
      <c r="F52" s="14"/>
      <c r="G52" s="12" t="s">
        <v>1353</v>
      </c>
      <c r="H52" s="14"/>
      <c r="I52" s="14"/>
      <c r="J52" s="14" t="s">
        <v>431</v>
      </c>
      <c r="K52" s="14" t="s">
        <v>134</v>
      </c>
      <c r="L52" s="31" t="s">
        <v>439</v>
      </c>
    </row>
    <row r="53" spans="1:12">
      <c r="A53" s="14"/>
      <c r="B53" s="14" t="s">
        <v>654</v>
      </c>
      <c r="C53" s="14" t="s">
        <v>136</v>
      </c>
      <c r="D53" s="12" t="s">
        <v>1188</v>
      </c>
      <c r="E53" s="14" t="s">
        <v>243</v>
      </c>
      <c r="F53" s="14"/>
      <c r="G53" s="12" t="s">
        <v>1414</v>
      </c>
      <c r="H53" s="14"/>
      <c r="I53" s="14"/>
      <c r="J53" s="14" t="s">
        <v>431</v>
      </c>
      <c r="K53" s="14" t="s">
        <v>134</v>
      </c>
      <c r="L53" s="31" t="s">
        <v>439</v>
      </c>
    </row>
    <row r="54" spans="1:12">
      <c r="A54" s="14"/>
      <c r="B54" s="14" t="s">
        <v>656</v>
      </c>
      <c r="C54" s="14" t="s">
        <v>245</v>
      </c>
      <c r="D54" s="12" t="s">
        <v>1190</v>
      </c>
      <c r="E54" s="14" t="s">
        <v>243</v>
      </c>
      <c r="F54" s="14"/>
      <c r="G54" s="12" t="s">
        <v>1415</v>
      </c>
      <c r="H54" s="14"/>
      <c r="I54" s="14"/>
      <c r="J54" s="14" t="s">
        <v>431</v>
      </c>
      <c r="K54" s="14" t="s">
        <v>134</v>
      </c>
      <c r="L54" s="31" t="s">
        <v>568</v>
      </c>
    </row>
    <row r="55" spans="1:12">
      <c r="A55" s="14"/>
      <c r="B55" s="14" t="s">
        <v>451</v>
      </c>
      <c r="C55" s="14" t="s">
        <v>136</v>
      </c>
      <c r="D55" s="12" t="s">
        <v>1537</v>
      </c>
      <c r="E55" s="14" t="s">
        <v>243</v>
      </c>
      <c r="F55" s="14"/>
      <c r="G55" s="12" t="s">
        <v>1332</v>
      </c>
      <c r="H55" s="14"/>
      <c r="I55" s="14"/>
      <c r="J55" s="14" t="s">
        <v>431</v>
      </c>
      <c r="K55" s="14" t="s">
        <v>134</v>
      </c>
      <c r="L55" s="31" t="s">
        <v>439</v>
      </c>
    </row>
    <row r="56" spans="1:12">
      <c r="A56" s="14"/>
      <c r="B56" s="14" t="s">
        <v>454</v>
      </c>
      <c r="C56" s="14" t="s">
        <v>136</v>
      </c>
      <c r="D56" s="12" t="s">
        <v>1539</v>
      </c>
      <c r="E56" s="14" t="s">
        <v>243</v>
      </c>
      <c r="F56" s="14"/>
      <c r="G56" s="12" t="s">
        <v>1335</v>
      </c>
      <c r="H56" s="14"/>
      <c r="I56" s="14"/>
      <c r="J56" s="14" t="s">
        <v>431</v>
      </c>
      <c r="K56" s="14" t="s">
        <v>134</v>
      </c>
      <c r="L56" s="31" t="s">
        <v>439</v>
      </c>
    </row>
    <row r="57" spans="1:12">
      <c r="A57" s="14"/>
      <c r="B57" s="14" t="s">
        <v>459</v>
      </c>
      <c r="C57" s="14" t="s">
        <v>136</v>
      </c>
      <c r="D57" s="12" t="s">
        <v>1541</v>
      </c>
      <c r="E57" s="14" t="s">
        <v>243</v>
      </c>
      <c r="F57" s="14"/>
      <c r="G57" s="12" t="s">
        <v>1338</v>
      </c>
      <c r="H57" s="14"/>
      <c r="I57" s="14"/>
      <c r="J57" s="14" t="s">
        <v>431</v>
      </c>
      <c r="K57" s="14" t="s">
        <v>134</v>
      </c>
      <c r="L57" s="31" t="s">
        <v>439</v>
      </c>
    </row>
    <row r="58" spans="1:12">
      <c r="A58" s="14"/>
      <c r="B58" s="14" t="s">
        <v>2431</v>
      </c>
      <c r="C58" s="14" t="s">
        <v>136</v>
      </c>
      <c r="D58" s="12" t="s">
        <v>1544</v>
      </c>
      <c r="E58" s="14" t="s">
        <v>243</v>
      </c>
      <c r="F58" s="14"/>
      <c r="G58" s="12" t="s">
        <v>1436</v>
      </c>
      <c r="H58" s="14"/>
      <c r="I58" s="14"/>
      <c r="J58" s="14" t="s">
        <v>431</v>
      </c>
      <c r="K58" s="14" t="s">
        <v>134</v>
      </c>
      <c r="L58" s="31" t="s">
        <v>439</v>
      </c>
    </row>
    <row r="59" spans="1:12">
      <c r="A59" s="14"/>
      <c r="B59" s="14" t="s">
        <v>462</v>
      </c>
      <c r="C59" s="14" t="s">
        <v>136</v>
      </c>
      <c r="D59" s="12" t="s">
        <v>463</v>
      </c>
      <c r="E59" s="14" t="s">
        <v>243</v>
      </c>
      <c r="F59" s="14"/>
      <c r="G59" s="12" t="s">
        <v>1456</v>
      </c>
      <c r="H59" s="14"/>
      <c r="I59" s="14"/>
      <c r="J59" s="14" t="s">
        <v>431</v>
      </c>
      <c r="K59" s="14" t="s">
        <v>134</v>
      </c>
      <c r="L59" s="31" t="s">
        <v>439</v>
      </c>
    </row>
    <row r="60" spans="1:12" s="1" customFormat="1">
      <c r="A60" s="25"/>
      <c r="B60" s="26" t="s">
        <v>793</v>
      </c>
      <c r="C60" s="27" t="s">
        <v>136</v>
      </c>
      <c r="D60" s="20" t="s">
        <v>794</v>
      </c>
      <c r="E60" s="28" t="s">
        <v>243</v>
      </c>
      <c r="F60" s="14"/>
      <c r="G60" s="19" t="s">
        <v>1447</v>
      </c>
      <c r="H60" s="28"/>
      <c r="I60" s="33"/>
      <c r="J60" s="34" t="s">
        <v>431</v>
      </c>
      <c r="K60" s="34" t="s">
        <v>134</v>
      </c>
      <c r="L60" s="34" t="s">
        <v>439</v>
      </c>
    </row>
    <row r="61" spans="1:12" s="1" customFormat="1">
      <c r="A61" s="25"/>
      <c r="B61" s="26" t="s">
        <v>795</v>
      </c>
      <c r="C61" s="27" t="s">
        <v>136</v>
      </c>
      <c r="D61" s="20" t="s">
        <v>796</v>
      </c>
      <c r="E61" s="28" t="s">
        <v>243</v>
      </c>
      <c r="F61" s="14"/>
      <c r="G61" s="19" t="s">
        <v>1448</v>
      </c>
      <c r="H61" s="28"/>
      <c r="I61" s="33"/>
      <c r="J61" s="34" t="s">
        <v>431</v>
      </c>
      <c r="K61" s="34" t="s">
        <v>134</v>
      </c>
      <c r="L61" s="34" t="s">
        <v>439</v>
      </c>
    </row>
    <row r="62" spans="1:12" s="1" customFormat="1">
      <c r="A62" s="25"/>
      <c r="B62" s="26" t="s">
        <v>797</v>
      </c>
      <c r="C62" s="27" t="s">
        <v>136</v>
      </c>
      <c r="D62" s="20" t="s">
        <v>798</v>
      </c>
      <c r="E62" s="28" t="s">
        <v>243</v>
      </c>
      <c r="F62" s="14"/>
      <c r="G62" s="19" t="s">
        <v>1449</v>
      </c>
      <c r="H62" s="28"/>
      <c r="I62" s="33"/>
      <c r="J62" s="34" t="s">
        <v>431</v>
      </c>
      <c r="K62" s="34" t="s">
        <v>134</v>
      </c>
      <c r="L62" s="34" t="s">
        <v>439</v>
      </c>
    </row>
    <row r="63" spans="1:12" s="1" customFormat="1">
      <c r="A63" s="25"/>
      <c r="B63" s="26" t="s">
        <v>799</v>
      </c>
      <c r="C63" s="27" t="s">
        <v>136</v>
      </c>
      <c r="D63" s="20" t="s">
        <v>800</v>
      </c>
      <c r="E63" s="28" t="s">
        <v>243</v>
      </c>
      <c r="F63" s="14"/>
      <c r="G63" s="19" t="s">
        <v>1450</v>
      </c>
      <c r="H63" s="28"/>
      <c r="I63" s="33"/>
      <c r="J63" s="34" t="s">
        <v>431</v>
      </c>
      <c r="K63" s="34" t="s">
        <v>134</v>
      </c>
      <c r="L63" s="34" t="s">
        <v>439</v>
      </c>
    </row>
    <row r="64" spans="1:12" s="1" customFormat="1">
      <c r="A64" s="25"/>
      <c r="B64" s="26" t="s">
        <v>801</v>
      </c>
      <c r="C64" s="27" t="s">
        <v>136</v>
      </c>
      <c r="D64" s="20" t="s">
        <v>802</v>
      </c>
      <c r="E64" s="28" t="s">
        <v>243</v>
      </c>
      <c r="F64" s="14"/>
      <c r="G64" s="19" t="s">
        <v>1451</v>
      </c>
      <c r="H64" s="28"/>
      <c r="I64" s="33"/>
      <c r="J64" s="34" t="s">
        <v>431</v>
      </c>
      <c r="K64" s="34" t="s">
        <v>134</v>
      </c>
      <c r="L64" s="34" t="s">
        <v>439</v>
      </c>
    </row>
    <row r="65" spans="1:12" s="1" customFormat="1">
      <c r="A65" s="25"/>
      <c r="B65" s="26" t="s">
        <v>803</v>
      </c>
      <c r="C65" s="27" t="s">
        <v>136</v>
      </c>
      <c r="D65" s="20" t="s">
        <v>804</v>
      </c>
      <c r="E65" s="28" t="s">
        <v>243</v>
      </c>
      <c r="F65" s="14"/>
      <c r="G65" s="19" t="s">
        <v>1452</v>
      </c>
      <c r="H65" s="28"/>
      <c r="I65" s="33"/>
      <c r="J65" s="34" t="s">
        <v>431</v>
      </c>
      <c r="K65" s="34" t="s">
        <v>134</v>
      </c>
      <c r="L65" s="34" t="s">
        <v>439</v>
      </c>
    </row>
    <row r="66" spans="1:12" s="1" customFormat="1">
      <c r="A66" s="25"/>
      <c r="B66" s="26" t="s">
        <v>805</v>
      </c>
      <c r="C66" s="27" t="s">
        <v>136</v>
      </c>
      <c r="D66" s="20" t="s">
        <v>806</v>
      </c>
      <c r="E66" s="28" t="s">
        <v>243</v>
      </c>
      <c r="F66" s="14"/>
      <c r="G66" s="19" t="s">
        <v>1453</v>
      </c>
      <c r="H66" s="28"/>
      <c r="I66" s="33"/>
      <c r="J66" s="34" t="s">
        <v>431</v>
      </c>
      <c r="K66" s="34" t="s">
        <v>134</v>
      </c>
      <c r="L66" s="34" t="s">
        <v>439</v>
      </c>
    </row>
    <row r="67" spans="1:12" s="4" customFormat="1">
      <c r="A67" s="36"/>
      <c r="B67" s="36" t="s">
        <v>233</v>
      </c>
      <c r="C67" s="36" t="s">
        <v>139</v>
      </c>
      <c r="D67" s="37" t="s">
        <v>234</v>
      </c>
      <c r="E67" s="36"/>
      <c r="F67" s="36"/>
      <c r="G67" s="36"/>
      <c r="H67" s="36"/>
      <c r="I67" s="36"/>
      <c r="J67" s="36"/>
      <c r="K67" s="36"/>
      <c r="L67" s="38"/>
    </row>
    <row r="68" spans="1:12" s="4" customFormat="1">
      <c r="A68" s="36"/>
      <c r="B68" s="36" t="s">
        <v>235</v>
      </c>
      <c r="C68" s="36" t="s">
        <v>132</v>
      </c>
      <c r="D68" s="37" t="s">
        <v>1548</v>
      </c>
      <c r="E68" s="36"/>
      <c r="F68" s="36"/>
      <c r="G68" s="36"/>
      <c r="H68" s="36"/>
      <c r="I68" s="36"/>
      <c r="J68" s="36"/>
      <c r="K68" s="36"/>
      <c r="L68" s="38"/>
    </row>
    <row r="69" spans="1:12" s="4" customFormat="1">
      <c r="A69" s="36"/>
      <c r="B69" s="36" t="s">
        <v>237</v>
      </c>
      <c r="C69" s="36" t="s">
        <v>139</v>
      </c>
      <c r="D69" s="37" t="s">
        <v>238</v>
      </c>
      <c r="E69" s="36"/>
      <c r="F69" s="36"/>
      <c r="G69" s="36"/>
      <c r="H69" s="36"/>
      <c r="I69" s="36"/>
      <c r="J69" s="36"/>
      <c r="K69" s="36"/>
      <c r="L69" s="38"/>
    </row>
  </sheetData>
  <autoFilter ref="A14:Q69" xr:uid="{00000000-0009-0000-0000-000015000000}">
    <sortState xmlns:xlrd2="http://schemas.microsoft.com/office/spreadsheetml/2017/richdata2" ref="A14:Q69">
      <sortCondition ref="A14"/>
    </sortState>
  </autoFilter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74"/>
  <sheetViews>
    <sheetView zoomScale="85" zoomScaleNormal="85" workbookViewId="0">
      <pane ySplit="5" topLeftCell="A6" activePane="bottomLeft" state="frozen"/>
      <selection activeCell="D107" sqref="B106:D107"/>
      <selection pane="bottomLeft" activeCell="C9" sqref="C9"/>
    </sheetView>
  </sheetViews>
  <sheetFormatPr defaultColWidth="9" defaultRowHeight="13.2"/>
  <cols>
    <col min="1" max="1" width="3" style="5" customWidth="1"/>
    <col min="2" max="2" width="23.6640625" style="5" customWidth="1"/>
    <col min="3" max="3" width="30.21875" style="5" customWidth="1"/>
    <col min="4" max="4" width="32.21875" style="5" customWidth="1"/>
    <col min="5" max="5" width="16.21875" style="5" customWidth="1"/>
    <col min="6" max="6" width="24.88671875" style="5" customWidth="1"/>
    <col min="7" max="7" width="39.5546875" style="6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1:14">
      <c r="B1" s="7" t="str">
        <f>HYPERLINK("#导航!a2","返回")</f>
        <v>返回</v>
      </c>
    </row>
    <row r="2" spans="1:14">
      <c r="B2" s="156"/>
      <c r="C2" s="156"/>
      <c r="D2" s="156"/>
      <c r="E2" s="156"/>
      <c r="F2" s="156"/>
      <c r="G2" s="156"/>
      <c r="H2" s="156"/>
    </row>
    <row r="3" spans="1:14">
      <c r="B3" s="157" t="s">
        <v>106</v>
      </c>
      <c r="C3" s="157"/>
      <c r="D3" s="157"/>
      <c r="E3" s="157"/>
      <c r="F3" s="157"/>
      <c r="G3" s="157"/>
      <c r="H3" s="157"/>
    </row>
    <row r="4" spans="1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10" t="s">
        <v>12</v>
      </c>
      <c r="H4" s="9" t="s">
        <v>111</v>
      </c>
    </row>
    <row r="5" spans="1:14">
      <c r="B5" s="11" t="s">
        <v>55</v>
      </c>
      <c r="C5" s="12" t="s">
        <v>2042</v>
      </c>
      <c r="D5" s="13" t="s">
        <v>84</v>
      </c>
      <c r="E5" s="14" t="s">
        <v>379</v>
      </c>
      <c r="F5" s="15"/>
      <c r="G5" s="12"/>
      <c r="H5" s="14"/>
      <c r="N5" s="5"/>
    </row>
    <row r="6" spans="1:14">
      <c r="B6" s="8"/>
      <c r="C6" s="8"/>
      <c r="D6" s="8"/>
      <c r="E6" s="8"/>
      <c r="F6" s="8"/>
      <c r="G6" s="16"/>
      <c r="H6" s="8"/>
    </row>
    <row r="7" spans="1:14">
      <c r="B7" s="157" t="s">
        <v>113</v>
      </c>
      <c r="C7" s="157"/>
      <c r="D7" s="157"/>
      <c r="E7" s="157"/>
      <c r="F7" s="157"/>
      <c r="G7" s="157"/>
      <c r="H7" s="157"/>
    </row>
    <row r="8" spans="1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8" t="s">
        <v>22</v>
      </c>
      <c r="H8" s="17" t="s">
        <v>119</v>
      </c>
    </row>
    <row r="9" spans="1:14">
      <c r="B9" s="14"/>
      <c r="C9" s="12" t="s">
        <v>78</v>
      </c>
      <c r="D9" s="13" t="s">
        <v>79</v>
      </c>
      <c r="E9" s="14" t="s">
        <v>243</v>
      </c>
      <c r="F9" s="19"/>
      <c r="G9" s="20"/>
      <c r="H9" s="21"/>
    </row>
    <row r="10" spans="1:14">
      <c r="B10" s="14"/>
      <c r="C10" s="12"/>
      <c r="D10" s="12"/>
      <c r="E10" s="14"/>
      <c r="F10" s="19"/>
      <c r="G10" s="20"/>
      <c r="H10" s="14"/>
    </row>
    <row r="11" spans="1:14">
      <c r="G11" s="22"/>
    </row>
    <row r="12" spans="1:14">
      <c r="B12" s="5" t="s">
        <v>120</v>
      </c>
    </row>
    <row r="13" spans="1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1:14">
      <c r="B14" s="23" t="s">
        <v>121</v>
      </c>
      <c r="C14" s="23" t="s">
        <v>122</v>
      </c>
      <c r="D14" s="23" t="s">
        <v>123</v>
      </c>
      <c r="E14" s="23" t="s">
        <v>124</v>
      </c>
      <c r="F14" s="23" t="s">
        <v>125</v>
      </c>
      <c r="G14" s="24" t="s">
        <v>126</v>
      </c>
      <c r="H14" s="23" t="s">
        <v>127</v>
      </c>
      <c r="I14" s="23" t="s">
        <v>22</v>
      </c>
      <c r="J14" s="23" t="s">
        <v>128</v>
      </c>
      <c r="K14" s="23" t="s">
        <v>129</v>
      </c>
      <c r="L14" s="23" t="s">
        <v>130</v>
      </c>
    </row>
    <row r="15" spans="1:14">
      <c r="A15" s="14"/>
      <c r="B15" s="14" t="s">
        <v>383</v>
      </c>
      <c r="C15" s="14" t="s">
        <v>132</v>
      </c>
      <c r="D15" s="12" t="s">
        <v>480</v>
      </c>
      <c r="E15" s="14" t="s">
        <v>243</v>
      </c>
      <c r="F15" s="14"/>
      <c r="G15" s="12" t="s">
        <v>250</v>
      </c>
      <c r="H15" s="14"/>
      <c r="I15" s="14"/>
      <c r="J15" s="14" t="s">
        <v>384</v>
      </c>
      <c r="K15" s="14" t="s">
        <v>134</v>
      </c>
      <c r="L15" s="31" t="s">
        <v>134</v>
      </c>
    </row>
    <row r="16" spans="1:14">
      <c r="A16" s="14"/>
      <c r="B16" s="14" t="s">
        <v>379</v>
      </c>
      <c r="C16" s="14" t="s">
        <v>139</v>
      </c>
      <c r="D16" s="12" t="s">
        <v>1570</v>
      </c>
      <c r="E16" s="14" t="s">
        <v>243</v>
      </c>
      <c r="F16" s="14"/>
      <c r="G16" s="12" t="s">
        <v>250</v>
      </c>
      <c r="H16" s="14"/>
      <c r="I16" s="14"/>
      <c r="J16" s="14" t="s">
        <v>384</v>
      </c>
      <c r="K16" s="14" t="s">
        <v>134</v>
      </c>
      <c r="L16" s="31" t="s">
        <v>134</v>
      </c>
    </row>
    <row r="17" spans="1:12">
      <c r="A17" s="14"/>
      <c r="B17" s="14" t="s">
        <v>273</v>
      </c>
      <c r="C17" s="14" t="s">
        <v>139</v>
      </c>
      <c r="D17" s="12" t="s">
        <v>274</v>
      </c>
      <c r="E17" s="14" t="s">
        <v>243</v>
      </c>
      <c r="F17" s="14"/>
      <c r="G17" s="12" t="s">
        <v>250</v>
      </c>
      <c r="H17" s="14"/>
      <c r="I17" s="14"/>
      <c r="J17" s="14" t="s">
        <v>384</v>
      </c>
      <c r="K17" s="14" t="s">
        <v>134</v>
      </c>
      <c r="L17" s="31" t="s">
        <v>134</v>
      </c>
    </row>
    <row r="18" spans="1:12" s="1" customFormat="1">
      <c r="A18" s="25"/>
      <c r="B18" s="26" t="s">
        <v>2390</v>
      </c>
      <c r="C18" s="27" t="s">
        <v>132</v>
      </c>
      <c r="D18" s="12" t="s">
        <v>1571</v>
      </c>
      <c r="E18" s="28" t="s">
        <v>243</v>
      </c>
      <c r="F18" s="19"/>
      <c r="G18" s="19" t="s">
        <v>250</v>
      </c>
      <c r="H18" s="28"/>
      <c r="I18" s="33"/>
      <c r="J18" s="33" t="s">
        <v>384</v>
      </c>
      <c r="K18" s="35" t="s">
        <v>134</v>
      </c>
      <c r="L18" s="34" t="s">
        <v>134</v>
      </c>
    </row>
    <row r="19" spans="1:12">
      <c r="A19" s="14"/>
      <c r="B19" s="14" t="s">
        <v>2391</v>
      </c>
      <c r="C19" s="14" t="s">
        <v>132</v>
      </c>
      <c r="D19" s="12" t="s">
        <v>1572</v>
      </c>
      <c r="E19" s="14" t="s">
        <v>243</v>
      </c>
      <c r="F19" s="14"/>
      <c r="G19" s="12" t="s">
        <v>250</v>
      </c>
      <c r="H19" s="14"/>
      <c r="I19" s="14"/>
      <c r="J19" s="14" t="s">
        <v>384</v>
      </c>
      <c r="K19" s="14" t="s">
        <v>134</v>
      </c>
      <c r="L19" s="31" t="s">
        <v>134</v>
      </c>
    </row>
    <row r="20" spans="1:12">
      <c r="A20" s="14"/>
      <c r="B20" s="14" t="s">
        <v>2392</v>
      </c>
      <c r="C20" s="14" t="s">
        <v>136</v>
      </c>
      <c r="D20" s="12" t="s">
        <v>1573</v>
      </c>
      <c r="E20" s="14" t="s">
        <v>243</v>
      </c>
      <c r="F20" s="14"/>
      <c r="G20" s="12" t="s">
        <v>1574</v>
      </c>
      <c r="H20" s="14"/>
      <c r="I20" s="14"/>
      <c r="J20" s="14" t="s">
        <v>384</v>
      </c>
      <c r="K20" s="14" t="s">
        <v>134</v>
      </c>
      <c r="L20" s="31" t="s">
        <v>134</v>
      </c>
    </row>
    <row r="21" spans="1:12" s="1" customFormat="1">
      <c r="A21" s="25"/>
      <c r="B21" s="26" t="s">
        <v>138</v>
      </c>
      <c r="C21" s="27" t="s">
        <v>139</v>
      </c>
      <c r="D21" s="12" t="s">
        <v>1575</v>
      </c>
      <c r="E21" s="28" t="s">
        <v>243</v>
      </c>
      <c r="F21" s="19"/>
      <c r="G21" s="19" t="s">
        <v>1576</v>
      </c>
      <c r="H21" s="28"/>
      <c r="I21" s="33"/>
      <c r="J21" s="33" t="s">
        <v>384</v>
      </c>
      <c r="K21" s="35" t="s">
        <v>134</v>
      </c>
      <c r="L21" s="34" t="s">
        <v>134</v>
      </c>
    </row>
    <row r="22" spans="1:12" s="2" customFormat="1">
      <c r="A22" s="29"/>
      <c r="B22" s="14" t="s">
        <v>823</v>
      </c>
      <c r="C22" s="14" t="s">
        <v>136</v>
      </c>
      <c r="D22" s="12" t="s">
        <v>1070</v>
      </c>
      <c r="E22" s="30" t="s">
        <v>243</v>
      </c>
      <c r="F22" s="19"/>
      <c r="G22" s="31" t="s">
        <v>1577</v>
      </c>
      <c r="H22" s="32"/>
      <c r="I22" s="35"/>
      <c r="J22" s="14" t="s">
        <v>431</v>
      </c>
      <c r="K22" s="14" t="s">
        <v>134</v>
      </c>
      <c r="L22" s="31" t="s">
        <v>439</v>
      </c>
    </row>
    <row r="23" spans="1:12" s="2" customFormat="1">
      <c r="A23" s="29"/>
      <c r="B23" s="14" t="s">
        <v>826</v>
      </c>
      <c r="C23" s="14" t="s">
        <v>136</v>
      </c>
      <c r="D23" s="12" t="s">
        <v>1073</v>
      </c>
      <c r="E23" s="30" t="s">
        <v>243</v>
      </c>
      <c r="F23" s="19"/>
      <c r="G23" s="31" t="s">
        <v>1578</v>
      </c>
      <c r="H23" s="32"/>
      <c r="I23" s="35"/>
      <c r="J23" s="14" t="s">
        <v>431</v>
      </c>
      <c r="K23" s="14" t="s">
        <v>134</v>
      </c>
      <c r="L23" s="31" t="s">
        <v>439</v>
      </c>
    </row>
    <row r="24" spans="1:12" s="2" customFormat="1">
      <c r="A24" s="29"/>
      <c r="B24" s="14" t="s">
        <v>829</v>
      </c>
      <c r="C24" s="14" t="s">
        <v>136</v>
      </c>
      <c r="D24" s="12" t="s">
        <v>1076</v>
      </c>
      <c r="E24" s="30" t="s">
        <v>243</v>
      </c>
      <c r="F24" s="19"/>
      <c r="G24" s="31" t="s">
        <v>1077</v>
      </c>
      <c r="H24" s="32"/>
      <c r="I24" s="35"/>
      <c r="J24" s="14" t="s">
        <v>431</v>
      </c>
      <c r="K24" s="14" t="s">
        <v>134</v>
      </c>
      <c r="L24" s="31" t="s">
        <v>439</v>
      </c>
    </row>
    <row r="25" spans="1:12">
      <c r="A25" s="14"/>
      <c r="B25" s="14" t="s">
        <v>832</v>
      </c>
      <c r="C25" s="14" t="s">
        <v>136</v>
      </c>
      <c r="D25" s="12" t="s">
        <v>1079</v>
      </c>
      <c r="E25" s="14" t="s">
        <v>243</v>
      </c>
      <c r="F25" s="14"/>
      <c r="G25" s="31" t="s">
        <v>837</v>
      </c>
      <c r="H25" s="32"/>
      <c r="I25" s="35"/>
      <c r="J25" s="14" t="s">
        <v>431</v>
      </c>
      <c r="K25" s="14" t="s">
        <v>134</v>
      </c>
      <c r="L25" s="31" t="s">
        <v>439</v>
      </c>
    </row>
    <row r="26" spans="1:12">
      <c r="A26" s="14"/>
      <c r="B26" s="14" t="s">
        <v>835</v>
      </c>
      <c r="C26" s="14" t="s">
        <v>136</v>
      </c>
      <c r="D26" s="12" t="s">
        <v>1081</v>
      </c>
      <c r="E26" s="14" t="s">
        <v>243</v>
      </c>
      <c r="F26" s="14"/>
      <c r="G26" s="31" t="s">
        <v>834</v>
      </c>
      <c r="H26" s="32"/>
      <c r="I26" s="35"/>
      <c r="J26" s="14" t="s">
        <v>431</v>
      </c>
      <c r="K26" s="14" t="s">
        <v>134</v>
      </c>
      <c r="L26" s="31" t="s">
        <v>439</v>
      </c>
    </row>
    <row r="27" spans="1:12">
      <c r="A27" s="14"/>
      <c r="B27" s="14" t="s">
        <v>838</v>
      </c>
      <c r="C27" s="14" t="s">
        <v>136</v>
      </c>
      <c r="D27" s="12" t="s">
        <v>1083</v>
      </c>
      <c r="E27" s="14" t="s">
        <v>243</v>
      </c>
      <c r="F27" s="14"/>
      <c r="G27" s="31" t="s">
        <v>1084</v>
      </c>
      <c r="H27" s="32"/>
      <c r="I27" s="35"/>
      <c r="J27" s="14" t="s">
        <v>431</v>
      </c>
      <c r="K27" s="14" t="s">
        <v>134</v>
      </c>
      <c r="L27" s="31" t="s">
        <v>439</v>
      </c>
    </row>
    <row r="28" spans="1:12">
      <c r="A28" s="14"/>
      <c r="B28" s="14" t="s">
        <v>841</v>
      </c>
      <c r="C28" s="14" t="s">
        <v>136</v>
      </c>
      <c r="D28" s="12" t="s">
        <v>1086</v>
      </c>
      <c r="E28" s="14" t="s">
        <v>243</v>
      </c>
      <c r="F28" s="14"/>
      <c r="G28" s="31" t="s">
        <v>1087</v>
      </c>
      <c r="H28" s="32"/>
      <c r="I28" s="35"/>
      <c r="J28" s="14" t="s">
        <v>431</v>
      </c>
      <c r="K28" s="14" t="s">
        <v>134</v>
      </c>
      <c r="L28" s="31" t="s">
        <v>439</v>
      </c>
    </row>
    <row r="29" spans="1:12">
      <c r="A29" s="14"/>
      <c r="B29" s="14" t="s">
        <v>1488</v>
      </c>
      <c r="C29" s="14" t="s">
        <v>136</v>
      </c>
      <c r="D29" s="12" t="s">
        <v>1089</v>
      </c>
      <c r="E29" s="14" t="s">
        <v>243</v>
      </c>
      <c r="F29" s="14"/>
      <c r="G29" s="31" t="s">
        <v>1090</v>
      </c>
      <c r="H29" s="32"/>
      <c r="I29" s="35"/>
      <c r="J29" s="14" t="s">
        <v>431</v>
      </c>
      <c r="K29" s="14" t="s">
        <v>134</v>
      </c>
      <c r="L29" s="31" t="s">
        <v>439</v>
      </c>
    </row>
    <row r="30" spans="1:12">
      <c r="A30" s="14"/>
      <c r="B30" s="14" t="s">
        <v>1489</v>
      </c>
      <c r="C30" s="14" t="s">
        <v>136</v>
      </c>
      <c r="D30" s="12" t="s">
        <v>1092</v>
      </c>
      <c r="E30" s="14" t="s">
        <v>243</v>
      </c>
      <c r="F30" s="14"/>
      <c r="G30" s="31" t="s">
        <v>1093</v>
      </c>
      <c r="H30" s="32"/>
      <c r="I30" s="35"/>
      <c r="J30" s="14" t="s">
        <v>431</v>
      </c>
      <c r="K30" s="14" t="s">
        <v>134</v>
      </c>
      <c r="L30" s="31" t="s">
        <v>439</v>
      </c>
    </row>
    <row r="31" spans="1:12">
      <c r="A31" s="14"/>
      <c r="B31" s="14" t="s">
        <v>1490</v>
      </c>
      <c r="C31" s="14" t="s">
        <v>136</v>
      </c>
      <c r="D31" s="12" t="s">
        <v>1095</v>
      </c>
      <c r="E31" s="14" t="s">
        <v>243</v>
      </c>
      <c r="F31" s="14"/>
      <c r="G31" s="31" t="s">
        <v>1096</v>
      </c>
      <c r="H31" s="32"/>
      <c r="I31" s="35"/>
      <c r="J31" s="14" t="s">
        <v>431</v>
      </c>
      <c r="K31" s="14" t="s">
        <v>134</v>
      </c>
      <c r="L31" s="31" t="s">
        <v>439</v>
      </c>
    </row>
    <row r="32" spans="1:12">
      <c r="A32" s="14"/>
      <c r="B32" s="14" t="s">
        <v>1491</v>
      </c>
      <c r="C32" s="14" t="s">
        <v>136</v>
      </c>
      <c r="D32" s="12" t="s">
        <v>1098</v>
      </c>
      <c r="E32" s="14" t="s">
        <v>243</v>
      </c>
      <c r="F32" s="14"/>
      <c r="G32" s="31" t="s">
        <v>1099</v>
      </c>
      <c r="H32" s="32"/>
      <c r="I32" s="35"/>
      <c r="J32" s="14" t="s">
        <v>431</v>
      </c>
      <c r="K32" s="14" t="s">
        <v>134</v>
      </c>
      <c r="L32" s="31" t="s">
        <v>439</v>
      </c>
    </row>
    <row r="33" spans="1:12">
      <c r="A33" s="14"/>
      <c r="B33" s="14" t="s">
        <v>1492</v>
      </c>
      <c r="C33" s="14" t="s">
        <v>136</v>
      </c>
      <c r="D33" s="12" t="s">
        <v>1101</v>
      </c>
      <c r="E33" s="14" t="s">
        <v>243</v>
      </c>
      <c r="F33" s="14"/>
      <c r="G33" s="31" t="s">
        <v>1102</v>
      </c>
      <c r="H33" s="32"/>
      <c r="I33" s="35"/>
      <c r="J33" s="14" t="s">
        <v>431</v>
      </c>
      <c r="K33" s="14" t="s">
        <v>134</v>
      </c>
      <c r="L33" s="31" t="s">
        <v>439</v>
      </c>
    </row>
    <row r="34" spans="1:12">
      <c r="A34" s="14"/>
      <c r="B34" s="14" t="s">
        <v>820</v>
      </c>
      <c r="C34" s="14" t="s">
        <v>136</v>
      </c>
      <c r="D34" s="12" t="s">
        <v>821</v>
      </c>
      <c r="E34" s="14" t="s">
        <v>243</v>
      </c>
      <c r="F34" s="14"/>
      <c r="G34" s="12" t="s">
        <v>822</v>
      </c>
      <c r="H34" s="14"/>
      <c r="I34" s="14"/>
      <c r="J34" s="14" t="s">
        <v>431</v>
      </c>
      <c r="K34" s="14" t="s">
        <v>134</v>
      </c>
      <c r="L34" s="31" t="s">
        <v>439</v>
      </c>
    </row>
    <row r="35" spans="1:12">
      <c r="A35" s="14"/>
      <c r="B35" s="14" t="s">
        <v>814</v>
      </c>
      <c r="C35" s="14" t="s">
        <v>136</v>
      </c>
      <c r="D35" s="12" t="s">
        <v>815</v>
      </c>
      <c r="E35" s="14" t="s">
        <v>243</v>
      </c>
      <c r="F35" s="14"/>
      <c r="G35" s="12" t="s">
        <v>816</v>
      </c>
      <c r="H35" s="14"/>
      <c r="I35" s="14"/>
      <c r="J35" s="14" t="s">
        <v>431</v>
      </c>
      <c r="K35" s="14" t="s">
        <v>134</v>
      </c>
      <c r="L35" s="31" t="s">
        <v>447</v>
      </c>
    </row>
    <row r="36" spans="1:12">
      <c r="A36" s="14"/>
      <c r="B36" s="14" t="s">
        <v>817</v>
      </c>
      <c r="C36" s="14" t="s">
        <v>245</v>
      </c>
      <c r="D36" s="12" t="s">
        <v>818</v>
      </c>
      <c r="E36" s="14" t="s">
        <v>243</v>
      </c>
      <c r="F36" s="14"/>
      <c r="G36" s="12" t="s">
        <v>819</v>
      </c>
      <c r="H36" s="14"/>
      <c r="I36" s="14"/>
      <c r="J36" s="14" t="s">
        <v>431</v>
      </c>
      <c r="K36" s="14" t="s">
        <v>134</v>
      </c>
      <c r="L36" s="31" t="s">
        <v>432</v>
      </c>
    </row>
    <row r="37" spans="1:12">
      <c r="A37" s="14"/>
      <c r="B37" s="14" t="s">
        <v>951</v>
      </c>
      <c r="C37" s="14" t="s">
        <v>136</v>
      </c>
      <c r="D37" s="12" t="s">
        <v>1495</v>
      </c>
      <c r="E37" s="14" t="s">
        <v>243</v>
      </c>
      <c r="F37" s="14"/>
      <c r="G37" s="31" t="s">
        <v>965</v>
      </c>
      <c r="H37" s="32"/>
      <c r="I37" s="35"/>
      <c r="J37" s="14" t="s">
        <v>431</v>
      </c>
      <c r="K37" s="14" t="s">
        <v>134</v>
      </c>
      <c r="L37" s="31" t="s">
        <v>439</v>
      </c>
    </row>
    <row r="38" spans="1:12">
      <c r="A38" s="14"/>
      <c r="B38" s="14" t="s">
        <v>954</v>
      </c>
      <c r="C38" s="14" t="s">
        <v>136</v>
      </c>
      <c r="D38" s="12" t="s">
        <v>1496</v>
      </c>
      <c r="E38" s="14" t="s">
        <v>243</v>
      </c>
      <c r="F38" s="14"/>
      <c r="G38" s="31" t="s">
        <v>963</v>
      </c>
      <c r="H38" s="32"/>
      <c r="I38" s="35"/>
      <c r="J38" s="14" t="s">
        <v>431</v>
      </c>
      <c r="K38" s="14" t="s">
        <v>134</v>
      </c>
      <c r="L38" s="31" t="s">
        <v>439</v>
      </c>
    </row>
    <row r="39" spans="1:12">
      <c r="A39" s="14"/>
      <c r="B39" s="14" t="s">
        <v>956</v>
      </c>
      <c r="C39" s="14" t="s">
        <v>136</v>
      </c>
      <c r="D39" s="12" t="s">
        <v>1497</v>
      </c>
      <c r="E39" s="14" t="s">
        <v>243</v>
      </c>
      <c r="F39" s="14"/>
      <c r="G39" s="31" t="s">
        <v>961</v>
      </c>
      <c r="H39" s="32"/>
      <c r="I39" s="35"/>
      <c r="J39" s="14" t="s">
        <v>431</v>
      </c>
      <c r="K39" s="14" t="s">
        <v>134</v>
      </c>
      <c r="L39" s="31" t="s">
        <v>439</v>
      </c>
    </row>
    <row r="40" spans="1:12">
      <c r="A40" s="14"/>
      <c r="B40" s="14" t="s">
        <v>958</v>
      </c>
      <c r="C40" s="14" t="s">
        <v>136</v>
      </c>
      <c r="D40" s="12" t="s">
        <v>1498</v>
      </c>
      <c r="E40" s="14" t="s">
        <v>243</v>
      </c>
      <c r="F40" s="14"/>
      <c r="G40" s="31" t="s">
        <v>959</v>
      </c>
      <c r="H40" s="32"/>
      <c r="I40" s="35"/>
      <c r="J40" s="14" t="s">
        <v>431</v>
      </c>
      <c r="K40" s="14" t="s">
        <v>134</v>
      </c>
      <c r="L40" s="31" t="s">
        <v>439</v>
      </c>
    </row>
    <row r="41" spans="1:12">
      <c r="A41" s="14"/>
      <c r="B41" s="14" t="s">
        <v>960</v>
      </c>
      <c r="C41" s="14" t="s">
        <v>136</v>
      </c>
      <c r="D41" s="12" t="s">
        <v>1499</v>
      </c>
      <c r="E41" s="14" t="s">
        <v>243</v>
      </c>
      <c r="F41" s="14"/>
      <c r="G41" s="31" t="s">
        <v>957</v>
      </c>
      <c r="H41" s="32"/>
      <c r="I41" s="35"/>
      <c r="J41" s="14" t="s">
        <v>431</v>
      </c>
      <c r="K41" s="14" t="s">
        <v>134</v>
      </c>
      <c r="L41" s="31" t="s">
        <v>439</v>
      </c>
    </row>
    <row r="42" spans="1:12">
      <c r="A42" s="14"/>
      <c r="B42" s="14" t="s">
        <v>962</v>
      </c>
      <c r="C42" s="14" t="s">
        <v>136</v>
      </c>
      <c r="D42" s="12" t="s">
        <v>1500</v>
      </c>
      <c r="E42" s="14" t="s">
        <v>243</v>
      </c>
      <c r="F42" s="14"/>
      <c r="G42" s="31" t="s">
        <v>955</v>
      </c>
      <c r="H42" s="32"/>
      <c r="I42" s="35"/>
      <c r="J42" s="14" t="s">
        <v>431</v>
      </c>
      <c r="K42" s="14" t="s">
        <v>134</v>
      </c>
      <c r="L42" s="31" t="s">
        <v>439</v>
      </c>
    </row>
    <row r="43" spans="1:12">
      <c r="A43" s="14"/>
      <c r="B43" s="14" t="s">
        <v>964</v>
      </c>
      <c r="C43" s="14" t="s">
        <v>136</v>
      </c>
      <c r="D43" s="12" t="s">
        <v>1501</v>
      </c>
      <c r="E43" s="14" t="s">
        <v>243</v>
      </c>
      <c r="F43" s="14"/>
      <c r="G43" s="31" t="s">
        <v>1123</v>
      </c>
      <c r="H43" s="32"/>
      <c r="I43" s="35"/>
      <c r="J43" s="14" t="s">
        <v>431</v>
      </c>
      <c r="K43" s="14" t="s">
        <v>134</v>
      </c>
      <c r="L43" s="31" t="s">
        <v>439</v>
      </c>
    </row>
    <row r="44" spans="1:12">
      <c r="A44" s="14"/>
      <c r="B44" s="14" t="s">
        <v>1502</v>
      </c>
      <c r="C44" s="14" t="s">
        <v>136</v>
      </c>
      <c r="D44" s="12" t="s">
        <v>1503</v>
      </c>
      <c r="E44" s="14" t="s">
        <v>243</v>
      </c>
      <c r="F44" s="14"/>
      <c r="G44" s="31" t="s">
        <v>1126</v>
      </c>
      <c r="H44" s="32"/>
      <c r="I44" s="35"/>
      <c r="J44" s="14" t="s">
        <v>431</v>
      </c>
      <c r="K44" s="14" t="s">
        <v>134</v>
      </c>
      <c r="L44" s="31" t="s">
        <v>439</v>
      </c>
    </row>
    <row r="45" spans="1:12">
      <c r="A45" s="14"/>
      <c r="B45" s="14" t="s">
        <v>1504</v>
      </c>
      <c r="C45" s="14" t="s">
        <v>136</v>
      </c>
      <c r="D45" s="12" t="s">
        <v>1505</v>
      </c>
      <c r="E45" s="14" t="s">
        <v>243</v>
      </c>
      <c r="F45" s="14"/>
      <c r="G45" s="31" t="s">
        <v>1129</v>
      </c>
      <c r="H45" s="32"/>
      <c r="I45" s="35"/>
      <c r="J45" s="14" t="s">
        <v>431</v>
      </c>
      <c r="K45" s="14" t="s">
        <v>134</v>
      </c>
      <c r="L45" s="31" t="s">
        <v>439</v>
      </c>
    </row>
    <row r="46" spans="1:12">
      <c r="A46" s="14"/>
      <c r="B46" s="14" t="s">
        <v>1506</v>
      </c>
      <c r="C46" s="14" t="s">
        <v>136</v>
      </c>
      <c r="D46" s="12" t="s">
        <v>1507</v>
      </c>
      <c r="E46" s="14" t="s">
        <v>243</v>
      </c>
      <c r="F46" s="14"/>
      <c r="G46" s="31" t="s">
        <v>1132</v>
      </c>
      <c r="H46" s="32"/>
      <c r="I46" s="35"/>
      <c r="J46" s="14" t="s">
        <v>431</v>
      </c>
      <c r="K46" s="14" t="s">
        <v>134</v>
      </c>
      <c r="L46" s="31" t="s">
        <v>439</v>
      </c>
    </row>
    <row r="47" spans="1:12">
      <c r="A47" s="14"/>
      <c r="B47" s="14" t="s">
        <v>1508</v>
      </c>
      <c r="C47" s="14" t="s">
        <v>136</v>
      </c>
      <c r="D47" s="12" t="s">
        <v>1509</v>
      </c>
      <c r="E47" s="14" t="s">
        <v>243</v>
      </c>
      <c r="F47" s="14"/>
      <c r="G47" s="31" t="s">
        <v>1135</v>
      </c>
      <c r="H47" s="32"/>
      <c r="I47" s="35"/>
      <c r="J47" s="14" t="s">
        <v>431</v>
      </c>
      <c r="K47" s="14" t="s">
        <v>134</v>
      </c>
      <c r="L47" s="31" t="s">
        <v>439</v>
      </c>
    </row>
    <row r="48" spans="1:12">
      <c r="A48" s="14"/>
      <c r="B48" s="14" t="s">
        <v>1510</v>
      </c>
      <c r="C48" s="14" t="s">
        <v>136</v>
      </c>
      <c r="D48" s="12" t="s">
        <v>1511</v>
      </c>
      <c r="E48" s="14" t="s">
        <v>243</v>
      </c>
      <c r="F48" s="14"/>
      <c r="G48" s="31" t="s">
        <v>1138</v>
      </c>
      <c r="H48" s="32"/>
      <c r="I48" s="35"/>
      <c r="J48" s="14" t="s">
        <v>431</v>
      </c>
      <c r="K48" s="14" t="s">
        <v>134</v>
      </c>
      <c r="L48" s="31" t="s">
        <v>439</v>
      </c>
    </row>
    <row r="49" spans="1:12">
      <c r="A49" s="14"/>
      <c r="B49" s="14" t="s">
        <v>948</v>
      </c>
      <c r="C49" s="14" t="s">
        <v>136</v>
      </c>
      <c r="D49" s="12" t="s">
        <v>949</v>
      </c>
      <c r="E49" s="14" t="s">
        <v>243</v>
      </c>
      <c r="F49" s="14"/>
      <c r="G49" s="12" t="s">
        <v>1579</v>
      </c>
      <c r="H49" s="14"/>
      <c r="I49" s="14"/>
      <c r="J49" s="14" t="s">
        <v>431</v>
      </c>
      <c r="K49" s="14" t="s">
        <v>134</v>
      </c>
      <c r="L49" s="31" t="s">
        <v>439</v>
      </c>
    </row>
    <row r="50" spans="1:12">
      <c r="A50" s="14"/>
      <c r="B50" s="14" t="s">
        <v>1103</v>
      </c>
      <c r="C50" s="14" t="s">
        <v>245</v>
      </c>
      <c r="D50" s="12" t="s">
        <v>1104</v>
      </c>
      <c r="E50" s="14" t="s">
        <v>243</v>
      </c>
      <c r="F50" s="14"/>
      <c r="G50" s="12" t="s">
        <v>1105</v>
      </c>
      <c r="H50" s="14"/>
      <c r="I50" s="14"/>
      <c r="J50" s="14" t="s">
        <v>431</v>
      </c>
      <c r="K50" s="14" t="s">
        <v>134</v>
      </c>
      <c r="L50" s="31" t="s">
        <v>610</v>
      </c>
    </row>
    <row r="51" spans="1:12">
      <c r="A51" s="14"/>
      <c r="B51" s="14" t="s">
        <v>1106</v>
      </c>
      <c r="C51" s="14" t="s">
        <v>245</v>
      </c>
      <c r="D51" s="12" t="s">
        <v>1107</v>
      </c>
      <c r="E51" s="14" t="s">
        <v>243</v>
      </c>
      <c r="F51" s="14"/>
      <c r="G51" s="12" t="s">
        <v>1580</v>
      </c>
      <c r="H51" s="14"/>
      <c r="I51" s="14"/>
      <c r="J51" s="14" t="s">
        <v>431</v>
      </c>
      <c r="K51" s="14" t="s">
        <v>134</v>
      </c>
      <c r="L51" s="31" t="s">
        <v>579</v>
      </c>
    </row>
    <row r="52" spans="1:12">
      <c r="A52" s="14"/>
      <c r="B52" s="14" t="s">
        <v>1513</v>
      </c>
      <c r="C52" s="14" t="s">
        <v>136</v>
      </c>
      <c r="D52" s="12" t="s">
        <v>1514</v>
      </c>
      <c r="E52" s="14" t="s">
        <v>243</v>
      </c>
      <c r="F52" s="14"/>
      <c r="G52" s="12" t="s">
        <v>1153</v>
      </c>
      <c r="H52" s="14"/>
      <c r="I52" s="14"/>
      <c r="J52" s="14" t="s">
        <v>431</v>
      </c>
      <c r="K52" s="14" t="s">
        <v>134</v>
      </c>
      <c r="L52" s="31" t="s">
        <v>439</v>
      </c>
    </row>
    <row r="53" spans="1:12">
      <c r="A53" s="14"/>
      <c r="B53" s="14" t="s">
        <v>1515</v>
      </c>
      <c r="C53" s="14" t="s">
        <v>136</v>
      </c>
      <c r="D53" s="12" t="s">
        <v>1516</v>
      </c>
      <c r="E53" s="14" t="s">
        <v>243</v>
      </c>
      <c r="F53" s="14"/>
      <c r="G53" s="12" t="s">
        <v>1156</v>
      </c>
      <c r="H53" s="14"/>
      <c r="I53" s="14"/>
      <c r="J53" s="14" t="s">
        <v>431</v>
      </c>
      <c r="K53" s="14" t="s">
        <v>134</v>
      </c>
      <c r="L53" s="31" t="s">
        <v>439</v>
      </c>
    </row>
    <row r="54" spans="1:12">
      <c r="A54" s="14"/>
      <c r="B54" s="14" t="s">
        <v>1517</v>
      </c>
      <c r="C54" s="14" t="s">
        <v>136</v>
      </c>
      <c r="D54" s="12" t="s">
        <v>1518</v>
      </c>
      <c r="E54" s="14" t="s">
        <v>243</v>
      </c>
      <c r="F54" s="14"/>
      <c r="G54" s="12" t="s">
        <v>1159</v>
      </c>
      <c r="H54" s="14"/>
      <c r="I54" s="14"/>
      <c r="J54" s="14" t="s">
        <v>431</v>
      </c>
      <c r="K54" s="14" t="s">
        <v>134</v>
      </c>
      <c r="L54" s="31" t="s">
        <v>439</v>
      </c>
    </row>
    <row r="55" spans="1:12">
      <c r="A55" s="14"/>
      <c r="B55" s="14" t="s">
        <v>1519</v>
      </c>
      <c r="C55" s="14" t="s">
        <v>136</v>
      </c>
      <c r="D55" s="12" t="s">
        <v>1520</v>
      </c>
      <c r="E55" s="14" t="s">
        <v>243</v>
      </c>
      <c r="F55" s="14"/>
      <c r="G55" s="12" t="s">
        <v>1162</v>
      </c>
      <c r="H55" s="14"/>
      <c r="I55" s="14"/>
      <c r="J55" s="14" t="s">
        <v>431</v>
      </c>
      <c r="K55" s="14" t="s">
        <v>134</v>
      </c>
      <c r="L55" s="31" t="s">
        <v>439</v>
      </c>
    </row>
    <row r="56" spans="1:12">
      <c r="A56" s="14"/>
      <c r="B56" s="14" t="s">
        <v>1521</v>
      </c>
      <c r="C56" s="14" t="s">
        <v>136</v>
      </c>
      <c r="D56" s="12" t="s">
        <v>1522</v>
      </c>
      <c r="E56" s="14" t="s">
        <v>243</v>
      </c>
      <c r="F56" s="14"/>
      <c r="G56" s="12" t="s">
        <v>1165</v>
      </c>
      <c r="H56" s="14"/>
      <c r="I56" s="14"/>
      <c r="J56" s="14" t="s">
        <v>431</v>
      </c>
      <c r="K56" s="14" t="s">
        <v>134</v>
      </c>
      <c r="L56" s="31" t="s">
        <v>439</v>
      </c>
    </row>
    <row r="57" spans="1:12">
      <c r="A57" s="14"/>
      <c r="B57" s="14" t="s">
        <v>1523</v>
      </c>
      <c r="C57" s="14" t="s">
        <v>136</v>
      </c>
      <c r="D57" s="12" t="s">
        <v>1524</v>
      </c>
      <c r="E57" s="14" t="s">
        <v>243</v>
      </c>
      <c r="F57" s="14"/>
      <c r="G57" s="12" t="s">
        <v>1168</v>
      </c>
      <c r="H57" s="14"/>
      <c r="I57" s="14"/>
      <c r="J57" s="14" t="s">
        <v>431</v>
      </c>
      <c r="K57" s="14" t="s">
        <v>134</v>
      </c>
      <c r="L57" s="31" t="s">
        <v>439</v>
      </c>
    </row>
    <row r="58" spans="1:12">
      <c r="A58" s="14"/>
      <c r="B58" s="14" t="s">
        <v>1525</v>
      </c>
      <c r="C58" s="14" t="s">
        <v>136</v>
      </c>
      <c r="D58" s="12" t="s">
        <v>1526</v>
      </c>
      <c r="E58" s="14" t="s">
        <v>243</v>
      </c>
      <c r="F58" s="14"/>
      <c r="G58" s="12" t="s">
        <v>1171</v>
      </c>
      <c r="H58" s="14"/>
      <c r="I58" s="14"/>
      <c r="J58" s="14" t="s">
        <v>431</v>
      </c>
      <c r="K58" s="14" t="s">
        <v>134</v>
      </c>
      <c r="L58" s="31" t="s">
        <v>439</v>
      </c>
    </row>
    <row r="59" spans="1:12">
      <c r="A59" s="14"/>
      <c r="B59" s="14" t="s">
        <v>1527</v>
      </c>
      <c r="C59" s="14" t="s">
        <v>136</v>
      </c>
      <c r="D59" s="12" t="s">
        <v>1528</v>
      </c>
      <c r="E59" s="14" t="s">
        <v>243</v>
      </c>
      <c r="F59" s="14"/>
      <c r="G59" s="12" t="s">
        <v>1174</v>
      </c>
      <c r="H59" s="14"/>
      <c r="I59" s="14"/>
      <c r="J59" s="14" t="s">
        <v>431</v>
      </c>
      <c r="K59" s="14" t="s">
        <v>134</v>
      </c>
      <c r="L59" s="31" t="s">
        <v>439</v>
      </c>
    </row>
    <row r="60" spans="1:12">
      <c r="A60" s="14"/>
      <c r="B60" s="14" t="s">
        <v>1529</v>
      </c>
      <c r="C60" s="14" t="s">
        <v>136</v>
      </c>
      <c r="D60" s="12" t="s">
        <v>1530</v>
      </c>
      <c r="E60" s="14" t="s">
        <v>243</v>
      </c>
      <c r="F60" s="14"/>
      <c r="G60" s="12" t="s">
        <v>1177</v>
      </c>
      <c r="H60" s="14"/>
      <c r="I60" s="14"/>
      <c r="J60" s="14" t="s">
        <v>431</v>
      </c>
      <c r="K60" s="14" t="s">
        <v>134</v>
      </c>
      <c r="L60" s="31" t="s">
        <v>439</v>
      </c>
    </row>
    <row r="61" spans="1:12">
      <c r="A61" s="14"/>
      <c r="B61" s="26" t="s">
        <v>1531</v>
      </c>
      <c r="C61" s="14" t="s">
        <v>136</v>
      </c>
      <c r="D61" s="12" t="s">
        <v>1532</v>
      </c>
      <c r="E61" s="14" t="s">
        <v>243</v>
      </c>
      <c r="F61" s="14"/>
      <c r="G61" s="12" t="s">
        <v>1180</v>
      </c>
      <c r="H61" s="14"/>
      <c r="I61" s="14"/>
      <c r="J61" s="14" t="s">
        <v>431</v>
      </c>
      <c r="K61" s="14" t="s">
        <v>134</v>
      </c>
      <c r="L61" s="31" t="s">
        <v>439</v>
      </c>
    </row>
    <row r="62" spans="1:12">
      <c r="A62" s="14"/>
      <c r="B62" s="26" t="s">
        <v>1533</v>
      </c>
      <c r="C62" s="14" t="s">
        <v>136</v>
      </c>
      <c r="D62" s="12" t="s">
        <v>1534</v>
      </c>
      <c r="E62" s="14" t="s">
        <v>243</v>
      </c>
      <c r="F62" s="14"/>
      <c r="G62" s="12" t="s">
        <v>1183</v>
      </c>
      <c r="H62" s="14"/>
      <c r="I62" s="14"/>
      <c r="J62" s="14" t="s">
        <v>431</v>
      </c>
      <c r="K62" s="14" t="s">
        <v>134</v>
      </c>
      <c r="L62" s="31" t="s">
        <v>439</v>
      </c>
    </row>
    <row r="63" spans="1:12">
      <c r="A63" s="14"/>
      <c r="B63" s="14" t="s">
        <v>1535</v>
      </c>
      <c r="C63" s="14" t="s">
        <v>136</v>
      </c>
      <c r="D63" s="12" t="s">
        <v>1536</v>
      </c>
      <c r="E63" s="14" t="s">
        <v>243</v>
      </c>
      <c r="F63" s="14"/>
      <c r="G63" s="12" t="s">
        <v>1186</v>
      </c>
      <c r="H63" s="14"/>
      <c r="I63" s="14"/>
      <c r="J63" s="14" t="s">
        <v>431</v>
      </c>
      <c r="K63" s="14" t="s">
        <v>134</v>
      </c>
      <c r="L63" s="31" t="s">
        <v>439</v>
      </c>
    </row>
    <row r="64" spans="1:12">
      <c r="A64" s="14"/>
      <c r="B64" s="14" t="s">
        <v>1145</v>
      </c>
      <c r="C64" s="14" t="s">
        <v>136</v>
      </c>
      <c r="D64" s="12" t="s">
        <v>1146</v>
      </c>
      <c r="E64" s="14" t="s">
        <v>243</v>
      </c>
      <c r="F64" s="14"/>
      <c r="G64" s="12" t="s">
        <v>853</v>
      </c>
      <c r="H64" s="14"/>
      <c r="I64" s="14"/>
      <c r="J64" s="14" t="s">
        <v>431</v>
      </c>
      <c r="K64" s="14" t="s">
        <v>134</v>
      </c>
      <c r="L64" s="31" t="s">
        <v>439</v>
      </c>
    </row>
    <row r="65" spans="1:12">
      <c r="A65" s="14"/>
      <c r="B65" s="14" t="s">
        <v>1147</v>
      </c>
      <c r="C65" s="14" t="s">
        <v>245</v>
      </c>
      <c r="D65" s="12" t="s">
        <v>1148</v>
      </c>
      <c r="E65" s="14" t="s">
        <v>243</v>
      </c>
      <c r="F65" s="14"/>
      <c r="G65" s="12" t="s">
        <v>849</v>
      </c>
      <c r="H65" s="14"/>
      <c r="I65" s="14"/>
      <c r="J65" s="14" t="s">
        <v>431</v>
      </c>
      <c r="K65" s="14" t="s">
        <v>134</v>
      </c>
      <c r="L65" s="31" t="s">
        <v>610</v>
      </c>
    </row>
    <row r="66" spans="1:12">
      <c r="A66" s="14"/>
      <c r="B66" s="14" t="s">
        <v>1149</v>
      </c>
      <c r="C66" s="14" t="s">
        <v>245</v>
      </c>
      <c r="D66" s="12" t="s">
        <v>1150</v>
      </c>
      <c r="E66" s="14" t="s">
        <v>243</v>
      </c>
      <c r="F66" s="14"/>
      <c r="G66" s="12" t="s">
        <v>851</v>
      </c>
      <c r="H66" s="14"/>
      <c r="I66" s="14"/>
      <c r="J66" s="14" t="s">
        <v>431</v>
      </c>
      <c r="K66" s="14" t="s">
        <v>134</v>
      </c>
      <c r="L66" s="31" t="s">
        <v>615</v>
      </c>
    </row>
    <row r="67" spans="1:12">
      <c r="A67" s="14"/>
      <c r="B67" s="14" t="s">
        <v>2393</v>
      </c>
      <c r="C67" s="14" t="s">
        <v>136</v>
      </c>
      <c r="D67" s="12" t="s">
        <v>2064</v>
      </c>
      <c r="E67" s="14" t="s">
        <v>243</v>
      </c>
      <c r="F67" s="14"/>
      <c r="G67" s="12" t="s">
        <v>2085</v>
      </c>
      <c r="H67" s="14"/>
      <c r="I67" s="14"/>
      <c r="J67" s="14" t="s">
        <v>431</v>
      </c>
      <c r="K67" s="14" t="s">
        <v>134</v>
      </c>
      <c r="L67" s="31" t="s">
        <v>439</v>
      </c>
    </row>
    <row r="68" spans="1:12">
      <c r="A68" s="14"/>
      <c r="B68" s="14" t="s">
        <v>2394</v>
      </c>
      <c r="C68" s="14" t="s">
        <v>136</v>
      </c>
      <c r="D68" s="12" t="s">
        <v>2065</v>
      </c>
      <c r="E68" s="14" t="s">
        <v>243</v>
      </c>
      <c r="F68" s="14"/>
      <c r="G68" s="12" t="s">
        <v>2087</v>
      </c>
      <c r="H68" s="14"/>
      <c r="I68" s="14"/>
      <c r="J68" s="14" t="s">
        <v>431</v>
      </c>
      <c r="K68" s="14" t="s">
        <v>134</v>
      </c>
      <c r="L68" s="31" t="s">
        <v>439</v>
      </c>
    </row>
    <row r="69" spans="1:12">
      <c r="A69" s="14"/>
      <c r="B69" s="14" t="s">
        <v>2340</v>
      </c>
      <c r="C69" s="14" t="s">
        <v>136</v>
      </c>
      <c r="D69" s="12" t="s">
        <v>2066</v>
      </c>
      <c r="E69" s="14" t="s">
        <v>243</v>
      </c>
      <c r="F69" s="14"/>
      <c r="G69" s="12" t="s">
        <v>2089</v>
      </c>
      <c r="H69" s="14"/>
      <c r="I69" s="14"/>
      <c r="J69" s="14" t="s">
        <v>431</v>
      </c>
      <c r="K69" s="14" t="s">
        <v>134</v>
      </c>
      <c r="L69" s="31" t="s">
        <v>439</v>
      </c>
    </row>
    <row r="70" spans="1:12">
      <c r="A70" s="14"/>
      <c r="B70" s="14" t="s">
        <v>2076</v>
      </c>
      <c r="C70" s="14" t="s">
        <v>132</v>
      </c>
      <c r="D70" s="12" t="s">
        <v>2068</v>
      </c>
      <c r="E70" s="14" t="s">
        <v>243</v>
      </c>
      <c r="F70" s="14"/>
      <c r="G70" s="12" t="s">
        <v>2077</v>
      </c>
      <c r="H70" s="14"/>
      <c r="I70" s="14"/>
      <c r="J70" s="14" t="s">
        <v>431</v>
      </c>
      <c r="K70" s="14" t="s">
        <v>134</v>
      </c>
      <c r="L70" s="31" t="s">
        <v>1623</v>
      </c>
    </row>
    <row r="71" spans="1:12">
      <c r="A71" s="14"/>
      <c r="B71" s="14" t="s">
        <v>2078</v>
      </c>
      <c r="C71" s="14" t="s">
        <v>132</v>
      </c>
      <c r="D71" s="12" t="s">
        <v>2071</v>
      </c>
      <c r="E71" s="14" t="s">
        <v>243</v>
      </c>
      <c r="F71" s="14"/>
      <c r="G71" s="12" t="s">
        <v>2079</v>
      </c>
      <c r="H71" s="14"/>
      <c r="I71" s="14"/>
      <c r="J71" s="14" t="s">
        <v>431</v>
      </c>
      <c r="K71" s="14" t="s">
        <v>134</v>
      </c>
      <c r="L71" s="31" t="s">
        <v>1623</v>
      </c>
    </row>
    <row r="72" spans="1:12" s="4" customFormat="1">
      <c r="A72" s="36"/>
      <c r="B72" s="36" t="s">
        <v>233</v>
      </c>
      <c r="C72" s="36" t="s">
        <v>139</v>
      </c>
      <c r="D72" s="37" t="s">
        <v>234</v>
      </c>
      <c r="E72" s="36"/>
      <c r="F72" s="36"/>
      <c r="G72" s="37"/>
      <c r="H72" s="36"/>
      <c r="I72" s="36"/>
      <c r="J72" s="36"/>
      <c r="K72" s="36"/>
      <c r="L72" s="38"/>
    </row>
    <row r="73" spans="1:12" s="4" customFormat="1">
      <c r="A73" s="36"/>
      <c r="B73" s="36" t="s">
        <v>235</v>
      </c>
      <c r="C73" s="36" t="s">
        <v>132</v>
      </c>
      <c r="D73" s="37" t="s">
        <v>1548</v>
      </c>
      <c r="E73" s="36"/>
      <c r="F73" s="36"/>
      <c r="G73" s="37"/>
      <c r="H73" s="36"/>
      <c r="I73" s="36"/>
      <c r="J73" s="36"/>
      <c r="K73" s="36"/>
      <c r="L73" s="38"/>
    </row>
    <row r="74" spans="1:12" s="4" customFormat="1">
      <c r="A74" s="36"/>
      <c r="B74" s="36" t="s">
        <v>237</v>
      </c>
      <c r="C74" s="36" t="s">
        <v>139</v>
      </c>
      <c r="D74" s="37" t="s">
        <v>238</v>
      </c>
      <c r="E74" s="36"/>
      <c r="F74" s="36"/>
      <c r="G74" s="37"/>
      <c r="H74" s="36"/>
      <c r="I74" s="36"/>
      <c r="J74" s="36"/>
      <c r="K74" s="36"/>
      <c r="L74" s="38"/>
    </row>
  </sheetData>
  <autoFilter ref="A14:Q74" xr:uid="{00000000-0009-0000-0000-000016000000}">
    <sortState xmlns:xlrd2="http://schemas.microsoft.com/office/spreadsheetml/2017/richdata2" ref="A14:Q74">
      <sortCondition ref="A14"/>
    </sortState>
  </autoFilter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116"/>
  <sheetViews>
    <sheetView zoomScale="85" zoomScaleNormal="85" workbookViewId="0">
      <pane ySplit="5" topLeftCell="A6" activePane="bottomLeft" state="frozen"/>
      <selection activeCell="D107" sqref="B106:D107"/>
      <selection pane="bottomLeft" activeCell="C9" sqref="C9"/>
    </sheetView>
  </sheetViews>
  <sheetFormatPr defaultColWidth="9" defaultRowHeight="13.2"/>
  <cols>
    <col min="1" max="1" width="3" style="5" customWidth="1"/>
    <col min="2" max="2" width="23.6640625" style="5" customWidth="1"/>
    <col min="3" max="3" width="30.21875" style="5" customWidth="1"/>
    <col min="4" max="4" width="32.21875" style="5" customWidth="1"/>
    <col min="5" max="5" width="16.21875" style="5" customWidth="1"/>
    <col min="6" max="6" width="24.88671875" style="5" customWidth="1"/>
    <col min="7" max="7" width="39.5546875" style="6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1:14">
      <c r="B1" s="7" t="str">
        <f>HYPERLINK("#导航!a2","返回")</f>
        <v>返回</v>
      </c>
    </row>
    <row r="2" spans="1:14">
      <c r="B2" s="156"/>
      <c r="C2" s="156"/>
      <c r="D2" s="156"/>
      <c r="E2" s="156"/>
      <c r="F2" s="156"/>
      <c r="G2" s="156"/>
      <c r="H2" s="156"/>
    </row>
    <row r="3" spans="1:14">
      <c r="B3" s="157" t="s">
        <v>106</v>
      </c>
      <c r="C3" s="157"/>
      <c r="D3" s="157"/>
      <c r="E3" s="157"/>
      <c r="F3" s="157"/>
      <c r="G3" s="157"/>
      <c r="H3" s="157"/>
    </row>
    <row r="4" spans="1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10" t="s">
        <v>12</v>
      </c>
      <c r="H4" s="9" t="s">
        <v>111</v>
      </c>
    </row>
    <row r="5" spans="1:14">
      <c r="B5" s="11" t="s">
        <v>55</v>
      </c>
      <c r="C5" s="12" t="s">
        <v>86</v>
      </c>
      <c r="D5" s="13" t="s">
        <v>87</v>
      </c>
      <c r="E5" s="14" t="s">
        <v>379</v>
      </c>
      <c r="F5" s="15"/>
      <c r="G5" s="12"/>
      <c r="H5" s="14"/>
      <c r="N5" s="5"/>
    </row>
    <row r="6" spans="1:14">
      <c r="B6" s="8"/>
      <c r="C6" s="8"/>
      <c r="D6" s="8"/>
      <c r="E6" s="8"/>
      <c r="F6" s="8"/>
      <c r="G6" s="16"/>
      <c r="H6" s="8"/>
    </row>
    <row r="7" spans="1:14">
      <c r="B7" s="157" t="s">
        <v>113</v>
      </c>
      <c r="C7" s="157"/>
      <c r="D7" s="157"/>
      <c r="E7" s="157"/>
      <c r="F7" s="157"/>
      <c r="G7" s="157"/>
      <c r="H7" s="157"/>
    </row>
    <row r="8" spans="1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8" t="s">
        <v>22</v>
      </c>
      <c r="H8" s="17" t="s">
        <v>119</v>
      </c>
    </row>
    <row r="9" spans="1:14" ht="26.4">
      <c r="B9" s="14"/>
      <c r="C9" s="12" t="s">
        <v>78</v>
      </c>
      <c r="D9" s="13" t="s">
        <v>79</v>
      </c>
      <c r="E9" s="14" t="s">
        <v>243</v>
      </c>
      <c r="F9" s="19"/>
      <c r="G9" s="20" t="s">
        <v>2403</v>
      </c>
      <c r="H9" s="21"/>
    </row>
    <row r="10" spans="1:14">
      <c r="B10" s="14"/>
      <c r="C10" s="12"/>
      <c r="D10" s="12"/>
      <c r="E10" s="14"/>
      <c r="F10" s="19"/>
      <c r="G10" s="20"/>
      <c r="H10" s="14"/>
    </row>
    <row r="11" spans="1:14">
      <c r="G11" s="22"/>
    </row>
    <row r="12" spans="1:14">
      <c r="B12" s="5" t="s">
        <v>120</v>
      </c>
    </row>
    <row r="13" spans="1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1:14">
      <c r="B14" s="23" t="s">
        <v>121</v>
      </c>
      <c r="C14" s="23" t="s">
        <v>122</v>
      </c>
      <c r="D14" s="23" t="s">
        <v>123</v>
      </c>
      <c r="E14" s="23" t="s">
        <v>124</v>
      </c>
      <c r="F14" s="23" t="s">
        <v>125</v>
      </c>
      <c r="G14" s="24" t="s">
        <v>126</v>
      </c>
      <c r="H14" s="23" t="s">
        <v>127</v>
      </c>
      <c r="I14" s="23" t="s">
        <v>22</v>
      </c>
      <c r="J14" s="23" t="s">
        <v>128</v>
      </c>
      <c r="K14" s="23" t="s">
        <v>129</v>
      </c>
      <c r="L14" s="23" t="s">
        <v>130</v>
      </c>
    </row>
    <row r="15" spans="1:14">
      <c r="A15" s="14"/>
      <c r="B15" s="14" t="s">
        <v>383</v>
      </c>
      <c r="C15" s="14" t="s">
        <v>132</v>
      </c>
      <c r="D15" s="12" t="s">
        <v>480</v>
      </c>
      <c r="E15" s="14" t="s">
        <v>243</v>
      </c>
      <c r="F15" s="14" t="s">
        <v>235</v>
      </c>
      <c r="G15" s="12" t="s">
        <v>250</v>
      </c>
      <c r="H15" s="14"/>
      <c r="I15" s="14"/>
      <c r="J15" s="14" t="s">
        <v>384</v>
      </c>
      <c r="K15" s="14" t="s">
        <v>134</v>
      </c>
      <c r="L15" s="31" t="s">
        <v>134</v>
      </c>
    </row>
    <row r="16" spans="1:14">
      <c r="A16" s="14"/>
      <c r="B16" s="14" t="s">
        <v>379</v>
      </c>
      <c r="C16" s="14" t="s">
        <v>139</v>
      </c>
      <c r="D16" s="12" t="s">
        <v>48</v>
      </c>
      <c r="E16" s="14" t="s">
        <v>243</v>
      </c>
      <c r="F16" s="14" t="s">
        <v>237</v>
      </c>
      <c r="G16" s="12" t="s">
        <v>250</v>
      </c>
      <c r="H16" s="14"/>
      <c r="I16" s="14"/>
      <c r="J16" s="14" t="s">
        <v>384</v>
      </c>
      <c r="K16" s="14" t="s">
        <v>134</v>
      </c>
      <c r="L16" s="31" t="s">
        <v>134</v>
      </c>
    </row>
    <row r="17" spans="1:12" s="2" customFormat="1">
      <c r="A17" s="29"/>
      <c r="B17" s="14" t="s">
        <v>251</v>
      </c>
      <c r="C17" s="14" t="s">
        <v>132</v>
      </c>
      <c r="D17" s="12" t="s">
        <v>494</v>
      </c>
      <c r="E17" s="30" t="s">
        <v>243</v>
      </c>
      <c r="F17" s="19" t="str">
        <f t="shared" ref="F17:F19" si="0">B17</f>
        <v>imsi</v>
      </c>
      <c r="G17" s="31" t="s">
        <v>250</v>
      </c>
      <c r="H17" s="32"/>
      <c r="I17" s="35"/>
      <c r="J17" s="14" t="s">
        <v>384</v>
      </c>
      <c r="K17" s="14" t="s">
        <v>134</v>
      </c>
      <c r="L17" s="31" t="s">
        <v>134</v>
      </c>
    </row>
    <row r="18" spans="1:12" s="2" customFormat="1">
      <c r="A18" s="29"/>
      <c r="B18" s="14" t="s">
        <v>257</v>
      </c>
      <c r="C18" s="14" t="s">
        <v>132</v>
      </c>
      <c r="D18" s="12" t="s">
        <v>280</v>
      </c>
      <c r="E18" s="30" t="s">
        <v>243</v>
      </c>
      <c r="F18" s="19" t="str">
        <f t="shared" si="0"/>
        <v>msisdn</v>
      </c>
      <c r="G18" s="31" t="s">
        <v>250</v>
      </c>
      <c r="H18" s="32"/>
      <c r="I18" s="35"/>
      <c r="J18" s="14" t="s">
        <v>384</v>
      </c>
      <c r="K18" s="14" t="s">
        <v>134</v>
      </c>
      <c r="L18" s="31" t="s">
        <v>134</v>
      </c>
    </row>
    <row r="19" spans="1:12" s="2" customFormat="1">
      <c r="A19" s="29"/>
      <c r="B19" s="14" t="s">
        <v>254</v>
      </c>
      <c r="C19" s="14" t="s">
        <v>132</v>
      </c>
      <c r="D19" s="12" t="s">
        <v>495</v>
      </c>
      <c r="E19" s="30" t="s">
        <v>243</v>
      </c>
      <c r="F19" s="19" t="str">
        <f t="shared" si="0"/>
        <v>imei</v>
      </c>
      <c r="G19" s="31" t="s">
        <v>250</v>
      </c>
      <c r="H19" s="32"/>
      <c r="I19" s="35"/>
      <c r="J19" s="14" t="s">
        <v>384</v>
      </c>
      <c r="K19" s="14" t="s">
        <v>134</v>
      </c>
      <c r="L19" s="31" t="s">
        <v>134</v>
      </c>
    </row>
    <row r="20" spans="1:12">
      <c r="A20" s="14"/>
      <c r="B20" s="14" t="s">
        <v>273</v>
      </c>
      <c r="C20" s="14" t="s">
        <v>139</v>
      </c>
      <c r="D20" s="12" t="s">
        <v>274</v>
      </c>
      <c r="E20" s="14" t="s">
        <v>243</v>
      </c>
      <c r="F20" s="14" t="s">
        <v>273</v>
      </c>
      <c r="G20" s="12" t="s">
        <v>250</v>
      </c>
      <c r="H20" s="14"/>
      <c r="I20" s="14"/>
      <c r="J20" s="14" t="s">
        <v>384</v>
      </c>
      <c r="K20" s="14" t="s">
        <v>134</v>
      </c>
      <c r="L20" s="31" t="s">
        <v>134</v>
      </c>
    </row>
    <row r="21" spans="1:12">
      <c r="A21" s="14"/>
      <c r="B21" s="14" t="s">
        <v>385</v>
      </c>
      <c r="C21" s="14" t="s">
        <v>139</v>
      </c>
      <c r="D21" s="12" t="s">
        <v>487</v>
      </c>
      <c r="E21" s="14" t="s">
        <v>243</v>
      </c>
      <c r="F21" s="14" t="s">
        <v>385</v>
      </c>
      <c r="G21" s="12" t="s">
        <v>250</v>
      </c>
      <c r="H21" s="14"/>
      <c r="I21" s="14"/>
      <c r="J21" s="14" t="s">
        <v>384</v>
      </c>
      <c r="K21" s="14" t="s">
        <v>134</v>
      </c>
      <c r="L21" s="31" t="s">
        <v>134</v>
      </c>
    </row>
    <row r="22" spans="1:12">
      <c r="A22" s="14"/>
      <c r="B22" s="14" t="s">
        <v>388</v>
      </c>
      <c r="C22" s="14" t="s">
        <v>139</v>
      </c>
      <c r="D22" s="12" t="s">
        <v>488</v>
      </c>
      <c r="E22" s="14" t="s">
        <v>243</v>
      </c>
      <c r="F22" s="14" t="s">
        <v>388</v>
      </c>
      <c r="G22" s="12" t="s">
        <v>250</v>
      </c>
      <c r="H22" s="14"/>
      <c r="I22" s="14"/>
      <c r="J22" s="14" t="s">
        <v>384</v>
      </c>
      <c r="K22" s="14" t="s">
        <v>134</v>
      </c>
      <c r="L22" s="31" t="s">
        <v>134</v>
      </c>
    </row>
    <row r="23" spans="1:12">
      <c r="A23" s="14"/>
      <c r="B23" s="14" t="s">
        <v>392</v>
      </c>
      <c r="C23" s="14" t="s">
        <v>132</v>
      </c>
      <c r="D23" s="12" t="s">
        <v>391</v>
      </c>
      <c r="E23" s="14" t="s">
        <v>243</v>
      </c>
      <c r="F23" s="14" t="s">
        <v>392</v>
      </c>
      <c r="G23" s="12" t="s">
        <v>250</v>
      </c>
      <c r="H23" s="14"/>
      <c r="I23" s="14"/>
      <c r="J23" s="14" t="s">
        <v>384</v>
      </c>
      <c r="K23" s="14" t="s">
        <v>134</v>
      </c>
      <c r="L23" s="31" t="s">
        <v>134</v>
      </c>
    </row>
    <row r="24" spans="1:12">
      <c r="A24" s="14"/>
      <c r="B24" s="14" t="s">
        <v>395</v>
      </c>
      <c r="C24" s="14" t="s">
        <v>132</v>
      </c>
      <c r="D24" s="12" t="s">
        <v>489</v>
      </c>
      <c r="E24" s="14" t="s">
        <v>243</v>
      </c>
      <c r="F24" s="14" t="s">
        <v>395</v>
      </c>
      <c r="G24" s="12" t="s">
        <v>250</v>
      </c>
      <c r="H24" s="14"/>
      <c r="I24" s="14"/>
      <c r="J24" s="14" t="s">
        <v>384</v>
      </c>
      <c r="K24" s="14" t="s">
        <v>134</v>
      </c>
      <c r="L24" s="31" t="s">
        <v>134</v>
      </c>
    </row>
    <row r="25" spans="1:12">
      <c r="A25" s="14"/>
      <c r="B25" s="14" t="s">
        <v>398</v>
      </c>
      <c r="C25" s="14" t="s">
        <v>132</v>
      </c>
      <c r="D25" s="12" t="s">
        <v>490</v>
      </c>
      <c r="E25" s="14" t="s">
        <v>243</v>
      </c>
      <c r="F25" s="14" t="s">
        <v>398</v>
      </c>
      <c r="G25" s="12" t="s">
        <v>250</v>
      </c>
      <c r="H25" s="14"/>
      <c r="I25" s="14"/>
      <c r="J25" s="14" t="s">
        <v>384</v>
      </c>
      <c r="K25" s="14" t="s">
        <v>134</v>
      </c>
      <c r="L25" s="31" t="s">
        <v>134</v>
      </c>
    </row>
    <row r="26" spans="1:12">
      <c r="A26" s="14"/>
      <c r="B26" s="14" t="s">
        <v>811</v>
      </c>
      <c r="C26" s="14" t="s">
        <v>136</v>
      </c>
      <c r="D26" s="12" t="s">
        <v>812</v>
      </c>
      <c r="E26" s="14" t="s">
        <v>243</v>
      </c>
      <c r="F26" s="14"/>
      <c r="G26" s="12" t="s">
        <v>1306</v>
      </c>
      <c r="H26" s="14"/>
      <c r="I26" s="14"/>
      <c r="J26" s="14" t="s">
        <v>431</v>
      </c>
      <c r="K26" s="14" t="s">
        <v>134</v>
      </c>
      <c r="L26" s="31" t="s">
        <v>439</v>
      </c>
    </row>
    <row r="27" spans="1:12">
      <c r="A27" s="14"/>
      <c r="B27" s="14" t="s">
        <v>448</v>
      </c>
      <c r="C27" s="14" t="s">
        <v>136</v>
      </c>
      <c r="D27" s="12" t="s">
        <v>821</v>
      </c>
      <c r="E27" s="14" t="s">
        <v>243</v>
      </c>
      <c r="F27" s="14"/>
      <c r="G27" s="12" t="s">
        <v>822</v>
      </c>
      <c r="H27" s="14"/>
      <c r="I27" s="14"/>
      <c r="J27" s="14" t="s">
        <v>431</v>
      </c>
      <c r="K27" s="14" t="s">
        <v>134</v>
      </c>
      <c r="L27" s="31" t="s">
        <v>439</v>
      </c>
    </row>
    <row r="28" spans="1:12">
      <c r="A28" s="14"/>
      <c r="B28" s="14" t="s">
        <v>444</v>
      </c>
      <c r="C28" s="14" t="s">
        <v>136</v>
      </c>
      <c r="D28" s="12" t="s">
        <v>815</v>
      </c>
      <c r="E28" s="14" t="s">
        <v>243</v>
      </c>
      <c r="F28" s="14"/>
      <c r="G28" s="12" t="s">
        <v>816</v>
      </c>
      <c r="H28" s="14"/>
      <c r="I28" s="14"/>
      <c r="J28" s="14" t="s">
        <v>431</v>
      </c>
      <c r="K28" s="14" t="s">
        <v>134</v>
      </c>
      <c r="L28" s="31" t="s">
        <v>533</v>
      </c>
    </row>
    <row r="29" spans="1:12">
      <c r="A29" s="14"/>
      <c r="B29" s="14" t="s">
        <v>2395</v>
      </c>
      <c r="C29" s="14" t="s">
        <v>245</v>
      </c>
      <c r="D29" s="12" t="s">
        <v>818</v>
      </c>
      <c r="E29" s="14" t="s">
        <v>243</v>
      </c>
      <c r="F29" s="14"/>
      <c r="G29" s="12" t="s">
        <v>819</v>
      </c>
      <c r="H29" s="14"/>
      <c r="I29" s="14"/>
      <c r="J29" s="14" t="s">
        <v>431</v>
      </c>
      <c r="K29" s="14" t="s">
        <v>134</v>
      </c>
      <c r="L29" s="31" t="s">
        <v>432</v>
      </c>
    </row>
    <row r="30" spans="1:12">
      <c r="A30" s="14"/>
      <c r="B30" s="14" t="s">
        <v>2401</v>
      </c>
      <c r="C30" s="14" t="s">
        <v>136</v>
      </c>
      <c r="D30" s="12" t="s">
        <v>1070</v>
      </c>
      <c r="E30" s="14" t="s">
        <v>243</v>
      </c>
      <c r="F30" s="14"/>
      <c r="G30" s="12" t="s">
        <v>1577</v>
      </c>
      <c r="H30" s="14"/>
      <c r="I30" s="14"/>
      <c r="J30" s="14" t="s">
        <v>431</v>
      </c>
      <c r="K30" s="14" t="s">
        <v>134</v>
      </c>
      <c r="L30" s="31" t="s">
        <v>439</v>
      </c>
    </row>
    <row r="31" spans="1:12">
      <c r="A31" s="14"/>
      <c r="B31" s="14" t="s">
        <v>2399</v>
      </c>
      <c r="C31" s="14" t="s">
        <v>136</v>
      </c>
      <c r="D31" s="12" t="s">
        <v>1073</v>
      </c>
      <c r="E31" s="14" t="s">
        <v>243</v>
      </c>
      <c r="F31" s="14"/>
      <c r="G31" s="12" t="s">
        <v>1578</v>
      </c>
      <c r="H31" s="14"/>
      <c r="I31" s="14"/>
      <c r="J31" s="14" t="s">
        <v>431</v>
      </c>
      <c r="K31" s="14" t="s">
        <v>134</v>
      </c>
      <c r="L31" s="31" t="s">
        <v>439</v>
      </c>
    </row>
    <row r="32" spans="1:12">
      <c r="A32" s="14"/>
      <c r="B32" s="14" t="s">
        <v>554</v>
      </c>
      <c r="C32" s="14" t="s">
        <v>136</v>
      </c>
      <c r="D32" s="12" t="s">
        <v>1076</v>
      </c>
      <c r="E32" s="14" t="s">
        <v>243</v>
      </c>
      <c r="F32" s="14"/>
      <c r="G32" s="12" t="s">
        <v>1077</v>
      </c>
      <c r="H32" s="14"/>
      <c r="I32" s="14"/>
      <c r="J32" s="14" t="s">
        <v>431</v>
      </c>
      <c r="K32" s="14" t="s">
        <v>134</v>
      </c>
      <c r="L32" s="31" t="s">
        <v>439</v>
      </c>
    </row>
    <row r="33" spans="1:12">
      <c r="A33" s="14"/>
      <c r="B33" s="14" t="s">
        <v>552</v>
      </c>
      <c r="C33" s="14" t="s">
        <v>136</v>
      </c>
      <c r="D33" s="12" t="s">
        <v>1079</v>
      </c>
      <c r="E33" s="14" t="s">
        <v>243</v>
      </c>
      <c r="F33" s="14"/>
      <c r="G33" s="12" t="s">
        <v>837</v>
      </c>
      <c r="H33" s="14"/>
      <c r="I33" s="14"/>
      <c r="J33" s="14" t="s">
        <v>431</v>
      </c>
      <c r="K33" s="14" t="s">
        <v>134</v>
      </c>
      <c r="L33" s="31" t="s">
        <v>439</v>
      </c>
    </row>
    <row r="34" spans="1:12">
      <c r="A34" s="14"/>
      <c r="B34" s="14" t="s">
        <v>550</v>
      </c>
      <c r="C34" s="14" t="s">
        <v>136</v>
      </c>
      <c r="D34" s="12" t="s">
        <v>1081</v>
      </c>
      <c r="E34" s="14" t="s">
        <v>243</v>
      </c>
      <c r="F34" s="14"/>
      <c r="G34" s="12" t="s">
        <v>834</v>
      </c>
      <c r="H34" s="14"/>
      <c r="I34" s="14"/>
      <c r="J34" s="14" t="s">
        <v>431</v>
      </c>
      <c r="K34" s="14" t="s">
        <v>134</v>
      </c>
      <c r="L34" s="31" t="s">
        <v>439</v>
      </c>
    </row>
    <row r="35" spans="1:12">
      <c r="A35" s="14"/>
      <c r="B35" s="14" t="s">
        <v>548</v>
      </c>
      <c r="C35" s="14" t="s">
        <v>136</v>
      </c>
      <c r="D35" s="12" t="s">
        <v>1083</v>
      </c>
      <c r="E35" s="14" t="s">
        <v>243</v>
      </c>
      <c r="F35" s="14"/>
      <c r="G35" s="12" t="s">
        <v>1084</v>
      </c>
      <c r="H35" s="14"/>
      <c r="I35" s="14"/>
      <c r="J35" s="14" t="s">
        <v>431</v>
      </c>
      <c r="K35" s="14" t="s">
        <v>134</v>
      </c>
      <c r="L35" s="31" t="s">
        <v>439</v>
      </c>
    </row>
    <row r="36" spans="1:12">
      <c r="A36" s="14"/>
      <c r="B36" s="14" t="s">
        <v>546</v>
      </c>
      <c r="C36" s="14" t="s">
        <v>136</v>
      </c>
      <c r="D36" s="12" t="s">
        <v>1086</v>
      </c>
      <c r="E36" s="14" t="s">
        <v>243</v>
      </c>
      <c r="F36" s="14"/>
      <c r="G36" s="12" t="s">
        <v>1087</v>
      </c>
      <c r="H36" s="14"/>
      <c r="I36" s="14"/>
      <c r="J36" s="14" t="s">
        <v>431</v>
      </c>
      <c r="K36" s="14" t="s">
        <v>134</v>
      </c>
      <c r="L36" s="31" t="s">
        <v>439</v>
      </c>
    </row>
    <row r="37" spans="1:12">
      <c r="A37" s="14"/>
      <c r="B37" s="14" t="s">
        <v>544</v>
      </c>
      <c r="C37" s="14" t="s">
        <v>136</v>
      </c>
      <c r="D37" s="12" t="s">
        <v>1089</v>
      </c>
      <c r="E37" s="14" t="s">
        <v>243</v>
      </c>
      <c r="F37" s="14"/>
      <c r="G37" s="12" t="s">
        <v>1090</v>
      </c>
      <c r="H37" s="14"/>
      <c r="I37" s="14"/>
      <c r="J37" s="14" t="s">
        <v>431</v>
      </c>
      <c r="K37" s="14" t="s">
        <v>134</v>
      </c>
      <c r="L37" s="31" t="s">
        <v>439</v>
      </c>
    </row>
    <row r="38" spans="1:12">
      <c r="A38" s="14"/>
      <c r="B38" s="14" t="s">
        <v>542</v>
      </c>
      <c r="C38" s="14" t="s">
        <v>136</v>
      </c>
      <c r="D38" s="12" t="s">
        <v>1092</v>
      </c>
      <c r="E38" s="14" t="s">
        <v>243</v>
      </c>
      <c r="F38" s="14"/>
      <c r="G38" s="12" t="s">
        <v>1093</v>
      </c>
      <c r="H38" s="14"/>
      <c r="I38" s="14"/>
      <c r="J38" s="14" t="s">
        <v>431</v>
      </c>
      <c r="K38" s="14" t="s">
        <v>134</v>
      </c>
      <c r="L38" s="31" t="s">
        <v>439</v>
      </c>
    </row>
    <row r="39" spans="1:12">
      <c r="A39" s="14"/>
      <c r="B39" s="14" t="s">
        <v>540</v>
      </c>
      <c r="C39" s="14" t="s">
        <v>136</v>
      </c>
      <c r="D39" s="12" t="s">
        <v>1095</v>
      </c>
      <c r="E39" s="14" t="s">
        <v>243</v>
      </c>
      <c r="F39" s="14"/>
      <c r="G39" s="12" t="s">
        <v>1096</v>
      </c>
      <c r="H39" s="14"/>
      <c r="I39" s="14"/>
      <c r="J39" s="14" t="s">
        <v>431</v>
      </c>
      <c r="K39" s="14" t="s">
        <v>134</v>
      </c>
      <c r="L39" s="31" t="s">
        <v>439</v>
      </c>
    </row>
    <row r="40" spans="1:12">
      <c r="A40" s="14"/>
      <c r="B40" s="14" t="s">
        <v>538</v>
      </c>
      <c r="C40" s="14" t="s">
        <v>136</v>
      </c>
      <c r="D40" s="12" t="s">
        <v>1098</v>
      </c>
      <c r="E40" s="14" t="s">
        <v>243</v>
      </c>
      <c r="F40" s="14"/>
      <c r="G40" s="12" t="s">
        <v>1099</v>
      </c>
      <c r="H40" s="14"/>
      <c r="I40" s="14"/>
      <c r="J40" s="14" t="s">
        <v>431</v>
      </c>
      <c r="K40" s="14" t="s">
        <v>134</v>
      </c>
      <c r="L40" s="31" t="s">
        <v>439</v>
      </c>
    </row>
    <row r="41" spans="1:12">
      <c r="A41" s="14"/>
      <c r="B41" s="14" t="s">
        <v>536</v>
      </c>
      <c r="C41" s="14" t="s">
        <v>136</v>
      </c>
      <c r="D41" s="12" t="s">
        <v>1101</v>
      </c>
      <c r="E41" s="14" t="s">
        <v>243</v>
      </c>
      <c r="F41" s="14"/>
      <c r="G41" s="12" t="s">
        <v>1102</v>
      </c>
      <c r="H41" s="14"/>
      <c r="I41" s="14"/>
      <c r="J41" s="14" t="s">
        <v>431</v>
      </c>
      <c r="K41" s="14" t="s">
        <v>134</v>
      </c>
      <c r="L41" s="31" t="s">
        <v>439</v>
      </c>
    </row>
    <row r="42" spans="1:12">
      <c r="A42" s="14"/>
      <c r="B42" s="14" t="s">
        <v>564</v>
      </c>
      <c r="C42" s="14" t="s">
        <v>136</v>
      </c>
      <c r="D42" s="12" t="s">
        <v>1493</v>
      </c>
      <c r="E42" s="14" t="s">
        <v>243</v>
      </c>
      <c r="F42" s="14"/>
      <c r="G42" s="12" t="s">
        <v>845</v>
      </c>
      <c r="H42" s="14"/>
      <c r="I42" s="14"/>
      <c r="J42" s="14" t="s">
        <v>431</v>
      </c>
      <c r="K42" s="14" t="s">
        <v>134</v>
      </c>
      <c r="L42" s="31" t="s">
        <v>439</v>
      </c>
    </row>
    <row r="43" spans="1:12">
      <c r="A43" s="14"/>
      <c r="B43" s="14" t="s">
        <v>566</v>
      </c>
      <c r="C43" s="14" t="s">
        <v>245</v>
      </c>
      <c r="D43" s="12" t="s">
        <v>1494</v>
      </c>
      <c r="E43" s="14" t="s">
        <v>243</v>
      </c>
      <c r="F43" s="14"/>
      <c r="G43" s="12" t="s">
        <v>847</v>
      </c>
      <c r="H43" s="14"/>
      <c r="I43" s="14"/>
      <c r="J43" s="14" t="s">
        <v>431</v>
      </c>
      <c r="K43" s="14" t="s">
        <v>134</v>
      </c>
      <c r="L43" s="31" t="s">
        <v>568</v>
      </c>
    </row>
    <row r="44" spans="1:12">
      <c r="A44" s="14"/>
      <c r="B44" s="14" t="s">
        <v>575</v>
      </c>
      <c r="C44" s="14" t="s">
        <v>136</v>
      </c>
      <c r="D44" s="12" t="s">
        <v>949</v>
      </c>
      <c r="E44" s="14" t="s">
        <v>243</v>
      </c>
      <c r="F44" s="14"/>
      <c r="G44" s="12" t="s">
        <v>950</v>
      </c>
      <c r="H44" s="14"/>
      <c r="I44" s="14"/>
      <c r="J44" s="14" t="s">
        <v>431</v>
      </c>
      <c r="K44" s="14" t="s">
        <v>134</v>
      </c>
      <c r="L44" s="31" t="s">
        <v>439</v>
      </c>
    </row>
    <row r="45" spans="1:12">
      <c r="A45" s="14"/>
      <c r="B45" s="14" t="s">
        <v>573</v>
      </c>
      <c r="C45" s="14" t="s">
        <v>245</v>
      </c>
      <c r="D45" s="12" t="s">
        <v>1104</v>
      </c>
      <c r="E45" s="14" t="s">
        <v>243</v>
      </c>
      <c r="F45" s="14"/>
      <c r="G45" s="12" t="s">
        <v>1105</v>
      </c>
      <c r="H45" s="14"/>
      <c r="I45" s="14"/>
      <c r="J45" s="14" t="s">
        <v>431</v>
      </c>
      <c r="K45" s="14" t="s">
        <v>134</v>
      </c>
      <c r="L45" s="31" t="s">
        <v>610</v>
      </c>
    </row>
    <row r="46" spans="1:12">
      <c r="A46" s="14"/>
      <c r="B46" s="14" t="s">
        <v>2404</v>
      </c>
      <c r="C46" s="14" t="s">
        <v>245</v>
      </c>
      <c r="D46" s="12" t="s">
        <v>1107</v>
      </c>
      <c r="E46" s="14" t="s">
        <v>243</v>
      </c>
      <c r="F46" s="14"/>
      <c r="G46" s="12" t="s">
        <v>1108</v>
      </c>
      <c r="H46" s="14"/>
      <c r="I46" s="14"/>
      <c r="J46" s="14" t="s">
        <v>431</v>
      </c>
      <c r="K46" s="14" t="s">
        <v>134</v>
      </c>
      <c r="L46" s="31" t="s">
        <v>579</v>
      </c>
    </row>
    <row r="47" spans="1:12">
      <c r="A47" s="14"/>
      <c r="B47" s="14" t="s">
        <v>602</v>
      </c>
      <c r="C47" s="14" t="s">
        <v>136</v>
      </c>
      <c r="D47" s="12" t="s">
        <v>1551</v>
      </c>
      <c r="E47" s="14" t="s">
        <v>243</v>
      </c>
      <c r="F47" s="14"/>
      <c r="G47" s="12" t="s">
        <v>965</v>
      </c>
      <c r="H47" s="14"/>
      <c r="I47" s="14"/>
      <c r="J47" s="14" t="s">
        <v>431</v>
      </c>
      <c r="K47" s="14" t="s">
        <v>134</v>
      </c>
      <c r="L47" s="31" t="s">
        <v>439</v>
      </c>
    </row>
    <row r="48" spans="1:12">
      <c r="A48" s="14"/>
      <c r="B48" s="14" t="s">
        <v>600</v>
      </c>
      <c r="C48" s="14" t="s">
        <v>136</v>
      </c>
      <c r="D48" s="12" t="s">
        <v>1552</v>
      </c>
      <c r="E48" s="14" t="s">
        <v>243</v>
      </c>
      <c r="F48" s="14"/>
      <c r="G48" s="12" t="s">
        <v>963</v>
      </c>
      <c r="H48" s="14"/>
      <c r="I48" s="14"/>
      <c r="J48" s="14" t="s">
        <v>431</v>
      </c>
      <c r="K48" s="14" t="s">
        <v>134</v>
      </c>
      <c r="L48" s="31" t="s">
        <v>439</v>
      </c>
    </row>
    <row r="49" spans="1:12">
      <c r="A49" s="14"/>
      <c r="B49" s="14" t="s">
        <v>598</v>
      </c>
      <c r="C49" s="14" t="s">
        <v>136</v>
      </c>
      <c r="D49" s="12" t="s">
        <v>1553</v>
      </c>
      <c r="E49" s="14" t="s">
        <v>243</v>
      </c>
      <c r="F49" s="14"/>
      <c r="G49" s="12" t="s">
        <v>961</v>
      </c>
      <c r="H49" s="14"/>
      <c r="I49" s="14"/>
      <c r="J49" s="14" t="s">
        <v>431</v>
      </c>
      <c r="K49" s="14" t="s">
        <v>134</v>
      </c>
      <c r="L49" s="31" t="s">
        <v>439</v>
      </c>
    </row>
    <row r="50" spans="1:12">
      <c r="A50" s="14"/>
      <c r="B50" s="14" t="s">
        <v>596</v>
      </c>
      <c r="C50" s="14" t="s">
        <v>136</v>
      </c>
      <c r="D50" s="12" t="s">
        <v>1554</v>
      </c>
      <c r="E50" s="14" t="s">
        <v>243</v>
      </c>
      <c r="F50" s="14"/>
      <c r="G50" s="12" t="s">
        <v>959</v>
      </c>
      <c r="H50" s="14"/>
      <c r="I50" s="14"/>
      <c r="J50" s="14" t="s">
        <v>431</v>
      </c>
      <c r="K50" s="14" t="s">
        <v>134</v>
      </c>
      <c r="L50" s="31" t="s">
        <v>439</v>
      </c>
    </row>
    <row r="51" spans="1:12">
      <c r="A51" s="14"/>
      <c r="B51" s="14" t="s">
        <v>594</v>
      </c>
      <c r="C51" s="14" t="s">
        <v>136</v>
      </c>
      <c r="D51" s="12" t="s">
        <v>1499</v>
      </c>
      <c r="E51" s="14" t="s">
        <v>243</v>
      </c>
      <c r="F51" s="14"/>
      <c r="G51" s="12" t="s">
        <v>957</v>
      </c>
      <c r="H51" s="14"/>
      <c r="I51" s="14"/>
      <c r="J51" s="14" t="s">
        <v>431</v>
      </c>
      <c r="K51" s="14" t="s">
        <v>134</v>
      </c>
      <c r="L51" s="31" t="s">
        <v>439</v>
      </c>
    </row>
    <row r="52" spans="1:12">
      <c r="A52" s="14"/>
      <c r="B52" s="14" t="s">
        <v>592</v>
      </c>
      <c r="C52" s="14" t="s">
        <v>136</v>
      </c>
      <c r="D52" s="12" t="s">
        <v>1500</v>
      </c>
      <c r="E52" s="14" t="s">
        <v>243</v>
      </c>
      <c r="F52" s="14"/>
      <c r="G52" s="12" t="s">
        <v>955</v>
      </c>
      <c r="H52" s="14"/>
      <c r="I52" s="14"/>
      <c r="J52" s="14" t="s">
        <v>431</v>
      </c>
      <c r="K52" s="14" t="s">
        <v>134</v>
      </c>
      <c r="L52" s="31" t="s">
        <v>439</v>
      </c>
    </row>
    <row r="53" spans="1:12">
      <c r="A53" s="14"/>
      <c r="B53" s="14" t="s">
        <v>590</v>
      </c>
      <c r="C53" s="14" t="s">
        <v>136</v>
      </c>
      <c r="D53" s="12" t="s">
        <v>1501</v>
      </c>
      <c r="E53" s="14" t="s">
        <v>243</v>
      </c>
      <c r="F53" s="14"/>
      <c r="G53" s="12" t="s">
        <v>1123</v>
      </c>
      <c r="H53" s="14"/>
      <c r="I53" s="14"/>
      <c r="J53" s="14" t="s">
        <v>431</v>
      </c>
      <c r="K53" s="14" t="s">
        <v>134</v>
      </c>
      <c r="L53" s="31" t="s">
        <v>439</v>
      </c>
    </row>
    <row r="54" spans="1:12">
      <c r="A54" s="14"/>
      <c r="B54" s="14" t="s">
        <v>588</v>
      </c>
      <c r="C54" s="14" t="s">
        <v>136</v>
      </c>
      <c r="D54" s="12" t="s">
        <v>1503</v>
      </c>
      <c r="E54" s="14" t="s">
        <v>243</v>
      </c>
      <c r="F54" s="14"/>
      <c r="G54" s="12" t="s">
        <v>1126</v>
      </c>
      <c r="H54" s="14"/>
      <c r="I54" s="14"/>
      <c r="J54" s="14" t="s">
        <v>431</v>
      </c>
      <c r="K54" s="14" t="s">
        <v>134</v>
      </c>
      <c r="L54" s="31" t="s">
        <v>439</v>
      </c>
    </row>
    <row r="55" spans="1:12">
      <c r="A55" s="14"/>
      <c r="B55" s="14" t="s">
        <v>586</v>
      </c>
      <c r="C55" s="14" t="s">
        <v>136</v>
      </c>
      <c r="D55" s="12" t="s">
        <v>1505</v>
      </c>
      <c r="E55" s="14" t="s">
        <v>243</v>
      </c>
      <c r="F55" s="14"/>
      <c r="G55" s="12" t="s">
        <v>1129</v>
      </c>
      <c r="H55" s="14"/>
      <c r="I55" s="14"/>
      <c r="J55" s="14" t="s">
        <v>431</v>
      </c>
      <c r="K55" s="14" t="s">
        <v>134</v>
      </c>
      <c r="L55" s="31" t="s">
        <v>439</v>
      </c>
    </row>
    <row r="56" spans="1:12">
      <c r="A56" s="14"/>
      <c r="B56" s="14" t="s">
        <v>584</v>
      </c>
      <c r="C56" s="14" t="s">
        <v>136</v>
      </c>
      <c r="D56" s="12" t="s">
        <v>1507</v>
      </c>
      <c r="E56" s="14" t="s">
        <v>243</v>
      </c>
      <c r="F56" s="14"/>
      <c r="G56" s="12" t="s">
        <v>1132</v>
      </c>
      <c r="H56" s="14"/>
      <c r="I56" s="14"/>
      <c r="J56" s="14" t="s">
        <v>431</v>
      </c>
      <c r="K56" s="14" t="s">
        <v>134</v>
      </c>
      <c r="L56" s="31" t="s">
        <v>439</v>
      </c>
    </row>
    <row r="57" spans="1:12">
      <c r="A57" s="14"/>
      <c r="B57" s="14" t="s">
        <v>582</v>
      </c>
      <c r="C57" s="14" t="s">
        <v>136</v>
      </c>
      <c r="D57" s="12" t="s">
        <v>1509</v>
      </c>
      <c r="E57" s="14" t="s">
        <v>243</v>
      </c>
      <c r="F57" s="14"/>
      <c r="G57" s="12" t="s">
        <v>1135</v>
      </c>
      <c r="H57" s="14"/>
      <c r="I57" s="14"/>
      <c r="J57" s="14" t="s">
        <v>431</v>
      </c>
      <c r="K57" s="14" t="s">
        <v>134</v>
      </c>
      <c r="L57" s="31" t="s">
        <v>439</v>
      </c>
    </row>
    <row r="58" spans="1:12">
      <c r="A58" s="14"/>
      <c r="B58" s="14" t="s">
        <v>580</v>
      </c>
      <c r="C58" s="14" t="s">
        <v>136</v>
      </c>
      <c r="D58" s="12" t="s">
        <v>1511</v>
      </c>
      <c r="E58" s="14" t="s">
        <v>243</v>
      </c>
      <c r="F58" s="14"/>
      <c r="G58" s="12" t="s">
        <v>1138</v>
      </c>
      <c r="H58" s="14"/>
      <c r="I58" s="14"/>
      <c r="J58" s="14" t="s">
        <v>431</v>
      </c>
      <c r="K58" s="14" t="s">
        <v>134</v>
      </c>
      <c r="L58" s="31" t="s">
        <v>439</v>
      </c>
    </row>
    <row r="59" spans="1:12">
      <c r="A59" s="14"/>
      <c r="B59" s="26" t="s">
        <v>604</v>
      </c>
      <c r="C59" s="14" t="s">
        <v>136</v>
      </c>
      <c r="D59" s="12" t="s">
        <v>1140</v>
      </c>
      <c r="E59" s="14" t="s">
        <v>243</v>
      </c>
      <c r="F59" s="14"/>
      <c r="G59" s="12" t="s">
        <v>1141</v>
      </c>
      <c r="H59" s="14"/>
      <c r="I59" s="14"/>
      <c r="J59" s="14" t="s">
        <v>431</v>
      </c>
      <c r="K59" s="14" t="s">
        <v>134</v>
      </c>
      <c r="L59" s="31" t="s">
        <v>439</v>
      </c>
    </row>
    <row r="60" spans="1:12">
      <c r="A60" s="14"/>
      <c r="B60" s="26" t="s">
        <v>606</v>
      </c>
      <c r="C60" s="14" t="s">
        <v>245</v>
      </c>
      <c r="D60" s="12" t="s">
        <v>1512</v>
      </c>
      <c r="E60" s="14" t="s">
        <v>243</v>
      </c>
      <c r="F60" s="14"/>
      <c r="G60" s="12" t="s">
        <v>1144</v>
      </c>
      <c r="H60" s="14"/>
      <c r="I60" s="14"/>
      <c r="J60" s="14" t="s">
        <v>431</v>
      </c>
      <c r="K60" s="14" t="s">
        <v>134</v>
      </c>
      <c r="L60" s="31" t="s">
        <v>568</v>
      </c>
    </row>
    <row r="61" spans="1:12">
      <c r="A61" s="14"/>
      <c r="B61" s="14" t="s">
        <v>611</v>
      </c>
      <c r="C61" s="14" t="s">
        <v>136</v>
      </c>
      <c r="D61" s="12" t="s">
        <v>1146</v>
      </c>
      <c r="E61" s="14" t="s">
        <v>243</v>
      </c>
      <c r="F61" s="14"/>
      <c r="G61" s="12" t="s">
        <v>853</v>
      </c>
      <c r="H61" s="14"/>
      <c r="I61" s="14"/>
      <c r="J61" s="14" t="s">
        <v>431</v>
      </c>
      <c r="K61" s="14" t="s">
        <v>134</v>
      </c>
      <c r="L61" s="31" t="s">
        <v>439</v>
      </c>
    </row>
    <row r="62" spans="1:12">
      <c r="A62" s="14"/>
      <c r="B62" s="14" t="s">
        <v>608</v>
      </c>
      <c r="C62" s="14" t="s">
        <v>245</v>
      </c>
      <c r="D62" s="12" t="s">
        <v>1148</v>
      </c>
      <c r="E62" s="14" t="s">
        <v>243</v>
      </c>
      <c r="F62" s="14"/>
      <c r="G62" s="12" t="s">
        <v>849</v>
      </c>
      <c r="H62" s="14"/>
      <c r="I62" s="14"/>
      <c r="J62" s="14" t="s">
        <v>431</v>
      </c>
      <c r="K62" s="14" t="s">
        <v>134</v>
      </c>
      <c r="L62" s="31" t="s">
        <v>610</v>
      </c>
    </row>
    <row r="63" spans="1:12">
      <c r="A63" s="14"/>
      <c r="B63" s="14" t="s">
        <v>2402</v>
      </c>
      <c r="C63" s="14" t="s">
        <v>245</v>
      </c>
      <c r="D63" s="12" t="s">
        <v>1150</v>
      </c>
      <c r="E63" s="14" t="s">
        <v>243</v>
      </c>
      <c r="F63" s="14"/>
      <c r="G63" s="12" t="s">
        <v>851</v>
      </c>
      <c r="H63" s="14"/>
      <c r="I63" s="14"/>
      <c r="J63" s="14" t="s">
        <v>431</v>
      </c>
      <c r="K63" s="14" t="s">
        <v>134</v>
      </c>
      <c r="L63" s="31" t="s">
        <v>615</v>
      </c>
    </row>
    <row r="64" spans="1:12">
      <c r="A64" s="14"/>
      <c r="B64" s="14" t="s">
        <v>628</v>
      </c>
      <c r="C64" s="14" t="s">
        <v>136</v>
      </c>
      <c r="D64" s="12" t="s">
        <v>873</v>
      </c>
      <c r="E64" s="14" t="s">
        <v>243</v>
      </c>
      <c r="F64" s="14"/>
      <c r="G64" s="12" t="s">
        <v>874</v>
      </c>
      <c r="H64" s="14"/>
      <c r="I64" s="14"/>
      <c r="J64" s="14" t="s">
        <v>431</v>
      </c>
      <c r="K64" s="14" t="s">
        <v>134</v>
      </c>
      <c r="L64" s="31" t="s">
        <v>439</v>
      </c>
    </row>
    <row r="65" spans="1:12">
      <c r="A65" s="14"/>
      <c r="B65" s="14" t="s">
        <v>626</v>
      </c>
      <c r="C65" s="14" t="s">
        <v>136</v>
      </c>
      <c r="D65" s="12" t="s">
        <v>870</v>
      </c>
      <c r="E65" s="14" t="s">
        <v>243</v>
      </c>
      <c r="F65" s="14"/>
      <c r="G65" s="12" t="s">
        <v>871</v>
      </c>
      <c r="H65" s="14"/>
      <c r="I65" s="14"/>
      <c r="J65" s="14" t="s">
        <v>431</v>
      </c>
      <c r="K65" s="14" t="s">
        <v>134</v>
      </c>
      <c r="L65" s="31" t="s">
        <v>439</v>
      </c>
    </row>
    <row r="66" spans="1:12">
      <c r="A66" s="14"/>
      <c r="B66" s="14" t="s">
        <v>624</v>
      </c>
      <c r="C66" s="14" t="s">
        <v>136</v>
      </c>
      <c r="D66" s="12" t="s">
        <v>867</v>
      </c>
      <c r="E66" s="14" t="s">
        <v>243</v>
      </c>
      <c r="F66" s="14"/>
      <c r="G66" s="12" t="s">
        <v>868</v>
      </c>
      <c r="H66" s="14"/>
      <c r="I66" s="14"/>
      <c r="J66" s="14" t="s">
        <v>431</v>
      </c>
      <c r="K66" s="14" t="s">
        <v>134</v>
      </c>
      <c r="L66" s="31" t="s">
        <v>439</v>
      </c>
    </row>
    <row r="67" spans="1:12">
      <c r="A67" s="14"/>
      <c r="B67" s="14" t="s">
        <v>622</v>
      </c>
      <c r="C67" s="14" t="s">
        <v>136</v>
      </c>
      <c r="D67" s="12" t="s">
        <v>864</v>
      </c>
      <c r="E67" s="14" t="s">
        <v>243</v>
      </c>
      <c r="F67" s="14"/>
      <c r="G67" s="12" t="s">
        <v>865</v>
      </c>
      <c r="H67" s="14"/>
      <c r="I67" s="14"/>
      <c r="J67" s="14" t="s">
        <v>431</v>
      </c>
      <c r="K67" s="14" t="s">
        <v>134</v>
      </c>
      <c r="L67" s="31" t="s">
        <v>439</v>
      </c>
    </row>
    <row r="68" spans="1:12">
      <c r="A68" s="14"/>
      <c r="B68" s="14" t="s">
        <v>620</v>
      </c>
      <c r="C68" s="14" t="s">
        <v>136</v>
      </c>
      <c r="D68" s="12" t="s">
        <v>861</v>
      </c>
      <c r="E68" s="14" t="s">
        <v>243</v>
      </c>
      <c r="F68" s="14"/>
      <c r="G68" s="12" t="s">
        <v>862</v>
      </c>
      <c r="H68" s="14"/>
      <c r="I68" s="14"/>
      <c r="J68" s="14" t="s">
        <v>431</v>
      </c>
      <c r="K68" s="14" t="s">
        <v>134</v>
      </c>
      <c r="L68" s="31" t="s">
        <v>439</v>
      </c>
    </row>
    <row r="69" spans="1:12">
      <c r="A69" s="14"/>
      <c r="B69" s="14" t="s">
        <v>618</v>
      </c>
      <c r="C69" s="14" t="s">
        <v>136</v>
      </c>
      <c r="D69" s="12" t="s">
        <v>858</v>
      </c>
      <c r="E69" s="14" t="s">
        <v>243</v>
      </c>
      <c r="F69" s="14"/>
      <c r="G69" s="12" t="s">
        <v>859</v>
      </c>
      <c r="H69" s="14"/>
      <c r="I69" s="14"/>
      <c r="J69" s="14" t="s">
        <v>431</v>
      </c>
      <c r="K69" s="14" t="s">
        <v>134</v>
      </c>
      <c r="L69" s="31" t="s">
        <v>439</v>
      </c>
    </row>
    <row r="70" spans="1:12">
      <c r="A70" s="14"/>
      <c r="B70" s="14" t="s">
        <v>616</v>
      </c>
      <c r="C70" s="14" t="s">
        <v>136</v>
      </c>
      <c r="D70" s="12" t="s">
        <v>855</v>
      </c>
      <c r="E70" s="14" t="s">
        <v>243</v>
      </c>
      <c r="F70" s="14"/>
      <c r="G70" s="12" t="s">
        <v>856</v>
      </c>
      <c r="H70" s="14"/>
      <c r="I70" s="14"/>
      <c r="J70" s="14" t="s">
        <v>431</v>
      </c>
      <c r="K70" s="14" t="s">
        <v>134</v>
      </c>
      <c r="L70" s="31" t="s">
        <v>439</v>
      </c>
    </row>
    <row r="71" spans="1:12">
      <c r="A71" s="14"/>
      <c r="B71" s="14" t="s">
        <v>654</v>
      </c>
      <c r="C71" s="14" t="s">
        <v>136</v>
      </c>
      <c r="D71" s="12" t="s">
        <v>1188</v>
      </c>
      <c r="E71" s="14" t="s">
        <v>243</v>
      </c>
      <c r="F71" s="14"/>
      <c r="G71" s="12" t="s">
        <v>876</v>
      </c>
      <c r="H71" s="14"/>
      <c r="I71" s="14"/>
      <c r="J71" s="14" t="s">
        <v>431</v>
      </c>
      <c r="K71" s="14" t="s">
        <v>134</v>
      </c>
      <c r="L71" s="31" t="s">
        <v>439</v>
      </c>
    </row>
    <row r="72" spans="1:12">
      <c r="A72" s="14"/>
      <c r="B72" s="14" t="s">
        <v>656</v>
      </c>
      <c r="C72" s="14" t="s">
        <v>245</v>
      </c>
      <c r="D72" s="12" t="s">
        <v>1190</v>
      </c>
      <c r="E72" s="14" t="s">
        <v>243</v>
      </c>
      <c r="F72" s="14"/>
      <c r="G72" s="12" t="s">
        <v>878</v>
      </c>
      <c r="H72" s="14"/>
      <c r="I72" s="14"/>
      <c r="J72" s="14" t="s">
        <v>431</v>
      </c>
      <c r="K72" s="14" t="s">
        <v>134</v>
      </c>
      <c r="L72" s="31" t="s">
        <v>568</v>
      </c>
    </row>
    <row r="73" spans="1:12">
      <c r="A73" s="14"/>
      <c r="B73" s="14" t="s">
        <v>658</v>
      </c>
      <c r="C73" s="14" t="s">
        <v>136</v>
      </c>
      <c r="D73" s="12" t="s">
        <v>659</v>
      </c>
      <c r="E73" s="14" t="s">
        <v>243</v>
      </c>
      <c r="F73" s="14"/>
      <c r="G73" s="12" t="s">
        <v>1193</v>
      </c>
      <c r="H73" s="14"/>
      <c r="I73" s="14"/>
      <c r="J73" s="14" t="s">
        <v>431</v>
      </c>
      <c r="K73" s="14" t="s">
        <v>134</v>
      </c>
      <c r="L73" s="31" t="s">
        <v>439</v>
      </c>
    </row>
    <row r="74" spans="1:12">
      <c r="A74" s="14"/>
      <c r="B74" s="14" t="s">
        <v>665</v>
      </c>
      <c r="C74" s="14" t="s">
        <v>136</v>
      </c>
      <c r="D74" s="12" t="s">
        <v>1024</v>
      </c>
      <c r="E74" s="14" t="s">
        <v>243</v>
      </c>
      <c r="F74" s="14"/>
      <c r="G74" s="12" t="s">
        <v>1025</v>
      </c>
      <c r="H74" s="14"/>
      <c r="I74" s="14"/>
      <c r="J74" s="14" t="s">
        <v>431</v>
      </c>
      <c r="K74" s="14" t="s">
        <v>134</v>
      </c>
      <c r="L74" s="31" t="s">
        <v>439</v>
      </c>
    </row>
    <row r="75" spans="1:12">
      <c r="A75" s="14"/>
      <c r="B75" s="14" t="s">
        <v>669</v>
      </c>
      <c r="C75" s="14" t="s">
        <v>245</v>
      </c>
      <c r="D75" s="12" t="s">
        <v>670</v>
      </c>
      <c r="E75" s="14" t="s">
        <v>243</v>
      </c>
      <c r="F75" s="14"/>
      <c r="G75" s="12" t="s">
        <v>1196</v>
      </c>
      <c r="H75" s="14"/>
      <c r="I75" s="14"/>
      <c r="J75" s="14" t="s">
        <v>431</v>
      </c>
      <c r="K75" s="14" t="s">
        <v>134</v>
      </c>
      <c r="L75" s="31" t="s">
        <v>439</v>
      </c>
    </row>
    <row r="76" spans="1:12">
      <c r="A76" s="14"/>
      <c r="B76" s="14" t="s">
        <v>743</v>
      </c>
      <c r="C76" s="14" t="s">
        <v>136</v>
      </c>
      <c r="D76" s="12" t="s">
        <v>1027</v>
      </c>
      <c r="E76" s="14" t="s">
        <v>243</v>
      </c>
      <c r="F76" s="14"/>
      <c r="G76" s="12" t="s">
        <v>1028</v>
      </c>
      <c r="H76" s="14"/>
      <c r="I76" s="14"/>
      <c r="J76" s="14" t="s">
        <v>431</v>
      </c>
      <c r="K76" s="14" t="s">
        <v>134</v>
      </c>
      <c r="L76" s="31" t="s">
        <v>439</v>
      </c>
    </row>
    <row r="77" spans="1:12">
      <c r="A77" s="14"/>
      <c r="B77" s="14" t="s">
        <v>746</v>
      </c>
      <c r="C77" s="14" t="s">
        <v>136</v>
      </c>
      <c r="D77" s="12" t="s">
        <v>1030</v>
      </c>
      <c r="E77" s="14" t="s">
        <v>243</v>
      </c>
      <c r="F77" s="14"/>
      <c r="G77" s="12" t="s">
        <v>1031</v>
      </c>
      <c r="H77" s="14"/>
      <c r="I77" s="14"/>
      <c r="J77" s="14" t="s">
        <v>431</v>
      </c>
      <c r="K77" s="14" t="s">
        <v>134</v>
      </c>
      <c r="L77" s="31" t="s">
        <v>439</v>
      </c>
    </row>
    <row r="78" spans="1:12">
      <c r="A78" s="14"/>
      <c r="B78" s="14" t="s">
        <v>749</v>
      </c>
      <c r="C78" s="14" t="s">
        <v>136</v>
      </c>
      <c r="D78" s="12" t="s">
        <v>1033</v>
      </c>
      <c r="E78" s="14" t="s">
        <v>243</v>
      </c>
      <c r="F78" s="14"/>
      <c r="G78" s="12" t="s">
        <v>1034</v>
      </c>
      <c r="H78" s="14"/>
      <c r="I78" s="14"/>
      <c r="J78" s="14" t="s">
        <v>431</v>
      </c>
      <c r="K78" s="14" t="s">
        <v>134</v>
      </c>
      <c r="L78" s="31" t="s">
        <v>439</v>
      </c>
    </row>
    <row r="79" spans="1:12">
      <c r="A79" s="14"/>
      <c r="B79" s="14" t="s">
        <v>752</v>
      </c>
      <c r="C79" s="14" t="s">
        <v>136</v>
      </c>
      <c r="D79" s="12" t="s">
        <v>1036</v>
      </c>
      <c r="E79" s="14" t="s">
        <v>243</v>
      </c>
      <c r="F79" s="14"/>
      <c r="G79" s="12" t="s">
        <v>1037</v>
      </c>
      <c r="H79" s="14"/>
      <c r="I79" s="14"/>
      <c r="J79" s="14" t="s">
        <v>431</v>
      </c>
      <c r="K79" s="14" t="s">
        <v>134</v>
      </c>
      <c r="L79" s="31" t="s">
        <v>439</v>
      </c>
    </row>
    <row r="80" spans="1:12">
      <c r="A80" s="14"/>
      <c r="B80" s="14" t="s">
        <v>755</v>
      </c>
      <c r="C80" s="14" t="s">
        <v>136</v>
      </c>
      <c r="D80" s="12" t="s">
        <v>1039</v>
      </c>
      <c r="E80" s="14" t="s">
        <v>243</v>
      </c>
      <c r="F80" s="14"/>
      <c r="G80" s="12" t="s">
        <v>1040</v>
      </c>
      <c r="H80" s="14"/>
      <c r="I80" s="14"/>
      <c r="J80" s="14" t="s">
        <v>431</v>
      </c>
      <c r="K80" s="14" t="s">
        <v>134</v>
      </c>
      <c r="L80" s="31" t="s">
        <v>439</v>
      </c>
    </row>
    <row r="81" spans="1:12">
      <c r="A81" s="14"/>
      <c r="B81" s="14" t="s">
        <v>758</v>
      </c>
      <c r="C81" s="14" t="s">
        <v>136</v>
      </c>
      <c r="D81" s="12" t="s">
        <v>1042</v>
      </c>
      <c r="E81" s="14" t="s">
        <v>243</v>
      </c>
      <c r="F81" s="14"/>
      <c r="G81" s="12" t="s">
        <v>1043</v>
      </c>
      <c r="H81" s="14"/>
      <c r="I81" s="14"/>
      <c r="J81" s="14" t="s">
        <v>431</v>
      </c>
      <c r="K81" s="14" t="s">
        <v>134</v>
      </c>
      <c r="L81" s="31" t="s">
        <v>439</v>
      </c>
    </row>
    <row r="82" spans="1:12">
      <c r="A82" s="14"/>
      <c r="B82" s="14" t="s">
        <v>1547</v>
      </c>
      <c r="C82" s="14" t="s">
        <v>136</v>
      </c>
      <c r="D82" s="12" t="s">
        <v>1045</v>
      </c>
      <c r="E82" s="14" t="s">
        <v>243</v>
      </c>
      <c r="F82" s="14"/>
      <c r="G82" s="12" t="s">
        <v>1046</v>
      </c>
      <c r="H82" s="14"/>
      <c r="I82" s="14"/>
      <c r="J82" s="14" t="s">
        <v>431</v>
      </c>
      <c r="K82" s="14" t="s">
        <v>134</v>
      </c>
      <c r="L82" s="31" t="s">
        <v>439</v>
      </c>
    </row>
    <row r="83" spans="1:12">
      <c r="A83" s="14"/>
      <c r="B83" s="14" t="s">
        <v>468</v>
      </c>
      <c r="C83" s="14" t="s">
        <v>136</v>
      </c>
      <c r="D83" s="12" t="s">
        <v>1222</v>
      </c>
      <c r="E83" s="14" t="s">
        <v>243</v>
      </c>
      <c r="F83" s="14"/>
      <c r="G83" s="12" t="s">
        <v>1331</v>
      </c>
      <c r="H83" s="14"/>
      <c r="I83" s="14"/>
      <c r="J83" s="14" t="s">
        <v>431</v>
      </c>
      <c r="K83" s="14" t="s">
        <v>134</v>
      </c>
      <c r="L83" s="31" t="s">
        <v>533</v>
      </c>
    </row>
    <row r="84" spans="1:12">
      <c r="A84" s="14"/>
      <c r="B84" s="14" t="s">
        <v>451</v>
      </c>
      <c r="C84" s="14" t="s">
        <v>136</v>
      </c>
      <c r="D84" s="12" t="s">
        <v>1537</v>
      </c>
      <c r="E84" s="14" t="s">
        <v>243</v>
      </c>
      <c r="F84" s="14"/>
      <c r="G84" s="12" t="s">
        <v>1581</v>
      </c>
      <c r="H84" s="14"/>
      <c r="I84" s="14"/>
      <c r="J84" s="14" t="s">
        <v>431</v>
      </c>
      <c r="K84" s="14" t="s">
        <v>134</v>
      </c>
      <c r="L84" s="31" t="s">
        <v>439</v>
      </c>
    </row>
    <row r="85" spans="1:12">
      <c r="A85" s="14"/>
      <c r="B85" s="14" t="s">
        <v>907</v>
      </c>
      <c r="C85" s="14" t="s">
        <v>245</v>
      </c>
      <c r="D85" s="12" t="s">
        <v>1224</v>
      </c>
      <c r="E85" s="14" t="s">
        <v>243</v>
      </c>
      <c r="F85" s="14"/>
      <c r="G85" s="12" t="s">
        <v>1582</v>
      </c>
      <c r="H85" s="14"/>
      <c r="I85" s="14"/>
      <c r="J85" s="14" t="s">
        <v>431</v>
      </c>
      <c r="K85" s="14" t="s">
        <v>134</v>
      </c>
      <c r="L85" s="31" t="s">
        <v>432</v>
      </c>
    </row>
    <row r="86" spans="1:12">
      <c r="A86" s="14"/>
      <c r="B86" s="14" t="s">
        <v>1567</v>
      </c>
      <c r="C86" s="14" t="s">
        <v>900</v>
      </c>
      <c r="D86" s="12" t="s">
        <v>1538</v>
      </c>
      <c r="E86" s="14" t="s">
        <v>243</v>
      </c>
      <c r="F86" s="14"/>
      <c r="G86" s="12" t="s">
        <v>1583</v>
      </c>
      <c r="H86" s="14"/>
      <c r="I86" s="14"/>
      <c r="J86" s="14" t="s">
        <v>431</v>
      </c>
      <c r="K86" s="14" t="s">
        <v>134</v>
      </c>
      <c r="L86" s="31" t="s">
        <v>568</v>
      </c>
    </row>
    <row r="87" spans="1:12">
      <c r="A87" s="14"/>
      <c r="B87" s="14" t="s">
        <v>471</v>
      </c>
      <c r="C87" s="14" t="s">
        <v>136</v>
      </c>
      <c r="D87" s="12" t="s">
        <v>1226</v>
      </c>
      <c r="E87" s="14" t="s">
        <v>243</v>
      </c>
      <c r="F87" s="14"/>
      <c r="G87" s="12" t="s">
        <v>914</v>
      </c>
      <c r="H87" s="14"/>
      <c r="I87" s="14"/>
      <c r="J87" s="14" t="s">
        <v>431</v>
      </c>
      <c r="K87" s="14" t="s">
        <v>134</v>
      </c>
      <c r="L87" s="31" t="s">
        <v>533</v>
      </c>
    </row>
    <row r="88" spans="1:12">
      <c r="A88" s="14"/>
      <c r="B88" s="14" t="s">
        <v>2393</v>
      </c>
      <c r="C88" s="14" t="s">
        <v>136</v>
      </c>
      <c r="D88" s="12" t="s">
        <v>1539</v>
      </c>
      <c r="E88" s="14" t="s">
        <v>243</v>
      </c>
      <c r="F88" s="14"/>
      <c r="G88" s="12" t="s">
        <v>917</v>
      </c>
      <c r="H88" s="14"/>
      <c r="I88" s="14"/>
      <c r="J88" s="14" t="s">
        <v>431</v>
      </c>
      <c r="K88" s="14" t="s">
        <v>134</v>
      </c>
      <c r="L88" s="31" t="s">
        <v>439</v>
      </c>
    </row>
    <row r="89" spans="1:12">
      <c r="A89" s="14"/>
      <c r="B89" s="14" t="s">
        <v>918</v>
      </c>
      <c r="C89" s="14" t="s">
        <v>245</v>
      </c>
      <c r="D89" s="12" t="s">
        <v>1228</v>
      </c>
      <c r="E89" s="14" t="s">
        <v>243</v>
      </c>
      <c r="F89" s="14"/>
      <c r="G89" s="12" t="s">
        <v>920</v>
      </c>
      <c r="H89" s="14"/>
      <c r="I89" s="14"/>
      <c r="J89" s="14" t="s">
        <v>431</v>
      </c>
      <c r="K89" s="14" t="s">
        <v>134</v>
      </c>
      <c r="L89" s="31" t="s">
        <v>432</v>
      </c>
    </row>
    <row r="90" spans="1:12">
      <c r="A90" s="14"/>
      <c r="B90" s="14" t="s">
        <v>1568</v>
      </c>
      <c r="C90" s="14" t="s">
        <v>900</v>
      </c>
      <c r="D90" s="12" t="s">
        <v>1540</v>
      </c>
      <c r="E90" s="14" t="s">
        <v>243</v>
      </c>
      <c r="F90" s="14"/>
      <c r="G90" s="12" t="s">
        <v>1584</v>
      </c>
      <c r="H90" s="14"/>
      <c r="I90" s="14"/>
      <c r="J90" s="14" t="s">
        <v>431</v>
      </c>
      <c r="K90" s="14" t="s">
        <v>134</v>
      </c>
      <c r="L90" s="31" t="s">
        <v>568</v>
      </c>
    </row>
    <row r="91" spans="1:12">
      <c r="A91" s="14"/>
      <c r="B91" s="14" t="s">
        <v>477</v>
      </c>
      <c r="C91" s="14" t="s">
        <v>136</v>
      </c>
      <c r="D91" s="12" t="s">
        <v>1230</v>
      </c>
      <c r="E91" s="14" t="s">
        <v>243</v>
      </c>
      <c r="F91" s="14"/>
      <c r="G91" s="12" t="s">
        <v>926</v>
      </c>
      <c r="H91" s="14"/>
      <c r="I91" s="14"/>
      <c r="J91" s="14" t="s">
        <v>431</v>
      </c>
      <c r="K91" s="14" t="s">
        <v>134</v>
      </c>
      <c r="L91" s="31" t="s">
        <v>533</v>
      </c>
    </row>
    <row r="92" spans="1:12">
      <c r="A92" s="14"/>
      <c r="B92" s="14" t="s">
        <v>2394</v>
      </c>
      <c r="C92" s="14" t="s">
        <v>136</v>
      </c>
      <c r="D92" s="12" t="s">
        <v>1541</v>
      </c>
      <c r="E92" s="14" t="s">
        <v>243</v>
      </c>
      <c r="F92" s="14"/>
      <c r="G92" s="12" t="s">
        <v>929</v>
      </c>
      <c r="H92" s="14"/>
      <c r="I92" s="14"/>
      <c r="J92" s="14" t="s">
        <v>431</v>
      </c>
      <c r="K92" s="14" t="s">
        <v>134</v>
      </c>
      <c r="L92" s="31" t="s">
        <v>439</v>
      </c>
    </row>
    <row r="93" spans="1:12">
      <c r="A93" s="14"/>
      <c r="B93" s="14" t="s">
        <v>930</v>
      </c>
      <c r="C93" s="14" t="s">
        <v>245</v>
      </c>
      <c r="D93" s="12" t="s">
        <v>1232</v>
      </c>
      <c r="E93" s="14" t="s">
        <v>243</v>
      </c>
      <c r="F93" s="14"/>
      <c r="G93" s="12" t="s">
        <v>932</v>
      </c>
      <c r="H93" s="14"/>
      <c r="I93" s="14"/>
      <c r="J93" s="14" t="s">
        <v>431</v>
      </c>
      <c r="K93" s="14" t="s">
        <v>134</v>
      </c>
      <c r="L93" s="31" t="s">
        <v>432</v>
      </c>
    </row>
    <row r="94" spans="1:12">
      <c r="A94" s="14"/>
      <c r="B94" s="14" t="s">
        <v>1569</v>
      </c>
      <c r="C94" s="14" t="s">
        <v>900</v>
      </c>
      <c r="D94" s="12" t="s">
        <v>1542</v>
      </c>
      <c r="E94" s="14" t="s">
        <v>243</v>
      </c>
      <c r="F94" s="14"/>
      <c r="G94" s="12" t="s">
        <v>2308</v>
      </c>
      <c r="H94" s="14"/>
      <c r="I94" s="14"/>
      <c r="J94" s="14" t="s">
        <v>431</v>
      </c>
      <c r="K94" s="14" t="s">
        <v>134</v>
      </c>
      <c r="L94" s="31" t="s">
        <v>568</v>
      </c>
    </row>
    <row r="95" spans="1:12">
      <c r="A95" s="14"/>
      <c r="B95" s="14" t="s">
        <v>474</v>
      </c>
      <c r="C95" s="14" t="s">
        <v>136</v>
      </c>
      <c r="D95" s="12" t="s">
        <v>1543</v>
      </c>
      <c r="E95" s="14" t="s">
        <v>243</v>
      </c>
      <c r="F95" s="14"/>
      <c r="G95" s="12" t="s">
        <v>1234</v>
      </c>
      <c r="H95" s="14"/>
      <c r="I95" s="14"/>
      <c r="J95" s="14" t="s">
        <v>431</v>
      </c>
      <c r="K95" s="14" t="s">
        <v>134</v>
      </c>
      <c r="L95" s="31" t="s">
        <v>533</v>
      </c>
    </row>
    <row r="96" spans="1:12">
      <c r="A96" s="14"/>
      <c r="B96" s="14" t="s">
        <v>2405</v>
      </c>
      <c r="C96" s="14" t="s">
        <v>136</v>
      </c>
      <c r="D96" s="12" t="s">
        <v>1544</v>
      </c>
      <c r="E96" s="14" t="s">
        <v>243</v>
      </c>
      <c r="F96" s="14"/>
      <c r="G96" s="12" t="s">
        <v>1436</v>
      </c>
      <c r="H96" s="14"/>
      <c r="I96" s="14"/>
      <c r="J96" s="14" t="s">
        <v>431</v>
      </c>
      <c r="K96" s="14" t="s">
        <v>134</v>
      </c>
      <c r="L96" s="31" t="s">
        <v>439</v>
      </c>
    </row>
    <row r="97" spans="1:12">
      <c r="A97" s="14"/>
      <c r="B97" s="14" t="s">
        <v>1238</v>
      </c>
      <c r="C97" s="14" t="s">
        <v>245</v>
      </c>
      <c r="D97" s="12" t="s">
        <v>1545</v>
      </c>
      <c r="E97" s="14" t="s">
        <v>243</v>
      </c>
      <c r="F97" s="14"/>
      <c r="G97" s="12" t="s">
        <v>1437</v>
      </c>
      <c r="H97" s="14"/>
      <c r="I97" s="14"/>
      <c r="J97" s="14" t="s">
        <v>431</v>
      </c>
      <c r="K97" s="14" t="s">
        <v>134</v>
      </c>
      <c r="L97" s="31" t="s">
        <v>432</v>
      </c>
    </row>
    <row r="98" spans="1:12">
      <c r="A98" s="14"/>
      <c r="B98" s="14" t="s">
        <v>1241</v>
      </c>
      <c r="C98" s="14" t="s">
        <v>900</v>
      </c>
      <c r="D98" s="12" t="s">
        <v>1546</v>
      </c>
      <c r="E98" s="14" t="s">
        <v>243</v>
      </c>
      <c r="F98" s="14"/>
      <c r="G98" s="12" t="s">
        <v>1438</v>
      </c>
      <c r="H98" s="14"/>
      <c r="I98" s="14"/>
      <c r="J98" s="14" t="s">
        <v>431</v>
      </c>
      <c r="K98" s="14" t="s">
        <v>134</v>
      </c>
      <c r="L98" s="31" t="s">
        <v>568</v>
      </c>
    </row>
    <row r="99" spans="1:12">
      <c r="A99" s="14"/>
      <c r="B99" s="14" t="s">
        <v>462</v>
      </c>
      <c r="C99" s="14" t="s">
        <v>136</v>
      </c>
      <c r="D99" s="12" t="s">
        <v>463</v>
      </c>
      <c r="E99" s="14" t="s">
        <v>243</v>
      </c>
      <c r="F99" s="14"/>
      <c r="G99" s="12" t="s">
        <v>1456</v>
      </c>
      <c r="H99" s="14"/>
      <c r="I99" s="14"/>
      <c r="J99" s="14" t="s">
        <v>431</v>
      </c>
      <c r="K99" s="14" t="s">
        <v>134</v>
      </c>
      <c r="L99" s="31" t="s">
        <v>439</v>
      </c>
    </row>
    <row r="100" spans="1:12" s="1" customFormat="1">
      <c r="A100" s="25"/>
      <c r="B100" s="26" t="s">
        <v>779</v>
      </c>
      <c r="C100" s="27" t="s">
        <v>136</v>
      </c>
      <c r="D100" s="20" t="s">
        <v>780</v>
      </c>
      <c r="E100" s="28" t="s">
        <v>243</v>
      </c>
      <c r="F100" s="19"/>
      <c r="G100" s="19" t="s">
        <v>1248</v>
      </c>
      <c r="H100" s="28"/>
      <c r="I100" s="33"/>
      <c r="J100" s="34" t="s">
        <v>431</v>
      </c>
      <c r="K100" s="34" t="s">
        <v>134</v>
      </c>
      <c r="L100" s="34" t="s">
        <v>439</v>
      </c>
    </row>
    <row r="101" spans="1:12" s="1" customFormat="1">
      <c r="A101" s="25"/>
      <c r="B101" s="26" t="s">
        <v>781</v>
      </c>
      <c r="C101" s="27" t="s">
        <v>136</v>
      </c>
      <c r="D101" s="20" t="s">
        <v>782</v>
      </c>
      <c r="E101" s="28" t="s">
        <v>243</v>
      </c>
      <c r="F101" s="19"/>
      <c r="G101" s="19" t="s">
        <v>1250</v>
      </c>
      <c r="H101" s="28"/>
      <c r="I101" s="33"/>
      <c r="J101" s="34" t="s">
        <v>431</v>
      </c>
      <c r="K101" s="34" t="s">
        <v>134</v>
      </c>
      <c r="L101" s="34" t="s">
        <v>439</v>
      </c>
    </row>
    <row r="102" spans="1:12" s="1" customFormat="1">
      <c r="A102" s="25"/>
      <c r="B102" s="26" t="s">
        <v>783</v>
      </c>
      <c r="C102" s="27" t="s">
        <v>136</v>
      </c>
      <c r="D102" s="20" t="s">
        <v>784</v>
      </c>
      <c r="E102" s="28" t="s">
        <v>243</v>
      </c>
      <c r="F102" s="19"/>
      <c r="G102" s="19" t="s">
        <v>1252</v>
      </c>
      <c r="H102" s="28"/>
      <c r="I102" s="33"/>
      <c r="J102" s="34" t="s">
        <v>431</v>
      </c>
      <c r="K102" s="34" t="s">
        <v>134</v>
      </c>
      <c r="L102" s="34" t="s">
        <v>439</v>
      </c>
    </row>
    <row r="103" spans="1:12" s="1" customFormat="1">
      <c r="A103" s="25"/>
      <c r="B103" s="26" t="s">
        <v>785</v>
      </c>
      <c r="C103" s="27" t="s">
        <v>136</v>
      </c>
      <c r="D103" s="20" t="s">
        <v>786</v>
      </c>
      <c r="E103" s="28" t="s">
        <v>243</v>
      </c>
      <c r="F103" s="19"/>
      <c r="G103" s="19" t="s">
        <v>1254</v>
      </c>
      <c r="H103" s="28"/>
      <c r="I103" s="33"/>
      <c r="J103" s="34" t="s">
        <v>431</v>
      </c>
      <c r="K103" s="34" t="s">
        <v>134</v>
      </c>
      <c r="L103" s="34" t="s">
        <v>439</v>
      </c>
    </row>
    <row r="104" spans="1:12" s="1" customFormat="1">
      <c r="A104" s="25"/>
      <c r="B104" s="26" t="s">
        <v>787</v>
      </c>
      <c r="C104" s="27" t="s">
        <v>136</v>
      </c>
      <c r="D104" s="20" t="s">
        <v>788</v>
      </c>
      <c r="E104" s="28" t="s">
        <v>243</v>
      </c>
      <c r="F104" s="19"/>
      <c r="G104" s="19" t="s">
        <v>1256</v>
      </c>
      <c r="H104" s="28"/>
      <c r="I104" s="33"/>
      <c r="J104" s="34" t="s">
        <v>431</v>
      </c>
      <c r="K104" s="34" t="s">
        <v>134</v>
      </c>
      <c r="L104" s="34" t="s">
        <v>439</v>
      </c>
    </row>
    <row r="105" spans="1:12" s="1" customFormat="1">
      <c r="A105" s="25"/>
      <c r="B105" s="26" t="s">
        <v>789</v>
      </c>
      <c r="C105" s="27" t="s">
        <v>136</v>
      </c>
      <c r="D105" s="20" t="s">
        <v>790</v>
      </c>
      <c r="E105" s="28" t="s">
        <v>243</v>
      </c>
      <c r="F105" s="19"/>
      <c r="G105" s="19" t="s">
        <v>1258</v>
      </c>
      <c r="H105" s="28"/>
      <c r="I105" s="33"/>
      <c r="J105" s="34" t="s">
        <v>431</v>
      </c>
      <c r="K105" s="34" t="s">
        <v>134</v>
      </c>
      <c r="L105" s="34" t="s">
        <v>439</v>
      </c>
    </row>
    <row r="106" spans="1:12" s="1" customFormat="1">
      <c r="A106" s="25"/>
      <c r="B106" s="26" t="s">
        <v>791</v>
      </c>
      <c r="C106" s="27" t="s">
        <v>136</v>
      </c>
      <c r="D106" s="20" t="s">
        <v>792</v>
      </c>
      <c r="E106" s="28" t="s">
        <v>243</v>
      </c>
      <c r="F106" s="19"/>
      <c r="G106" s="19" t="s">
        <v>1260</v>
      </c>
      <c r="H106" s="28"/>
      <c r="I106" s="33"/>
      <c r="J106" s="34" t="s">
        <v>431</v>
      </c>
      <c r="K106" s="34" t="s">
        <v>134</v>
      </c>
      <c r="L106" s="34" t="s">
        <v>439</v>
      </c>
    </row>
    <row r="107" spans="1:12" s="1" customFormat="1">
      <c r="A107" s="25"/>
      <c r="B107" s="26" t="s">
        <v>793</v>
      </c>
      <c r="C107" s="27" t="s">
        <v>136</v>
      </c>
      <c r="D107" s="20" t="s">
        <v>794</v>
      </c>
      <c r="E107" s="28" t="s">
        <v>243</v>
      </c>
      <c r="F107" s="19"/>
      <c r="G107" s="19" t="s">
        <v>1262</v>
      </c>
      <c r="H107" s="28"/>
      <c r="I107" s="33"/>
      <c r="J107" s="34" t="s">
        <v>431</v>
      </c>
      <c r="K107" s="34" t="s">
        <v>134</v>
      </c>
      <c r="L107" s="34" t="s">
        <v>439</v>
      </c>
    </row>
    <row r="108" spans="1:12" s="1" customFormat="1">
      <c r="A108" s="25"/>
      <c r="B108" s="26" t="s">
        <v>795</v>
      </c>
      <c r="C108" s="27" t="s">
        <v>136</v>
      </c>
      <c r="D108" s="20" t="s">
        <v>796</v>
      </c>
      <c r="E108" s="28" t="s">
        <v>243</v>
      </c>
      <c r="F108" s="19"/>
      <c r="G108" s="19" t="s">
        <v>1264</v>
      </c>
      <c r="H108" s="28"/>
      <c r="I108" s="33"/>
      <c r="J108" s="34" t="s">
        <v>431</v>
      </c>
      <c r="K108" s="34" t="s">
        <v>134</v>
      </c>
      <c r="L108" s="34" t="s">
        <v>439</v>
      </c>
    </row>
    <row r="109" spans="1:12" s="1" customFormat="1">
      <c r="A109" s="25"/>
      <c r="B109" s="26" t="s">
        <v>797</v>
      </c>
      <c r="C109" s="27" t="s">
        <v>136</v>
      </c>
      <c r="D109" s="20" t="s">
        <v>798</v>
      </c>
      <c r="E109" s="28" t="s">
        <v>243</v>
      </c>
      <c r="F109" s="19"/>
      <c r="G109" s="19" t="s">
        <v>1266</v>
      </c>
      <c r="H109" s="28"/>
      <c r="I109" s="33"/>
      <c r="J109" s="34" t="s">
        <v>431</v>
      </c>
      <c r="K109" s="34" t="s">
        <v>134</v>
      </c>
      <c r="L109" s="34" t="s">
        <v>439</v>
      </c>
    </row>
    <row r="110" spans="1:12" s="1" customFormat="1">
      <c r="A110" s="25"/>
      <c r="B110" s="26" t="s">
        <v>799</v>
      </c>
      <c r="C110" s="27" t="s">
        <v>136</v>
      </c>
      <c r="D110" s="20" t="s">
        <v>800</v>
      </c>
      <c r="E110" s="28" t="s">
        <v>243</v>
      </c>
      <c r="F110" s="19"/>
      <c r="G110" s="19" t="s">
        <v>1246</v>
      </c>
      <c r="H110" s="28"/>
      <c r="I110" s="33"/>
      <c r="J110" s="34" t="s">
        <v>431</v>
      </c>
      <c r="K110" s="34" t="s">
        <v>134</v>
      </c>
      <c r="L110" s="34" t="s">
        <v>439</v>
      </c>
    </row>
    <row r="111" spans="1:12" s="1" customFormat="1">
      <c r="A111" s="25"/>
      <c r="B111" s="26" t="s">
        <v>801</v>
      </c>
      <c r="C111" s="27" t="s">
        <v>136</v>
      </c>
      <c r="D111" s="20" t="s">
        <v>802</v>
      </c>
      <c r="E111" s="28" t="s">
        <v>243</v>
      </c>
      <c r="F111" s="19"/>
      <c r="G111" s="19" t="s">
        <v>1269</v>
      </c>
      <c r="H111" s="28"/>
      <c r="I111" s="33"/>
      <c r="J111" s="34" t="s">
        <v>431</v>
      </c>
      <c r="K111" s="34" t="s">
        <v>134</v>
      </c>
      <c r="L111" s="34" t="s">
        <v>439</v>
      </c>
    </row>
    <row r="112" spans="1:12" s="1" customFormat="1">
      <c r="A112" s="25"/>
      <c r="B112" s="26" t="s">
        <v>803</v>
      </c>
      <c r="C112" s="27" t="s">
        <v>136</v>
      </c>
      <c r="D112" s="20" t="s">
        <v>804</v>
      </c>
      <c r="E112" s="28" t="s">
        <v>243</v>
      </c>
      <c r="F112" s="19"/>
      <c r="G112" s="19" t="s">
        <v>1271</v>
      </c>
      <c r="H112" s="28"/>
      <c r="I112" s="33"/>
      <c r="J112" s="34" t="s">
        <v>431</v>
      </c>
      <c r="K112" s="34" t="s">
        <v>134</v>
      </c>
      <c r="L112" s="34" t="s">
        <v>439</v>
      </c>
    </row>
    <row r="113" spans="1:12" s="1" customFormat="1">
      <c r="A113" s="25"/>
      <c r="B113" s="26" t="s">
        <v>805</v>
      </c>
      <c r="C113" s="27" t="s">
        <v>136</v>
      </c>
      <c r="D113" s="20" t="s">
        <v>806</v>
      </c>
      <c r="E113" s="28" t="s">
        <v>243</v>
      </c>
      <c r="F113" s="19"/>
      <c r="G113" s="19" t="s">
        <v>1274</v>
      </c>
      <c r="H113" s="28"/>
      <c r="I113" s="33"/>
      <c r="J113" s="34" t="s">
        <v>431</v>
      </c>
      <c r="K113" s="34" t="s">
        <v>134</v>
      </c>
      <c r="L113" s="34" t="s">
        <v>439</v>
      </c>
    </row>
    <row r="114" spans="1:12" s="4" customFormat="1">
      <c r="A114" s="36"/>
      <c r="B114" s="36" t="s">
        <v>233</v>
      </c>
      <c r="C114" s="36" t="s">
        <v>139</v>
      </c>
      <c r="D114" s="37" t="s">
        <v>234</v>
      </c>
      <c r="E114" s="36"/>
      <c r="F114" s="36"/>
      <c r="G114" s="37"/>
      <c r="H114" s="36"/>
      <c r="I114" s="36"/>
      <c r="J114" s="36"/>
      <c r="K114" s="36"/>
      <c r="L114" s="38"/>
    </row>
    <row r="115" spans="1:12" s="4" customFormat="1">
      <c r="A115" s="36"/>
      <c r="B115" s="36" t="s">
        <v>235</v>
      </c>
      <c r="C115" s="36" t="s">
        <v>132</v>
      </c>
      <c r="D115" s="37" t="s">
        <v>1548</v>
      </c>
      <c r="E115" s="36"/>
      <c r="F115" s="36"/>
      <c r="G115" s="37"/>
      <c r="H115" s="36"/>
      <c r="I115" s="36"/>
      <c r="J115" s="36"/>
      <c r="K115" s="36"/>
      <c r="L115" s="38"/>
    </row>
    <row r="116" spans="1:12" s="4" customFormat="1">
      <c r="A116" s="36"/>
      <c r="B116" s="36" t="s">
        <v>237</v>
      </c>
      <c r="C116" s="36" t="s">
        <v>139</v>
      </c>
      <c r="D116" s="37" t="s">
        <v>238</v>
      </c>
      <c r="E116" s="36"/>
      <c r="F116" s="36"/>
      <c r="G116" s="37"/>
      <c r="H116" s="36"/>
      <c r="I116" s="36"/>
      <c r="J116" s="36"/>
      <c r="K116" s="36"/>
      <c r="L116" s="38"/>
    </row>
  </sheetData>
  <autoFilter ref="A14:Q116" xr:uid="{00000000-0009-0000-0000-000017000000}">
    <sortState xmlns:xlrd2="http://schemas.microsoft.com/office/spreadsheetml/2017/richdata2" ref="A14:Q116">
      <sortCondition ref="A14"/>
    </sortState>
  </autoFilter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141"/>
  <sheetViews>
    <sheetView zoomScale="85" zoomScaleNormal="85" workbookViewId="0">
      <pane ySplit="5" topLeftCell="A6" activePane="bottomLeft" state="frozen"/>
      <selection activeCell="D107" sqref="B106:D107"/>
      <selection pane="bottomLeft" activeCell="C9" sqref="C9"/>
    </sheetView>
  </sheetViews>
  <sheetFormatPr defaultColWidth="9" defaultRowHeight="13.2"/>
  <cols>
    <col min="1" max="1" width="3" style="5" customWidth="1"/>
    <col min="2" max="2" width="23.6640625" style="5" customWidth="1"/>
    <col min="3" max="3" width="30.21875" style="5" customWidth="1"/>
    <col min="4" max="4" width="32.21875" style="5" customWidth="1"/>
    <col min="5" max="5" width="16.21875" style="5" customWidth="1"/>
    <col min="6" max="6" width="24.88671875" style="5" customWidth="1"/>
    <col min="7" max="7" width="39.5546875" style="6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1:14">
      <c r="B1" s="7" t="str">
        <f>HYPERLINK("#导航!a2","返回")</f>
        <v>返回</v>
      </c>
    </row>
    <row r="2" spans="1:14">
      <c r="B2" s="156"/>
      <c r="C2" s="156"/>
      <c r="D2" s="156"/>
      <c r="E2" s="156"/>
      <c r="F2" s="156"/>
      <c r="G2" s="156"/>
      <c r="H2" s="156"/>
    </row>
    <row r="3" spans="1:14">
      <c r="B3" s="157" t="s">
        <v>106</v>
      </c>
      <c r="C3" s="157"/>
      <c r="D3" s="157"/>
      <c r="E3" s="157"/>
      <c r="F3" s="157"/>
      <c r="G3" s="157"/>
      <c r="H3" s="157"/>
    </row>
    <row r="4" spans="1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10" t="s">
        <v>12</v>
      </c>
      <c r="H4" s="9" t="s">
        <v>111</v>
      </c>
    </row>
    <row r="5" spans="1:14">
      <c r="B5" s="11" t="s">
        <v>55</v>
      </c>
      <c r="C5" s="12" t="s">
        <v>2043</v>
      </c>
      <c r="D5" s="13" t="s">
        <v>89</v>
      </c>
      <c r="E5" s="14" t="s">
        <v>379</v>
      </c>
      <c r="F5" s="15"/>
      <c r="G5" s="12"/>
      <c r="H5" s="14"/>
      <c r="N5" s="5"/>
    </row>
    <row r="6" spans="1:14">
      <c r="B6" s="8"/>
      <c r="C6" s="8"/>
      <c r="D6" s="8"/>
      <c r="E6" s="8"/>
      <c r="F6" s="8"/>
      <c r="G6" s="16"/>
      <c r="H6" s="8"/>
    </row>
    <row r="7" spans="1:14">
      <c r="B7" s="157" t="s">
        <v>113</v>
      </c>
      <c r="C7" s="157"/>
      <c r="D7" s="157"/>
      <c r="E7" s="157"/>
      <c r="F7" s="157"/>
      <c r="G7" s="157"/>
      <c r="H7" s="157"/>
    </row>
    <row r="8" spans="1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8" t="s">
        <v>22</v>
      </c>
      <c r="H8" s="17" t="s">
        <v>119</v>
      </c>
    </row>
    <row r="9" spans="1:14">
      <c r="B9" s="14"/>
      <c r="C9" s="12" t="s">
        <v>2288</v>
      </c>
      <c r="D9" s="13" t="s">
        <v>76</v>
      </c>
      <c r="E9" s="14" t="s">
        <v>243</v>
      </c>
      <c r="F9" s="19"/>
      <c r="G9" s="20"/>
      <c r="H9" s="21"/>
    </row>
    <row r="10" spans="1:14">
      <c r="B10" s="14"/>
      <c r="C10" s="12"/>
      <c r="D10" s="12"/>
      <c r="E10" s="14"/>
      <c r="F10" s="19"/>
      <c r="G10" s="20"/>
      <c r="H10" s="14"/>
    </row>
    <row r="11" spans="1:14">
      <c r="G11" s="22"/>
    </row>
    <row r="12" spans="1:14">
      <c r="B12" s="5" t="s">
        <v>120</v>
      </c>
    </row>
    <row r="13" spans="1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1:14">
      <c r="B14" s="23" t="s">
        <v>121</v>
      </c>
      <c r="C14" s="23" t="s">
        <v>122</v>
      </c>
      <c r="D14" s="23" t="s">
        <v>123</v>
      </c>
      <c r="E14" s="23" t="s">
        <v>124</v>
      </c>
      <c r="F14" s="23" t="s">
        <v>125</v>
      </c>
      <c r="G14" s="24" t="s">
        <v>126</v>
      </c>
      <c r="H14" s="23" t="s">
        <v>127</v>
      </c>
      <c r="I14" s="23" t="s">
        <v>22</v>
      </c>
      <c r="J14" s="23" t="s">
        <v>128</v>
      </c>
      <c r="K14" s="23" t="s">
        <v>129</v>
      </c>
      <c r="L14" s="23" t="s">
        <v>130</v>
      </c>
    </row>
    <row r="15" spans="1:14">
      <c r="A15" s="14"/>
      <c r="B15" s="14" t="s">
        <v>383</v>
      </c>
      <c r="C15" s="14" t="s">
        <v>132</v>
      </c>
      <c r="D15" s="12" t="s">
        <v>480</v>
      </c>
      <c r="E15" s="14" t="s">
        <v>243</v>
      </c>
      <c r="F15" s="14" t="s">
        <v>235</v>
      </c>
      <c r="G15" s="12" t="s">
        <v>250</v>
      </c>
      <c r="H15" s="14"/>
      <c r="I15" s="14"/>
      <c r="J15" s="14" t="s">
        <v>384</v>
      </c>
      <c r="K15" s="14" t="s">
        <v>134</v>
      </c>
      <c r="L15" s="31" t="s">
        <v>134</v>
      </c>
    </row>
    <row r="16" spans="1:14">
      <c r="A16" s="14"/>
      <c r="B16" s="14" t="s">
        <v>379</v>
      </c>
      <c r="C16" s="14" t="s">
        <v>139</v>
      </c>
      <c r="D16" s="12" t="s">
        <v>48</v>
      </c>
      <c r="E16" s="14" t="s">
        <v>243</v>
      </c>
      <c r="F16" s="14" t="s">
        <v>237</v>
      </c>
      <c r="G16" s="12" t="s">
        <v>250</v>
      </c>
      <c r="H16" s="14"/>
      <c r="I16" s="14"/>
      <c r="J16" s="14" t="s">
        <v>384</v>
      </c>
      <c r="K16" s="14" t="s">
        <v>134</v>
      </c>
      <c r="L16" s="31" t="s">
        <v>134</v>
      </c>
    </row>
    <row r="17" spans="1:12">
      <c r="A17" s="14"/>
      <c r="B17" s="14" t="s">
        <v>284</v>
      </c>
      <c r="C17" s="14" t="s">
        <v>132</v>
      </c>
      <c r="D17" s="12" t="s">
        <v>484</v>
      </c>
      <c r="E17" s="14" t="s">
        <v>243</v>
      </c>
      <c r="F17" s="14" t="s">
        <v>284</v>
      </c>
      <c r="G17" s="12" t="s">
        <v>250</v>
      </c>
      <c r="H17" s="14"/>
      <c r="I17" s="14"/>
      <c r="J17" s="14" t="s">
        <v>384</v>
      </c>
      <c r="K17" s="14" t="s">
        <v>134</v>
      </c>
      <c r="L17" s="31" t="s">
        <v>134</v>
      </c>
    </row>
    <row r="18" spans="1:12">
      <c r="A18" s="14"/>
      <c r="B18" s="14" t="s">
        <v>287</v>
      </c>
      <c r="C18" s="14" t="s">
        <v>136</v>
      </c>
      <c r="D18" s="12" t="s">
        <v>808</v>
      </c>
      <c r="E18" s="14" t="s">
        <v>243</v>
      </c>
      <c r="F18" s="14" t="s">
        <v>287</v>
      </c>
      <c r="G18" s="12" t="s">
        <v>250</v>
      </c>
      <c r="H18" s="14"/>
      <c r="I18" s="14"/>
      <c r="J18" s="14" t="s">
        <v>384</v>
      </c>
      <c r="K18" s="14" t="s">
        <v>134</v>
      </c>
      <c r="L18" s="31" t="s">
        <v>134</v>
      </c>
    </row>
    <row r="19" spans="1:12">
      <c r="A19" s="14"/>
      <c r="B19" s="14" t="s">
        <v>141</v>
      </c>
      <c r="C19" s="14" t="s">
        <v>132</v>
      </c>
      <c r="D19" s="12" t="s">
        <v>143</v>
      </c>
      <c r="E19" s="14" t="s">
        <v>243</v>
      </c>
      <c r="F19" s="14" t="s">
        <v>141</v>
      </c>
      <c r="G19" s="12" t="s">
        <v>250</v>
      </c>
      <c r="H19" s="14"/>
      <c r="I19" s="14"/>
      <c r="J19" s="14" t="s">
        <v>384</v>
      </c>
      <c r="K19" s="14" t="s">
        <v>134</v>
      </c>
      <c r="L19" s="31" t="s">
        <v>134</v>
      </c>
    </row>
    <row r="20" spans="1:12">
      <c r="A20" s="14"/>
      <c r="B20" s="14" t="s">
        <v>491</v>
      </c>
      <c r="C20" s="14" t="s">
        <v>139</v>
      </c>
      <c r="D20" s="12" t="s">
        <v>1585</v>
      </c>
      <c r="E20" s="14" t="s">
        <v>243</v>
      </c>
      <c r="F20" s="14" t="s">
        <v>491</v>
      </c>
      <c r="G20" s="12" t="s">
        <v>250</v>
      </c>
      <c r="H20" s="14"/>
      <c r="I20" s="14"/>
      <c r="J20" s="14" t="s">
        <v>384</v>
      </c>
      <c r="K20" s="14" t="s">
        <v>134</v>
      </c>
      <c r="L20" s="31" t="s">
        <v>134</v>
      </c>
    </row>
    <row r="21" spans="1:12">
      <c r="A21" s="14"/>
      <c r="B21" s="14" t="s">
        <v>273</v>
      </c>
      <c r="C21" s="14" t="s">
        <v>139</v>
      </c>
      <c r="D21" s="12" t="s">
        <v>274</v>
      </c>
      <c r="E21" s="14" t="s">
        <v>243</v>
      </c>
      <c r="F21" s="14" t="s">
        <v>273</v>
      </c>
      <c r="G21" s="12" t="s">
        <v>250</v>
      </c>
      <c r="H21" s="14"/>
      <c r="I21" s="14"/>
      <c r="J21" s="14" t="s">
        <v>384</v>
      </c>
      <c r="K21" s="14" t="s">
        <v>134</v>
      </c>
      <c r="L21" s="31" t="s">
        <v>134</v>
      </c>
    </row>
    <row r="22" spans="1:12">
      <c r="A22" s="14"/>
      <c r="B22" s="14" t="s">
        <v>385</v>
      </c>
      <c r="C22" s="14" t="s">
        <v>139</v>
      </c>
      <c r="D22" s="12" t="s">
        <v>487</v>
      </c>
      <c r="E22" s="14" t="s">
        <v>243</v>
      </c>
      <c r="F22" s="14" t="s">
        <v>385</v>
      </c>
      <c r="G22" s="12" t="s">
        <v>250</v>
      </c>
      <c r="H22" s="14"/>
      <c r="I22" s="14"/>
      <c r="J22" s="14" t="s">
        <v>384</v>
      </c>
      <c r="K22" s="14" t="s">
        <v>134</v>
      </c>
      <c r="L22" s="31" t="s">
        <v>134</v>
      </c>
    </row>
    <row r="23" spans="1:12">
      <c r="A23" s="14"/>
      <c r="B23" s="14" t="s">
        <v>388</v>
      </c>
      <c r="C23" s="14" t="s">
        <v>139</v>
      </c>
      <c r="D23" s="12" t="s">
        <v>488</v>
      </c>
      <c r="E23" s="14" t="s">
        <v>243</v>
      </c>
      <c r="F23" s="14" t="s">
        <v>388</v>
      </c>
      <c r="G23" s="12" t="s">
        <v>250</v>
      </c>
      <c r="H23" s="14"/>
      <c r="I23" s="14"/>
      <c r="J23" s="14" t="s">
        <v>384</v>
      </c>
      <c r="K23" s="14" t="s">
        <v>134</v>
      </c>
      <c r="L23" s="31" t="s">
        <v>134</v>
      </c>
    </row>
    <row r="24" spans="1:12">
      <c r="A24" s="14"/>
      <c r="B24" s="14" t="s">
        <v>1058</v>
      </c>
      <c r="C24" s="14" t="s">
        <v>245</v>
      </c>
      <c r="D24" s="12" t="s">
        <v>513</v>
      </c>
      <c r="E24" s="14" t="s">
        <v>243</v>
      </c>
      <c r="F24" s="14"/>
      <c r="G24" s="12" t="s">
        <v>1368</v>
      </c>
      <c r="H24" s="14"/>
      <c r="I24" s="14"/>
      <c r="J24" s="14" t="s">
        <v>431</v>
      </c>
      <c r="K24" s="14" t="s">
        <v>134</v>
      </c>
      <c r="L24" s="31" t="s">
        <v>439</v>
      </c>
    </row>
    <row r="25" spans="1:12">
      <c r="A25" s="14"/>
      <c r="B25" s="14" t="s">
        <v>1060</v>
      </c>
      <c r="C25" s="14" t="s">
        <v>245</v>
      </c>
      <c r="D25" s="12" t="s">
        <v>516</v>
      </c>
      <c r="E25" s="14" t="s">
        <v>243</v>
      </c>
      <c r="F25" s="14"/>
      <c r="G25" s="12" t="s">
        <v>1369</v>
      </c>
      <c r="H25" s="14"/>
      <c r="I25" s="14"/>
      <c r="J25" s="14" t="s">
        <v>431</v>
      </c>
      <c r="K25" s="14" t="s">
        <v>134</v>
      </c>
      <c r="L25" s="31" t="s">
        <v>439</v>
      </c>
    </row>
    <row r="26" spans="1:12">
      <c r="A26" s="14"/>
      <c r="B26" s="14" t="s">
        <v>1062</v>
      </c>
      <c r="C26" s="14" t="s">
        <v>136</v>
      </c>
      <c r="D26" s="12" t="s">
        <v>519</v>
      </c>
      <c r="E26" s="14" t="s">
        <v>243</v>
      </c>
      <c r="F26" s="14"/>
      <c r="G26" s="12" t="s">
        <v>1370</v>
      </c>
      <c r="H26" s="14"/>
      <c r="I26" s="14"/>
      <c r="J26" s="14" t="s">
        <v>431</v>
      </c>
      <c r="K26" s="14" t="s">
        <v>134</v>
      </c>
      <c r="L26" s="31" t="s">
        <v>439</v>
      </c>
    </row>
    <row r="27" spans="1:12">
      <c r="A27" s="14"/>
      <c r="B27" s="14" t="s">
        <v>936</v>
      </c>
      <c r="C27" s="14" t="s">
        <v>245</v>
      </c>
      <c r="D27" s="12" t="s">
        <v>1586</v>
      </c>
      <c r="E27" s="14" t="s">
        <v>243</v>
      </c>
      <c r="F27" s="14"/>
      <c r="G27" s="12" t="s">
        <v>1340</v>
      </c>
      <c r="H27" s="14"/>
      <c r="I27" s="14"/>
      <c r="J27" s="14" t="s">
        <v>431</v>
      </c>
      <c r="K27" s="14" t="s">
        <v>134</v>
      </c>
      <c r="L27" s="31" t="s">
        <v>439</v>
      </c>
    </row>
    <row r="28" spans="1:12">
      <c r="A28" s="14"/>
      <c r="B28" s="14" t="s">
        <v>939</v>
      </c>
      <c r="C28" s="14" t="s">
        <v>136</v>
      </c>
      <c r="D28" s="12" t="s">
        <v>1587</v>
      </c>
      <c r="E28" s="14" t="s">
        <v>243</v>
      </c>
      <c r="F28" s="14"/>
      <c r="G28" s="12" t="s">
        <v>1341</v>
      </c>
      <c r="H28" s="14"/>
      <c r="I28" s="14"/>
      <c r="J28" s="14" t="s">
        <v>431</v>
      </c>
      <c r="K28" s="14" t="s">
        <v>134</v>
      </c>
      <c r="L28" s="31" t="s">
        <v>439</v>
      </c>
    </row>
    <row r="29" spans="1:12">
      <c r="A29" s="14"/>
      <c r="B29" s="14" t="s">
        <v>942</v>
      </c>
      <c r="C29" s="14" t="s">
        <v>245</v>
      </c>
      <c r="D29" s="12" t="s">
        <v>1588</v>
      </c>
      <c r="E29" s="14" t="s">
        <v>243</v>
      </c>
      <c r="F29" s="14"/>
      <c r="G29" s="12" t="s">
        <v>1342</v>
      </c>
      <c r="H29" s="14"/>
      <c r="I29" s="14"/>
      <c r="J29" s="14" t="s">
        <v>431</v>
      </c>
      <c r="K29" s="14" t="s">
        <v>134</v>
      </c>
      <c r="L29" s="31" t="s">
        <v>439</v>
      </c>
    </row>
    <row r="30" spans="1:12">
      <c r="A30" s="14"/>
      <c r="B30" s="14" t="s">
        <v>811</v>
      </c>
      <c r="C30" s="14" t="s">
        <v>136</v>
      </c>
      <c r="D30" s="12" t="s">
        <v>1589</v>
      </c>
      <c r="E30" s="14" t="s">
        <v>243</v>
      </c>
      <c r="F30" s="14"/>
      <c r="G30" s="12" t="s">
        <v>1306</v>
      </c>
      <c r="H30" s="14"/>
      <c r="I30" s="14"/>
      <c r="J30" s="14" t="s">
        <v>431</v>
      </c>
      <c r="K30" s="14" t="s">
        <v>134</v>
      </c>
      <c r="L30" s="31" t="s">
        <v>439</v>
      </c>
    </row>
    <row r="31" spans="1:12">
      <c r="A31" s="14"/>
      <c r="B31" s="14" t="s">
        <v>1064</v>
      </c>
      <c r="C31" s="14" t="s">
        <v>136</v>
      </c>
      <c r="D31" s="12" t="s">
        <v>1590</v>
      </c>
      <c r="E31" s="14" t="s">
        <v>243</v>
      </c>
      <c r="F31" s="14"/>
      <c r="G31" s="12" t="s">
        <v>1066</v>
      </c>
      <c r="H31" s="14"/>
      <c r="I31" s="14"/>
      <c r="J31" s="14" t="s">
        <v>431</v>
      </c>
      <c r="K31" s="14" t="s">
        <v>134</v>
      </c>
      <c r="L31" s="12">
        <v>0</v>
      </c>
    </row>
    <row r="32" spans="1:12">
      <c r="A32" s="14"/>
      <c r="B32" s="14" t="s">
        <v>1067</v>
      </c>
      <c r="C32" s="14" t="s">
        <v>136</v>
      </c>
      <c r="D32" s="12" t="s">
        <v>1591</v>
      </c>
      <c r="E32" s="14" t="s">
        <v>243</v>
      </c>
      <c r="F32" s="14"/>
      <c r="G32" s="12" t="s">
        <v>1066</v>
      </c>
      <c r="H32" s="14"/>
      <c r="I32" s="14"/>
      <c r="J32" s="14" t="s">
        <v>431</v>
      </c>
      <c r="K32" s="14" t="s">
        <v>134</v>
      </c>
      <c r="L32" s="12">
        <v>0</v>
      </c>
    </row>
    <row r="33" spans="1:12">
      <c r="A33" s="14"/>
      <c r="B33" s="14" t="s">
        <v>820</v>
      </c>
      <c r="C33" s="14" t="s">
        <v>136</v>
      </c>
      <c r="D33" s="12" t="s">
        <v>821</v>
      </c>
      <c r="E33" s="14" t="s">
        <v>243</v>
      </c>
      <c r="F33" s="14"/>
      <c r="G33" s="12" t="s">
        <v>1309</v>
      </c>
      <c r="H33" s="14"/>
      <c r="I33" s="14"/>
      <c r="J33" s="14" t="s">
        <v>431</v>
      </c>
      <c r="K33" s="14" t="s">
        <v>134</v>
      </c>
      <c r="L33" s="31" t="s">
        <v>439</v>
      </c>
    </row>
    <row r="34" spans="1:12">
      <c r="A34" s="14"/>
      <c r="B34" s="14" t="s">
        <v>814</v>
      </c>
      <c r="C34" s="14" t="s">
        <v>136</v>
      </c>
      <c r="D34" s="12" t="s">
        <v>815</v>
      </c>
      <c r="E34" s="14" t="s">
        <v>243</v>
      </c>
      <c r="F34" s="14"/>
      <c r="G34" s="12" t="s">
        <v>1307</v>
      </c>
      <c r="H34" s="14"/>
      <c r="I34" s="14"/>
      <c r="J34" s="14" t="s">
        <v>431</v>
      </c>
      <c r="K34" s="14" t="s">
        <v>134</v>
      </c>
      <c r="L34" s="31" t="s">
        <v>533</v>
      </c>
    </row>
    <row r="35" spans="1:12">
      <c r="A35" s="14"/>
      <c r="B35" s="14" t="s">
        <v>817</v>
      </c>
      <c r="C35" s="14" t="s">
        <v>245</v>
      </c>
      <c r="D35" s="12" t="s">
        <v>818</v>
      </c>
      <c r="E35" s="14" t="s">
        <v>243</v>
      </c>
      <c r="F35" s="14"/>
      <c r="G35" s="12" t="s">
        <v>1308</v>
      </c>
      <c r="H35" s="14"/>
      <c r="I35" s="14"/>
      <c r="J35" s="14" t="s">
        <v>431</v>
      </c>
      <c r="K35" s="14" t="s">
        <v>134</v>
      </c>
      <c r="L35" s="31" t="s">
        <v>432</v>
      </c>
    </row>
    <row r="36" spans="1:12">
      <c r="A36" s="14"/>
      <c r="B36" s="14" t="s">
        <v>823</v>
      </c>
      <c r="C36" s="14" t="s">
        <v>136</v>
      </c>
      <c r="D36" s="12" t="s">
        <v>1070</v>
      </c>
      <c r="E36" s="14" t="s">
        <v>243</v>
      </c>
      <c r="F36" s="14"/>
      <c r="G36" s="12" t="s">
        <v>1310</v>
      </c>
      <c r="H36" s="14"/>
      <c r="I36" s="14"/>
      <c r="J36" s="14" t="s">
        <v>431</v>
      </c>
      <c r="K36" s="14" t="s">
        <v>134</v>
      </c>
      <c r="L36" s="31" t="s">
        <v>439</v>
      </c>
    </row>
    <row r="37" spans="1:12">
      <c r="A37" s="14"/>
      <c r="B37" s="14" t="s">
        <v>826</v>
      </c>
      <c r="C37" s="14" t="s">
        <v>136</v>
      </c>
      <c r="D37" s="12" t="s">
        <v>1073</v>
      </c>
      <c r="E37" s="14" t="s">
        <v>243</v>
      </c>
      <c r="F37" s="14"/>
      <c r="G37" s="12" t="s">
        <v>1311</v>
      </c>
      <c r="H37" s="14"/>
      <c r="I37" s="14"/>
      <c r="J37" s="14" t="s">
        <v>431</v>
      </c>
      <c r="K37" s="14" t="s">
        <v>134</v>
      </c>
      <c r="L37" s="31" t="s">
        <v>439</v>
      </c>
    </row>
    <row r="38" spans="1:12">
      <c r="A38" s="14"/>
      <c r="B38" s="14" t="s">
        <v>829</v>
      </c>
      <c r="C38" s="14" t="s">
        <v>136</v>
      </c>
      <c r="D38" s="12" t="s">
        <v>1076</v>
      </c>
      <c r="E38" s="14" t="s">
        <v>243</v>
      </c>
      <c r="F38" s="14"/>
      <c r="G38" s="12" t="s">
        <v>1312</v>
      </c>
      <c r="H38" s="14"/>
      <c r="I38" s="14"/>
      <c r="J38" s="14" t="s">
        <v>431</v>
      </c>
      <c r="K38" s="14" t="s">
        <v>134</v>
      </c>
      <c r="L38" s="31" t="s">
        <v>439</v>
      </c>
    </row>
    <row r="39" spans="1:12">
      <c r="A39" s="14"/>
      <c r="B39" s="14" t="s">
        <v>832</v>
      </c>
      <c r="C39" s="14" t="s">
        <v>136</v>
      </c>
      <c r="D39" s="12" t="s">
        <v>1079</v>
      </c>
      <c r="E39" s="14" t="s">
        <v>243</v>
      </c>
      <c r="F39" s="14"/>
      <c r="G39" s="12" t="s">
        <v>1313</v>
      </c>
      <c r="H39" s="14"/>
      <c r="I39" s="14"/>
      <c r="J39" s="14" t="s">
        <v>431</v>
      </c>
      <c r="K39" s="14" t="s">
        <v>134</v>
      </c>
      <c r="L39" s="31" t="s">
        <v>439</v>
      </c>
    </row>
    <row r="40" spans="1:12">
      <c r="A40" s="14"/>
      <c r="B40" s="14" t="s">
        <v>835</v>
      </c>
      <c r="C40" s="14" t="s">
        <v>136</v>
      </c>
      <c r="D40" s="12" t="s">
        <v>1081</v>
      </c>
      <c r="E40" s="14" t="s">
        <v>243</v>
      </c>
      <c r="F40" s="14"/>
      <c r="G40" s="12" t="s">
        <v>1314</v>
      </c>
      <c r="H40" s="14"/>
      <c r="I40" s="14"/>
      <c r="J40" s="14" t="s">
        <v>431</v>
      </c>
      <c r="K40" s="14" t="s">
        <v>134</v>
      </c>
      <c r="L40" s="31" t="s">
        <v>439</v>
      </c>
    </row>
    <row r="41" spans="1:12">
      <c r="A41" s="14"/>
      <c r="B41" s="14" t="s">
        <v>838</v>
      </c>
      <c r="C41" s="14" t="s">
        <v>136</v>
      </c>
      <c r="D41" s="12" t="s">
        <v>1083</v>
      </c>
      <c r="E41" s="14" t="s">
        <v>243</v>
      </c>
      <c r="F41" s="14"/>
      <c r="G41" s="12" t="s">
        <v>1315</v>
      </c>
      <c r="H41" s="14"/>
      <c r="I41" s="14"/>
      <c r="J41" s="14" t="s">
        <v>431</v>
      </c>
      <c r="K41" s="14" t="s">
        <v>134</v>
      </c>
      <c r="L41" s="31" t="s">
        <v>439</v>
      </c>
    </row>
    <row r="42" spans="1:12">
      <c r="A42" s="14"/>
      <c r="B42" s="14" t="s">
        <v>841</v>
      </c>
      <c r="C42" s="14" t="s">
        <v>136</v>
      </c>
      <c r="D42" s="12" t="s">
        <v>1086</v>
      </c>
      <c r="E42" s="14" t="s">
        <v>243</v>
      </c>
      <c r="F42" s="14"/>
      <c r="G42" s="12" t="s">
        <v>1316</v>
      </c>
      <c r="H42" s="14"/>
      <c r="I42" s="14"/>
      <c r="J42" s="14" t="s">
        <v>431</v>
      </c>
      <c r="K42" s="14" t="s">
        <v>134</v>
      </c>
      <c r="L42" s="31" t="s">
        <v>439</v>
      </c>
    </row>
    <row r="43" spans="1:12">
      <c r="A43" s="14"/>
      <c r="B43" s="14" t="s">
        <v>1488</v>
      </c>
      <c r="C43" s="14" t="s">
        <v>136</v>
      </c>
      <c r="D43" s="12" t="s">
        <v>1089</v>
      </c>
      <c r="E43" s="14" t="s">
        <v>243</v>
      </c>
      <c r="F43" s="14"/>
      <c r="G43" s="12" t="s">
        <v>1592</v>
      </c>
      <c r="H43" s="14"/>
      <c r="I43" s="14"/>
      <c r="J43" s="14" t="s">
        <v>431</v>
      </c>
      <c r="K43" s="14" t="s">
        <v>134</v>
      </c>
      <c r="L43" s="31" t="s">
        <v>439</v>
      </c>
    </row>
    <row r="44" spans="1:12">
      <c r="A44" s="14"/>
      <c r="B44" s="14" t="s">
        <v>1489</v>
      </c>
      <c r="C44" s="14" t="s">
        <v>136</v>
      </c>
      <c r="D44" s="12" t="s">
        <v>1092</v>
      </c>
      <c r="E44" s="14" t="s">
        <v>243</v>
      </c>
      <c r="F44" s="14"/>
      <c r="G44" s="12" t="s">
        <v>1593</v>
      </c>
      <c r="H44" s="14"/>
      <c r="I44" s="14"/>
      <c r="J44" s="14" t="s">
        <v>431</v>
      </c>
      <c r="K44" s="14" t="s">
        <v>134</v>
      </c>
      <c r="L44" s="31" t="s">
        <v>439</v>
      </c>
    </row>
    <row r="45" spans="1:12">
      <c r="A45" s="14"/>
      <c r="B45" s="14" t="s">
        <v>1490</v>
      </c>
      <c r="C45" s="14" t="s">
        <v>136</v>
      </c>
      <c r="D45" s="12" t="s">
        <v>1095</v>
      </c>
      <c r="E45" s="14" t="s">
        <v>243</v>
      </c>
      <c r="F45" s="14"/>
      <c r="G45" s="12" t="s">
        <v>1594</v>
      </c>
      <c r="H45" s="14"/>
      <c r="I45" s="14"/>
      <c r="J45" s="14" t="s">
        <v>431</v>
      </c>
      <c r="K45" s="14" t="s">
        <v>134</v>
      </c>
      <c r="L45" s="31" t="s">
        <v>439</v>
      </c>
    </row>
    <row r="46" spans="1:12">
      <c r="A46" s="14"/>
      <c r="B46" s="14" t="s">
        <v>1491</v>
      </c>
      <c r="C46" s="14" t="s">
        <v>136</v>
      </c>
      <c r="D46" s="12" t="s">
        <v>1098</v>
      </c>
      <c r="E46" s="14" t="s">
        <v>243</v>
      </c>
      <c r="F46" s="14"/>
      <c r="G46" s="12" t="s">
        <v>1595</v>
      </c>
      <c r="H46" s="14"/>
      <c r="I46" s="14"/>
      <c r="J46" s="14" t="s">
        <v>431</v>
      </c>
      <c r="K46" s="14" t="s">
        <v>134</v>
      </c>
      <c r="L46" s="31" t="s">
        <v>439</v>
      </c>
    </row>
    <row r="47" spans="1:12">
      <c r="A47" s="14"/>
      <c r="B47" s="14" t="s">
        <v>1492</v>
      </c>
      <c r="C47" s="14" t="s">
        <v>136</v>
      </c>
      <c r="D47" s="12" t="s">
        <v>1101</v>
      </c>
      <c r="E47" s="14" t="s">
        <v>243</v>
      </c>
      <c r="F47" s="14"/>
      <c r="G47" s="12" t="s">
        <v>1596</v>
      </c>
      <c r="H47" s="14"/>
      <c r="I47" s="14"/>
      <c r="J47" s="14" t="s">
        <v>431</v>
      </c>
      <c r="K47" s="14" t="s">
        <v>134</v>
      </c>
      <c r="L47" s="31" t="s">
        <v>439</v>
      </c>
    </row>
    <row r="48" spans="1:12">
      <c r="A48" s="14"/>
      <c r="B48" s="14" t="s">
        <v>844</v>
      </c>
      <c r="C48" s="14" t="s">
        <v>136</v>
      </c>
      <c r="D48" s="12" t="s">
        <v>1597</v>
      </c>
      <c r="E48" s="14" t="s">
        <v>243</v>
      </c>
      <c r="F48" s="14"/>
      <c r="G48" s="12" t="s">
        <v>1317</v>
      </c>
      <c r="H48" s="14"/>
      <c r="I48" s="14"/>
      <c r="J48" s="14" t="s">
        <v>431</v>
      </c>
      <c r="K48" s="14" t="s">
        <v>134</v>
      </c>
      <c r="L48" s="31" t="s">
        <v>439</v>
      </c>
    </row>
    <row r="49" spans="1:12">
      <c r="A49" s="14"/>
      <c r="B49" s="14" t="s">
        <v>846</v>
      </c>
      <c r="C49" s="14" t="s">
        <v>245</v>
      </c>
      <c r="D49" s="12" t="s">
        <v>1598</v>
      </c>
      <c r="E49" s="14" t="s">
        <v>243</v>
      </c>
      <c r="F49" s="14"/>
      <c r="G49" s="12" t="s">
        <v>1318</v>
      </c>
      <c r="H49" s="14"/>
      <c r="I49" s="14"/>
      <c r="J49" s="14" t="s">
        <v>431</v>
      </c>
      <c r="K49" s="14" t="s">
        <v>134</v>
      </c>
      <c r="L49" s="31" t="s">
        <v>568</v>
      </c>
    </row>
    <row r="50" spans="1:12">
      <c r="A50" s="14"/>
      <c r="B50" s="14" t="s">
        <v>948</v>
      </c>
      <c r="C50" s="14" t="s">
        <v>136</v>
      </c>
      <c r="D50" s="12" t="s">
        <v>949</v>
      </c>
      <c r="E50" s="14" t="s">
        <v>243</v>
      </c>
      <c r="F50" s="14"/>
      <c r="G50" s="12" t="s">
        <v>1344</v>
      </c>
      <c r="H50" s="14"/>
      <c r="I50" s="14"/>
      <c r="J50" s="14" t="s">
        <v>431</v>
      </c>
      <c r="K50" s="14" t="s">
        <v>134</v>
      </c>
      <c r="L50" s="31" t="s">
        <v>439</v>
      </c>
    </row>
    <row r="51" spans="1:12">
      <c r="A51" s="14"/>
      <c r="B51" s="14" t="s">
        <v>1103</v>
      </c>
      <c r="C51" s="14" t="s">
        <v>245</v>
      </c>
      <c r="D51" s="12" t="s">
        <v>1104</v>
      </c>
      <c r="E51" s="14" t="s">
        <v>243</v>
      </c>
      <c r="F51" s="14"/>
      <c r="G51" s="12" t="s">
        <v>1383</v>
      </c>
      <c r="H51" s="14"/>
      <c r="I51" s="14"/>
      <c r="J51" s="14" t="s">
        <v>431</v>
      </c>
      <c r="K51" s="14" t="s">
        <v>134</v>
      </c>
      <c r="L51" s="31" t="s">
        <v>610</v>
      </c>
    </row>
    <row r="52" spans="1:12">
      <c r="A52" s="14"/>
      <c r="B52" s="14" t="s">
        <v>1106</v>
      </c>
      <c r="C52" s="14" t="s">
        <v>245</v>
      </c>
      <c r="D52" s="12" t="s">
        <v>1107</v>
      </c>
      <c r="E52" s="14" t="s">
        <v>243</v>
      </c>
      <c r="F52" s="14"/>
      <c r="G52" s="12" t="s">
        <v>1384</v>
      </c>
      <c r="H52" s="14"/>
      <c r="I52" s="14"/>
      <c r="J52" s="14" t="s">
        <v>431</v>
      </c>
      <c r="K52" s="14" t="s">
        <v>134</v>
      </c>
      <c r="L52" s="31" t="s">
        <v>579</v>
      </c>
    </row>
    <row r="53" spans="1:12">
      <c r="A53" s="14"/>
      <c r="B53" s="14" t="s">
        <v>951</v>
      </c>
      <c r="C53" s="14" t="s">
        <v>136</v>
      </c>
      <c r="D53" s="12" t="s">
        <v>1495</v>
      </c>
      <c r="E53" s="14" t="s">
        <v>243</v>
      </c>
      <c r="F53" s="14"/>
      <c r="G53" s="12" t="s">
        <v>1345</v>
      </c>
      <c r="H53" s="14"/>
      <c r="I53" s="14"/>
      <c r="J53" s="14" t="s">
        <v>431</v>
      </c>
      <c r="K53" s="14" t="s">
        <v>134</v>
      </c>
      <c r="L53" s="31" t="s">
        <v>439</v>
      </c>
    </row>
    <row r="54" spans="1:12">
      <c r="A54" s="14"/>
      <c r="B54" s="14" t="s">
        <v>954</v>
      </c>
      <c r="C54" s="14" t="s">
        <v>136</v>
      </c>
      <c r="D54" s="12" t="s">
        <v>1496</v>
      </c>
      <c r="E54" s="14" t="s">
        <v>243</v>
      </c>
      <c r="F54" s="14"/>
      <c r="G54" s="12" t="s">
        <v>1346</v>
      </c>
      <c r="H54" s="14"/>
      <c r="I54" s="14"/>
      <c r="J54" s="14" t="s">
        <v>431</v>
      </c>
      <c r="K54" s="14" t="s">
        <v>134</v>
      </c>
      <c r="L54" s="31" t="s">
        <v>439</v>
      </c>
    </row>
    <row r="55" spans="1:12">
      <c r="A55" s="14"/>
      <c r="B55" s="14" t="s">
        <v>956</v>
      </c>
      <c r="C55" s="14" t="s">
        <v>136</v>
      </c>
      <c r="D55" s="12" t="s">
        <v>1497</v>
      </c>
      <c r="E55" s="14" t="s">
        <v>243</v>
      </c>
      <c r="F55" s="14"/>
      <c r="G55" s="12" t="s">
        <v>1347</v>
      </c>
      <c r="H55" s="14"/>
      <c r="I55" s="14"/>
      <c r="J55" s="14" t="s">
        <v>431</v>
      </c>
      <c r="K55" s="14" t="s">
        <v>134</v>
      </c>
      <c r="L55" s="31" t="s">
        <v>439</v>
      </c>
    </row>
    <row r="56" spans="1:12">
      <c r="A56" s="14"/>
      <c r="B56" s="14" t="s">
        <v>958</v>
      </c>
      <c r="C56" s="14" t="s">
        <v>136</v>
      </c>
      <c r="D56" s="12" t="s">
        <v>1498</v>
      </c>
      <c r="E56" s="14" t="s">
        <v>243</v>
      </c>
      <c r="F56" s="14"/>
      <c r="G56" s="12" t="s">
        <v>1348</v>
      </c>
      <c r="H56" s="14"/>
      <c r="I56" s="14"/>
      <c r="J56" s="14" t="s">
        <v>431</v>
      </c>
      <c r="K56" s="14" t="s">
        <v>134</v>
      </c>
      <c r="L56" s="31" t="s">
        <v>439</v>
      </c>
    </row>
    <row r="57" spans="1:12">
      <c r="A57" s="14"/>
      <c r="B57" s="14" t="s">
        <v>960</v>
      </c>
      <c r="C57" s="14" t="s">
        <v>136</v>
      </c>
      <c r="D57" s="12" t="s">
        <v>1499</v>
      </c>
      <c r="E57" s="14" t="s">
        <v>243</v>
      </c>
      <c r="F57" s="14"/>
      <c r="G57" s="12" t="s">
        <v>1349</v>
      </c>
      <c r="H57" s="14"/>
      <c r="I57" s="14"/>
      <c r="J57" s="14" t="s">
        <v>431</v>
      </c>
      <c r="K57" s="14" t="s">
        <v>134</v>
      </c>
      <c r="L57" s="31" t="s">
        <v>439</v>
      </c>
    </row>
    <row r="58" spans="1:12">
      <c r="A58" s="14"/>
      <c r="B58" s="14" t="s">
        <v>962</v>
      </c>
      <c r="C58" s="14" t="s">
        <v>136</v>
      </c>
      <c r="D58" s="12" t="s">
        <v>1500</v>
      </c>
      <c r="E58" s="14" t="s">
        <v>243</v>
      </c>
      <c r="F58" s="14"/>
      <c r="G58" s="12" t="s">
        <v>1350</v>
      </c>
      <c r="H58" s="14"/>
      <c r="I58" s="14"/>
      <c r="J58" s="14" t="s">
        <v>431</v>
      </c>
      <c r="K58" s="14" t="s">
        <v>134</v>
      </c>
      <c r="L58" s="31" t="s">
        <v>439</v>
      </c>
    </row>
    <row r="59" spans="1:12">
      <c r="A59" s="14"/>
      <c r="B59" s="14" t="s">
        <v>964</v>
      </c>
      <c r="C59" s="14" t="s">
        <v>136</v>
      </c>
      <c r="D59" s="12" t="s">
        <v>1501</v>
      </c>
      <c r="E59" s="14" t="s">
        <v>243</v>
      </c>
      <c r="F59" s="14"/>
      <c r="G59" s="12" t="s">
        <v>1351</v>
      </c>
      <c r="H59" s="14"/>
      <c r="I59" s="14"/>
      <c r="J59" s="14" t="s">
        <v>431</v>
      </c>
      <c r="K59" s="14" t="s">
        <v>134</v>
      </c>
      <c r="L59" s="31" t="s">
        <v>439</v>
      </c>
    </row>
    <row r="60" spans="1:12">
      <c r="A60" s="14"/>
      <c r="B60" s="14" t="s">
        <v>1502</v>
      </c>
      <c r="C60" s="14" t="s">
        <v>136</v>
      </c>
      <c r="D60" s="12" t="s">
        <v>1503</v>
      </c>
      <c r="E60" s="14" t="s">
        <v>243</v>
      </c>
      <c r="F60" s="14"/>
      <c r="G60" s="12" t="s">
        <v>1599</v>
      </c>
      <c r="H60" s="14"/>
      <c r="I60" s="14"/>
      <c r="J60" s="14" t="s">
        <v>431</v>
      </c>
      <c r="K60" s="14" t="s">
        <v>134</v>
      </c>
      <c r="L60" s="31" t="s">
        <v>439</v>
      </c>
    </row>
    <row r="61" spans="1:12">
      <c r="A61" s="14"/>
      <c r="B61" s="14" t="s">
        <v>1504</v>
      </c>
      <c r="C61" s="14" t="s">
        <v>136</v>
      </c>
      <c r="D61" s="12" t="s">
        <v>1505</v>
      </c>
      <c r="E61" s="14" t="s">
        <v>243</v>
      </c>
      <c r="F61" s="14"/>
      <c r="G61" s="12" t="s">
        <v>1600</v>
      </c>
      <c r="H61" s="14"/>
      <c r="I61" s="14"/>
      <c r="J61" s="14" t="s">
        <v>431</v>
      </c>
      <c r="K61" s="14" t="s">
        <v>134</v>
      </c>
      <c r="L61" s="31" t="s">
        <v>439</v>
      </c>
    </row>
    <row r="62" spans="1:12">
      <c r="A62" s="14"/>
      <c r="B62" s="14" t="s">
        <v>1506</v>
      </c>
      <c r="C62" s="14" t="s">
        <v>136</v>
      </c>
      <c r="D62" s="12" t="s">
        <v>1507</v>
      </c>
      <c r="E62" s="14" t="s">
        <v>243</v>
      </c>
      <c r="F62" s="14"/>
      <c r="G62" s="12" t="s">
        <v>1601</v>
      </c>
      <c r="H62" s="14"/>
      <c r="I62" s="14"/>
      <c r="J62" s="14" t="s">
        <v>431</v>
      </c>
      <c r="K62" s="14" t="s">
        <v>134</v>
      </c>
      <c r="L62" s="31" t="s">
        <v>439</v>
      </c>
    </row>
    <row r="63" spans="1:12">
      <c r="A63" s="14"/>
      <c r="B63" s="14" t="s">
        <v>1508</v>
      </c>
      <c r="C63" s="14" t="s">
        <v>136</v>
      </c>
      <c r="D63" s="12" t="s">
        <v>1509</v>
      </c>
      <c r="E63" s="14" t="s">
        <v>243</v>
      </c>
      <c r="F63" s="14"/>
      <c r="G63" s="12" t="s">
        <v>1602</v>
      </c>
      <c r="H63" s="14"/>
      <c r="I63" s="14"/>
      <c r="J63" s="14" t="s">
        <v>431</v>
      </c>
      <c r="K63" s="14" t="s">
        <v>134</v>
      </c>
      <c r="L63" s="31" t="s">
        <v>439</v>
      </c>
    </row>
    <row r="64" spans="1:12">
      <c r="A64" s="14"/>
      <c r="B64" s="14" t="s">
        <v>1510</v>
      </c>
      <c r="C64" s="14" t="s">
        <v>136</v>
      </c>
      <c r="D64" s="12" t="s">
        <v>1511</v>
      </c>
      <c r="E64" s="14" t="s">
        <v>243</v>
      </c>
      <c r="F64" s="14"/>
      <c r="G64" s="12" t="s">
        <v>1603</v>
      </c>
      <c r="H64" s="14"/>
      <c r="I64" s="14"/>
      <c r="J64" s="14" t="s">
        <v>431</v>
      </c>
      <c r="K64" s="14" t="s">
        <v>134</v>
      </c>
      <c r="L64" s="31" t="s">
        <v>439</v>
      </c>
    </row>
    <row r="65" spans="1:12">
      <c r="A65" s="14"/>
      <c r="B65" s="14" t="s">
        <v>1139</v>
      </c>
      <c r="C65" s="14" t="s">
        <v>136</v>
      </c>
      <c r="D65" s="12" t="s">
        <v>1604</v>
      </c>
      <c r="E65" s="14" t="s">
        <v>243</v>
      </c>
      <c r="F65" s="14"/>
      <c r="G65" s="12" t="s">
        <v>1397</v>
      </c>
      <c r="H65" s="14"/>
      <c r="I65" s="14"/>
      <c r="J65" s="14" t="s">
        <v>431</v>
      </c>
      <c r="K65" s="14" t="s">
        <v>134</v>
      </c>
      <c r="L65" s="31" t="s">
        <v>439</v>
      </c>
    </row>
    <row r="66" spans="1:12">
      <c r="A66" s="14"/>
      <c r="B66" s="14" t="s">
        <v>1142</v>
      </c>
      <c r="C66" s="14" t="s">
        <v>245</v>
      </c>
      <c r="D66" s="12" t="s">
        <v>1143</v>
      </c>
      <c r="E66" s="14" t="s">
        <v>243</v>
      </c>
      <c r="F66" s="14"/>
      <c r="G66" s="12" t="s">
        <v>1398</v>
      </c>
      <c r="H66" s="14"/>
      <c r="I66" s="14"/>
      <c r="J66" s="14" t="s">
        <v>431</v>
      </c>
      <c r="K66" s="14" t="s">
        <v>134</v>
      </c>
      <c r="L66" s="31" t="s">
        <v>568</v>
      </c>
    </row>
    <row r="67" spans="1:12">
      <c r="A67" s="14"/>
      <c r="B67" s="14" t="s">
        <v>1145</v>
      </c>
      <c r="C67" s="14" t="s">
        <v>136</v>
      </c>
      <c r="D67" s="12" t="s">
        <v>1146</v>
      </c>
      <c r="E67" s="14" t="s">
        <v>243</v>
      </c>
      <c r="F67" s="14"/>
      <c r="G67" s="12" t="s">
        <v>1399</v>
      </c>
      <c r="H67" s="14"/>
      <c r="I67" s="14"/>
      <c r="J67" s="14" t="s">
        <v>431</v>
      </c>
      <c r="K67" s="14" t="s">
        <v>134</v>
      </c>
      <c r="L67" s="31" t="s">
        <v>439</v>
      </c>
    </row>
    <row r="68" spans="1:12">
      <c r="A68" s="14"/>
      <c r="B68" s="14" t="s">
        <v>1147</v>
      </c>
      <c r="C68" s="14" t="s">
        <v>245</v>
      </c>
      <c r="D68" s="12" t="s">
        <v>1148</v>
      </c>
      <c r="E68" s="14" t="s">
        <v>243</v>
      </c>
      <c r="F68" s="14"/>
      <c r="G68" s="12" t="s">
        <v>1400</v>
      </c>
      <c r="H68" s="14"/>
      <c r="I68" s="14"/>
      <c r="J68" s="14" t="s">
        <v>431</v>
      </c>
      <c r="K68" s="14" t="s">
        <v>134</v>
      </c>
      <c r="L68" s="31" t="s">
        <v>610</v>
      </c>
    </row>
    <row r="69" spans="1:12">
      <c r="A69" s="14"/>
      <c r="B69" s="14" t="s">
        <v>1149</v>
      </c>
      <c r="C69" s="14" t="s">
        <v>245</v>
      </c>
      <c r="D69" s="12" t="s">
        <v>1150</v>
      </c>
      <c r="E69" s="14" t="s">
        <v>243</v>
      </c>
      <c r="F69" s="14"/>
      <c r="G69" s="12" t="s">
        <v>1401</v>
      </c>
      <c r="H69" s="14"/>
      <c r="I69" s="14"/>
      <c r="J69" s="14" t="s">
        <v>431</v>
      </c>
      <c r="K69" s="14" t="s">
        <v>134</v>
      </c>
      <c r="L69" s="31" t="s">
        <v>615</v>
      </c>
    </row>
    <row r="70" spans="1:12">
      <c r="A70" s="14"/>
      <c r="B70" s="14" t="s">
        <v>1513</v>
      </c>
      <c r="C70" s="14" t="s">
        <v>136</v>
      </c>
      <c r="D70" s="12" t="s">
        <v>1514</v>
      </c>
      <c r="E70" s="14" t="s">
        <v>243</v>
      </c>
      <c r="F70" s="14"/>
      <c r="G70" s="12" t="s">
        <v>1605</v>
      </c>
      <c r="H70" s="14"/>
      <c r="I70" s="14"/>
      <c r="J70" s="14" t="s">
        <v>431</v>
      </c>
      <c r="K70" s="14" t="s">
        <v>134</v>
      </c>
      <c r="L70" s="31" t="s">
        <v>439</v>
      </c>
    </row>
    <row r="71" spans="1:12">
      <c r="A71" s="14"/>
      <c r="B71" s="14" t="s">
        <v>1515</v>
      </c>
      <c r="C71" s="14" t="s">
        <v>136</v>
      </c>
      <c r="D71" s="12" t="s">
        <v>1516</v>
      </c>
      <c r="E71" s="14" t="s">
        <v>243</v>
      </c>
      <c r="F71" s="14"/>
      <c r="G71" s="12" t="s">
        <v>1606</v>
      </c>
      <c r="H71" s="14"/>
      <c r="I71" s="14"/>
      <c r="J71" s="14" t="s">
        <v>431</v>
      </c>
      <c r="K71" s="14" t="s">
        <v>134</v>
      </c>
      <c r="L71" s="31" t="s">
        <v>439</v>
      </c>
    </row>
    <row r="72" spans="1:12">
      <c r="A72" s="14"/>
      <c r="B72" s="14" t="s">
        <v>1517</v>
      </c>
      <c r="C72" s="14" t="s">
        <v>136</v>
      </c>
      <c r="D72" s="12" t="s">
        <v>1518</v>
      </c>
      <c r="E72" s="14" t="s">
        <v>243</v>
      </c>
      <c r="F72" s="14"/>
      <c r="G72" s="12" t="s">
        <v>1607</v>
      </c>
      <c r="H72" s="14"/>
      <c r="I72" s="14"/>
      <c r="J72" s="14" t="s">
        <v>431</v>
      </c>
      <c r="K72" s="14" t="s">
        <v>134</v>
      </c>
      <c r="L72" s="31" t="s">
        <v>439</v>
      </c>
    </row>
    <row r="73" spans="1:12">
      <c r="A73" s="14"/>
      <c r="B73" s="14" t="s">
        <v>1519</v>
      </c>
      <c r="C73" s="14" t="s">
        <v>136</v>
      </c>
      <c r="D73" s="12" t="s">
        <v>1520</v>
      </c>
      <c r="E73" s="14" t="s">
        <v>243</v>
      </c>
      <c r="F73" s="14"/>
      <c r="G73" s="12" t="s">
        <v>1608</v>
      </c>
      <c r="H73" s="14"/>
      <c r="I73" s="14"/>
      <c r="J73" s="14" t="s">
        <v>431</v>
      </c>
      <c r="K73" s="14" t="s">
        <v>134</v>
      </c>
      <c r="L73" s="31" t="s">
        <v>439</v>
      </c>
    </row>
    <row r="74" spans="1:12">
      <c r="A74" s="14"/>
      <c r="B74" s="14" t="s">
        <v>1521</v>
      </c>
      <c r="C74" s="14" t="s">
        <v>136</v>
      </c>
      <c r="D74" s="12" t="s">
        <v>1522</v>
      </c>
      <c r="E74" s="14" t="s">
        <v>243</v>
      </c>
      <c r="F74" s="14"/>
      <c r="G74" s="12" t="s">
        <v>1609</v>
      </c>
      <c r="H74" s="14"/>
      <c r="I74" s="14"/>
      <c r="J74" s="14" t="s">
        <v>431</v>
      </c>
      <c r="K74" s="14" t="s">
        <v>134</v>
      </c>
      <c r="L74" s="31" t="s">
        <v>439</v>
      </c>
    </row>
    <row r="75" spans="1:12">
      <c r="A75" s="14"/>
      <c r="B75" s="14" t="s">
        <v>1523</v>
      </c>
      <c r="C75" s="14" t="s">
        <v>136</v>
      </c>
      <c r="D75" s="12" t="s">
        <v>1524</v>
      </c>
      <c r="E75" s="14" t="s">
        <v>243</v>
      </c>
      <c r="F75" s="14"/>
      <c r="G75" s="12" t="s">
        <v>1610</v>
      </c>
      <c r="H75" s="14"/>
      <c r="I75" s="14"/>
      <c r="J75" s="14" t="s">
        <v>431</v>
      </c>
      <c r="K75" s="14" t="s">
        <v>134</v>
      </c>
      <c r="L75" s="31" t="s">
        <v>439</v>
      </c>
    </row>
    <row r="76" spans="1:12">
      <c r="A76" s="14"/>
      <c r="B76" s="14" t="s">
        <v>1525</v>
      </c>
      <c r="C76" s="14" t="s">
        <v>136</v>
      </c>
      <c r="D76" s="12" t="s">
        <v>1526</v>
      </c>
      <c r="E76" s="14" t="s">
        <v>243</v>
      </c>
      <c r="F76" s="14"/>
      <c r="G76" s="12" t="s">
        <v>1611</v>
      </c>
      <c r="H76" s="14"/>
      <c r="I76" s="14"/>
      <c r="J76" s="14" t="s">
        <v>431</v>
      </c>
      <c r="K76" s="14" t="s">
        <v>134</v>
      </c>
      <c r="L76" s="31" t="s">
        <v>439</v>
      </c>
    </row>
    <row r="77" spans="1:12">
      <c r="A77" s="14"/>
      <c r="B77" s="14" t="s">
        <v>1527</v>
      </c>
      <c r="C77" s="14" t="s">
        <v>136</v>
      </c>
      <c r="D77" s="12" t="s">
        <v>1528</v>
      </c>
      <c r="E77" s="14" t="s">
        <v>243</v>
      </c>
      <c r="F77" s="14"/>
      <c r="G77" s="12" t="s">
        <v>1612</v>
      </c>
      <c r="H77" s="14"/>
      <c r="I77" s="14"/>
      <c r="J77" s="14" t="s">
        <v>431</v>
      </c>
      <c r="K77" s="14" t="s">
        <v>134</v>
      </c>
      <c r="L77" s="31" t="s">
        <v>439</v>
      </c>
    </row>
    <row r="78" spans="1:12">
      <c r="A78" s="14"/>
      <c r="B78" s="14" t="s">
        <v>1529</v>
      </c>
      <c r="C78" s="14" t="s">
        <v>136</v>
      </c>
      <c r="D78" s="12" t="s">
        <v>1530</v>
      </c>
      <c r="E78" s="14" t="s">
        <v>243</v>
      </c>
      <c r="F78" s="14"/>
      <c r="G78" s="12" t="s">
        <v>1613</v>
      </c>
      <c r="H78" s="14"/>
      <c r="I78" s="14"/>
      <c r="J78" s="14" t="s">
        <v>431</v>
      </c>
      <c r="K78" s="14" t="s">
        <v>134</v>
      </c>
      <c r="L78" s="31" t="s">
        <v>439</v>
      </c>
    </row>
    <row r="79" spans="1:12">
      <c r="A79" s="14"/>
      <c r="B79" s="14" t="s">
        <v>1531</v>
      </c>
      <c r="C79" s="14" t="s">
        <v>136</v>
      </c>
      <c r="D79" s="12" t="s">
        <v>1532</v>
      </c>
      <c r="E79" s="14" t="s">
        <v>243</v>
      </c>
      <c r="F79" s="14"/>
      <c r="G79" s="12" t="s">
        <v>1614</v>
      </c>
      <c r="H79" s="14"/>
      <c r="I79" s="14"/>
      <c r="J79" s="14" t="s">
        <v>431</v>
      </c>
      <c r="K79" s="14" t="s">
        <v>134</v>
      </c>
      <c r="L79" s="31" t="s">
        <v>439</v>
      </c>
    </row>
    <row r="80" spans="1:12">
      <c r="A80" s="14"/>
      <c r="B80" s="14" t="s">
        <v>1533</v>
      </c>
      <c r="C80" s="14" t="s">
        <v>136</v>
      </c>
      <c r="D80" s="12" t="s">
        <v>1534</v>
      </c>
      <c r="E80" s="14" t="s">
        <v>243</v>
      </c>
      <c r="F80" s="14"/>
      <c r="G80" s="12" t="s">
        <v>1615</v>
      </c>
      <c r="H80" s="14"/>
      <c r="I80" s="14"/>
      <c r="J80" s="14" t="s">
        <v>431</v>
      </c>
      <c r="K80" s="14" t="s">
        <v>134</v>
      </c>
      <c r="L80" s="31" t="s">
        <v>439</v>
      </c>
    </row>
    <row r="81" spans="1:12">
      <c r="A81" s="14"/>
      <c r="B81" s="14" t="s">
        <v>1535</v>
      </c>
      <c r="C81" s="14" t="s">
        <v>136</v>
      </c>
      <c r="D81" s="12" t="s">
        <v>1536</v>
      </c>
      <c r="E81" s="14" t="s">
        <v>243</v>
      </c>
      <c r="F81" s="14"/>
      <c r="G81" s="12" t="s">
        <v>1616</v>
      </c>
      <c r="H81" s="14"/>
      <c r="I81" s="14"/>
      <c r="J81" s="14" t="s">
        <v>431</v>
      </c>
      <c r="K81" s="14" t="s">
        <v>134</v>
      </c>
      <c r="L81" s="31" t="s">
        <v>439</v>
      </c>
    </row>
    <row r="82" spans="1:12">
      <c r="A82" s="14"/>
      <c r="B82" s="14" t="s">
        <v>1187</v>
      </c>
      <c r="C82" s="14" t="s">
        <v>136</v>
      </c>
      <c r="D82" s="12" t="s">
        <v>1617</v>
      </c>
      <c r="E82" s="14" t="s">
        <v>243</v>
      </c>
      <c r="F82" s="14"/>
      <c r="G82" s="12" t="s">
        <v>1414</v>
      </c>
      <c r="H82" s="14"/>
      <c r="I82" s="14"/>
      <c r="J82" s="14" t="s">
        <v>431</v>
      </c>
      <c r="K82" s="14" t="s">
        <v>134</v>
      </c>
      <c r="L82" s="31" t="s">
        <v>439</v>
      </c>
    </row>
    <row r="83" spans="1:12">
      <c r="A83" s="14"/>
      <c r="B83" s="14" t="s">
        <v>1189</v>
      </c>
      <c r="C83" s="14" t="s">
        <v>245</v>
      </c>
      <c r="D83" s="12" t="s">
        <v>1618</v>
      </c>
      <c r="E83" s="14" t="s">
        <v>243</v>
      </c>
      <c r="F83" s="14"/>
      <c r="G83" s="12" t="s">
        <v>1415</v>
      </c>
      <c r="H83" s="14"/>
      <c r="I83" s="14"/>
      <c r="J83" s="14" t="s">
        <v>431</v>
      </c>
      <c r="K83" s="14" t="s">
        <v>134</v>
      </c>
      <c r="L83" s="31" t="s">
        <v>568</v>
      </c>
    </row>
    <row r="84" spans="1:12">
      <c r="A84" s="14"/>
      <c r="B84" s="14" t="s">
        <v>1221</v>
      </c>
      <c r="C84" s="14" t="s">
        <v>136</v>
      </c>
      <c r="D84" s="12" t="s">
        <v>1222</v>
      </c>
      <c r="E84" s="14" t="s">
        <v>243</v>
      </c>
      <c r="F84" s="14"/>
      <c r="G84" s="12" t="s">
        <v>1430</v>
      </c>
      <c r="H84" s="14"/>
      <c r="I84" s="14"/>
      <c r="J84" s="14" t="s">
        <v>431</v>
      </c>
      <c r="K84" s="14" t="s">
        <v>134</v>
      </c>
      <c r="L84" s="31" t="s">
        <v>533</v>
      </c>
    </row>
    <row r="85" spans="1:12">
      <c r="A85" s="14"/>
      <c r="B85" s="14" t="s">
        <v>904</v>
      </c>
      <c r="C85" s="14" t="s">
        <v>136</v>
      </c>
      <c r="D85" s="12" t="s">
        <v>1537</v>
      </c>
      <c r="E85" s="14" t="s">
        <v>243</v>
      </c>
      <c r="F85" s="14"/>
      <c r="G85" s="12" t="s">
        <v>1332</v>
      </c>
      <c r="H85" s="14"/>
      <c r="I85" s="14"/>
      <c r="J85" s="14" t="s">
        <v>431</v>
      </c>
      <c r="K85" s="14" t="s">
        <v>134</v>
      </c>
      <c r="L85" s="31" t="s">
        <v>439</v>
      </c>
    </row>
    <row r="86" spans="1:12">
      <c r="A86" s="14"/>
      <c r="B86" s="14" t="s">
        <v>1223</v>
      </c>
      <c r="C86" s="14" t="s">
        <v>245</v>
      </c>
      <c r="D86" s="12" t="s">
        <v>1224</v>
      </c>
      <c r="E86" s="14" t="s">
        <v>243</v>
      </c>
      <c r="F86" s="14"/>
      <c r="G86" s="12" t="s">
        <v>1431</v>
      </c>
      <c r="H86" s="14"/>
      <c r="I86" s="14"/>
      <c r="J86" s="14" t="s">
        <v>431</v>
      </c>
      <c r="K86" s="14" t="s">
        <v>134</v>
      </c>
      <c r="L86" s="31" t="s">
        <v>432</v>
      </c>
    </row>
    <row r="87" spans="1:12">
      <c r="A87" s="14"/>
      <c r="B87" s="14" t="s">
        <v>910</v>
      </c>
      <c r="C87" s="14" t="s">
        <v>900</v>
      </c>
      <c r="D87" s="12" t="s">
        <v>1538</v>
      </c>
      <c r="E87" s="14" t="s">
        <v>243</v>
      </c>
      <c r="F87" s="14"/>
      <c r="G87" s="12" t="s">
        <v>1334</v>
      </c>
      <c r="H87" s="14"/>
      <c r="I87" s="14"/>
      <c r="J87" s="14" t="s">
        <v>431</v>
      </c>
      <c r="K87" s="14" t="s">
        <v>134</v>
      </c>
      <c r="L87" s="31" t="s">
        <v>568</v>
      </c>
    </row>
    <row r="88" spans="1:12">
      <c r="A88" s="14"/>
      <c r="B88" s="14" t="s">
        <v>1225</v>
      </c>
      <c r="C88" s="14" t="s">
        <v>136</v>
      </c>
      <c r="D88" s="12" t="s">
        <v>1226</v>
      </c>
      <c r="E88" s="14" t="s">
        <v>243</v>
      </c>
      <c r="F88" s="14"/>
      <c r="G88" s="12" t="s">
        <v>1432</v>
      </c>
      <c r="H88" s="14"/>
      <c r="I88" s="14"/>
      <c r="J88" s="14" t="s">
        <v>431</v>
      </c>
      <c r="K88" s="14" t="s">
        <v>134</v>
      </c>
      <c r="L88" s="31" t="s">
        <v>533</v>
      </c>
    </row>
    <row r="89" spans="1:12">
      <c r="A89" s="14"/>
      <c r="B89" s="14" t="s">
        <v>915</v>
      </c>
      <c r="C89" s="14" t="s">
        <v>136</v>
      </c>
      <c r="D89" s="12" t="s">
        <v>1539</v>
      </c>
      <c r="E89" s="14" t="s">
        <v>243</v>
      </c>
      <c r="F89" s="14"/>
      <c r="G89" s="12" t="s">
        <v>1335</v>
      </c>
      <c r="H89" s="14"/>
      <c r="I89" s="14"/>
      <c r="J89" s="14" t="s">
        <v>431</v>
      </c>
      <c r="K89" s="14" t="s">
        <v>134</v>
      </c>
      <c r="L89" s="31" t="s">
        <v>439</v>
      </c>
    </row>
    <row r="90" spans="1:12">
      <c r="A90" s="14"/>
      <c r="B90" s="14" t="s">
        <v>1227</v>
      </c>
      <c r="C90" s="14" t="s">
        <v>245</v>
      </c>
      <c r="D90" s="12" t="s">
        <v>1228</v>
      </c>
      <c r="E90" s="14" t="s">
        <v>243</v>
      </c>
      <c r="F90" s="14"/>
      <c r="G90" s="12" t="s">
        <v>1433</v>
      </c>
      <c r="H90" s="14"/>
      <c r="I90" s="14"/>
      <c r="J90" s="14" t="s">
        <v>431</v>
      </c>
      <c r="K90" s="14" t="s">
        <v>134</v>
      </c>
      <c r="L90" s="31" t="s">
        <v>432</v>
      </c>
    </row>
    <row r="91" spans="1:12">
      <c r="A91" s="14"/>
      <c r="B91" s="14" t="s">
        <v>921</v>
      </c>
      <c r="C91" s="14" t="s">
        <v>900</v>
      </c>
      <c r="D91" s="12" t="s">
        <v>1540</v>
      </c>
      <c r="E91" s="14" t="s">
        <v>243</v>
      </c>
      <c r="F91" s="14"/>
      <c r="G91" s="12" t="s">
        <v>1337</v>
      </c>
      <c r="H91" s="14"/>
      <c r="I91" s="14"/>
      <c r="J91" s="14" t="s">
        <v>431</v>
      </c>
      <c r="K91" s="14" t="s">
        <v>134</v>
      </c>
      <c r="L91" s="31" t="s">
        <v>568</v>
      </c>
    </row>
    <row r="92" spans="1:12">
      <c r="A92" s="14"/>
      <c r="B92" s="14" t="s">
        <v>1229</v>
      </c>
      <c r="C92" s="14" t="s">
        <v>136</v>
      </c>
      <c r="D92" s="12" t="s">
        <v>1230</v>
      </c>
      <c r="E92" s="14" t="s">
        <v>243</v>
      </c>
      <c r="F92" s="14"/>
      <c r="G92" s="12" t="s">
        <v>1434</v>
      </c>
      <c r="H92" s="14"/>
      <c r="I92" s="14"/>
      <c r="J92" s="14" t="s">
        <v>431</v>
      </c>
      <c r="K92" s="14" t="s">
        <v>134</v>
      </c>
      <c r="L92" s="31" t="s">
        <v>533</v>
      </c>
    </row>
    <row r="93" spans="1:12">
      <c r="A93" s="14"/>
      <c r="B93" s="14" t="s">
        <v>927</v>
      </c>
      <c r="C93" s="14" t="s">
        <v>136</v>
      </c>
      <c r="D93" s="12" t="s">
        <v>1541</v>
      </c>
      <c r="E93" s="14" t="s">
        <v>243</v>
      </c>
      <c r="F93" s="14"/>
      <c r="G93" s="12" t="s">
        <v>1338</v>
      </c>
      <c r="H93" s="14"/>
      <c r="I93" s="14"/>
      <c r="J93" s="14" t="s">
        <v>431</v>
      </c>
      <c r="K93" s="14" t="s">
        <v>134</v>
      </c>
      <c r="L93" s="31" t="s">
        <v>439</v>
      </c>
    </row>
    <row r="94" spans="1:12">
      <c r="A94" s="14"/>
      <c r="B94" s="14" t="s">
        <v>1231</v>
      </c>
      <c r="C94" s="14" t="s">
        <v>245</v>
      </c>
      <c r="D94" s="12" t="s">
        <v>1232</v>
      </c>
      <c r="E94" s="14" t="s">
        <v>243</v>
      </c>
      <c r="F94" s="14"/>
      <c r="G94" s="12" t="s">
        <v>1435</v>
      </c>
      <c r="H94" s="14"/>
      <c r="I94" s="14"/>
      <c r="J94" s="14" t="s">
        <v>431</v>
      </c>
      <c r="K94" s="14" t="s">
        <v>134</v>
      </c>
      <c r="L94" s="31" t="s">
        <v>432</v>
      </c>
    </row>
    <row r="95" spans="1:12">
      <c r="A95" s="14"/>
      <c r="B95" s="14" t="s">
        <v>933</v>
      </c>
      <c r="C95" s="14" t="s">
        <v>900</v>
      </c>
      <c r="D95" s="12" t="s">
        <v>1542</v>
      </c>
      <c r="E95" s="14" t="s">
        <v>243</v>
      </c>
      <c r="F95" s="14"/>
      <c r="G95" s="12" t="s">
        <v>1619</v>
      </c>
      <c r="H95" s="14"/>
      <c r="I95" s="14"/>
      <c r="J95" s="14" t="s">
        <v>431</v>
      </c>
      <c r="K95" s="14" t="s">
        <v>134</v>
      </c>
      <c r="L95" s="31" t="s">
        <v>568</v>
      </c>
    </row>
    <row r="96" spans="1:12">
      <c r="A96" s="14"/>
      <c r="B96" s="14" t="s">
        <v>1244</v>
      </c>
      <c r="C96" s="14" t="s">
        <v>136</v>
      </c>
      <c r="D96" s="12" t="s">
        <v>1245</v>
      </c>
      <c r="E96" s="14" t="s">
        <v>243</v>
      </c>
      <c r="F96" s="14"/>
      <c r="G96" s="12" t="s">
        <v>1439</v>
      </c>
      <c r="H96" s="14"/>
      <c r="I96" s="14"/>
      <c r="J96" s="14" t="s">
        <v>431</v>
      </c>
      <c r="K96" s="14" t="s">
        <v>134</v>
      </c>
      <c r="L96" s="31" t="s">
        <v>439</v>
      </c>
    </row>
    <row r="97" spans="1:12">
      <c r="A97" s="14"/>
      <c r="B97" s="14" t="s">
        <v>392</v>
      </c>
      <c r="C97" s="14" t="s">
        <v>132</v>
      </c>
      <c r="D97" s="12" t="s">
        <v>391</v>
      </c>
      <c r="E97" s="14" t="s">
        <v>243</v>
      </c>
      <c r="F97" s="14" t="s">
        <v>392</v>
      </c>
      <c r="G97" s="12" t="s">
        <v>250</v>
      </c>
      <c r="H97" s="14"/>
      <c r="I97" s="14"/>
      <c r="J97" s="14" t="s">
        <v>384</v>
      </c>
      <c r="K97" s="14" t="s">
        <v>134</v>
      </c>
      <c r="L97" s="31" t="s">
        <v>134</v>
      </c>
    </row>
    <row r="98" spans="1:12">
      <c r="A98" s="14"/>
      <c r="B98" s="14" t="s">
        <v>395</v>
      </c>
      <c r="C98" s="14" t="s">
        <v>132</v>
      </c>
      <c r="D98" s="12" t="s">
        <v>489</v>
      </c>
      <c r="E98" s="14" t="s">
        <v>243</v>
      </c>
      <c r="F98" s="14" t="s">
        <v>395</v>
      </c>
      <c r="G98" s="12" t="s">
        <v>250</v>
      </c>
      <c r="H98" s="14"/>
      <c r="I98" s="14"/>
      <c r="J98" s="14" t="s">
        <v>384</v>
      </c>
      <c r="K98" s="14" t="s">
        <v>134</v>
      </c>
      <c r="L98" s="31" t="s">
        <v>134</v>
      </c>
    </row>
    <row r="99" spans="1:12">
      <c r="A99" s="14"/>
      <c r="B99" s="14" t="s">
        <v>398</v>
      </c>
      <c r="C99" s="14" t="s">
        <v>132</v>
      </c>
      <c r="D99" s="12" t="s">
        <v>490</v>
      </c>
      <c r="E99" s="14" t="s">
        <v>243</v>
      </c>
      <c r="F99" s="14" t="s">
        <v>398</v>
      </c>
      <c r="G99" s="12" t="s">
        <v>250</v>
      </c>
      <c r="H99" s="14"/>
      <c r="I99" s="14"/>
      <c r="J99" s="14" t="s">
        <v>384</v>
      </c>
      <c r="K99" s="14" t="s">
        <v>134</v>
      </c>
      <c r="L99" s="31" t="s">
        <v>134</v>
      </c>
    </row>
    <row r="100" spans="1:12">
      <c r="A100" s="14"/>
      <c r="B100" s="14" t="s">
        <v>377</v>
      </c>
      <c r="C100" s="14" t="s">
        <v>132</v>
      </c>
      <c r="D100" s="12" t="s">
        <v>482</v>
      </c>
      <c r="E100" s="14" t="s">
        <v>243</v>
      </c>
      <c r="F100" s="14" t="s">
        <v>377</v>
      </c>
      <c r="G100" s="12" t="s">
        <v>250</v>
      </c>
      <c r="H100" s="14"/>
      <c r="I100" s="14"/>
      <c r="J100" s="14" t="s">
        <v>384</v>
      </c>
      <c r="K100" s="14" t="s">
        <v>134</v>
      </c>
      <c r="L100" s="31" t="s">
        <v>134</v>
      </c>
    </row>
    <row r="101" spans="1:12">
      <c r="A101" s="14"/>
      <c r="B101" s="14" t="s">
        <v>1191</v>
      </c>
      <c r="C101" s="14" t="s">
        <v>136</v>
      </c>
      <c r="D101" s="12" t="s">
        <v>659</v>
      </c>
      <c r="E101" s="14" t="s">
        <v>243</v>
      </c>
      <c r="F101" s="14"/>
      <c r="G101" s="12" t="s">
        <v>1193</v>
      </c>
      <c r="H101" s="14"/>
      <c r="I101" s="14"/>
      <c r="J101" s="14" t="s">
        <v>431</v>
      </c>
      <c r="K101" s="14" t="s">
        <v>134</v>
      </c>
      <c r="L101" s="31" t="s">
        <v>439</v>
      </c>
    </row>
    <row r="102" spans="1:12">
      <c r="A102" s="14"/>
      <c r="B102" s="14" t="s">
        <v>1023</v>
      </c>
      <c r="C102" s="14" t="s">
        <v>136</v>
      </c>
      <c r="D102" s="12" t="s">
        <v>1024</v>
      </c>
      <c r="E102" s="14" t="s">
        <v>243</v>
      </c>
      <c r="F102" s="14"/>
      <c r="G102" s="12" t="s">
        <v>1025</v>
      </c>
      <c r="H102" s="14"/>
      <c r="I102" s="14"/>
      <c r="J102" s="14" t="s">
        <v>431</v>
      </c>
      <c r="K102" s="14" t="s">
        <v>134</v>
      </c>
      <c r="L102" s="31" t="s">
        <v>439</v>
      </c>
    </row>
    <row r="103" spans="1:12" ht="79.2">
      <c r="A103" s="14"/>
      <c r="B103" s="14" t="s">
        <v>227</v>
      </c>
      <c r="C103" s="14" t="s">
        <v>139</v>
      </c>
      <c r="D103" s="20" t="s">
        <v>228</v>
      </c>
      <c r="E103" s="14" t="s">
        <v>243</v>
      </c>
      <c r="F103" s="14" t="s">
        <v>227</v>
      </c>
      <c r="G103" s="12" t="s">
        <v>250</v>
      </c>
      <c r="H103" s="14"/>
      <c r="I103" s="14"/>
      <c r="J103" s="14" t="s">
        <v>384</v>
      </c>
      <c r="K103" s="14" t="s">
        <v>134</v>
      </c>
      <c r="L103" s="31" t="s">
        <v>134</v>
      </c>
    </row>
    <row r="104" spans="1:12" s="64" customFormat="1">
      <c r="A104" s="67"/>
      <c r="B104" s="68" t="s">
        <v>400</v>
      </c>
      <c r="C104" s="69" t="s">
        <v>132</v>
      </c>
      <c r="D104" s="43" t="s">
        <v>485</v>
      </c>
      <c r="E104" s="44" t="s">
        <v>243</v>
      </c>
      <c r="F104" s="45" t="s">
        <v>400</v>
      </c>
      <c r="G104" s="70" t="s">
        <v>250</v>
      </c>
      <c r="H104" s="44"/>
      <c r="I104" s="66" t="s">
        <v>662</v>
      </c>
      <c r="J104" s="66" t="s">
        <v>384</v>
      </c>
      <c r="K104" s="47" t="s">
        <v>134</v>
      </c>
      <c r="L104" s="47" t="s">
        <v>134</v>
      </c>
    </row>
    <row r="105" spans="1:12" s="64" customFormat="1">
      <c r="A105" s="67"/>
      <c r="B105" s="68" t="s">
        <v>474</v>
      </c>
      <c r="C105" s="69" t="s">
        <v>136</v>
      </c>
      <c r="D105" s="43" t="s">
        <v>1543</v>
      </c>
      <c r="E105" s="44" t="s">
        <v>243</v>
      </c>
      <c r="F105" s="70"/>
      <c r="G105" s="70" t="s">
        <v>1234</v>
      </c>
      <c r="H105" s="44"/>
      <c r="I105" s="66" t="s">
        <v>662</v>
      </c>
      <c r="J105" s="66" t="s">
        <v>431</v>
      </c>
      <c r="K105" s="47" t="s">
        <v>134</v>
      </c>
      <c r="L105" s="47" t="s">
        <v>533</v>
      </c>
    </row>
    <row r="106" spans="1:12" s="64" customFormat="1">
      <c r="A106" s="67"/>
      <c r="B106" s="68" t="s">
        <v>1235</v>
      </c>
      <c r="C106" s="69" t="s">
        <v>136</v>
      </c>
      <c r="D106" s="43" t="s">
        <v>1544</v>
      </c>
      <c r="E106" s="44" t="s">
        <v>243</v>
      </c>
      <c r="F106" s="70"/>
      <c r="G106" s="70" t="s">
        <v>1436</v>
      </c>
      <c r="H106" s="44"/>
      <c r="I106" s="66" t="s">
        <v>662</v>
      </c>
      <c r="J106" s="66" t="s">
        <v>431</v>
      </c>
      <c r="K106" s="47" t="s">
        <v>134</v>
      </c>
      <c r="L106" s="47" t="s">
        <v>439</v>
      </c>
    </row>
    <row r="107" spans="1:12" s="64" customFormat="1" ht="26.4">
      <c r="A107" s="67"/>
      <c r="B107" s="68" t="s">
        <v>1238</v>
      </c>
      <c r="C107" s="69" t="s">
        <v>245</v>
      </c>
      <c r="D107" s="43" t="s">
        <v>1545</v>
      </c>
      <c r="E107" s="44" t="s">
        <v>243</v>
      </c>
      <c r="F107" s="70"/>
      <c r="G107" s="70" t="s">
        <v>1437</v>
      </c>
      <c r="H107" s="44"/>
      <c r="I107" s="66" t="s">
        <v>662</v>
      </c>
      <c r="J107" s="66" t="s">
        <v>431</v>
      </c>
      <c r="K107" s="47" t="s">
        <v>134</v>
      </c>
      <c r="L107" s="47" t="s">
        <v>432</v>
      </c>
    </row>
    <row r="108" spans="1:12" s="64" customFormat="1">
      <c r="A108" s="67"/>
      <c r="B108" s="68" t="s">
        <v>1241</v>
      </c>
      <c r="C108" s="69" t="s">
        <v>900</v>
      </c>
      <c r="D108" s="43" t="s">
        <v>1546</v>
      </c>
      <c r="E108" s="44" t="s">
        <v>243</v>
      </c>
      <c r="F108" s="70"/>
      <c r="G108" s="70" t="s">
        <v>1438</v>
      </c>
      <c r="H108" s="44"/>
      <c r="I108" s="66" t="s">
        <v>662</v>
      </c>
      <c r="J108" s="66" t="s">
        <v>431</v>
      </c>
      <c r="K108" s="47" t="s">
        <v>134</v>
      </c>
      <c r="L108" s="47" t="s">
        <v>568</v>
      </c>
    </row>
    <row r="109" spans="1:12" s="64" customFormat="1">
      <c r="A109" s="67"/>
      <c r="B109" s="68" t="s">
        <v>462</v>
      </c>
      <c r="C109" s="69" t="s">
        <v>136</v>
      </c>
      <c r="D109" s="43" t="s">
        <v>463</v>
      </c>
      <c r="E109" s="44" t="s">
        <v>243</v>
      </c>
      <c r="F109" s="70"/>
      <c r="G109" s="70" t="s">
        <v>1456</v>
      </c>
      <c r="H109" s="44"/>
      <c r="I109" s="66" t="s">
        <v>662</v>
      </c>
      <c r="J109" s="66" t="s">
        <v>431</v>
      </c>
      <c r="K109" s="47" t="s">
        <v>134</v>
      </c>
      <c r="L109" s="47" t="s">
        <v>439</v>
      </c>
    </row>
    <row r="110" spans="1:12" s="64" customFormat="1">
      <c r="A110" s="67"/>
      <c r="B110" s="68" t="s">
        <v>616</v>
      </c>
      <c r="C110" s="69" t="s">
        <v>136</v>
      </c>
      <c r="D110" s="43" t="s">
        <v>855</v>
      </c>
      <c r="E110" s="44" t="s">
        <v>243</v>
      </c>
      <c r="F110" s="70"/>
      <c r="G110" s="70" t="s">
        <v>1353</v>
      </c>
      <c r="H110" s="44"/>
      <c r="I110" s="66" t="s">
        <v>662</v>
      </c>
      <c r="J110" s="66" t="s">
        <v>431</v>
      </c>
      <c r="K110" s="47" t="s">
        <v>134</v>
      </c>
      <c r="L110" s="47" t="s">
        <v>439</v>
      </c>
    </row>
    <row r="111" spans="1:12" s="64" customFormat="1">
      <c r="A111" s="67"/>
      <c r="B111" s="68" t="s">
        <v>618</v>
      </c>
      <c r="C111" s="69" t="s">
        <v>136</v>
      </c>
      <c r="D111" s="43" t="s">
        <v>858</v>
      </c>
      <c r="E111" s="44" t="s">
        <v>243</v>
      </c>
      <c r="F111" s="70"/>
      <c r="G111" s="70" t="s">
        <v>1354</v>
      </c>
      <c r="H111" s="44"/>
      <c r="I111" s="66" t="s">
        <v>662</v>
      </c>
      <c r="J111" s="66" t="s">
        <v>431</v>
      </c>
      <c r="K111" s="47" t="s">
        <v>134</v>
      </c>
      <c r="L111" s="47" t="s">
        <v>439</v>
      </c>
    </row>
    <row r="112" spans="1:12" s="64" customFormat="1">
      <c r="A112" s="67"/>
      <c r="B112" s="68" t="s">
        <v>620</v>
      </c>
      <c r="C112" s="69" t="s">
        <v>136</v>
      </c>
      <c r="D112" s="43" t="s">
        <v>861</v>
      </c>
      <c r="E112" s="44" t="s">
        <v>243</v>
      </c>
      <c r="F112" s="70"/>
      <c r="G112" s="70" t="s">
        <v>1355</v>
      </c>
      <c r="H112" s="44"/>
      <c r="I112" s="66" t="s">
        <v>662</v>
      </c>
      <c r="J112" s="66" t="s">
        <v>431</v>
      </c>
      <c r="K112" s="47" t="s">
        <v>134</v>
      </c>
      <c r="L112" s="47" t="s">
        <v>439</v>
      </c>
    </row>
    <row r="113" spans="1:12" s="64" customFormat="1">
      <c r="A113" s="67"/>
      <c r="B113" s="68" t="s">
        <v>622</v>
      </c>
      <c r="C113" s="69" t="s">
        <v>136</v>
      </c>
      <c r="D113" s="43" t="s">
        <v>864</v>
      </c>
      <c r="E113" s="44" t="s">
        <v>243</v>
      </c>
      <c r="F113" s="70"/>
      <c r="G113" s="70" t="s">
        <v>1356</v>
      </c>
      <c r="H113" s="44"/>
      <c r="I113" s="66" t="s">
        <v>662</v>
      </c>
      <c r="J113" s="66" t="s">
        <v>431</v>
      </c>
      <c r="K113" s="47" t="s">
        <v>134</v>
      </c>
      <c r="L113" s="47" t="s">
        <v>439</v>
      </c>
    </row>
    <row r="114" spans="1:12" s="64" customFormat="1">
      <c r="A114" s="67"/>
      <c r="B114" s="68" t="s">
        <v>624</v>
      </c>
      <c r="C114" s="69" t="s">
        <v>136</v>
      </c>
      <c r="D114" s="43" t="s">
        <v>867</v>
      </c>
      <c r="E114" s="44" t="s">
        <v>243</v>
      </c>
      <c r="F114" s="70"/>
      <c r="G114" s="70" t="s">
        <v>1357</v>
      </c>
      <c r="H114" s="44"/>
      <c r="I114" s="66" t="s">
        <v>662</v>
      </c>
      <c r="J114" s="66" t="s">
        <v>431</v>
      </c>
      <c r="K114" s="47" t="s">
        <v>134</v>
      </c>
      <c r="L114" s="47" t="s">
        <v>439</v>
      </c>
    </row>
    <row r="115" spans="1:12" s="64" customFormat="1">
      <c r="A115" s="67"/>
      <c r="B115" s="68" t="s">
        <v>626</v>
      </c>
      <c r="C115" s="69" t="s">
        <v>136</v>
      </c>
      <c r="D115" s="43" t="s">
        <v>870</v>
      </c>
      <c r="E115" s="44" t="s">
        <v>243</v>
      </c>
      <c r="F115" s="70"/>
      <c r="G115" s="70" t="s">
        <v>1358</v>
      </c>
      <c r="H115" s="44"/>
      <c r="I115" s="66" t="s">
        <v>662</v>
      </c>
      <c r="J115" s="66" t="s">
        <v>431</v>
      </c>
      <c r="K115" s="47" t="s">
        <v>134</v>
      </c>
      <c r="L115" s="47" t="s">
        <v>439</v>
      </c>
    </row>
    <row r="116" spans="1:12" s="64" customFormat="1">
      <c r="A116" s="67"/>
      <c r="B116" s="68" t="s">
        <v>628</v>
      </c>
      <c r="C116" s="69" t="s">
        <v>136</v>
      </c>
      <c r="D116" s="43" t="s">
        <v>873</v>
      </c>
      <c r="E116" s="44" t="s">
        <v>243</v>
      </c>
      <c r="F116" s="70"/>
      <c r="G116" s="70" t="s">
        <v>1359</v>
      </c>
      <c r="H116" s="44"/>
      <c r="I116" s="66" t="s">
        <v>662</v>
      </c>
      <c r="J116" s="66" t="s">
        <v>431</v>
      </c>
      <c r="K116" s="47" t="s">
        <v>134</v>
      </c>
      <c r="L116" s="47" t="s">
        <v>439</v>
      </c>
    </row>
    <row r="117" spans="1:12" s="64" customFormat="1">
      <c r="A117" s="67"/>
      <c r="B117" s="68" t="s">
        <v>669</v>
      </c>
      <c r="C117" s="69" t="s">
        <v>245</v>
      </c>
      <c r="D117" s="43" t="s">
        <v>670</v>
      </c>
      <c r="E117" s="44" t="s">
        <v>243</v>
      </c>
      <c r="F117" s="70"/>
      <c r="G117" s="70" t="s">
        <v>1620</v>
      </c>
      <c r="H117" s="44"/>
      <c r="I117" s="66" t="s">
        <v>662</v>
      </c>
      <c r="J117" s="66" t="s">
        <v>431</v>
      </c>
      <c r="K117" s="47" t="s">
        <v>134</v>
      </c>
      <c r="L117" s="47" t="s">
        <v>439</v>
      </c>
    </row>
    <row r="118" spans="1:12" s="64" customFormat="1">
      <c r="A118" s="67"/>
      <c r="B118" s="68" t="s">
        <v>743</v>
      </c>
      <c r="C118" s="68" t="s">
        <v>136</v>
      </c>
      <c r="D118" s="42" t="s">
        <v>1027</v>
      </c>
      <c r="E118" s="44" t="s">
        <v>243</v>
      </c>
      <c r="F118" s="70"/>
      <c r="G118" s="70" t="s">
        <v>1361</v>
      </c>
      <c r="H118" s="71"/>
      <c r="I118" s="66" t="s">
        <v>662</v>
      </c>
      <c r="J118" s="47" t="s">
        <v>431</v>
      </c>
      <c r="K118" s="47" t="s">
        <v>134</v>
      </c>
      <c r="L118" s="47" t="s">
        <v>439</v>
      </c>
    </row>
    <row r="119" spans="1:12" s="64" customFormat="1">
      <c r="A119" s="67"/>
      <c r="B119" s="68" t="s">
        <v>746</v>
      </c>
      <c r="C119" s="68" t="s">
        <v>136</v>
      </c>
      <c r="D119" s="42" t="s">
        <v>1030</v>
      </c>
      <c r="E119" s="44" t="s">
        <v>243</v>
      </c>
      <c r="F119" s="70"/>
      <c r="G119" s="70" t="s">
        <v>1362</v>
      </c>
      <c r="H119" s="71"/>
      <c r="I119" s="66" t="s">
        <v>662</v>
      </c>
      <c r="J119" s="47" t="s">
        <v>431</v>
      </c>
      <c r="K119" s="47" t="s">
        <v>134</v>
      </c>
      <c r="L119" s="47" t="s">
        <v>439</v>
      </c>
    </row>
    <row r="120" spans="1:12" s="64" customFormat="1">
      <c r="A120" s="67"/>
      <c r="B120" s="68" t="s">
        <v>749</v>
      </c>
      <c r="C120" s="68" t="s">
        <v>136</v>
      </c>
      <c r="D120" s="42" t="s">
        <v>1033</v>
      </c>
      <c r="E120" s="44" t="s">
        <v>243</v>
      </c>
      <c r="F120" s="70"/>
      <c r="G120" s="70" t="s">
        <v>1363</v>
      </c>
      <c r="H120" s="71"/>
      <c r="I120" s="66" t="s">
        <v>662</v>
      </c>
      <c r="J120" s="47" t="s">
        <v>431</v>
      </c>
      <c r="K120" s="47" t="s">
        <v>134</v>
      </c>
      <c r="L120" s="47" t="s">
        <v>439</v>
      </c>
    </row>
    <row r="121" spans="1:12" s="64" customFormat="1">
      <c r="A121" s="67"/>
      <c r="B121" s="68" t="s">
        <v>752</v>
      </c>
      <c r="C121" s="68" t="s">
        <v>136</v>
      </c>
      <c r="D121" s="42" t="s">
        <v>1036</v>
      </c>
      <c r="E121" s="44" t="s">
        <v>243</v>
      </c>
      <c r="F121" s="70"/>
      <c r="G121" s="70" t="s">
        <v>1364</v>
      </c>
      <c r="H121" s="71"/>
      <c r="I121" s="66" t="s">
        <v>662</v>
      </c>
      <c r="J121" s="47" t="s">
        <v>431</v>
      </c>
      <c r="K121" s="47" t="s">
        <v>134</v>
      </c>
      <c r="L121" s="47" t="s">
        <v>439</v>
      </c>
    </row>
    <row r="122" spans="1:12" s="64" customFormat="1">
      <c r="A122" s="67"/>
      <c r="B122" s="68" t="s">
        <v>755</v>
      </c>
      <c r="C122" s="68" t="s">
        <v>136</v>
      </c>
      <c r="D122" s="42" t="s">
        <v>1039</v>
      </c>
      <c r="E122" s="44" t="s">
        <v>243</v>
      </c>
      <c r="F122" s="70"/>
      <c r="G122" s="70" t="s">
        <v>1365</v>
      </c>
      <c r="H122" s="71"/>
      <c r="I122" s="66" t="s">
        <v>662</v>
      </c>
      <c r="J122" s="47" t="s">
        <v>431</v>
      </c>
      <c r="K122" s="47" t="s">
        <v>134</v>
      </c>
      <c r="L122" s="47" t="s">
        <v>439</v>
      </c>
    </row>
    <row r="123" spans="1:12" s="64" customFormat="1">
      <c r="A123" s="67"/>
      <c r="B123" s="68" t="s">
        <v>758</v>
      </c>
      <c r="C123" s="68" t="s">
        <v>136</v>
      </c>
      <c r="D123" s="42" t="s">
        <v>1042</v>
      </c>
      <c r="E123" s="44" t="s">
        <v>243</v>
      </c>
      <c r="F123" s="70"/>
      <c r="G123" s="70" t="s">
        <v>1366</v>
      </c>
      <c r="H123" s="71"/>
      <c r="I123" s="66" t="s">
        <v>662</v>
      </c>
      <c r="J123" s="47" t="s">
        <v>431</v>
      </c>
      <c r="K123" s="47" t="s">
        <v>134</v>
      </c>
      <c r="L123" s="47" t="s">
        <v>439</v>
      </c>
    </row>
    <row r="124" spans="1:12" s="64" customFormat="1">
      <c r="A124" s="67"/>
      <c r="B124" s="68" t="s">
        <v>1547</v>
      </c>
      <c r="C124" s="68" t="s">
        <v>136</v>
      </c>
      <c r="D124" s="42" t="s">
        <v>1045</v>
      </c>
      <c r="E124" s="44" t="s">
        <v>243</v>
      </c>
      <c r="F124" s="70"/>
      <c r="G124" s="70" t="s">
        <v>1367</v>
      </c>
      <c r="H124" s="71"/>
      <c r="I124" s="66" t="s">
        <v>662</v>
      </c>
      <c r="J124" s="47" t="s">
        <v>431</v>
      </c>
      <c r="K124" s="47" t="s">
        <v>134</v>
      </c>
      <c r="L124" s="47" t="s">
        <v>439</v>
      </c>
    </row>
    <row r="125" spans="1:12" s="64" customFormat="1">
      <c r="A125" s="67"/>
      <c r="B125" s="68" t="s">
        <v>779</v>
      </c>
      <c r="C125" s="69" t="s">
        <v>136</v>
      </c>
      <c r="D125" s="43" t="s">
        <v>780</v>
      </c>
      <c r="E125" s="44" t="s">
        <v>243</v>
      </c>
      <c r="F125" s="70"/>
      <c r="G125" s="70" t="s">
        <v>1248</v>
      </c>
      <c r="H125" s="44"/>
      <c r="I125" s="66" t="s">
        <v>662</v>
      </c>
      <c r="J125" s="47" t="s">
        <v>431</v>
      </c>
      <c r="K125" s="47" t="s">
        <v>134</v>
      </c>
      <c r="L125" s="47" t="s">
        <v>439</v>
      </c>
    </row>
    <row r="126" spans="1:12" s="64" customFormat="1">
      <c r="A126" s="67"/>
      <c r="B126" s="68" t="s">
        <v>781</v>
      </c>
      <c r="C126" s="69" t="s">
        <v>136</v>
      </c>
      <c r="D126" s="43" t="s">
        <v>782</v>
      </c>
      <c r="E126" s="44" t="s">
        <v>243</v>
      </c>
      <c r="F126" s="70"/>
      <c r="G126" s="70" t="s">
        <v>1250</v>
      </c>
      <c r="H126" s="44"/>
      <c r="I126" s="66" t="s">
        <v>662</v>
      </c>
      <c r="J126" s="47" t="s">
        <v>431</v>
      </c>
      <c r="K126" s="47" t="s">
        <v>134</v>
      </c>
      <c r="L126" s="47" t="s">
        <v>439</v>
      </c>
    </row>
    <row r="127" spans="1:12" s="64" customFormat="1">
      <c r="A127" s="67"/>
      <c r="B127" s="68" t="s">
        <v>783</v>
      </c>
      <c r="C127" s="69" t="s">
        <v>136</v>
      </c>
      <c r="D127" s="43" t="s">
        <v>784</v>
      </c>
      <c r="E127" s="44" t="s">
        <v>243</v>
      </c>
      <c r="F127" s="70"/>
      <c r="G127" s="70" t="s">
        <v>1252</v>
      </c>
      <c r="H127" s="44"/>
      <c r="I127" s="66" t="s">
        <v>662</v>
      </c>
      <c r="J127" s="47" t="s">
        <v>431</v>
      </c>
      <c r="K127" s="47" t="s">
        <v>134</v>
      </c>
      <c r="L127" s="47" t="s">
        <v>439</v>
      </c>
    </row>
    <row r="128" spans="1:12" s="64" customFormat="1">
      <c r="A128" s="67"/>
      <c r="B128" s="68" t="s">
        <v>785</v>
      </c>
      <c r="C128" s="69" t="s">
        <v>136</v>
      </c>
      <c r="D128" s="43" t="s">
        <v>786</v>
      </c>
      <c r="E128" s="44" t="s">
        <v>243</v>
      </c>
      <c r="F128" s="70"/>
      <c r="G128" s="70" t="s">
        <v>1254</v>
      </c>
      <c r="H128" s="44"/>
      <c r="I128" s="66" t="s">
        <v>662</v>
      </c>
      <c r="J128" s="47" t="s">
        <v>431</v>
      </c>
      <c r="K128" s="47" t="s">
        <v>134</v>
      </c>
      <c r="L128" s="47" t="s">
        <v>439</v>
      </c>
    </row>
    <row r="129" spans="1:12" s="64" customFormat="1">
      <c r="A129" s="67"/>
      <c r="B129" s="68" t="s">
        <v>787</v>
      </c>
      <c r="C129" s="69" t="s">
        <v>136</v>
      </c>
      <c r="D129" s="43" t="s">
        <v>788</v>
      </c>
      <c r="E129" s="44" t="s">
        <v>243</v>
      </c>
      <c r="F129" s="70"/>
      <c r="G129" s="70" t="s">
        <v>1256</v>
      </c>
      <c r="H129" s="44"/>
      <c r="I129" s="66" t="s">
        <v>662</v>
      </c>
      <c r="J129" s="47" t="s">
        <v>431</v>
      </c>
      <c r="K129" s="47" t="s">
        <v>134</v>
      </c>
      <c r="L129" s="47" t="s">
        <v>439</v>
      </c>
    </row>
    <row r="130" spans="1:12" s="64" customFormat="1">
      <c r="A130" s="67"/>
      <c r="B130" s="68" t="s">
        <v>789</v>
      </c>
      <c r="C130" s="69" t="s">
        <v>136</v>
      </c>
      <c r="D130" s="43" t="s">
        <v>790</v>
      </c>
      <c r="E130" s="44" t="s">
        <v>243</v>
      </c>
      <c r="F130" s="70"/>
      <c r="G130" s="70" t="s">
        <v>1258</v>
      </c>
      <c r="H130" s="44"/>
      <c r="I130" s="66" t="s">
        <v>662</v>
      </c>
      <c r="J130" s="47" t="s">
        <v>431</v>
      </c>
      <c r="K130" s="47" t="s">
        <v>134</v>
      </c>
      <c r="L130" s="47" t="s">
        <v>439</v>
      </c>
    </row>
    <row r="131" spans="1:12" s="64" customFormat="1">
      <c r="A131" s="67"/>
      <c r="B131" s="68" t="s">
        <v>791</v>
      </c>
      <c r="C131" s="69" t="s">
        <v>136</v>
      </c>
      <c r="D131" s="43" t="s">
        <v>792</v>
      </c>
      <c r="E131" s="44" t="s">
        <v>243</v>
      </c>
      <c r="F131" s="70"/>
      <c r="G131" s="70" t="s">
        <v>1260</v>
      </c>
      <c r="H131" s="44"/>
      <c r="I131" s="66" t="s">
        <v>662</v>
      </c>
      <c r="J131" s="47" t="s">
        <v>431</v>
      </c>
      <c r="K131" s="47" t="s">
        <v>134</v>
      </c>
      <c r="L131" s="47" t="s">
        <v>439</v>
      </c>
    </row>
    <row r="132" spans="1:12" s="64" customFormat="1">
      <c r="A132" s="67"/>
      <c r="B132" s="68" t="s">
        <v>793</v>
      </c>
      <c r="C132" s="69" t="s">
        <v>136</v>
      </c>
      <c r="D132" s="43" t="s">
        <v>794</v>
      </c>
      <c r="E132" s="44" t="s">
        <v>243</v>
      </c>
      <c r="F132" s="70"/>
      <c r="G132" s="70" t="s">
        <v>1262</v>
      </c>
      <c r="H132" s="44"/>
      <c r="I132" s="66" t="s">
        <v>662</v>
      </c>
      <c r="J132" s="47" t="s">
        <v>431</v>
      </c>
      <c r="K132" s="47" t="s">
        <v>134</v>
      </c>
      <c r="L132" s="47" t="s">
        <v>439</v>
      </c>
    </row>
    <row r="133" spans="1:12" s="64" customFormat="1">
      <c r="A133" s="67"/>
      <c r="B133" s="68" t="s">
        <v>795</v>
      </c>
      <c r="C133" s="69" t="s">
        <v>136</v>
      </c>
      <c r="D133" s="43" t="s">
        <v>796</v>
      </c>
      <c r="E133" s="44" t="s">
        <v>243</v>
      </c>
      <c r="F133" s="70"/>
      <c r="G133" s="70" t="s">
        <v>1264</v>
      </c>
      <c r="H133" s="44"/>
      <c r="I133" s="66" t="s">
        <v>662</v>
      </c>
      <c r="J133" s="47" t="s">
        <v>431</v>
      </c>
      <c r="K133" s="47" t="s">
        <v>134</v>
      </c>
      <c r="L133" s="47" t="s">
        <v>439</v>
      </c>
    </row>
    <row r="134" spans="1:12" s="64" customFormat="1">
      <c r="A134" s="67"/>
      <c r="B134" s="68" t="s">
        <v>797</v>
      </c>
      <c r="C134" s="69" t="s">
        <v>136</v>
      </c>
      <c r="D134" s="43" t="s">
        <v>798</v>
      </c>
      <c r="E134" s="44" t="s">
        <v>243</v>
      </c>
      <c r="F134" s="70"/>
      <c r="G134" s="70" t="s">
        <v>1266</v>
      </c>
      <c r="H134" s="44"/>
      <c r="I134" s="66" t="s">
        <v>662</v>
      </c>
      <c r="J134" s="47" t="s">
        <v>431</v>
      </c>
      <c r="K134" s="47" t="s">
        <v>134</v>
      </c>
      <c r="L134" s="47" t="s">
        <v>439</v>
      </c>
    </row>
    <row r="135" spans="1:12" s="64" customFormat="1">
      <c r="A135" s="67"/>
      <c r="B135" s="68" t="s">
        <v>799</v>
      </c>
      <c r="C135" s="69" t="s">
        <v>136</v>
      </c>
      <c r="D135" s="43" t="s">
        <v>800</v>
      </c>
      <c r="E135" s="44" t="s">
        <v>243</v>
      </c>
      <c r="F135" s="70"/>
      <c r="G135" s="70" t="s">
        <v>1246</v>
      </c>
      <c r="H135" s="44"/>
      <c r="I135" s="66" t="s">
        <v>662</v>
      </c>
      <c r="J135" s="47" t="s">
        <v>431</v>
      </c>
      <c r="K135" s="47" t="s">
        <v>134</v>
      </c>
      <c r="L135" s="47" t="s">
        <v>439</v>
      </c>
    </row>
    <row r="136" spans="1:12" s="64" customFormat="1">
      <c r="A136" s="67"/>
      <c r="B136" s="68" t="s">
        <v>801</v>
      </c>
      <c r="C136" s="69" t="s">
        <v>136</v>
      </c>
      <c r="D136" s="43" t="s">
        <v>802</v>
      </c>
      <c r="E136" s="44" t="s">
        <v>243</v>
      </c>
      <c r="F136" s="70"/>
      <c r="G136" s="70" t="s">
        <v>1269</v>
      </c>
      <c r="H136" s="44"/>
      <c r="I136" s="66" t="s">
        <v>662</v>
      </c>
      <c r="J136" s="47" t="s">
        <v>431</v>
      </c>
      <c r="K136" s="47" t="s">
        <v>134</v>
      </c>
      <c r="L136" s="47" t="s">
        <v>439</v>
      </c>
    </row>
    <row r="137" spans="1:12" s="64" customFormat="1">
      <c r="A137" s="67"/>
      <c r="B137" s="68" t="s">
        <v>803</v>
      </c>
      <c r="C137" s="69" t="s">
        <v>136</v>
      </c>
      <c r="D137" s="43" t="s">
        <v>804</v>
      </c>
      <c r="E137" s="44" t="s">
        <v>243</v>
      </c>
      <c r="F137" s="70"/>
      <c r="G137" s="70" t="s">
        <v>1271</v>
      </c>
      <c r="H137" s="44"/>
      <c r="I137" s="66" t="s">
        <v>662</v>
      </c>
      <c r="J137" s="47" t="s">
        <v>431</v>
      </c>
      <c r="K137" s="47" t="s">
        <v>134</v>
      </c>
      <c r="L137" s="47" t="s">
        <v>439</v>
      </c>
    </row>
    <row r="138" spans="1:12" s="64" customFormat="1">
      <c r="A138" s="67"/>
      <c r="B138" s="68" t="s">
        <v>805</v>
      </c>
      <c r="C138" s="69" t="s">
        <v>136</v>
      </c>
      <c r="D138" s="43" t="s">
        <v>806</v>
      </c>
      <c r="E138" s="44" t="s">
        <v>243</v>
      </c>
      <c r="F138" s="70"/>
      <c r="G138" s="70" t="s">
        <v>1274</v>
      </c>
      <c r="H138" s="44"/>
      <c r="I138" s="66" t="s">
        <v>662</v>
      </c>
      <c r="J138" s="47" t="s">
        <v>431</v>
      </c>
      <c r="K138" s="47" t="s">
        <v>134</v>
      </c>
      <c r="L138" s="47" t="s">
        <v>439</v>
      </c>
    </row>
    <row r="139" spans="1:12" s="4" customFormat="1">
      <c r="A139" s="36"/>
      <c r="B139" s="36" t="s">
        <v>233</v>
      </c>
      <c r="C139" s="36" t="s">
        <v>139</v>
      </c>
      <c r="D139" s="37" t="s">
        <v>234</v>
      </c>
      <c r="E139" s="36"/>
      <c r="F139" s="36"/>
      <c r="G139" s="37"/>
      <c r="H139" s="36"/>
      <c r="I139" s="36"/>
      <c r="J139" s="36"/>
      <c r="K139" s="36"/>
      <c r="L139" s="38"/>
    </row>
    <row r="140" spans="1:12" s="4" customFormat="1">
      <c r="A140" s="36"/>
      <c r="B140" s="36" t="s">
        <v>235</v>
      </c>
      <c r="C140" s="36" t="s">
        <v>132</v>
      </c>
      <c r="D140" s="37" t="s">
        <v>1548</v>
      </c>
      <c r="E140" s="36"/>
      <c r="F140" s="36"/>
      <c r="G140" s="37"/>
      <c r="H140" s="36"/>
      <c r="I140" s="36"/>
      <c r="J140" s="36"/>
      <c r="K140" s="36"/>
      <c r="L140" s="38"/>
    </row>
    <row r="141" spans="1:12" s="4" customFormat="1">
      <c r="A141" s="36"/>
      <c r="B141" s="36" t="s">
        <v>237</v>
      </c>
      <c r="C141" s="36" t="s">
        <v>139</v>
      </c>
      <c r="D141" s="37" t="s">
        <v>238</v>
      </c>
      <c r="E141" s="36"/>
      <c r="F141" s="36"/>
      <c r="G141" s="37"/>
      <c r="H141" s="36"/>
      <c r="I141" s="36"/>
      <c r="J141" s="36"/>
      <c r="K141" s="36"/>
      <c r="L141" s="38"/>
    </row>
  </sheetData>
  <autoFilter ref="A14:Q141" xr:uid="{00000000-0009-0000-0000-000018000000}">
    <sortState xmlns:xlrd2="http://schemas.microsoft.com/office/spreadsheetml/2017/richdata2" ref="A14:Q141">
      <sortCondition ref="A14"/>
    </sortState>
  </autoFilter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43"/>
  <sheetViews>
    <sheetView zoomScale="85" zoomScaleNormal="85" workbookViewId="0">
      <pane ySplit="5" topLeftCell="A6" activePane="bottomLeft" state="frozen"/>
      <selection activeCell="D107" sqref="B106:D107"/>
      <selection pane="bottomLeft" activeCell="C5" sqref="C5"/>
    </sheetView>
  </sheetViews>
  <sheetFormatPr defaultColWidth="9" defaultRowHeight="13.2"/>
  <cols>
    <col min="1" max="1" width="3" style="5" customWidth="1"/>
    <col min="2" max="2" width="23.6640625" style="5" customWidth="1"/>
    <col min="3" max="3" width="30.21875" style="5" customWidth="1"/>
    <col min="4" max="4" width="32.21875" style="5" customWidth="1"/>
    <col min="5" max="5" width="16.21875" style="5" customWidth="1"/>
    <col min="6" max="6" width="24.88671875" style="5" customWidth="1"/>
    <col min="7" max="7" width="39.5546875" style="6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1:14">
      <c r="B1" s="7" t="str">
        <f>HYPERLINK("#导航!a2","返回")</f>
        <v>返回</v>
      </c>
    </row>
    <row r="2" spans="1:14">
      <c r="B2" s="156"/>
      <c r="C2" s="156"/>
      <c r="D2" s="156"/>
      <c r="E2" s="156"/>
      <c r="F2" s="156"/>
      <c r="G2" s="156"/>
      <c r="H2" s="156"/>
    </row>
    <row r="3" spans="1:14">
      <c r="B3" s="157" t="s">
        <v>106</v>
      </c>
      <c r="C3" s="157"/>
      <c r="D3" s="157"/>
      <c r="E3" s="157"/>
      <c r="F3" s="157"/>
      <c r="G3" s="157"/>
      <c r="H3" s="157"/>
    </row>
    <row r="4" spans="1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10" t="s">
        <v>12</v>
      </c>
      <c r="H4" s="9" t="s">
        <v>111</v>
      </c>
    </row>
    <row r="5" spans="1:14">
      <c r="B5" s="11" t="s">
        <v>55</v>
      </c>
      <c r="C5" s="12" t="s">
        <v>2542</v>
      </c>
      <c r="D5" s="13" t="s">
        <v>91</v>
      </c>
      <c r="E5" s="14" t="s">
        <v>379</v>
      </c>
      <c r="F5" s="15"/>
      <c r="G5" s="12"/>
      <c r="H5" s="14"/>
      <c r="N5" s="5"/>
    </row>
    <row r="6" spans="1:14">
      <c r="B6" s="8"/>
      <c r="C6" s="8"/>
      <c r="D6" s="8"/>
      <c r="E6" s="8"/>
      <c r="F6" s="8"/>
      <c r="G6" s="16"/>
      <c r="H6" s="8"/>
    </row>
    <row r="7" spans="1:14">
      <c r="B7" s="157" t="s">
        <v>113</v>
      </c>
      <c r="C7" s="157"/>
      <c r="D7" s="157"/>
      <c r="E7" s="157"/>
      <c r="F7" s="157"/>
      <c r="G7" s="157"/>
      <c r="H7" s="157"/>
    </row>
    <row r="8" spans="1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8" t="s">
        <v>22</v>
      </c>
      <c r="H8" s="17" t="s">
        <v>119</v>
      </c>
    </row>
    <row r="9" spans="1:14">
      <c r="B9" s="14"/>
      <c r="C9" s="12" t="s">
        <v>2043</v>
      </c>
      <c r="D9" s="13" t="s">
        <v>2543</v>
      </c>
      <c r="E9" s="14" t="s">
        <v>243</v>
      </c>
      <c r="F9" s="19"/>
      <c r="G9" s="20"/>
      <c r="H9" s="21"/>
    </row>
    <row r="10" spans="1:14">
      <c r="B10" s="14"/>
      <c r="C10" s="12"/>
      <c r="D10" s="12"/>
      <c r="E10" s="14"/>
      <c r="F10" s="19"/>
      <c r="G10" s="20"/>
      <c r="H10" s="14"/>
    </row>
    <row r="11" spans="1:14">
      <c r="G11" s="22"/>
    </row>
    <row r="12" spans="1:14">
      <c r="B12" s="5" t="s">
        <v>120</v>
      </c>
    </row>
    <row r="13" spans="1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1:14">
      <c r="B14" s="23" t="s">
        <v>121</v>
      </c>
      <c r="C14" s="23" t="s">
        <v>122</v>
      </c>
      <c r="D14" s="23" t="s">
        <v>123</v>
      </c>
      <c r="E14" s="23" t="s">
        <v>124</v>
      </c>
      <c r="F14" s="23" t="s">
        <v>125</v>
      </c>
      <c r="G14" s="24" t="s">
        <v>126</v>
      </c>
      <c r="H14" s="23" t="s">
        <v>127</v>
      </c>
      <c r="I14" s="23" t="s">
        <v>22</v>
      </c>
      <c r="J14" s="23" t="s">
        <v>128</v>
      </c>
      <c r="K14" s="23" t="s">
        <v>129</v>
      </c>
      <c r="L14" s="23" t="s">
        <v>130</v>
      </c>
    </row>
    <row r="15" spans="1:14">
      <c r="A15" s="14"/>
      <c r="B15" s="14" t="s">
        <v>383</v>
      </c>
      <c r="C15" s="14" t="s">
        <v>132</v>
      </c>
      <c r="D15" s="12" t="s">
        <v>480</v>
      </c>
      <c r="E15" s="14" t="s">
        <v>243</v>
      </c>
      <c r="F15" s="14" t="s">
        <v>235</v>
      </c>
      <c r="G15" s="12" t="s">
        <v>1621</v>
      </c>
      <c r="H15" s="14"/>
      <c r="I15" s="14"/>
      <c r="J15" s="14" t="s">
        <v>384</v>
      </c>
      <c r="K15" s="14" t="s">
        <v>134</v>
      </c>
      <c r="L15" s="31" t="s">
        <v>134</v>
      </c>
    </row>
    <row r="16" spans="1:14">
      <c r="A16" s="14"/>
      <c r="B16" s="14" t="s">
        <v>379</v>
      </c>
      <c r="C16" s="14" t="s">
        <v>139</v>
      </c>
      <c r="D16" s="12" t="s">
        <v>48</v>
      </c>
      <c r="E16" s="14" t="s">
        <v>243</v>
      </c>
      <c r="F16" s="14" t="s">
        <v>237</v>
      </c>
      <c r="G16" s="12" t="s">
        <v>1621</v>
      </c>
      <c r="H16" s="14"/>
      <c r="I16" s="14"/>
      <c r="J16" s="14" t="s">
        <v>384</v>
      </c>
      <c r="K16" s="14" t="s">
        <v>134</v>
      </c>
      <c r="L16" s="31" t="s">
        <v>134</v>
      </c>
    </row>
    <row r="17" spans="1:12">
      <c r="A17" s="14"/>
      <c r="B17" s="14" t="s">
        <v>273</v>
      </c>
      <c r="C17" s="14" t="s">
        <v>139</v>
      </c>
      <c r="D17" s="12" t="s">
        <v>274</v>
      </c>
      <c r="E17" s="14" t="s">
        <v>243</v>
      </c>
      <c r="F17" s="14" t="s">
        <v>233</v>
      </c>
      <c r="G17" s="12" t="s">
        <v>1621</v>
      </c>
      <c r="H17" s="14"/>
      <c r="I17" s="14"/>
      <c r="J17" s="14" t="s">
        <v>384</v>
      </c>
      <c r="K17" s="14" t="s">
        <v>134</v>
      </c>
      <c r="L17" s="31" t="s">
        <v>134</v>
      </c>
    </row>
    <row r="18" spans="1:12">
      <c r="A18" s="14"/>
      <c r="B18" s="14" t="s">
        <v>385</v>
      </c>
      <c r="C18" s="14" t="s">
        <v>139</v>
      </c>
      <c r="D18" s="12" t="s">
        <v>487</v>
      </c>
      <c r="E18" s="14" t="s">
        <v>243</v>
      </c>
      <c r="F18" s="14" t="s">
        <v>385</v>
      </c>
      <c r="G18" s="12" t="s">
        <v>1621</v>
      </c>
      <c r="H18" s="14"/>
      <c r="I18" s="14"/>
      <c r="J18" s="14" t="s">
        <v>384</v>
      </c>
      <c r="K18" s="14" t="s">
        <v>134</v>
      </c>
      <c r="L18" s="31" t="s">
        <v>134</v>
      </c>
    </row>
    <row r="19" spans="1:12">
      <c r="A19" s="14"/>
      <c r="B19" s="14" t="s">
        <v>377</v>
      </c>
      <c r="C19" s="14" t="s">
        <v>132</v>
      </c>
      <c r="D19" s="12" t="s">
        <v>482</v>
      </c>
      <c r="E19" s="14" t="s">
        <v>243</v>
      </c>
      <c r="F19" s="14" t="s">
        <v>377</v>
      </c>
      <c r="G19" s="12" t="s">
        <v>1621</v>
      </c>
      <c r="H19" s="14"/>
      <c r="I19" s="14"/>
      <c r="J19" s="14" t="s">
        <v>384</v>
      </c>
      <c r="K19" s="14" t="s">
        <v>134</v>
      </c>
      <c r="L19" s="31" t="s">
        <v>134</v>
      </c>
    </row>
    <row r="20" spans="1:12">
      <c r="A20" s="14"/>
      <c r="B20" s="14" t="s">
        <v>284</v>
      </c>
      <c r="C20" s="14" t="s">
        <v>132</v>
      </c>
      <c r="D20" s="12" t="s">
        <v>484</v>
      </c>
      <c r="E20" s="14" t="s">
        <v>243</v>
      </c>
      <c r="F20" s="14" t="s">
        <v>284</v>
      </c>
      <c r="G20" s="12" t="s">
        <v>1621</v>
      </c>
      <c r="H20" s="14"/>
      <c r="I20" s="14"/>
      <c r="J20" s="14" t="s">
        <v>384</v>
      </c>
      <c r="K20" s="14" t="s">
        <v>134</v>
      </c>
      <c r="L20" s="31" t="s">
        <v>134</v>
      </c>
    </row>
    <row r="21" spans="1:12">
      <c r="A21" s="14"/>
      <c r="B21" s="14" t="s">
        <v>2374</v>
      </c>
      <c r="C21" s="14" t="s">
        <v>136</v>
      </c>
      <c r="D21" s="12" t="s">
        <v>821</v>
      </c>
      <c r="E21" s="14" t="s">
        <v>243</v>
      </c>
      <c r="F21" s="14"/>
      <c r="G21" s="12" t="s">
        <v>1309</v>
      </c>
      <c r="H21" s="14"/>
      <c r="I21" s="14"/>
      <c r="J21" s="14" t="s">
        <v>384</v>
      </c>
      <c r="K21" s="14" t="s">
        <v>134</v>
      </c>
      <c r="L21" s="31" t="s">
        <v>134</v>
      </c>
    </row>
    <row r="22" spans="1:12">
      <c r="A22" s="14"/>
      <c r="B22" s="14" t="s">
        <v>814</v>
      </c>
      <c r="C22" s="14" t="s">
        <v>136</v>
      </c>
      <c r="D22" s="12" t="s">
        <v>815</v>
      </c>
      <c r="E22" s="14" t="s">
        <v>243</v>
      </c>
      <c r="F22" s="14"/>
      <c r="G22" s="12" t="s">
        <v>1307</v>
      </c>
      <c r="H22" s="14"/>
      <c r="I22" s="14"/>
      <c r="J22" s="14" t="s">
        <v>384</v>
      </c>
      <c r="K22" s="14" t="s">
        <v>134</v>
      </c>
      <c r="L22" s="31" t="s">
        <v>134</v>
      </c>
    </row>
    <row r="23" spans="1:12">
      <c r="A23" s="14"/>
      <c r="B23" s="14" t="s">
        <v>2407</v>
      </c>
      <c r="C23" s="14" t="s">
        <v>245</v>
      </c>
      <c r="D23" s="12" t="s">
        <v>818</v>
      </c>
      <c r="E23" s="14" t="s">
        <v>243</v>
      </c>
      <c r="F23" s="14"/>
      <c r="G23" s="12" t="s">
        <v>1308</v>
      </c>
      <c r="H23" s="14"/>
      <c r="I23" s="14"/>
      <c r="J23" s="14" t="s">
        <v>384</v>
      </c>
      <c r="K23" s="14" t="s">
        <v>134</v>
      </c>
      <c r="L23" s="31" t="s">
        <v>134</v>
      </c>
    </row>
    <row r="24" spans="1:12">
      <c r="A24" s="14"/>
      <c r="B24" s="14" t="s">
        <v>826</v>
      </c>
      <c r="C24" s="14" t="s">
        <v>136</v>
      </c>
      <c r="D24" s="12" t="s">
        <v>2406</v>
      </c>
      <c r="E24" s="14" t="s">
        <v>243</v>
      </c>
      <c r="F24" s="14"/>
      <c r="G24" s="12" t="s">
        <v>1311</v>
      </c>
      <c r="H24" s="14"/>
      <c r="I24" s="14"/>
      <c r="J24" s="14" t="s">
        <v>431</v>
      </c>
      <c r="K24" s="14" t="s">
        <v>134</v>
      </c>
      <c r="L24" s="31" t="s">
        <v>439</v>
      </c>
    </row>
    <row r="25" spans="1:12">
      <c r="A25" s="14"/>
      <c r="B25" s="14" t="s">
        <v>829</v>
      </c>
      <c r="C25" s="14" t="s">
        <v>136</v>
      </c>
      <c r="D25" s="12" t="s">
        <v>1076</v>
      </c>
      <c r="E25" s="14" t="s">
        <v>243</v>
      </c>
      <c r="F25" s="14"/>
      <c r="G25" s="12" t="s">
        <v>1312</v>
      </c>
      <c r="H25" s="14"/>
      <c r="I25" s="14"/>
      <c r="J25" s="14" t="s">
        <v>431</v>
      </c>
      <c r="K25" s="14" t="s">
        <v>134</v>
      </c>
      <c r="L25" s="31" t="s">
        <v>439</v>
      </c>
    </row>
    <row r="26" spans="1:12">
      <c r="A26" s="14"/>
      <c r="B26" s="14" t="s">
        <v>832</v>
      </c>
      <c r="C26" s="14" t="s">
        <v>136</v>
      </c>
      <c r="D26" s="12" t="s">
        <v>1079</v>
      </c>
      <c r="E26" s="14" t="s">
        <v>243</v>
      </c>
      <c r="F26" s="14"/>
      <c r="G26" s="12" t="s">
        <v>1313</v>
      </c>
      <c r="H26" s="14"/>
      <c r="I26" s="14"/>
      <c r="J26" s="14" t="s">
        <v>431</v>
      </c>
      <c r="K26" s="14" t="s">
        <v>134</v>
      </c>
      <c r="L26" s="31" t="s">
        <v>439</v>
      </c>
    </row>
    <row r="27" spans="1:12">
      <c r="A27" s="14"/>
      <c r="B27" s="14" t="s">
        <v>835</v>
      </c>
      <c r="C27" s="14" t="s">
        <v>136</v>
      </c>
      <c r="D27" s="12" t="s">
        <v>1081</v>
      </c>
      <c r="E27" s="14" t="s">
        <v>243</v>
      </c>
      <c r="F27" s="14"/>
      <c r="G27" s="12" t="s">
        <v>1314</v>
      </c>
      <c r="H27" s="14"/>
      <c r="I27" s="14"/>
      <c r="J27" s="14" t="s">
        <v>431</v>
      </c>
      <c r="K27" s="14" t="s">
        <v>134</v>
      </c>
      <c r="L27" s="31" t="s">
        <v>439</v>
      </c>
    </row>
    <row r="28" spans="1:12">
      <c r="A28" s="14"/>
      <c r="B28" s="14" t="s">
        <v>838</v>
      </c>
      <c r="C28" s="14" t="s">
        <v>136</v>
      </c>
      <c r="D28" s="12" t="s">
        <v>1083</v>
      </c>
      <c r="E28" s="14" t="s">
        <v>243</v>
      </c>
      <c r="F28" s="14"/>
      <c r="G28" s="12" t="s">
        <v>1315</v>
      </c>
      <c r="H28" s="14"/>
      <c r="I28" s="14"/>
      <c r="J28" s="14" t="s">
        <v>431</v>
      </c>
      <c r="K28" s="14" t="s">
        <v>134</v>
      </c>
      <c r="L28" s="31" t="s">
        <v>439</v>
      </c>
    </row>
    <row r="29" spans="1:12">
      <c r="A29" s="14"/>
      <c r="B29" s="14" t="s">
        <v>841</v>
      </c>
      <c r="C29" s="14" t="s">
        <v>136</v>
      </c>
      <c r="D29" s="12" t="s">
        <v>1086</v>
      </c>
      <c r="E29" s="14" t="s">
        <v>243</v>
      </c>
      <c r="F29" s="14"/>
      <c r="G29" s="12" t="s">
        <v>1316</v>
      </c>
      <c r="H29" s="14"/>
      <c r="I29" s="14"/>
      <c r="J29" s="14" t="s">
        <v>431</v>
      </c>
      <c r="K29" s="14" t="s">
        <v>134</v>
      </c>
      <c r="L29" s="31" t="s">
        <v>439</v>
      </c>
    </row>
    <row r="30" spans="1:12">
      <c r="A30" s="14"/>
      <c r="B30" s="14" t="s">
        <v>1488</v>
      </c>
      <c r="C30" s="14" t="s">
        <v>136</v>
      </c>
      <c r="D30" s="12" t="s">
        <v>1089</v>
      </c>
      <c r="E30" s="14" t="s">
        <v>243</v>
      </c>
      <c r="F30" s="14"/>
      <c r="G30" s="12" t="s">
        <v>1592</v>
      </c>
      <c r="H30" s="14"/>
      <c r="I30" s="14"/>
      <c r="J30" s="14" t="s">
        <v>431</v>
      </c>
      <c r="K30" s="14" t="s">
        <v>134</v>
      </c>
      <c r="L30" s="31" t="s">
        <v>439</v>
      </c>
    </row>
    <row r="31" spans="1:12">
      <c r="A31" s="14"/>
      <c r="B31" s="14" t="s">
        <v>1489</v>
      </c>
      <c r="C31" s="14" t="s">
        <v>136</v>
      </c>
      <c r="D31" s="12" t="s">
        <v>1092</v>
      </c>
      <c r="E31" s="14" t="s">
        <v>243</v>
      </c>
      <c r="F31" s="14"/>
      <c r="G31" s="12" t="s">
        <v>1593</v>
      </c>
      <c r="H31" s="14"/>
      <c r="I31" s="14"/>
      <c r="J31" s="14" t="s">
        <v>431</v>
      </c>
      <c r="K31" s="14" t="s">
        <v>134</v>
      </c>
      <c r="L31" s="12">
        <v>0</v>
      </c>
    </row>
    <row r="32" spans="1:12">
      <c r="A32" s="14"/>
      <c r="B32" s="14" t="s">
        <v>1490</v>
      </c>
      <c r="C32" s="14" t="s">
        <v>136</v>
      </c>
      <c r="D32" s="12" t="s">
        <v>1095</v>
      </c>
      <c r="E32" s="14" t="s">
        <v>243</v>
      </c>
      <c r="F32" s="14"/>
      <c r="G32" s="12" t="s">
        <v>1594</v>
      </c>
      <c r="H32" s="14"/>
      <c r="I32" s="14"/>
      <c r="J32" s="14" t="s">
        <v>431</v>
      </c>
      <c r="K32" s="14" t="s">
        <v>134</v>
      </c>
      <c r="L32" s="12">
        <v>0</v>
      </c>
    </row>
    <row r="33" spans="1:12">
      <c r="A33" s="14"/>
      <c r="B33" s="14" t="s">
        <v>1491</v>
      </c>
      <c r="C33" s="14" t="s">
        <v>136</v>
      </c>
      <c r="D33" s="12" t="s">
        <v>1098</v>
      </c>
      <c r="E33" s="14" t="s">
        <v>243</v>
      </c>
      <c r="F33" s="14"/>
      <c r="G33" s="12" t="s">
        <v>1595</v>
      </c>
      <c r="H33" s="14"/>
      <c r="I33" s="14"/>
      <c r="J33" s="14" t="s">
        <v>431</v>
      </c>
      <c r="K33" s="14" t="s">
        <v>134</v>
      </c>
      <c r="L33" s="31" t="s">
        <v>439</v>
      </c>
    </row>
    <row r="34" spans="1:12">
      <c r="A34" s="14"/>
      <c r="B34" s="14" t="s">
        <v>1492</v>
      </c>
      <c r="C34" s="14" t="s">
        <v>136</v>
      </c>
      <c r="D34" s="12" t="s">
        <v>1101</v>
      </c>
      <c r="E34" s="14" t="s">
        <v>243</v>
      </c>
      <c r="F34" s="14"/>
      <c r="G34" s="12" t="s">
        <v>1596</v>
      </c>
      <c r="H34" s="14"/>
      <c r="I34" s="14"/>
      <c r="J34" s="14" t="s">
        <v>431</v>
      </c>
      <c r="K34" s="14" t="s">
        <v>134</v>
      </c>
      <c r="L34" s="31" t="s">
        <v>533</v>
      </c>
    </row>
    <row r="35" spans="1:12">
      <c r="A35" s="14"/>
      <c r="B35" s="14" t="s">
        <v>948</v>
      </c>
      <c r="C35" s="14" t="s">
        <v>136</v>
      </c>
      <c r="D35" s="12" t="s">
        <v>949</v>
      </c>
      <c r="E35" s="14" t="s">
        <v>243</v>
      </c>
      <c r="F35" s="14"/>
      <c r="G35" s="12" t="s">
        <v>1344</v>
      </c>
      <c r="H35" s="14"/>
      <c r="I35" s="14"/>
      <c r="J35" s="14" t="s">
        <v>431</v>
      </c>
      <c r="K35" s="14" t="s">
        <v>134</v>
      </c>
      <c r="L35" s="31" t="s">
        <v>432</v>
      </c>
    </row>
    <row r="36" spans="1:12">
      <c r="A36" s="14"/>
      <c r="B36" s="14" t="s">
        <v>1103</v>
      </c>
      <c r="C36" s="14" t="s">
        <v>245</v>
      </c>
      <c r="D36" s="12" t="s">
        <v>1104</v>
      </c>
      <c r="E36" s="14" t="s">
        <v>243</v>
      </c>
      <c r="F36" s="14"/>
      <c r="G36" s="12" t="s">
        <v>1383</v>
      </c>
      <c r="H36" s="14"/>
      <c r="I36" s="14"/>
      <c r="J36" s="14" t="s">
        <v>431</v>
      </c>
      <c r="K36" s="14" t="s">
        <v>134</v>
      </c>
      <c r="L36" s="31" t="s">
        <v>439</v>
      </c>
    </row>
    <row r="37" spans="1:12">
      <c r="A37" s="14"/>
      <c r="B37" s="14" t="s">
        <v>2375</v>
      </c>
      <c r="C37" s="14" t="s">
        <v>136</v>
      </c>
      <c r="D37" s="12" t="s">
        <v>1146</v>
      </c>
      <c r="E37" s="14" t="s">
        <v>243</v>
      </c>
      <c r="F37" s="14"/>
      <c r="G37" s="12" t="s">
        <v>1399</v>
      </c>
      <c r="H37" s="14"/>
      <c r="I37" s="14"/>
      <c r="J37" s="14" t="s">
        <v>431</v>
      </c>
      <c r="K37" s="14" t="s">
        <v>134</v>
      </c>
      <c r="L37" s="31" t="s">
        <v>439</v>
      </c>
    </row>
    <row r="38" spans="1:12">
      <c r="A38" s="14"/>
      <c r="B38" s="14" t="s">
        <v>1147</v>
      </c>
      <c r="C38" s="14" t="s">
        <v>245</v>
      </c>
      <c r="D38" s="12" t="s">
        <v>1148</v>
      </c>
      <c r="E38" s="14" t="s">
        <v>243</v>
      </c>
      <c r="F38" s="14"/>
      <c r="G38" s="12" t="s">
        <v>1400</v>
      </c>
      <c r="H38" s="14"/>
      <c r="I38" s="14"/>
      <c r="J38" s="14" t="s">
        <v>431</v>
      </c>
      <c r="K38" s="14" t="s">
        <v>134</v>
      </c>
      <c r="L38" s="31" t="s">
        <v>439</v>
      </c>
    </row>
    <row r="39" spans="1:12">
      <c r="A39" s="14"/>
      <c r="B39" s="14" t="s">
        <v>1191</v>
      </c>
      <c r="C39" s="14" t="s">
        <v>136</v>
      </c>
      <c r="D39" s="12" t="s">
        <v>1192</v>
      </c>
      <c r="E39" s="14" t="s">
        <v>243</v>
      </c>
      <c r="F39" s="14"/>
      <c r="G39" s="12" t="s">
        <v>1416</v>
      </c>
      <c r="H39" s="14"/>
      <c r="I39" s="14"/>
      <c r="J39" s="14" t="s">
        <v>431</v>
      </c>
      <c r="K39" s="14" t="s">
        <v>134</v>
      </c>
      <c r="L39" s="31" t="s">
        <v>439</v>
      </c>
    </row>
    <row r="40" spans="1:12">
      <c r="A40" s="14"/>
      <c r="B40" s="14" t="s">
        <v>1023</v>
      </c>
      <c r="C40" s="14" t="s">
        <v>136</v>
      </c>
      <c r="D40" s="12" t="s">
        <v>1622</v>
      </c>
      <c r="E40" s="14" t="s">
        <v>243</v>
      </c>
      <c r="F40" s="14"/>
      <c r="G40" s="12" t="s">
        <v>1360</v>
      </c>
      <c r="H40" s="14"/>
      <c r="I40" s="14"/>
      <c r="J40" s="14" t="s">
        <v>431</v>
      </c>
      <c r="K40" s="14" t="s">
        <v>134</v>
      </c>
      <c r="L40" s="31" t="s">
        <v>439</v>
      </c>
    </row>
    <row r="41" spans="1:12" s="4" customFormat="1">
      <c r="A41" s="36"/>
      <c r="B41" s="36" t="s">
        <v>233</v>
      </c>
      <c r="C41" s="36" t="s">
        <v>139</v>
      </c>
      <c r="D41" s="37" t="s">
        <v>234</v>
      </c>
      <c r="E41" s="36"/>
      <c r="F41" s="36"/>
      <c r="G41" s="36"/>
      <c r="H41" s="36"/>
      <c r="I41" s="36"/>
      <c r="J41" s="36"/>
      <c r="K41" s="36"/>
      <c r="L41" s="38"/>
    </row>
    <row r="42" spans="1:12" s="4" customFormat="1">
      <c r="A42" s="36"/>
      <c r="B42" s="36" t="s">
        <v>235</v>
      </c>
      <c r="C42" s="36" t="s">
        <v>132</v>
      </c>
      <c r="D42" s="37" t="s">
        <v>1548</v>
      </c>
      <c r="E42" s="36"/>
      <c r="F42" s="36"/>
      <c r="G42" s="36"/>
      <c r="H42" s="36"/>
      <c r="I42" s="36"/>
      <c r="J42" s="36"/>
      <c r="K42" s="36"/>
      <c r="L42" s="38"/>
    </row>
    <row r="43" spans="1:12" s="4" customFormat="1">
      <c r="A43" s="36"/>
      <c r="B43" s="36" t="s">
        <v>237</v>
      </c>
      <c r="C43" s="36" t="s">
        <v>139</v>
      </c>
      <c r="D43" s="37" t="s">
        <v>238</v>
      </c>
      <c r="E43" s="36"/>
      <c r="F43" s="36"/>
      <c r="G43" s="36"/>
      <c r="H43" s="36"/>
      <c r="I43" s="36"/>
      <c r="J43" s="36"/>
      <c r="K43" s="36"/>
      <c r="L43" s="38"/>
    </row>
  </sheetData>
  <autoFilter ref="A14:Q43" xr:uid="{00000000-0009-0000-0000-000019000000}">
    <sortState xmlns:xlrd2="http://schemas.microsoft.com/office/spreadsheetml/2017/richdata2" ref="A14:Q43">
      <sortCondition ref="A14"/>
    </sortState>
  </autoFilter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02"/>
  <sheetViews>
    <sheetView zoomScale="85" zoomScaleNormal="85" workbookViewId="0">
      <pane ySplit="5" topLeftCell="A6" activePane="bottomLeft" state="frozen"/>
      <selection activeCell="D107" sqref="B106:D107"/>
      <selection pane="bottomLeft" activeCell="C9" sqref="C9"/>
    </sheetView>
  </sheetViews>
  <sheetFormatPr defaultColWidth="9" defaultRowHeight="13.2"/>
  <cols>
    <col min="1" max="1" width="3" style="5" customWidth="1"/>
    <col min="2" max="2" width="23.6640625" style="5" customWidth="1"/>
    <col min="3" max="3" width="30.21875" style="5" customWidth="1"/>
    <col min="4" max="4" width="32.21875" style="5" customWidth="1"/>
    <col min="5" max="5" width="16.21875" style="5" customWidth="1"/>
    <col min="6" max="6" width="24.88671875" style="5" customWidth="1"/>
    <col min="7" max="7" width="39.5546875" style="6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1:14">
      <c r="B1" s="7" t="str">
        <f>HYPERLINK("#导航!a2","返回")</f>
        <v>返回</v>
      </c>
    </row>
    <row r="2" spans="1:14">
      <c r="B2" s="156"/>
      <c r="C2" s="156"/>
      <c r="D2" s="156"/>
      <c r="E2" s="156"/>
      <c r="F2" s="156"/>
      <c r="G2" s="156"/>
      <c r="H2" s="156"/>
    </row>
    <row r="3" spans="1:14">
      <c r="B3" s="157" t="s">
        <v>106</v>
      </c>
      <c r="C3" s="157"/>
      <c r="D3" s="157"/>
      <c r="E3" s="157"/>
      <c r="F3" s="157"/>
      <c r="G3" s="157"/>
      <c r="H3" s="157"/>
    </row>
    <row r="4" spans="1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10" t="s">
        <v>12</v>
      </c>
      <c r="H4" s="9" t="s">
        <v>111</v>
      </c>
    </row>
    <row r="5" spans="1:14">
      <c r="B5" s="11" t="s">
        <v>55</v>
      </c>
      <c r="C5" s="12" t="s">
        <v>2044</v>
      </c>
      <c r="D5" s="13" t="s">
        <v>93</v>
      </c>
      <c r="E5" s="14" t="s">
        <v>379</v>
      </c>
      <c r="F5" s="15"/>
      <c r="G5" s="12"/>
      <c r="H5" s="14"/>
      <c r="N5" s="5"/>
    </row>
    <row r="6" spans="1:14">
      <c r="B6" s="8"/>
      <c r="C6" s="8"/>
      <c r="D6" s="8"/>
      <c r="E6" s="8"/>
      <c r="F6" s="8"/>
      <c r="G6" s="16"/>
      <c r="H6" s="8"/>
    </row>
    <row r="7" spans="1:14">
      <c r="B7" s="157" t="s">
        <v>113</v>
      </c>
      <c r="C7" s="157"/>
      <c r="D7" s="157"/>
      <c r="E7" s="157"/>
      <c r="F7" s="157"/>
      <c r="G7" s="157"/>
      <c r="H7" s="157"/>
    </row>
    <row r="8" spans="1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8" t="s">
        <v>22</v>
      </c>
      <c r="H8" s="17" t="s">
        <v>119</v>
      </c>
    </row>
    <row r="9" spans="1:14">
      <c r="B9" s="14"/>
      <c r="C9" s="12" t="s">
        <v>2288</v>
      </c>
      <c r="D9" s="13" t="s">
        <v>76</v>
      </c>
      <c r="E9" s="14" t="s">
        <v>243</v>
      </c>
      <c r="F9" s="19"/>
      <c r="G9" s="20"/>
      <c r="H9" s="21"/>
    </row>
    <row r="10" spans="1:14">
      <c r="B10" s="14"/>
      <c r="C10" s="12"/>
      <c r="D10" s="12"/>
      <c r="E10" s="14"/>
      <c r="F10" s="19"/>
      <c r="G10" s="20"/>
      <c r="H10" s="14"/>
    </row>
    <row r="11" spans="1:14">
      <c r="G11" s="22"/>
    </row>
    <row r="12" spans="1:14">
      <c r="B12" s="5" t="s">
        <v>120</v>
      </c>
    </row>
    <row r="13" spans="1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1:14">
      <c r="B14" s="23" t="s">
        <v>121</v>
      </c>
      <c r="C14" s="23" t="s">
        <v>122</v>
      </c>
      <c r="D14" s="23" t="s">
        <v>123</v>
      </c>
      <c r="E14" s="23" t="s">
        <v>124</v>
      </c>
      <c r="F14" s="23" t="s">
        <v>125</v>
      </c>
      <c r="G14" s="24" t="s">
        <v>126</v>
      </c>
      <c r="H14" s="23" t="s">
        <v>127</v>
      </c>
      <c r="I14" s="23" t="s">
        <v>22</v>
      </c>
      <c r="J14" s="23" t="s">
        <v>128</v>
      </c>
      <c r="K14" s="23" t="s">
        <v>129</v>
      </c>
      <c r="L14" s="23" t="s">
        <v>130</v>
      </c>
    </row>
    <row r="15" spans="1:14">
      <c r="A15" s="14"/>
      <c r="B15" s="14" t="s">
        <v>383</v>
      </c>
      <c r="C15" s="14" t="s">
        <v>132</v>
      </c>
      <c r="D15" s="12" t="s">
        <v>480</v>
      </c>
      <c r="E15" s="14" t="s">
        <v>243</v>
      </c>
      <c r="F15" s="14" t="s">
        <v>235</v>
      </c>
      <c r="G15" s="12" t="s">
        <v>250</v>
      </c>
      <c r="H15" s="14"/>
      <c r="I15" s="14"/>
      <c r="J15" s="14" t="s">
        <v>384</v>
      </c>
      <c r="K15" s="14" t="s">
        <v>134</v>
      </c>
      <c r="L15" s="31" t="s">
        <v>134</v>
      </c>
    </row>
    <row r="16" spans="1:14">
      <c r="A16" s="14"/>
      <c r="B16" s="14" t="s">
        <v>379</v>
      </c>
      <c r="C16" s="14" t="s">
        <v>139</v>
      </c>
      <c r="D16" s="12" t="s">
        <v>48</v>
      </c>
      <c r="E16" s="14" t="s">
        <v>243</v>
      </c>
      <c r="F16" s="14" t="s">
        <v>237</v>
      </c>
      <c r="G16" s="12" t="s">
        <v>250</v>
      </c>
      <c r="H16" s="14"/>
      <c r="I16" s="14"/>
      <c r="J16" s="14" t="s">
        <v>384</v>
      </c>
      <c r="K16" s="14" t="s">
        <v>134</v>
      </c>
      <c r="L16" s="31" t="s">
        <v>134</v>
      </c>
    </row>
    <row r="17" spans="1:12" ht="79.2">
      <c r="A17" s="14"/>
      <c r="B17" s="14" t="s">
        <v>227</v>
      </c>
      <c r="C17" s="14" t="s">
        <v>139</v>
      </c>
      <c r="D17" s="20" t="s">
        <v>228</v>
      </c>
      <c r="E17" s="14" t="s">
        <v>243</v>
      </c>
      <c r="F17" s="14" t="s">
        <v>227</v>
      </c>
      <c r="G17" s="12" t="s">
        <v>250</v>
      </c>
      <c r="H17" s="14"/>
      <c r="I17" s="14"/>
      <c r="J17" s="14" t="s">
        <v>384</v>
      </c>
      <c r="K17" s="14" t="s">
        <v>134</v>
      </c>
      <c r="L17" s="31" t="s">
        <v>134</v>
      </c>
    </row>
    <row r="18" spans="1:12">
      <c r="A18" s="14"/>
      <c r="B18" s="14" t="s">
        <v>141</v>
      </c>
      <c r="C18" s="14" t="s">
        <v>132</v>
      </c>
      <c r="D18" s="12" t="s">
        <v>143</v>
      </c>
      <c r="E18" s="14" t="s">
        <v>243</v>
      </c>
      <c r="F18" s="14" t="s">
        <v>141</v>
      </c>
      <c r="G18" s="12" t="s">
        <v>250</v>
      </c>
      <c r="H18" s="14"/>
      <c r="I18" s="14"/>
      <c r="J18" s="14" t="s">
        <v>384</v>
      </c>
      <c r="K18" s="14" t="s">
        <v>134</v>
      </c>
      <c r="L18" s="31" t="s">
        <v>134</v>
      </c>
    </row>
    <row r="19" spans="1:12">
      <c r="A19" s="14"/>
      <c r="B19" s="14" t="s">
        <v>211</v>
      </c>
      <c r="C19" s="14" t="s">
        <v>139</v>
      </c>
      <c r="D19" s="12" t="s">
        <v>810</v>
      </c>
      <c r="E19" s="14" t="s">
        <v>243</v>
      </c>
      <c r="F19" s="14" t="s">
        <v>211</v>
      </c>
      <c r="G19" s="12" t="s">
        <v>250</v>
      </c>
      <c r="H19" s="14"/>
      <c r="I19" s="14"/>
      <c r="J19" s="14" t="s">
        <v>384</v>
      </c>
      <c r="K19" s="14" t="s">
        <v>134</v>
      </c>
      <c r="L19" s="31" t="s">
        <v>134</v>
      </c>
    </row>
    <row r="20" spans="1:12">
      <c r="A20" s="14"/>
      <c r="B20" s="14" t="s">
        <v>371</v>
      </c>
      <c r="C20" s="14" t="s">
        <v>139</v>
      </c>
      <c r="D20" s="12" t="s">
        <v>497</v>
      </c>
      <c r="E20" s="14" t="s">
        <v>243</v>
      </c>
      <c r="F20" s="14" t="s">
        <v>371</v>
      </c>
      <c r="G20" s="12" t="s">
        <v>250</v>
      </c>
      <c r="H20" s="14"/>
      <c r="I20" s="14"/>
      <c r="J20" s="14" t="s">
        <v>384</v>
      </c>
      <c r="K20" s="14" t="s">
        <v>134</v>
      </c>
      <c r="L20" s="31" t="s">
        <v>134</v>
      </c>
    </row>
    <row r="21" spans="1:12">
      <c r="A21" s="14"/>
      <c r="B21" s="14" t="s">
        <v>373</v>
      </c>
      <c r="C21" s="14" t="s">
        <v>139</v>
      </c>
      <c r="D21" s="12" t="s">
        <v>498</v>
      </c>
      <c r="E21" s="14" t="s">
        <v>243</v>
      </c>
      <c r="F21" s="14" t="s">
        <v>373</v>
      </c>
      <c r="G21" s="12" t="s">
        <v>250</v>
      </c>
      <c r="H21" s="14"/>
      <c r="I21" s="14"/>
      <c r="J21" s="14" t="s">
        <v>384</v>
      </c>
      <c r="K21" s="14" t="s">
        <v>134</v>
      </c>
      <c r="L21" s="31" t="s">
        <v>134</v>
      </c>
    </row>
    <row r="22" spans="1:12">
      <c r="A22" s="14"/>
      <c r="B22" s="14" t="s">
        <v>273</v>
      </c>
      <c r="C22" s="14" t="s">
        <v>139</v>
      </c>
      <c r="D22" s="12" t="s">
        <v>274</v>
      </c>
      <c r="E22" s="14" t="s">
        <v>243</v>
      </c>
      <c r="F22" s="14" t="s">
        <v>273</v>
      </c>
      <c r="G22" s="12" t="s">
        <v>250</v>
      </c>
      <c r="H22" s="14"/>
      <c r="I22" s="14"/>
      <c r="J22" s="14" t="s">
        <v>384</v>
      </c>
      <c r="K22" s="14" t="s">
        <v>134</v>
      </c>
      <c r="L22" s="31" t="s">
        <v>134</v>
      </c>
    </row>
    <row r="23" spans="1:12">
      <c r="A23" s="14"/>
      <c r="B23" s="14" t="s">
        <v>385</v>
      </c>
      <c r="C23" s="14" t="s">
        <v>139</v>
      </c>
      <c r="D23" s="12" t="s">
        <v>487</v>
      </c>
      <c r="E23" s="14" t="s">
        <v>243</v>
      </c>
      <c r="F23" s="14" t="s">
        <v>385</v>
      </c>
      <c r="G23" s="12" t="s">
        <v>250</v>
      </c>
      <c r="H23" s="14"/>
      <c r="I23" s="14"/>
      <c r="J23" s="14" t="s">
        <v>384</v>
      </c>
      <c r="K23" s="14" t="s">
        <v>134</v>
      </c>
      <c r="L23" s="31" t="s">
        <v>134</v>
      </c>
    </row>
    <row r="24" spans="1:12">
      <c r="A24" s="14"/>
      <c r="B24" s="14" t="s">
        <v>388</v>
      </c>
      <c r="C24" s="14" t="s">
        <v>139</v>
      </c>
      <c r="D24" s="12" t="s">
        <v>488</v>
      </c>
      <c r="E24" s="14" t="s">
        <v>243</v>
      </c>
      <c r="F24" s="14" t="s">
        <v>388</v>
      </c>
      <c r="G24" s="12" t="s">
        <v>250</v>
      </c>
      <c r="H24" s="14"/>
      <c r="I24" s="14"/>
      <c r="J24" s="14" t="s">
        <v>384</v>
      </c>
      <c r="K24" s="14" t="s">
        <v>134</v>
      </c>
      <c r="L24" s="31" t="s">
        <v>134</v>
      </c>
    </row>
    <row r="25" spans="1:12">
      <c r="A25" s="14"/>
      <c r="B25" s="14" t="s">
        <v>392</v>
      </c>
      <c r="C25" s="14" t="s">
        <v>132</v>
      </c>
      <c r="D25" s="12" t="s">
        <v>391</v>
      </c>
      <c r="E25" s="14" t="s">
        <v>243</v>
      </c>
      <c r="F25" s="14" t="s">
        <v>392</v>
      </c>
      <c r="G25" s="12" t="s">
        <v>250</v>
      </c>
      <c r="H25" s="14"/>
      <c r="I25" s="14"/>
      <c r="J25" s="14" t="s">
        <v>384</v>
      </c>
      <c r="K25" s="14" t="s">
        <v>134</v>
      </c>
      <c r="L25" s="31" t="s">
        <v>134</v>
      </c>
    </row>
    <row r="26" spans="1:12">
      <c r="A26" s="14"/>
      <c r="B26" s="14" t="s">
        <v>395</v>
      </c>
      <c r="C26" s="14" t="s">
        <v>132</v>
      </c>
      <c r="D26" s="12" t="s">
        <v>489</v>
      </c>
      <c r="E26" s="14" t="s">
        <v>243</v>
      </c>
      <c r="F26" s="14" t="s">
        <v>395</v>
      </c>
      <c r="G26" s="12" t="s">
        <v>250</v>
      </c>
      <c r="H26" s="14"/>
      <c r="I26" s="14"/>
      <c r="J26" s="14" t="s">
        <v>384</v>
      </c>
      <c r="K26" s="14" t="s">
        <v>134</v>
      </c>
      <c r="L26" s="31" t="s">
        <v>134</v>
      </c>
    </row>
    <row r="27" spans="1:12">
      <c r="A27" s="14"/>
      <c r="B27" s="14" t="s">
        <v>398</v>
      </c>
      <c r="C27" s="14" t="s">
        <v>132</v>
      </c>
      <c r="D27" s="12" t="s">
        <v>490</v>
      </c>
      <c r="E27" s="14" t="s">
        <v>243</v>
      </c>
      <c r="F27" s="14" t="s">
        <v>398</v>
      </c>
      <c r="G27" s="12" t="s">
        <v>250</v>
      </c>
      <c r="H27" s="14"/>
      <c r="I27" s="14"/>
      <c r="J27" s="14" t="s">
        <v>384</v>
      </c>
      <c r="K27" s="14" t="s">
        <v>134</v>
      </c>
      <c r="L27" s="31" t="s">
        <v>134</v>
      </c>
    </row>
    <row r="28" spans="1:12">
      <c r="A28" s="14"/>
      <c r="B28" s="14" t="s">
        <v>499</v>
      </c>
      <c r="C28" s="14" t="s">
        <v>245</v>
      </c>
      <c r="D28" s="12" t="s">
        <v>500</v>
      </c>
      <c r="E28" s="14" t="s">
        <v>243</v>
      </c>
      <c r="F28" s="14" t="s">
        <v>499</v>
      </c>
      <c r="G28" s="12" t="s">
        <v>250</v>
      </c>
      <c r="H28" s="14"/>
      <c r="I28" s="14"/>
      <c r="J28" s="14" t="s">
        <v>384</v>
      </c>
      <c r="K28" s="14" t="s">
        <v>134</v>
      </c>
      <c r="L28" s="31" t="s">
        <v>524</v>
      </c>
    </row>
    <row r="29" spans="1:12">
      <c r="A29" s="14"/>
      <c r="B29" s="14" t="s">
        <v>502</v>
      </c>
      <c r="C29" s="14" t="s">
        <v>245</v>
      </c>
      <c r="D29" s="12" t="s">
        <v>503</v>
      </c>
      <c r="E29" s="14" t="s">
        <v>243</v>
      </c>
      <c r="F29" s="14" t="s">
        <v>502</v>
      </c>
      <c r="G29" s="12" t="s">
        <v>250</v>
      </c>
      <c r="H29" s="14"/>
      <c r="I29" s="14"/>
      <c r="J29" s="14" t="s">
        <v>384</v>
      </c>
      <c r="K29" s="14" t="s">
        <v>134</v>
      </c>
      <c r="L29" s="31" t="s">
        <v>528</v>
      </c>
    </row>
    <row r="30" spans="1:12">
      <c r="A30" s="14"/>
      <c r="B30" s="14" t="s">
        <v>811</v>
      </c>
      <c r="C30" s="14" t="s">
        <v>136</v>
      </c>
      <c r="D30" s="12" t="s">
        <v>812</v>
      </c>
      <c r="E30" s="14" t="s">
        <v>243</v>
      </c>
      <c r="F30" s="14"/>
      <c r="G30" s="12" t="s">
        <v>1306</v>
      </c>
      <c r="H30" s="14"/>
      <c r="I30" s="14"/>
      <c r="J30" s="14" t="s">
        <v>431</v>
      </c>
      <c r="K30" s="14" t="s">
        <v>134</v>
      </c>
      <c r="L30" s="31" t="s">
        <v>439</v>
      </c>
    </row>
    <row r="31" spans="1:12">
      <c r="A31" s="14"/>
      <c r="B31" s="14" t="s">
        <v>2190</v>
      </c>
      <c r="C31" s="14" t="s">
        <v>136</v>
      </c>
      <c r="D31" s="12" t="s">
        <v>821</v>
      </c>
      <c r="E31" s="14" t="s">
        <v>243</v>
      </c>
      <c r="F31" s="14"/>
      <c r="G31" s="12" t="s">
        <v>1309</v>
      </c>
      <c r="H31" s="14"/>
      <c r="I31" s="14"/>
      <c r="J31" s="14" t="s">
        <v>431</v>
      </c>
      <c r="K31" s="14" t="s">
        <v>134</v>
      </c>
      <c r="L31" s="31" t="s">
        <v>439</v>
      </c>
    </row>
    <row r="32" spans="1:12">
      <c r="A32" s="14"/>
      <c r="B32" s="14" t="s">
        <v>2189</v>
      </c>
      <c r="C32" s="14" t="s">
        <v>136</v>
      </c>
      <c r="D32" s="12" t="s">
        <v>815</v>
      </c>
      <c r="E32" s="14" t="s">
        <v>243</v>
      </c>
      <c r="F32" s="14"/>
      <c r="G32" s="12" t="s">
        <v>1307</v>
      </c>
      <c r="H32" s="14"/>
      <c r="I32" s="14"/>
      <c r="J32" s="14" t="s">
        <v>431</v>
      </c>
      <c r="K32" s="14" t="s">
        <v>134</v>
      </c>
      <c r="L32" s="31" t="s">
        <v>533</v>
      </c>
    </row>
    <row r="33" spans="1:12">
      <c r="A33" s="14"/>
      <c r="B33" s="14" t="s">
        <v>2347</v>
      </c>
      <c r="C33" s="14" t="s">
        <v>245</v>
      </c>
      <c r="D33" s="12" t="s">
        <v>818</v>
      </c>
      <c r="E33" s="14" t="s">
        <v>243</v>
      </c>
      <c r="F33" s="14"/>
      <c r="G33" s="12" t="s">
        <v>1308</v>
      </c>
      <c r="H33" s="14"/>
      <c r="I33" s="14"/>
      <c r="J33" s="14" t="s">
        <v>431</v>
      </c>
      <c r="K33" s="14" t="s">
        <v>134</v>
      </c>
      <c r="L33" s="31" t="s">
        <v>432</v>
      </c>
    </row>
    <row r="34" spans="1:12">
      <c r="A34" s="14"/>
      <c r="B34" s="14" t="s">
        <v>2409</v>
      </c>
      <c r="C34" s="14" t="s">
        <v>136</v>
      </c>
      <c r="D34" s="12" t="s">
        <v>1070</v>
      </c>
      <c r="E34" s="14" t="s">
        <v>243</v>
      </c>
      <c r="F34" s="14"/>
      <c r="G34" s="12" t="s">
        <v>1310</v>
      </c>
      <c r="H34" s="14"/>
      <c r="I34" s="14"/>
      <c r="J34" s="14" t="s">
        <v>431</v>
      </c>
      <c r="K34" s="14" t="s">
        <v>134</v>
      </c>
      <c r="L34" s="31" t="s">
        <v>439</v>
      </c>
    </row>
    <row r="35" spans="1:12">
      <c r="A35" s="14"/>
      <c r="B35" s="14" t="s">
        <v>2408</v>
      </c>
      <c r="C35" s="14" t="s">
        <v>136</v>
      </c>
      <c r="D35" s="12" t="s">
        <v>1073</v>
      </c>
      <c r="E35" s="14" t="s">
        <v>243</v>
      </c>
      <c r="F35" s="14"/>
      <c r="G35" s="12" t="s">
        <v>1311</v>
      </c>
      <c r="H35" s="14"/>
      <c r="I35" s="14"/>
      <c r="J35" s="14" t="s">
        <v>431</v>
      </c>
      <c r="K35" s="14" t="s">
        <v>134</v>
      </c>
      <c r="L35" s="31" t="s">
        <v>439</v>
      </c>
    </row>
    <row r="36" spans="1:12">
      <c r="A36" s="14"/>
      <c r="B36" s="14" t="s">
        <v>2192</v>
      </c>
      <c r="C36" s="14" t="s">
        <v>136</v>
      </c>
      <c r="D36" s="12" t="s">
        <v>1076</v>
      </c>
      <c r="E36" s="14" t="s">
        <v>243</v>
      </c>
      <c r="F36" s="14"/>
      <c r="G36" s="12" t="s">
        <v>1312</v>
      </c>
      <c r="H36" s="14"/>
      <c r="I36" s="14"/>
      <c r="J36" s="14" t="s">
        <v>431</v>
      </c>
      <c r="K36" s="14" t="s">
        <v>134</v>
      </c>
      <c r="L36" s="31" t="s">
        <v>439</v>
      </c>
    </row>
    <row r="37" spans="1:12">
      <c r="A37" s="14"/>
      <c r="B37" s="14" t="s">
        <v>552</v>
      </c>
      <c r="C37" s="14" t="s">
        <v>136</v>
      </c>
      <c r="D37" s="12" t="s">
        <v>1079</v>
      </c>
      <c r="E37" s="14" t="s">
        <v>243</v>
      </c>
      <c r="F37" s="14"/>
      <c r="G37" s="12" t="s">
        <v>1313</v>
      </c>
      <c r="H37" s="14"/>
      <c r="I37" s="14"/>
      <c r="J37" s="14" t="s">
        <v>431</v>
      </c>
      <c r="K37" s="14" t="s">
        <v>134</v>
      </c>
      <c r="L37" s="31" t="s">
        <v>439</v>
      </c>
    </row>
    <row r="38" spans="1:12">
      <c r="A38" s="14"/>
      <c r="B38" s="14" t="s">
        <v>550</v>
      </c>
      <c r="C38" s="14" t="s">
        <v>136</v>
      </c>
      <c r="D38" s="12" t="s">
        <v>1081</v>
      </c>
      <c r="E38" s="14" t="s">
        <v>243</v>
      </c>
      <c r="F38" s="14"/>
      <c r="G38" s="12" t="s">
        <v>1314</v>
      </c>
      <c r="H38" s="14"/>
      <c r="I38" s="14"/>
      <c r="J38" s="14" t="s">
        <v>431</v>
      </c>
      <c r="K38" s="14" t="s">
        <v>134</v>
      </c>
      <c r="L38" s="31" t="s">
        <v>439</v>
      </c>
    </row>
    <row r="39" spans="1:12">
      <c r="A39" s="14"/>
      <c r="B39" s="14" t="s">
        <v>548</v>
      </c>
      <c r="C39" s="14" t="s">
        <v>136</v>
      </c>
      <c r="D39" s="12" t="s">
        <v>1083</v>
      </c>
      <c r="E39" s="14" t="s">
        <v>243</v>
      </c>
      <c r="F39" s="14"/>
      <c r="G39" s="12" t="s">
        <v>1315</v>
      </c>
      <c r="H39" s="14"/>
      <c r="I39" s="14"/>
      <c r="J39" s="14" t="s">
        <v>431</v>
      </c>
      <c r="K39" s="14" t="s">
        <v>134</v>
      </c>
      <c r="L39" s="31" t="s">
        <v>439</v>
      </c>
    </row>
    <row r="40" spans="1:12">
      <c r="A40" s="14"/>
      <c r="B40" s="14" t="s">
        <v>546</v>
      </c>
      <c r="C40" s="14" t="s">
        <v>136</v>
      </c>
      <c r="D40" s="12" t="s">
        <v>1086</v>
      </c>
      <c r="E40" s="14" t="s">
        <v>243</v>
      </c>
      <c r="F40" s="14"/>
      <c r="G40" s="12" t="s">
        <v>1316</v>
      </c>
      <c r="H40" s="14"/>
      <c r="I40" s="14"/>
      <c r="J40" s="14" t="s">
        <v>431</v>
      </c>
      <c r="K40" s="14" t="s">
        <v>134</v>
      </c>
      <c r="L40" s="31" t="s">
        <v>439</v>
      </c>
    </row>
    <row r="41" spans="1:12">
      <c r="A41" s="14"/>
      <c r="B41" s="14" t="s">
        <v>544</v>
      </c>
      <c r="C41" s="14" t="s">
        <v>136</v>
      </c>
      <c r="D41" s="12" t="s">
        <v>1089</v>
      </c>
      <c r="E41" s="14" t="s">
        <v>243</v>
      </c>
      <c r="F41" s="14"/>
      <c r="G41" s="12" t="s">
        <v>1592</v>
      </c>
      <c r="H41" s="14"/>
      <c r="I41" s="14"/>
      <c r="J41" s="14" t="s">
        <v>431</v>
      </c>
      <c r="K41" s="14" t="s">
        <v>134</v>
      </c>
      <c r="L41" s="31" t="s">
        <v>439</v>
      </c>
    </row>
    <row r="42" spans="1:12">
      <c r="A42" s="14"/>
      <c r="B42" s="14" t="s">
        <v>542</v>
      </c>
      <c r="C42" s="14" t="s">
        <v>136</v>
      </c>
      <c r="D42" s="12" t="s">
        <v>1092</v>
      </c>
      <c r="E42" s="14" t="s">
        <v>243</v>
      </c>
      <c r="F42" s="14"/>
      <c r="G42" s="12" t="s">
        <v>1593</v>
      </c>
      <c r="H42" s="14"/>
      <c r="I42" s="14"/>
      <c r="J42" s="14" t="s">
        <v>431</v>
      </c>
      <c r="K42" s="14" t="s">
        <v>134</v>
      </c>
      <c r="L42" s="31" t="s">
        <v>439</v>
      </c>
    </row>
    <row r="43" spans="1:12">
      <c r="A43" s="14"/>
      <c r="B43" s="14" t="s">
        <v>540</v>
      </c>
      <c r="C43" s="14" t="s">
        <v>136</v>
      </c>
      <c r="D43" s="12" t="s">
        <v>1095</v>
      </c>
      <c r="E43" s="14" t="s">
        <v>243</v>
      </c>
      <c r="F43" s="14"/>
      <c r="G43" s="12" t="s">
        <v>1594</v>
      </c>
      <c r="H43" s="14"/>
      <c r="I43" s="14"/>
      <c r="J43" s="14" t="s">
        <v>431</v>
      </c>
      <c r="K43" s="14" t="s">
        <v>134</v>
      </c>
      <c r="L43" s="31" t="s">
        <v>439</v>
      </c>
    </row>
    <row r="44" spans="1:12">
      <c r="A44" s="14"/>
      <c r="B44" s="14" t="s">
        <v>538</v>
      </c>
      <c r="C44" s="14" t="s">
        <v>136</v>
      </c>
      <c r="D44" s="12" t="s">
        <v>1098</v>
      </c>
      <c r="E44" s="14" t="s">
        <v>243</v>
      </c>
      <c r="F44" s="14"/>
      <c r="G44" s="12" t="s">
        <v>1595</v>
      </c>
      <c r="H44" s="14"/>
      <c r="I44" s="14"/>
      <c r="J44" s="14" t="s">
        <v>431</v>
      </c>
      <c r="K44" s="14" t="s">
        <v>134</v>
      </c>
      <c r="L44" s="31" t="s">
        <v>439</v>
      </c>
    </row>
    <row r="45" spans="1:12">
      <c r="A45" s="14"/>
      <c r="B45" s="14" t="s">
        <v>536</v>
      </c>
      <c r="C45" s="14" t="s">
        <v>136</v>
      </c>
      <c r="D45" s="12" t="s">
        <v>1101</v>
      </c>
      <c r="E45" s="14" t="s">
        <v>243</v>
      </c>
      <c r="F45" s="14"/>
      <c r="G45" s="12" t="s">
        <v>1596</v>
      </c>
      <c r="H45" s="14"/>
      <c r="I45" s="14"/>
      <c r="J45" s="14" t="s">
        <v>431</v>
      </c>
      <c r="K45" s="14" t="s">
        <v>134</v>
      </c>
      <c r="L45" s="31" t="s">
        <v>439</v>
      </c>
    </row>
    <row r="46" spans="1:12">
      <c r="A46" s="14"/>
      <c r="B46" s="14" t="s">
        <v>2191</v>
      </c>
      <c r="C46" s="14" t="s">
        <v>136</v>
      </c>
      <c r="D46" s="12" t="s">
        <v>1493</v>
      </c>
      <c r="E46" s="14" t="s">
        <v>243</v>
      </c>
      <c r="F46" s="14"/>
      <c r="G46" s="12" t="s">
        <v>1317</v>
      </c>
      <c r="H46" s="14"/>
      <c r="I46" s="14"/>
      <c r="J46" s="14" t="s">
        <v>431</v>
      </c>
      <c r="K46" s="14" t="s">
        <v>134</v>
      </c>
      <c r="L46" s="31" t="s">
        <v>439</v>
      </c>
    </row>
    <row r="47" spans="1:12">
      <c r="A47" s="14"/>
      <c r="B47" s="14" t="s">
        <v>566</v>
      </c>
      <c r="C47" s="14" t="s">
        <v>245</v>
      </c>
      <c r="D47" s="12" t="s">
        <v>1494</v>
      </c>
      <c r="E47" s="14" t="s">
        <v>243</v>
      </c>
      <c r="F47" s="14"/>
      <c r="G47" s="12" t="s">
        <v>1318</v>
      </c>
      <c r="H47" s="14"/>
      <c r="I47" s="14"/>
      <c r="J47" s="14" t="s">
        <v>431</v>
      </c>
      <c r="K47" s="14" t="s">
        <v>134</v>
      </c>
      <c r="L47" s="31" t="s">
        <v>568</v>
      </c>
    </row>
    <row r="48" spans="1:12">
      <c r="A48" s="14"/>
      <c r="B48" s="14" t="s">
        <v>575</v>
      </c>
      <c r="C48" s="14" t="s">
        <v>136</v>
      </c>
      <c r="D48" s="12" t="s">
        <v>949</v>
      </c>
      <c r="E48" s="14" t="s">
        <v>243</v>
      </c>
      <c r="F48" s="14"/>
      <c r="G48" s="12" t="s">
        <v>1344</v>
      </c>
      <c r="H48" s="14"/>
      <c r="I48" s="14"/>
      <c r="J48" s="14" t="s">
        <v>431</v>
      </c>
      <c r="K48" s="14" t="s">
        <v>134</v>
      </c>
      <c r="L48" s="31" t="s">
        <v>439</v>
      </c>
    </row>
    <row r="49" spans="1:12">
      <c r="A49" s="14"/>
      <c r="B49" s="14" t="s">
        <v>573</v>
      </c>
      <c r="C49" s="14" t="s">
        <v>245</v>
      </c>
      <c r="D49" s="12" t="s">
        <v>1104</v>
      </c>
      <c r="E49" s="14" t="s">
        <v>243</v>
      </c>
      <c r="F49" s="14"/>
      <c r="G49" s="12" t="s">
        <v>1383</v>
      </c>
      <c r="H49" s="14"/>
      <c r="I49" s="14"/>
      <c r="J49" s="14" t="s">
        <v>431</v>
      </c>
      <c r="K49" s="14" t="s">
        <v>134</v>
      </c>
      <c r="L49" s="31" t="s">
        <v>610</v>
      </c>
    </row>
    <row r="50" spans="1:12">
      <c r="A50" s="14"/>
      <c r="B50" s="14" t="s">
        <v>2410</v>
      </c>
      <c r="C50" s="14" t="s">
        <v>245</v>
      </c>
      <c r="D50" s="12" t="s">
        <v>1107</v>
      </c>
      <c r="E50" s="14" t="s">
        <v>243</v>
      </c>
      <c r="F50" s="14"/>
      <c r="G50" s="12" t="s">
        <v>1384</v>
      </c>
      <c r="H50" s="14"/>
      <c r="I50" s="14"/>
      <c r="J50" s="14" t="s">
        <v>431</v>
      </c>
      <c r="K50" s="14" t="s">
        <v>134</v>
      </c>
      <c r="L50" s="31" t="s">
        <v>579</v>
      </c>
    </row>
    <row r="51" spans="1:12">
      <c r="A51" s="14"/>
      <c r="B51" s="14" t="s">
        <v>602</v>
      </c>
      <c r="C51" s="14" t="s">
        <v>136</v>
      </c>
      <c r="D51" s="12" t="s">
        <v>1551</v>
      </c>
      <c r="E51" s="14" t="s">
        <v>243</v>
      </c>
      <c r="F51" s="14"/>
      <c r="G51" s="12" t="s">
        <v>1345</v>
      </c>
      <c r="H51" s="14"/>
      <c r="I51" s="14"/>
      <c r="J51" s="14" t="s">
        <v>431</v>
      </c>
      <c r="K51" s="14" t="s">
        <v>134</v>
      </c>
      <c r="L51" s="31" t="s">
        <v>439</v>
      </c>
    </row>
    <row r="52" spans="1:12">
      <c r="A52" s="14"/>
      <c r="B52" s="14" t="s">
        <v>600</v>
      </c>
      <c r="C52" s="14" t="s">
        <v>136</v>
      </c>
      <c r="D52" s="12" t="s">
        <v>1552</v>
      </c>
      <c r="E52" s="14" t="s">
        <v>243</v>
      </c>
      <c r="F52" s="14"/>
      <c r="G52" s="12" t="s">
        <v>1346</v>
      </c>
      <c r="H52" s="14"/>
      <c r="I52" s="14"/>
      <c r="J52" s="14" t="s">
        <v>431</v>
      </c>
      <c r="K52" s="14" t="s">
        <v>134</v>
      </c>
      <c r="L52" s="31" t="s">
        <v>439</v>
      </c>
    </row>
    <row r="53" spans="1:12">
      <c r="A53" s="14"/>
      <c r="B53" s="14" t="s">
        <v>598</v>
      </c>
      <c r="C53" s="14" t="s">
        <v>136</v>
      </c>
      <c r="D53" s="12" t="s">
        <v>1553</v>
      </c>
      <c r="E53" s="14" t="s">
        <v>243</v>
      </c>
      <c r="F53" s="14"/>
      <c r="G53" s="12" t="s">
        <v>1347</v>
      </c>
      <c r="H53" s="14"/>
      <c r="I53" s="14"/>
      <c r="J53" s="14" t="s">
        <v>431</v>
      </c>
      <c r="K53" s="14" t="s">
        <v>134</v>
      </c>
      <c r="L53" s="31" t="s">
        <v>439</v>
      </c>
    </row>
    <row r="54" spans="1:12">
      <c r="A54" s="14"/>
      <c r="B54" s="14" t="s">
        <v>596</v>
      </c>
      <c r="C54" s="14" t="s">
        <v>136</v>
      </c>
      <c r="D54" s="12" t="s">
        <v>1554</v>
      </c>
      <c r="E54" s="14" t="s">
        <v>243</v>
      </c>
      <c r="F54" s="14"/>
      <c r="G54" s="12" t="s">
        <v>1348</v>
      </c>
      <c r="H54" s="14"/>
      <c r="I54" s="14"/>
      <c r="J54" s="14" t="s">
        <v>431</v>
      </c>
      <c r="K54" s="14" t="s">
        <v>134</v>
      </c>
      <c r="L54" s="31" t="s">
        <v>439</v>
      </c>
    </row>
    <row r="55" spans="1:12">
      <c r="A55" s="14"/>
      <c r="B55" s="14" t="s">
        <v>594</v>
      </c>
      <c r="C55" s="14" t="s">
        <v>136</v>
      </c>
      <c r="D55" s="12" t="s">
        <v>1499</v>
      </c>
      <c r="E55" s="14" t="s">
        <v>243</v>
      </c>
      <c r="F55" s="14"/>
      <c r="G55" s="12" t="s">
        <v>1349</v>
      </c>
      <c r="H55" s="14"/>
      <c r="I55" s="14"/>
      <c r="J55" s="14" t="s">
        <v>431</v>
      </c>
      <c r="K55" s="14" t="s">
        <v>134</v>
      </c>
      <c r="L55" s="31" t="s">
        <v>439</v>
      </c>
    </row>
    <row r="56" spans="1:12">
      <c r="A56" s="14"/>
      <c r="B56" s="14" t="s">
        <v>592</v>
      </c>
      <c r="C56" s="14" t="s">
        <v>136</v>
      </c>
      <c r="D56" s="12" t="s">
        <v>1500</v>
      </c>
      <c r="E56" s="14" t="s">
        <v>243</v>
      </c>
      <c r="F56" s="14"/>
      <c r="G56" s="12" t="s">
        <v>1350</v>
      </c>
      <c r="H56" s="14"/>
      <c r="I56" s="14"/>
      <c r="J56" s="14" t="s">
        <v>431</v>
      </c>
      <c r="K56" s="14" t="s">
        <v>134</v>
      </c>
      <c r="L56" s="31" t="s">
        <v>439</v>
      </c>
    </row>
    <row r="57" spans="1:12">
      <c r="A57" s="14"/>
      <c r="B57" s="14" t="s">
        <v>590</v>
      </c>
      <c r="C57" s="14" t="s">
        <v>136</v>
      </c>
      <c r="D57" s="12" t="s">
        <v>1501</v>
      </c>
      <c r="E57" s="14" t="s">
        <v>243</v>
      </c>
      <c r="F57" s="14"/>
      <c r="G57" s="12" t="s">
        <v>1351</v>
      </c>
      <c r="H57" s="14"/>
      <c r="I57" s="14"/>
      <c r="J57" s="14" t="s">
        <v>431</v>
      </c>
      <c r="K57" s="14" t="s">
        <v>134</v>
      </c>
      <c r="L57" s="31" t="s">
        <v>439</v>
      </c>
    </row>
    <row r="58" spans="1:12">
      <c r="A58" s="14"/>
      <c r="B58" s="14" t="s">
        <v>588</v>
      </c>
      <c r="C58" s="14" t="s">
        <v>136</v>
      </c>
      <c r="D58" s="12" t="s">
        <v>1503</v>
      </c>
      <c r="E58" s="14" t="s">
        <v>243</v>
      </c>
      <c r="F58" s="14"/>
      <c r="G58" s="12" t="s">
        <v>1599</v>
      </c>
      <c r="H58" s="14"/>
      <c r="I58" s="14"/>
      <c r="J58" s="14" t="s">
        <v>431</v>
      </c>
      <c r="K58" s="14" t="s">
        <v>134</v>
      </c>
      <c r="L58" s="31" t="s">
        <v>439</v>
      </c>
    </row>
    <row r="59" spans="1:12">
      <c r="A59" s="14"/>
      <c r="B59" s="14" t="s">
        <v>586</v>
      </c>
      <c r="C59" s="14" t="s">
        <v>136</v>
      </c>
      <c r="D59" s="12" t="s">
        <v>1505</v>
      </c>
      <c r="E59" s="14" t="s">
        <v>243</v>
      </c>
      <c r="F59" s="14"/>
      <c r="G59" s="12" t="s">
        <v>1600</v>
      </c>
      <c r="H59" s="14"/>
      <c r="I59" s="14"/>
      <c r="J59" s="14" t="s">
        <v>431</v>
      </c>
      <c r="K59" s="14" t="s">
        <v>134</v>
      </c>
      <c r="L59" s="31" t="s">
        <v>439</v>
      </c>
    </row>
    <row r="60" spans="1:12">
      <c r="A60" s="14"/>
      <c r="B60" s="14" t="s">
        <v>584</v>
      </c>
      <c r="C60" s="14" t="s">
        <v>136</v>
      </c>
      <c r="D60" s="12" t="s">
        <v>1507</v>
      </c>
      <c r="E60" s="14" t="s">
        <v>243</v>
      </c>
      <c r="F60" s="14"/>
      <c r="G60" s="12" t="s">
        <v>1601</v>
      </c>
      <c r="H60" s="14"/>
      <c r="I60" s="14"/>
      <c r="J60" s="14" t="s">
        <v>431</v>
      </c>
      <c r="K60" s="14" t="s">
        <v>134</v>
      </c>
      <c r="L60" s="31" t="s">
        <v>439</v>
      </c>
    </row>
    <row r="61" spans="1:12">
      <c r="A61" s="14"/>
      <c r="B61" s="14" t="s">
        <v>582</v>
      </c>
      <c r="C61" s="14" t="s">
        <v>136</v>
      </c>
      <c r="D61" s="12" t="s">
        <v>1509</v>
      </c>
      <c r="E61" s="14" t="s">
        <v>243</v>
      </c>
      <c r="F61" s="14"/>
      <c r="G61" s="12" t="s">
        <v>1602</v>
      </c>
      <c r="H61" s="14"/>
      <c r="I61" s="14"/>
      <c r="J61" s="14" t="s">
        <v>431</v>
      </c>
      <c r="K61" s="14" t="s">
        <v>134</v>
      </c>
      <c r="L61" s="31" t="s">
        <v>439</v>
      </c>
    </row>
    <row r="62" spans="1:12">
      <c r="A62" s="14"/>
      <c r="B62" s="14" t="s">
        <v>580</v>
      </c>
      <c r="C62" s="14" t="s">
        <v>136</v>
      </c>
      <c r="D62" s="12" t="s">
        <v>1511</v>
      </c>
      <c r="E62" s="14" t="s">
        <v>243</v>
      </c>
      <c r="F62" s="14"/>
      <c r="G62" s="12" t="s">
        <v>1603</v>
      </c>
      <c r="H62" s="14"/>
      <c r="I62" s="14"/>
      <c r="J62" s="14" t="s">
        <v>431</v>
      </c>
      <c r="K62" s="14" t="s">
        <v>134</v>
      </c>
      <c r="L62" s="31" t="s">
        <v>439</v>
      </c>
    </row>
    <row r="63" spans="1:12">
      <c r="A63" s="14"/>
      <c r="B63" s="14" t="s">
        <v>604</v>
      </c>
      <c r="C63" s="14" t="s">
        <v>136</v>
      </c>
      <c r="D63" s="12" t="s">
        <v>1140</v>
      </c>
      <c r="E63" s="14" t="s">
        <v>243</v>
      </c>
      <c r="F63" s="14"/>
      <c r="G63" s="12" t="s">
        <v>1397</v>
      </c>
      <c r="H63" s="14"/>
      <c r="I63" s="14"/>
      <c r="J63" s="14" t="s">
        <v>431</v>
      </c>
      <c r="K63" s="14" t="s">
        <v>134</v>
      </c>
      <c r="L63" s="31" t="s">
        <v>439</v>
      </c>
    </row>
    <row r="64" spans="1:12">
      <c r="A64" s="14"/>
      <c r="B64" s="14" t="s">
        <v>606</v>
      </c>
      <c r="C64" s="14" t="s">
        <v>245</v>
      </c>
      <c r="D64" s="12" t="s">
        <v>1512</v>
      </c>
      <c r="E64" s="14" t="s">
        <v>243</v>
      </c>
      <c r="F64" s="14"/>
      <c r="G64" s="12" t="s">
        <v>1398</v>
      </c>
      <c r="H64" s="14"/>
      <c r="I64" s="14"/>
      <c r="J64" s="14" t="s">
        <v>431</v>
      </c>
      <c r="K64" s="14" t="s">
        <v>134</v>
      </c>
      <c r="L64" s="31" t="s">
        <v>568</v>
      </c>
    </row>
    <row r="65" spans="1:12">
      <c r="A65" s="14"/>
      <c r="B65" s="14" t="s">
        <v>611</v>
      </c>
      <c r="C65" s="14" t="s">
        <v>136</v>
      </c>
      <c r="D65" s="12" t="s">
        <v>1146</v>
      </c>
      <c r="E65" s="14" t="s">
        <v>243</v>
      </c>
      <c r="F65" s="14"/>
      <c r="G65" s="12" t="s">
        <v>1399</v>
      </c>
      <c r="H65" s="14"/>
      <c r="I65" s="14"/>
      <c r="J65" s="14" t="s">
        <v>431</v>
      </c>
      <c r="K65" s="14" t="s">
        <v>134</v>
      </c>
      <c r="L65" s="31" t="s">
        <v>439</v>
      </c>
    </row>
    <row r="66" spans="1:12">
      <c r="A66" s="14"/>
      <c r="B66" s="14" t="s">
        <v>608</v>
      </c>
      <c r="C66" s="14" t="s">
        <v>245</v>
      </c>
      <c r="D66" s="12" t="s">
        <v>1148</v>
      </c>
      <c r="E66" s="14" t="s">
        <v>243</v>
      </c>
      <c r="F66" s="14"/>
      <c r="G66" s="12" t="s">
        <v>1400</v>
      </c>
      <c r="H66" s="14"/>
      <c r="I66" s="14"/>
      <c r="J66" s="14" t="s">
        <v>431</v>
      </c>
      <c r="K66" s="14" t="s">
        <v>134</v>
      </c>
      <c r="L66" s="31" t="s">
        <v>610</v>
      </c>
    </row>
    <row r="67" spans="1:12">
      <c r="A67" s="14"/>
      <c r="B67" s="14" t="s">
        <v>2358</v>
      </c>
      <c r="C67" s="14" t="s">
        <v>245</v>
      </c>
      <c r="D67" s="12" t="s">
        <v>1150</v>
      </c>
      <c r="E67" s="14" t="s">
        <v>243</v>
      </c>
      <c r="F67" s="14"/>
      <c r="G67" s="12" t="s">
        <v>1401</v>
      </c>
      <c r="H67" s="14"/>
      <c r="I67" s="14"/>
      <c r="J67" s="14" t="s">
        <v>431</v>
      </c>
      <c r="K67" s="14" t="s">
        <v>134</v>
      </c>
      <c r="L67" s="31" t="s">
        <v>615</v>
      </c>
    </row>
    <row r="68" spans="1:12">
      <c r="A68" s="14"/>
      <c r="B68" s="14" t="s">
        <v>2411</v>
      </c>
      <c r="C68" s="14" t="s">
        <v>136</v>
      </c>
      <c r="D68" s="12" t="s">
        <v>855</v>
      </c>
      <c r="E68" s="14" t="s">
        <v>243</v>
      </c>
      <c r="F68" s="14"/>
      <c r="G68" s="12" t="s">
        <v>856</v>
      </c>
      <c r="H68" s="14"/>
      <c r="I68" s="14"/>
      <c r="J68" s="14" t="s">
        <v>431</v>
      </c>
      <c r="K68" s="14" t="s">
        <v>134</v>
      </c>
      <c r="L68" s="31" t="s">
        <v>439</v>
      </c>
    </row>
    <row r="69" spans="1:12">
      <c r="A69" s="14"/>
      <c r="B69" s="14" t="s">
        <v>618</v>
      </c>
      <c r="C69" s="14" t="s">
        <v>136</v>
      </c>
      <c r="D69" s="12" t="s">
        <v>858</v>
      </c>
      <c r="E69" s="14" t="s">
        <v>243</v>
      </c>
      <c r="F69" s="14"/>
      <c r="G69" s="12" t="s">
        <v>859</v>
      </c>
      <c r="H69" s="14"/>
      <c r="I69" s="14"/>
      <c r="J69" s="14" t="s">
        <v>431</v>
      </c>
      <c r="K69" s="14" t="s">
        <v>134</v>
      </c>
      <c r="L69" s="31" t="s">
        <v>439</v>
      </c>
    </row>
    <row r="70" spans="1:12">
      <c r="A70" s="14"/>
      <c r="B70" s="14" t="s">
        <v>620</v>
      </c>
      <c r="C70" s="14" t="s">
        <v>136</v>
      </c>
      <c r="D70" s="12" t="s">
        <v>861</v>
      </c>
      <c r="E70" s="14" t="s">
        <v>243</v>
      </c>
      <c r="F70" s="14"/>
      <c r="G70" s="12" t="s">
        <v>862</v>
      </c>
      <c r="H70" s="14"/>
      <c r="I70" s="14"/>
      <c r="J70" s="14" t="s">
        <v>431</v>
      </c>
      <c r="K70" s="14" t="s">
        <v>134</v>
      </c>
      <c r="L70" s="31" t="s">
        <v>439</v>
      </c>
    </row>
    <row r="71" spans="1:12">
      <c r="A71" s="14"/>
      <c r="B71" s="14" t="s">
        <v>622</v>
      </c>
      <c r="C71" s="14" t="s">
        <v>136</v>
      </c>
      <c r="D71" s="12" t="s">
        <v>864</v>
      </c>
      <c r="E71" s="14" t="s">
        <v>243</v>
      </c>
      <c r="F71" s="14"/>
      <c r="G71" s="12" t="s">
        <v>865</v>
      </c>
      <c r="H71" s="14"/>
      <c r="I71" s="14"/>
      <c r="J71" s="14" t="s">
        <v>431</v>
      </c>
      <c r="K71" s="14" t="s">
        <v>134</v>
      </c>
      <c r="L71" s="31" t="s">
        <v>439</v>
      </c>
    </row>
    <row r="72" spans="1:12">
      <c r="A72" s="14"/>
      <c r="B72" s="14" t="s">
        <v>624</v>
      </c>
      <c r="C72" s="14" t="s">
        <v>136</v>
      </c>
      <c r="D72" s="12" t="s">
        <v>867</v>
      </c>
      <c r="E72" s="14" t="s">
        <v>243</v>
      </c>
      <c r="F72" s="14"/>
      <c r="G72" s="12" t="s">
        <v>868</v>
      </c>
      <c r="H72" s="14"/>
      <c r="I72" s="14"/>
      <c r="J72" s="14" t="s">
        <v>431</v>
      </c>
      <c r="K72" s="14" t="s">
        <v>134</v>
      </c>
      <c r="L72" s="31" t="s">
        <v>439</v>
      </c>
    </row>
    <row r="73" spans="1:12">
      <c r="A73" s="14"/>
      <c r="B73" s="14" t="s">
        <v>626</v>
      </c>
      <c r="C73" s="14" t="s">
        <v>136</v>
      </c>
      <c r="D73" s="12" t="s">
        <v>870</v>
      </c>
      <c r="E73" s="14" t="s">
        <v>243</v>
      </c>
      <c r="F73" s="14"/>
      <c r="G73" s="12" t="s">
        <v>871</v>
      </c>
      <c r="H73" s="14"/>
      <c r="I73" s="14"/>
      <c r="J73" s="14" t="s">
        <v>431</v>
      </c>
      <c r="K73" s="14" t="s">
        <v>134</v>
      </c>
      <c r="L73" s="31" t="s">
        <v>439</v>
      </c>
    </row>
    <row r="74" spans="1:12">
      <c r="A74" s="14"/>
      <c r="B74" s="14" t="s">
        <v>628</v>
      </c>
      <c r="C74" s="14" t="s">
        <v>136</v>
      </c>
      <c r="D74" s="12" t="s">
        <v>873</v>
      </c>
      <c r="E74" s="14" t="s">
        <v>243</v>
      </c>
      <c r="F74" s="14"/>
      <c r="G74" s="12" t="s">
        <v>874</v>
      </c>
      <c r="H74" s="14"/>
      <c r="I74" s="14"/>
      <c r="J74" s="14" t="s">
        <v>431</v>
      </c>
      <c r="K74" s="14" t="s">
        <v>134</v>
      </c>
      <c r="L74" s="31" t="s">
        <v>439</v>
      </c>
    </row>
    <row r="75" spans="1:12">
      <c r="A75" s="14"/>
      <c r="B75" s="14" t="s">
        <v>654</v>
      </c>
      <c r="C75" s="14" t="s">
        <v>136</v>
      </c>
      <c r="D75" s="12" t="s">
        <v>1188</v>
      </c>
      <c r="E75" s="14" t="s">
        <v>243</v>
      </c>
      <c r="F75" s="14"/>
      <c r="G75" s="12" t="s">
        <v>1414</v>
      </c>
      <c r="H75" s="14"/>
      <c r="I75" s="14"/>
      <c r="J75" s="14" t="s">
        <v>431</v>
      </c>
      <c r="K75" s="14" t="s">
        <v>134</v>
      </c>
      <c r="L75" s="31" t="s">
        <v>439</v>
      </c>
    </row>
    <row r="76" spans="1:12">
      <c r="A76" s="14"/>
      <c r="B76" s="14" t="s">
        <v>656</v>
      </c>
      <c r="C76" s="14" t="s">
        <v>245</v>
      </c>
      <c r="D76" s="12" t="s">
        <v>1190</v>
      </c>
      <c r="E76" s="14" t="s">
        <v>243</v>
      </c>
      <c r="F76" s="14"/>
      <c r="G76" s="12" t="s">
        <v>1415</v>
      </c>
      <c r="H76" s="14"/>
      <c r="I76" s="14"/>
      <c r="J76" s="14" t="s">
        <v>431</v>
      </c>
      <c r="K76" s="14" t="s">
        <v>134</v>
      </c>
      <c r="L76" s="31" t="s">
        <v>568</v>
      </c>
    </row>
    <row r="77" spans="1:12">
      <c r="A77" s="14"/>
      <c r="B77" s="14" t="s">
        <v>1221</v>
      </c>
      <c r="C77" s="14" t="s">
        <v>136</v>
      </c>
      <c r="D77" s="12" t="s">
        <v>1222</v>
      </c>
      <c r="E77" s="14" t="s">
        <v>243</v>
      </c>
      <c r="F77" s="14"/>
      <c r="G77" s="12" t="s">
        <v>1430</v>
      </c>
      <c r="H77" s="14"/>
      <c r="I77" s="14"/>
      <c r="J77" s="14" t="s">
        <v>431</v>
      </c>
      <c r="K77" s="14" t="s">
        <v>134</v>
      </c>
      <c r="L77" s="31" t="s">
        <v>533</v>
      </c>
    </row>
    <row r="78" spans="1:12">
      <c r="A78" s="14"/>
      <c r="B78" s="14" t="s">
        <v>904</v>
      </c>
      <c r="C78" s="14" t="s">
        <v>136</v>
      </c>
      <c r="D78" s="12" t="s">
        <v>1537</v>
      </c>
      <c r="E78" s="14" t="s">
        <v>243</v>
      </c>
      <c r="F78" s="14"/>
      <c r="G78" s="12" t="s">
        <v>1332</v>
      </c>
      <c r="H78" s="14"/>
      <c r="I78" s="14"/>
      <c r="J78" s="14" t="s">
        <v>431</v>
      </c>
      <c r="K78" s="14" t="s">
        <v>134</v>
      </c>
      <c r="L78" s="31" t="s">
        <v>439</v>
      </c>
    </row>
    <row r="79" spans="1:12">
      <c r="A79" s="14"/>
      <c r="B79" s="14" t="s">
        <v>1225</v>
      </c>
      <c r="C79" s="14" t="s">
        <v>136</v>
      </c>
      <c r="D79" s="12" t="s">
        <v>1226</v>
      </c>
      <c r="E79" s="14" t="s">
        <v>243</v>
      </c>
      <c r="F79" s="14"/>
      <c r="G79" s="12" t="s">
        <v>1432</v>
      </c>
      <c r="H79" s="14"/>
      <c r="I79" s="14"/>
      <c r="J79" s="14" t="s">
        <v>431</v>
      </c>
      <c r="K79" s="14" t="s">
        <v>134</v>
      </c>
      <c r="L79" s="31" t="s">
        <v>533</v>
      </c>
    </row>
    <row r="80" spans="1:12">
      <c r="A80" s="14"/>
      <c r="B80" s="14" t="s">
        <v>2361</v>
      </c>
      <c r="C80" s="14" t="s">
        <v>136</v>
      </c>
      <c r="D80" s="12" t="s">
        <v>1539</v>
      </c>
      <c r="E80" s="14" t="s">
        <v>243</v>
      </c>
      <c r="F80" s="14"/>
      <c r="G80" s="12" t="s">
        <v>1335</v>
      </c>
      <c r="H80" s="14"/>
      <c r="I80" s="14"/>
      <c r="J80" s="14" t="s">
        <v>431</v>
      </c>
      <c r="K80" s="14" t="s">
        <v>134</v>
      </c>
      <c r="L80" s="31" t="s">
        <v>439</v>
      </c>
    </row>
    <row r="81" spans="1:15">
      <c r="A81" s="14"/>
      <c r="B81" s="14" t="s">
        <v>1229</v>
      </c>
      <c r="C81" s="14" t="s">
        <v>136</v>
      </c>
      <c r="D81" s="12" t="s">
        <v>1230</v>
      </c>
      <c r="E81" s="14" t="s">
        <v>243</v>
      </c>
      <c r="F81" s="14"/>
      <c r="G81" s="12" t="s">
        <v>1434</v>
      </c>
      <c r="H81" s="14"/>
      <c r="I81" s="14"/>
      <c r="J81" s="14" t="s">
        <v>431</v>
      </c>
      <c r="K81" s="14" t="s">
        <v>134</v>
      </c>
      <c r="L81" s="31" t="s">
        <v>533</v>
      </c>
    </row>
    <row r="82" spans="1:15">
      <c r="A82" s="14"/>
      <c r="B82" s="14" t="s">
        <v>2363</v>
      </c>
      <c r="C82" s="14" t="s">
        <v>136</v>
      </c>
      <c r="D82" s="12" t="s">
        <v>1541</v>
      </c>
      <c r="E82" s="14" t="s">
        <v>243</v>
      </c>
      <c r="F82" s="14"/>
      <c r="G82" s="12" t="s">
        <v>1338</v>
      </c>
      <c r="H82" s="14"/>
      <c r="I82" s="14"/>
      <c r="J82" s="14" t="s">
        <v>431</v>
      </c>
      <c r="K82" s="14" t="s">
        <v>134</v>
      </c>
      <c r="L82" s="31" t="s">
        <v>439</v>
      </c>
    </row>
    <row r="83" spans="1:15" s="1" customFormat="1">
      <c r="A83" s="25"/>
      <c r="B83" s="26" t="s">
        <v>474</v>
      </c>
      <c r="C83" s="27" t="s">
        <v>136</v>
      </c>
      <c r="D83" s="20" t="s">
        <v>1543</v>
      </c>
      <c r="E83" s="28" t="s">
        <v>243</v>
      </c>
      <c r="F83" s="19"/>
      <c r="G83" s="19" t="s">
        <v>1234</v>
      </c>
      <c r="H83" s="28"/>
      <c r="I83" s="33"/>
      <c r="J83" s="33" t="s">
        <v>431</v>
      </c>
      <c r="K83" s="34" t="s">
        <v>134</v>
      </c>
      <c r="L83" s="34" t="s">
        <v>533</v>
      </c>
      <c r="O83" s="3"/>
    </row>
    <row r="84" spans="1:15" s="1" customFormat="1">
      <c r="A84" s="25"/>
      <c r="B84" s="26" t="s">
        <v>1235</v>
      </c>
      <c r="C84" s="27" t="s">
        <v>136</v>
      </c>
      <c r="D84" s="20" t="s">
        <v>1544</v>
      </c>
      <c r="E84" s="28" t="s">
        <v>243</v>
      </c>
      <c r="F84" s="19"/>
      <c r="G84" s="19" t="s">
        <v>1436</v>
      </c>
      <c r="H84" s="28"/>
      <c r="I84" s="33"/>
      <c r="J84" s="33" t="s">
        <v>431</v>
      </c>
      <c r="K84" s="34" t="s">
        <v>134</v>
      </c>
      <c r="L84" s="34" t="s">
        <v>439</v>
      </c>
      <c r="O84" s="3"/>
    </row>
    <row r="85" spans="1:15" s="1" customFormat="1">
      <c r="A85" s="25"/>
      <c r="B85" s="26" t="s">
        <v>462</v>
      </c>
      <c r="C85" s="27" t="s">
        <v>136</v>
      </c>
      <c r="D85" s="20" t="s">
        <v>463</v>
      </c>
      <c r="E85" s="28" t="s">
        <v>243</v>
      </c>
      <c r="F85" s="19"/>
      <c r="G85" s="19" t="s">
        <v>1456</v>
      </c>
      <c r="H85" s="28"/>
      <c r="I85" s="33"/>
      <c r="J85" s="33" t="s">
        <v>431</v>
      </c>
      <c r="K85" s="34" t="s">
        <v>134</v>
      </c>
      <c r="L85" s="34" t="s">
        <v>439</v>
      </c>
      <c r="O85" s="3"/>
    </row>
    <row r="86" spans="1:15" s="1" customFormat="1">
      <c r="A86" s="25"/>
      <c r="B86" s="26" t="s">
        <v>779</v>
      </c>
      <c r="C86" s="27" t="s">
        <v>136</v>
      </c>
      <c r="D86" s="20" t="s">
        <v>780</v>
      </c>
      <c r="E86" s="28" t="s">
        <v>243</v>
      </c>
      <c r="F86" s="19"/>
      <c r="G86" s="19" t="s">
        <v>1248</v>
      </c>
      <c r="H86" s="28"/>
      <c r="I86" s="33"/>
      <c r="J86" s="34" t="s">
        <v>431</v>
      </c>
      <c r="K86" s="34" t="s">
        <v>134</v>
      </c>
      <c r="L86" s="34" t="s">
        <v>439</v>
      </c>
    </row>
    <row r="87" spans="1:15" s="1" customFormat="1">
      <c r="A87" s="25"/>
      <c r="B87" s="26" t="s">
        <v>781</v>
      </c>
      <c r="C87" s="27" t="s">
        <v>136</v>
      </c>
      <c r="D87" s="20" t="s">
        <v>782</v>
      </c>
      <c r="E87" s="28" t="s">
        <v>243</v>
      </c>
      <c r="F87" s="19"/>
      <c r="G87" s="19" t="s">
        <v>1250</v>
      </c>
      <c r="H87" s="28"/>
      <c r="I87" s="33"/>
      <c r="J87" s="34" t="s">
        <v>431</v>
      </c>
      <c r="K87" s="34" t="s">
        <v>134</v>
      </c>
      <c r="L87" s="34" t="s">
        <v>439</v>
      </c>
    </row>
    <row r="88" spans="1:15" s="1" customFormat="1">
      <c r="A88" s="25"/>
      <c r="B88" s="26" t="s">
        <v>783</v>
      </c>
      <c r="C88" s="27" t="s">
        <v>136</v>
      </c>
      <c r="D88" s="20" t="s">
        <v>784</v>
      </c>
      <c r="E88" s="28" t="s">
        <v>243</v>
      </c>
      <c r="F88" s="19"/>
      <c r="G88" s="19" t="s">
        <v>1252</v>
      </c>
      <c r="H88" s="28"/>
      <c r="I88" s="33"/>
      <c r="J88" s="34" t="s">
        <v>431</v>
      </c>
      <c r="K88" s="34" t="s">
        <v>134</v>
      </c>
      <c r="L88" s="34" t="s">
        <v>439</v>
      </c>
    </row>
    <row r="89" spans="1:15" s="1" customFormat="1">
      <c r="A89" s="25"/>
      <c r="B89" s="26" t="s">
        <v>785</v>
      </c>
      <c r="C89" s="27" t="s">
        <v>136</v>
      </c>
      <c r="D89" s="20" t="s">
        <v>786</v>
      </c>
      <c r="E89" s="28" t="s">
        <v>243</v>
      </c>
      <c r="F89" s="19"/>
      <c r="G89" s="19" t="s">
        <v>1254</v>
      </c>
      <c r="H89" s="28"/>
      <c r="I89" s="33"/>
      <c r="J89" s="34" t="s">
        <v>431</v>
      </c>
      <c r="K89" s="34" t="s">
        <v>134</v>
      </c>
      <c r="L89" s="34" t="s">
        <v>439</v>
      </c>
    </row>
    <row r="90" spans="1:15" s="1" customFormat="1">
      <c r="A90" s="25"/>
      <c r="B90" s="26" t="s">
        <v>787</v>
      </c>
      <c r="C90" s="27" t="s">
        <v>136</v>
      </c>
      <c r="D90" s="20" t="s">
        <v>788</v>
      </c>
      <c r="E90" s="28" t="s">
        <v>243</v>
      </c>
      <c r="F90" s="19"/>
      <c r="G90" s="19" t="s">
        <v>1256</v>
      </c>
      <c r="H90" s="28"/>
      <c r="I90" s="33"/>
      <c r="J90" s="34" t="s">
        <v>431</v>
      </c>
      <c r="K90" s="34" t="s">
        <v>134</v>
      </c>
      <c r="L90" s="34" t="s">
        <v>439</v>
      </c>
    </row>
    <row r="91" spans="1:15" s="1" customFormat="1">
      <c r="A91" s="25"/>
      <c r="B91" s="26" t="s">
        <v>789</v>
      </c>
      <c r="C91" s="27" t="s">
        <v>136</v>
      </c>
      <c r="D91" s="20" t="s">
        <v>790</v>
      </c>
      <c r="E91" s="28" t="s">
        <v>243</v>
      </c>
      <c r="F91" s="19"/>
      <c r="G91" s="19" t="s">
        <v>1258</v>
      </c>
      <c r="H91" s="28"/>
      <c r="I91" s="33"/>
      <c r="J91" s="34" t="s">
        <v>431</v>
      </c>
      <c r="K91" s="34" t="s">
        <v>134</v>
      </c>
      <c r="L91" s="34" t="s">
        <v>439</v>
      </c>
    </row>
    <row r="92" spans="1:15" s="1" customFormat="1">
      <c r="A92" s="25"/>
      <c r="B92" s="26" t="s">
        <v>791</v>
      </c>
      <c r="C92" s="27" t="s">
        <v>136</v>
      </c>
      <c r="D92" s="20" t="s">
        <v>792</v>
      </c>
      <c r="E92" s="28" t="s">
        <v>243</v>
      </c>
      <c r="F92" s="19"/>
      <c r="G92" s="19" t="s">
        <v>1260</v>
      </c>
      <c r="H92" s="28"/>
      <c r="I92" s="33"/>
      <c r="J92" s="34" t="s">
        <v>431</v>
      </c>
      <c r="K92" s="34" t="s">
        <v>134</v>
      </c>
      <c r="L92" s="34" t="s">
        <v>439</v>
      </c>
    </row>
    <row r="93" spans="1:15" s="1" customFormat="1">
      <c r="A93" s="25"/>
      <c r="B93" s="26" t="s">
        <v>793</v>
      </c>
      <c r="C93" s="27" t="s">
        <v>136</v>
      </c>
      <c r="D93" s="20" t="s">
        <v>794</v>
      </c>
      <c r="E93" s="28" t="s">
        <v>243</v>
      </c>
      <c r="F93" s="19"/>
      <c r="G93" s="19" t="s">
        <v>1262</v>
      </c>
      <c r="H93" s="28"/>
      <c r="I93" s="33"/>
      <c r="J93" s="34" t="s">
        <v>431</v>
      </c>
      <c r="K93" s="34" t="s">
        <v>134</v>
      </c>
      <c r="L93" s="34" t="s">
        <v>439</v>
      </c>
    </row>
    <row r="94" spans="1:15" s="1" customFormat="1">
      <c r="A94" s="25"/>
      <c r="B94" s="26" t="s">
        <v>795</v>
      </c>
      <c r="C94" s="27" t="s">
        <v>136</v>
      </c>
      <c r="D94" s="20" t="s">
        <v>796</v>
      </c>
      <c r="E94" s="28" t="s">
        <v>243</v>
      </c>
      <c r="F94" s="19"/>
      <c r="G94" s="19" t="s">
        <v>1264</v>
      </c>
      <c r="H94" s="28"/>
      <c r="I94" s="33"/>
      <c r="J94" s="34" t="s">
        <v>431</v>
      </c>
      <c r="K94" s="34" t="s">
        <v>134</v>
      </c>
      <c r="L94" s="34" t="s">
        <v>439</v>
      </c>
    </row>
    <row r="95" spans="1:15" s="1" customFormat="1">
      <c r="A95" s="25"/>
      <c r="B95" s="26" t="s">
        <v>797</v>
      </c>
      <c r="C95" s="27" t="s">
        <v>136</v>
      </c>
      <c r="D95" s="20" t="s">
        <v>798</v>
      </c>
      <c r="E95" s="28" t="s">
        <v>243</v>
      </c>
      <c r="F95" s="19"/>
      <c r="G95" s="19" t="s">
        <v>1266</v>
      </c>
      <c r="H95" s="28"/>
      <c r="I95" s="33"/>
      <c r="J95" s="34" t="s">
        <v>431</v>
      </c>
      <c r="K95" s="34" t="s">
        <v>134</v>
      </c>
      <c r="L95" s="34" t="s">
        <v>439</v>
      </c>
    </row>
    <row r="96" spans="1:15" s="1" customFormat="1">
      <c r="A96" s="25"/>
      <c r="B96" s="26" t="s">
        <v>799</v>
      </c>
      <c r="C96" s="27" t="s">
        <v>136</v>
      </c>
      <c r="D96" s="20" t="s">
        <v>800</v>
      </c>
      <c r="E96" s="28" t="s">
        <v>243</v>
      </c>
      <c r="F96" s="19"/>
      <c r="G96" s="19" t="s">
        <v>1246</v>
      </c>
      <c r="H96" s="28"/>
      <c r="I96" s="33"/>
      <c r="J96" s="34" t="s">
        <v>431</v>
      </c>
      <c r="K96" s="34" t="s">
        <v>134</v>
      </c>
      <c r="L96" s="34" t="s">
        <v>439</v>
      </c>
    </row>
    <row r="97" spans="1:12" s="1" customFormat="1">
      <c r="A97" s="25"/>
      <c r="B97" s="26" t="s">
        <v>801</v>
      </c>
      <c r="C97" s="27" t="s">
        <v>136</v>
      </c>
      <c r="D97" s="20" t="s">
        <v>802</v>
      </c>
      <c r="E97" s="28" t="s">
        <v>243</v>
      </c>
      <c r="F97" s="19"/>
      <c r="G97" s="19" t="s">
        <v>1269</v>
      </c>
      <c r="H97" s="28"/>
      <c r="I97" s="33"/>
      <c r="J97" s="34" t="s">
        <v>431</v>
      </c>
      <c r="K97" s="34" t="s">
        <v>134</v>
      </c>
      <c r="L97" s="34" t="s">
        <v>439</v>
      </c>
    </row>
    <row r="98" spans="1:12" s="1" customFormat="1">
      <c r="A98" s="25"/>
      <c r="B98" s="26" t="s">
        <v>803</v>
      </c>
      <c r="C98" s="27" t="s">
        <v>136</v>
      </c>
      <c r="D98" s="20" t="s">
        <v>804</v>
      </c>
      <c r="E98" s="28" t="s">
        <v>243</v>
      </c>
      <c r="F98" s="19"/>
      <c r="G98" s="19" t="s">
        <v>1271</v>
      </c>
      <c r="H98" s="28"/>
      <c r="I98" s="33"/>
      <c r="J98" s="34" t="s">
        <v>431</v>
      </c>
      <c r="K98" s="34" t="s">
        <v>134</v>
      </c>
      <c r="L98" s="34" t="s">
        <v>439</v>
      </c>
    </row>
    <row r="99" spans="1:12" s="1" customFormat="1">
      <c r="A99" s="25"/>
      <c r="B99" s="26" t="s">
        <v>805</v>
      </c>
      <c r="C99" s="27" t="s">
        <v>136</v>
      </c>
      <c r="D99" s="20" t="s">
        <v>806</v>
      </c>
      <c r="E99" s="28" t="s">
        <v>243</v>
      </c>
      <c r="F99" s="19"/>
      <c r="G99" s="19" t="s">
        <v>1274</v>
      </c>
      <c r="H99" s="28"/>
      <c r="I99" s="33"/>
      <c r="J99" s="34" t="s">
        <v>431</v>
      </c>
      <c r="K99" s="34" t="s">
        <v>134</v>
      </c>
      <c r="L99" s="34" t="s">
        <v>439</v>
      </c>
    </row>
    <row r="100" spans="1:12" s="4" customFormat="1">
      <c r="A100" s="36"/>
      <c r="B100" s="36" t="s">
        <v>233</v>
      </c>
      <c r="C100" s="36" t="s">
        <v>139</v>
      </c>
      <c r="D100" s="37" t="s">
        <v>234</v>
      </c>
      <c r="E100" s="36"/>
      <c r="F100" s="36"/>
      <c r="G100" s="37"/>
      <c r="H100" s="36"/>
      <c r="I100" s="36"/>
      <c r="J100" s="36"/>
      <c r="K100" s="36"/>
      <c r="L100" s="38"/>
    </row>
    <row r="101" spans="1:12" s="4" customFormat="1">
      <c r="A101" s="36"/>
      <c r="B101" s="36" t="s">
        <v>235</v>
      </c>
      <c r="C101" s="36" t="s">
        <v>132</v>
      </c>
      <c r="D101" s="37" t="s">
        <v>1548</v>
      </c>
      <c r="E101" s="36"/>
      <c r="F101" s="36"/>
      <c r="G101" s="37"/>
      <c r="H101" s="36"/>
      <c r="I101" s="36"/>
      <c r="J101" s="36"/>
      <c r="K101" s="36"/>
      <c r="L101" s="38"/>
    </row>
    <row r="102" spans="1:12" s="4" customFormat="1">
      <c r="A102" s="36"/>
      <c r="B102" s="36" t="s">
        <v>237</v>
      </c>
      <c r="C102" s="36" t="s">
        <v>139</v>
      </c>
      <c r="D102" s="37" t="s">
        <v>238</v>
      </c>
      <c r="E102" s="36"/>
      <c r="F102" s="36"/>
      <c r="G102" s="37"/>
      <c r="H102" s="36"/>
      <c r="I102" s="36"/>
      <c r="J102" s="36"/>
      <c r="K102" s="36"/>
      <c r="L102" s="38"/>
    </row>
  </sheetData>
  <autoFilter ref="A14:Q102" xr:uid="{00000000-0009-0000-0000-00001A000000}">
    <sortState xmlns:xlrd2="http://schemas.microsoft.com/office/spreadsheetml/2017/richdata2" ref="A14:Q102">
      <sortCondition ref="A14"/>
    </sortState>
  </autoFilter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72"/>
  <sheetViews>
    <sheetView zoomScale="85" zoomScaleNormal="85" workbookViewId="0">
      <pane ySplit="5" topLeftCell="A6" activePane="bottomLeft" state="frozen"/>
      <selection activeCell="F6" sqref="F6"/>
      <selection pane="bottomLeft" activeCell="C9" sqref="C9"/>
    </sheetView>
  </sheetViews>
  <sheetFormatPr defaultColWidth="9" defaultRowHeight="13.2"/>
  <cols>
    <col min="1" max="1" width="1.33203125" style="5" customWidth="1"/>
    <col min="2" max="2" width="23.6640625" style="5" customWidth="1"/>
    <col min="3" max="3" width="30.21875" style="5" customWidth="1"/>
    <col min="4" max="4" width="32.21875" style="5" customWidth="1"/>
    <col min="5" max="5" width="16.21875" style="5" customWidth="1"/>
    <col min="6" max="6" width="31" style="5" customWidth="1"/>
    <col min="7" max="7" width="39.5546875" style="5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2:12">
      <c r="B1" s="7" t="str">
        <f>HYPERLINK("#导航!a2","返回")</f>
        <v>返回</v>
      </c>
    </row>
    <row r="2" spans="2:12">
      <c r="B2" s="156"/>
      <c r="C2" s="156"/>
      <c r="D2" s="156"/>
      <c r="E2" s="156"/>
      <c r="F2" s="156"/>
      <c r="G2" s="156"/>
      <c r="H2" s="156"/>
    </row>
    <row r="3" spans="2:12">
      <c r="B3" s="157" t="s">
        <v>106</v>
      </c>
      <c r="C3" s="157"/>
      <c r="D3" s="157"/>
      <c r="E3" s="157"/>
      <c r="F3" s="157"/>
      <c r="G3" s="157"/>
      <c r="H3" s="157"/>
    </row>
    <row r="4" spans="2:12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2:12">
      <c r="B5" s="11" t="s">
        <v>55</v>
      </c>
      <c r="C5" s="12" t="s">
        <v>2317</v>
      </c>
      <c r="D5" s="13" t="s">
        <v>96</v>
      </c>
      <c r="E5" s="14" t="s">
        <v>383</v>
      </c>
      <c r="F5" s="15"/>
      <c r="G5" s="14"/>
      <c r="H5" s="14"/>
    </row>
    <row r="6" spans="2:12">
      <c r="B6" s="8"/>
      <c r="C6" s="8"/>
      <c r="D6" s="8"/>
      <c r="E6" s="8"/>
      <c r="F6" s="8"/>
      <c r="G6" s="8"/>
      <c r="H6" s="8"/>
    </row>
    <row r="7" spans="2:12">
      <c r="B7" s="157" t="s">
        <v>113</v>
      </c>
      <c r="C7" s="157"/>
      <c r="D7" s="157"/>
      <c r="E7" s="157"/>
      <c r="F7" s="157"/>
      <c r="G7" s="157"/>
      <c r="H7" s="157"/>
    </row>
    <row r="8" spans="2:12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2:12">
      <c r="B9" s="14"/>
      <c r="C9" s="12" t="s">
        <v>2288</v>
      </c>
      <c r="D9" s="12" t="s">
        <v>2325</v>
      </c>
      <c r="E9" s="14" t="s">
        <v>243</v>
      </c>
      <c r="F9" s="19"/>
      <c r="G9" s="19"/>
      <c r="H9" s="21" t="s">
        <v>38</v>
      </c>
    </row>
    <row r="10" spans="2:12">
      <c r="B10" s="14"/>
      <c r="C10" s="12"/>
      <c r="D10" s="12"/>
      <c r="E10" s="14"/>
      <c r="F10" s="19"/>
      <c r="G10" s="19"/>
      <c r="H10" s="14"/>
    </row>
    <row r="11" spans="2:12">
      <c r="G11" s="48"/>
    </row>
    <row r="12" spans="2:12">
      <c r="B12" s="5" t="s">
        <v>120</v>
      </c>
    </row>
    <row r="13" spans="2:12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2:12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2:12" s="2" customFormat="1">
      <c r="B15" s="49" t="s">
        <v>383</v>
      </c>
      <c r="C15" s="49" t="s">
        <v>132</v>
      </c>
      <c r="D15" s="12" t="s">
        <v>480</v>
      </c>
      <c r="E15" s="30" t="s">
        <v>243</v>
      </c>
      <c r="F15" s="19" t="s">
        <v>235</v>
      </c>
      <c r="G15" s="19" t="s">
        <v>250</v>
      </c>
      <c r="H15" s="32"/>
      <c r="I15" s="34"/>
      <c r="J15" s="34" t="s">
        <v>384</v>
      </c>
      <c r="K15" s="34" t="s">
        <v>134</v>
      </c>
      <c r="L15" s="34" t="s">
        <v>134</v>
      </c>
    </row>
    <row r="16" spans="2:12" s="2" customFormat="1">
      <c r="B16" s="49" t="s">
        <v>284</v>
      </c>
      <c r="C16" s="49" t="s">
        <v>132</v>
      </c>
      <c r="D16" s="12" t="s">
        <v>484</v>
      </c>
      <c r="E16" s="30" t="s">
        <v>243</v>
      </c>
      <c r="F16" s="19" t="s">
        <v>284</v>
      </c>
      <c r="G16" s="19" t="s">
        <v>250</v>
      </c>
      <c r="H16" s="32"/>
      <c r="I16" s="34"/>
      <c r="J16" s="34" t="s">
        <v>384</v>
      </c>
      <c r="K16" s="34" t="s">
        <v>134</v>
      </c>
      <c r="L16" s="34" t="s">
        <v>134</v>
      </c>
    </row>
    <row r="17" spans="1:15" s="2" customFormat="1">
      <c r="A17" s="29"/>
      <c r="B17" s="49" t="s">
        <v>287</v>
      </c>
      <c r="C17" s="49" t="s">
        <v>136</v>
      </c>
      <c r="D17" s="12" t="s">
        <v>808</v>
      </c>
      <c r="E17" s="30" t="s">
        <v>243</v>
      </c>
      <c r="F17" s="19" t="s">
        <v>287</v>
      </c>
      <c r="G17" s="19" t="s">
        <v>250</v>
      </c>
      <c r="H17" s="32"/>
      <c r="I17" s="35"/>
      <c r="J17" s="34" t="s">
        <v>384</v>
      </c>
      <c r="K17" s="34" t="s">
        <v>134</v>
      </c>
      <c r="L17" s="34" t="s">
        <v>134</v>
      </c>
    </row>
    <row r="18" spans="1:15" s="2" customFormat="1">
      <c r="A18" s="29"/>
      <c r="B18" s="49" t="s">
        <v>141</v>
      </c>
      <c r="C18" s="49" t="s">
        <v>132</v>
      </c>
      <c r="D18" s="12" t="s">
        <v>143</v>
      </c>
      <c r="E18" s="30" t="s">
        <v>243</v>
      </c>
      <c r="F18" s="19" t="s">
        <v>141</v>
      </c>
      <c r="G18" s="19" t="s">
        <v>250</v>
      </c>
      <c r="H18" s="32"/>
      <c r="I18" s="35"/>
      <c r="J18" s="34" t="s">
        <v>384</v>
      </c>
      <c r="K18" s="34" t="s">
        <v>134</v>
      </c>
      <c r="L18" s="34" t="s">
        <v>134</v>
      </c>
    </row>
    <row r="19" spans="1:15" s="2" customFormat="1">
      <c r="A19" s="29"/>
      <c r="B19" s="14" t="s">
        <v>491</v>
      </c>
      <c r="C19" s="14" t="s">
        <v>139</v>
      </c>
      <c r="D19" s="12" t="s">
        <v>1585</v>
      </c>
      <c r="E19" s="30" t="s">
        <v>243</v>
      </c>
      <c r="F19" s="19" t="s">
        <v>491</v>
      </c>
      <c r="G19" s="19" t="s">
        <v>250</v>
      </c>
      <c r="H19" s="32"/>
      <c r="I19" s="35"/>
      <c r="J19" s="34" t="s">
        <v>384</v>
      </c>
      <c r="K19" s="34" t="s">
        <v>134</v>
      </c>
      <c r="L19" s="34" t="s">
        <v>134</v>
      </c>
    </row>
    <row r="20" spans="1:15" s="2" customFormat="1">
      <c r="A20" s="29"/>
      <c r="B20" s="14" t="s">
        <v>211</v>
      </c>
      <c r="C20" s="14" t="s">
        <v>139</v>
      </c>
      <c r="D20" s="12" t="s">
        <v>810</v>
      </c>
      <c r="E20" s="30" t="s">
        <v>243</v>
      </c>
      <c r="F20" s="19" t="s">
        <v>211</v>
      </c>
      <c r="G20" s="19" t="s">
        <v>250</v>
      </c>
      <c r="H20" s="32"/>
      <c r="I20" s="35"/>
      <c r="J20" s="34" t="s">
        <v>384</v>
      </c>
      <c r="K20" s="34" t="s">
        <v>134</v>
      </c>
      <c r="L20" s="34" t="s">
        <v>134</v>
      </c>
    </row>
    <row r="21" spans="1:15" s="2" customFormat="1">
      <c r="A21" s="29"/>
      <c r="B21" s="14" t="s">
        <v>371</v>
      </c>
      <c r="C21" s="14" t="s">
        <v>139</v>
      </c>
      <c r="D21" s="12" t="s">
        <v>497</v>
      </c>
      <c r="E21" s="30" t="s">
        <v>243</v>
      </c>
      <c r="F21" s="19" t="s">
        <v>371</v>
      </c>
      <c r="G21" s="19" t="s">
        <v>250</v>
      </c>
      <c r="H21" s="32"/>
      <c r="I21" s="35"/>
      <c r="J21" s="34" t="s">
        <v>384</v>
      </c>
      <c r="K21" s="34" t="s">
        <v>134</v>
      </c>
      <c r="L21" s="34" t="s">
        <v>134</v>
      </c>
    </row>
    <row r="22" spans="1:15" s="2" customFormat="1">
      <c r="A22" s="29"/>
      <c r="B22" s="14" t="s">
        <v>373</v>
      </c>
      <c r="C22" s="14" t="s">
        <v>139</v>
      </c>
      <c r="D22" s="12" t="s">
        <v>498</v>
      </c>
      <c r="E22" s="30" t="s">
        <v>243</v>
      </c>
      <c r="F22" s="19" t="s">
        <v>373</v>
      </c>
      <c r="G22" s="19" t="s">
        <v>250</v>
      </c>
      <c r="H22" s="32"/>
      <c r="I22" s="35"/>
      <c r="J22" s="34" t="s">
        <v>384</v>
      </c>
      <c r="K22" s="34" t="s">
        <v>134</v>
      </c>
      <c r="L22" s="34" t="s">
        <v>134</v>
      </c>
    </row>
    <row r="23" spans="1:15" s="2" customFormat="1">
      <c r="A23" s="29"/>
      <c r="B23" s="14" t="s">
        <v>273</v>
      </c>
      <c r="C23" s="14" t="s">
        <v>139</v>
      </c>
      <c r="D23" s="12" t="s">
        <v>274</v>
      </c>
      <c r="E23" s="30" t="s">
        <v>243</v>
      </c>
      <c r="F23" s="19" t="s">
        <v>273</v>
      </c>
      <c r="G23" s="19" t="s">
        <v>250</v>
      </c>
      <c r="H23" s="32"/>
      <c r="I23" s="35"/>
      <c r="J23" s="34" t="s">
        <v>384</v>
      </c>
      <c r="K23" s="34" t="s">
        <v>134</v>
      </c>
      <c r="L23" s="34" t="s">
        <v>134</v>
      </c>
    </row>
    <row r="24" spans="1:15" s="2" customFormat="1">
      <c r="A24" s="29"/>
      <c r="B24" s="49" t="s">
        <v>385</v>
      </c>
      <c r="C24" s="49" t="s">
        <v>139</v>
      </c>
      <c r="D24" s="12" t="s">
        <v>487</v>
      </c>
      <c r="E24" s="30" t="s">
        <v>243</v>
      </c>
      <c r="F24" s="19" t="s">
        <v>385</v>
      </c>
      <c r="G24" s="19" t="s">
        <v>250</v>
      </c>
      <c r="H24" s="32"/>
      <c r="I24" s="35"/>
      <c r="J24" s="34" t="s">
        <v>384</v>
      </c>
      <c r="K24" s="34" t="s">
        <v>134</v>
      </c>
      <c r="L24" s="34" t="s">
        <v>134</v>
      </c>
    </row>
    <row r="25" spans="1:15" s="2" customFormat="1">
      <c r="A25" s="29"/>
      <c r="B25" s="14" t="s">
        <v>388</v>
      </c>
      <c r="C25" s="14" t="s">
        <v>139</v>
      </c>
      <c r="D25" s="12" t="s">
        <v>488</v>
      </c>
      <c r="E25" s="30" t="s">
        <v>243</v>
      </c>
      <c r="F25" s="19" t="s">
        <v>388</v>
      </c>
      <c r="G25" s="19" t="s">
        <v>250</v>
      </c>
      <c r="H25" s="32"/>
      <c r="I25" s="35"/>
      <c r="J25" s="34" t="s">
        <v>384</v>
      </c>
      <c r="K25" s="34" t="s">
        <v>134</v>
      </c>
      <c r="L25" s="34" t="s">
        <v>134</v>
      </c>
    </row>
    <row r="26" spans="1:15" s="2" customFormat="1">
      <c r="A26" s="29"/>
      <c r="B26" s="14" t="s">
        <v>1058</v>
      </c>
      <c r="C26" s="14" t="s">
        <v>245</v>
      </c>
      <c r="D26" s="12" t="s">
        <v>513</v>
      </c>
      <c r="E26" s="30" t="s">
        <v>243</v>
      </c>
      <c r="F26" s="19"/>
      <c r="G26" s="19" t="s">
        <v>1368</v>
      </c>
      <c r="H26" s="32"/>
      <c r="I26" s="35"/>
      <c r="J26" s="34" t="s">
        <v>431</v>
      </c>
      <c r="K26" s="34" t="s">
        <v>134</v>
      </c>
      <c r="L26" s="34" t="s">
        <v>1623</v>
      </c>
    </row>
    <row r="27" spans="1:15" s="2" customFormat="1">
      <c r="A27" s="29"/>
      <c r="B27" s="14" t="s">
        <v>1060</v>
      </c>
      <c r="C27" s="14" t="s">
        <v>245</v>
      </c>
      <c r="D27" s="12" t="s">
        <v>516</v>
      </c>
      <c r="E27" s="30" t="s">
        <v>243</v>
      </c>
      <c r="F27" s="19"/>
      <c r="G27" s="19" t="s">
        <v>1369</v>
      </c>
      <c r="H27" s="32"/>
      <c r="I27" s="35"/>
      <c r="J27" s="34" t="s">
        <v>431</v>
      </c>
      <c r="K27" s="34" t="s">
        <v>134</v>
      </c>
      <c r="L27" s="34" t="s">
        <v>1623</v>
      </c>
    </row>
    <row r="28" spans="1:15" s="2" customFormat="1">
      <c r="A28" s="29"/>
      <c r="B28" s="14" t="s">
        <v>499</v>
      </c>
      <c r="C28" s="14" t="s">
        <v>245</v>
      </c>
      <c r="D28" s="12" t="s">
        <v>500</v>
      </c>
      <c r="E28" s="30" t="s">
        <v>243</v>
      </c>
      <c r="F28" s="19" t="s">
        <v>499</v>
      </c>
      <c r="G28" s="19" t="s">
        <v>250</v>
      </c>
      <c r="H28" s="32"/>
      <c r="I28" s="35"/>
      <c r="J28" s="34" t="s">
        <v>384</v>
      </c>
      <c r="K28" s="34" t="s">
        <v>134</v>
      </c>
      <c r="L28" s="34" t="s">
        <v>134</v>
      </c>
    </row>
    <row r="29" spans="1:15" s="2" customFormat="1">
      <c r="A29" s="29"/>
      <c r="B29" s="49" t="s">
        <v>502</v>
      </c>
      <c r="C29" s="49" t="s">
        <v>245</v>
      </c>
      <c r="D29" s="12" t="s">
        <v>503</v>
      </c>
      <c r="E29" s="30" t="s">
        <v>243</v>
      </c>
      <c r="F29" s="19" t="s">
        <v>502</v>
      </c>
      <c r="G29" s="19" t="s">
        <v>250</v>
      </c>
      <c r="H29" s="32"/>
      <c r="I29" s="35"/>
      <c r="J29" s="34" t="s">
        <v>384</v>
      </c>
      <c r="K29" s="34" t="s">
        <v>134</v>
      </c>
      <c r="L29" s="34" t="s">
        <v>134</v>
      </c>
    </row>
    <row r="30" spans="1:15" s="2" customFormat="1">
      <c r="B30" s="49" t="s">
        <v>1062</v>
      </c>
      <c r="C30" s="49" t="s">
        <v>136</v>
      </c>
      <c r="D30" s="12" t="s">
        <v>519</v>
      </c>
      <c r="E30" s="30" t="s">
        <v>243</v>
      </c>
      <c r="F30" s="19"/>
      <c r="G30" s="19" t="s">
        <v>2295</v>
      </c>
      <c r="H30" s="32"/>
      <c r="I30" s="35"/>
      <c r="J30" s="34" t="s">
        <v>431</v>
      </c>
      <c r="K30" s="34" t="s">
        <v>134</v>
      </c>
      <c r="L30" s="34" t="s">
        <v>439</v>
      </c>
    </row>
    <row r="31" spans="1:15" s="2" customFormat="1">
      <c r="B31" s="49" t="s">
        <v>936</v>
      </c>
      <c r="C31" s="49" t="s">
        <v>136</v>
      </c>
      <c r="D31" s="12" t="s">
        <v>1586</v>
      </c>
      <c r="E31" s="30" t="s">
        <v>243</v>
      </c>
      <c r="F31" s="31"/>
      <c r="G31" s="19" t="s">
        <v>1340</v>
      </c>
      <c r="H31" s="32"/>
      <c r="I31" s="35"/>
      <c r="J31" s="34" t="s">
        <v>431</v>
      </c>
      <c r="K31" s="34" t="s">
        <v>134</v>
      </c>
      <c r="L31" s="34" t="s">
        <v>439</v>
      </c>
    </row>
    <row r="32" spans="1:15" s="29" customFormat="1">
      <c r="B32" s="49" t="s">
        <v>939</v>
      </c>
      <c r="C32" s="49" t="s">
        <v>136</v>
      </c>
      <c r="D32" s="12" t="s">
        <v>1587</v>
      </c>
      <c r="E32" s="30" t="s">
        <v>243</v>
      </c>
      <c r="F32" s="31"/>
      <c r="G32" s="19" t="s">
        <v>1341</v>
      </c>
      <c r="H32" s="32"/>
      <c r="I32" s="35"/>
      <c r="J32" s="34" t="s">
        <v>431</v>
      </c>
      <c r="K32" s="34" t="s">
        <v>134</v>
      </c>
      <c r="L32" s="34" t="s">
        <v>439</v>
      </c>
      <c r="O32" s="2"/>
    </row>
    <row r="33" spans="1:15" s="29" customFormat="1">
      <c r="B33" s="49" t="s">
        <v>942</v>
      </c>
      <c r="C33" s="49" t="s">
        <v>245</v>
      </c>
      <c r="D33" s="12" t="s">
        <v>1588</v>
      </c>
      <c r="E33" s="30" t="s">
        <v>243</v>
      </c>
      <c r="F33" s="31"/>
      <c r="G33" s="19" t="s">
        <v>1342</v>
      </c>
      <c r="H33" s="32"/>
      <c r="I33" s="35"/>
      <c r="J33" s="34" t="s">
        <v>431</v>
      </c>
      <c r="K33" s="34" t="s">
        <v>134</v>
      </c>
      <c r="L33" s="34" t="s">
        <v>439</v>
      </c>
      <c r="O33" s="2"/>
    </row>
    <row r="34" spans="1:15" s="1" customFormat="1">
      <c r="A34" s="25"/>
      <c r="B34" s="26" t="s">
        <v>811</v>
      </c>
      <c r="C34" s="26" t="s">
        <v>136</v>
      </c>
      <c r="D34" s="12" t="s">
        <v>1589</v>
      </c>
      <c r="E34" s="30" t="s">
        <v>243</v>
      </c>
      <c r="F34" s="31"/>
      <c r="G34" s="19" t="s">
        <v>1306</v>
      </c>
      <c r="H34" s="32"/>
      <c r="I34" s="35"/>
      <c r="J34" s="34" t="s">
        <v>431</v>
      </c>
      <c r="K34" s="34" t="s">
        <v>134</v>
      </c>
      <c r="L34" s="34" t="s">
        <v>439</v>
      </c>
      <c r="O34" s="2"/>
    </row>
    <row r="35" spans="1:15" s="2" customFormat="1">
      <c r="A35" s="29"/>
      <c r="B35" s="14" t="s">
        <v>1064</v>
      </c>
      <c r="C35" s="14" t="s">
        <v>136</v>
      </c>
      <c r="D35" s="12" t="s">
        <v>1590</v>
      </c>
      <c r="E35" s="30" t="s">
        <v>243</v>
      </c>
      <c r="F35" s="31"/>
      <c r="G35" s="19" t="s">
        <v>1066</v>
      </c>
      <c r="H35" s="32"/>
      <c r="I35" s="35"/>
      <c r="J35" s="34" t="s">
        <v>431</v>
      </c>
      <c r="K35" s="34" t="s">
        <v>134</v>
      </c>
      <c r="L35" s="40">
        <v>0</v>
      </c>
    </row>
    <row r="36" spans="1:15" s="29" customFormat="1">
      <c r="B36" s="49" t="s">
        <v>1067</v>
      </c>
      <c r="C36" s="49" t="s">
        <v>136</v>
      </c>
      <c r="D36" s="12" t="s">
        <v>1591</v>
      </c>
      <c r="E36" s="30" t="s">
        <v>243</v>
      </c>
      <c r="F36" s="31"/>
      <c r="G36" s="19" t="s">
        <v>1066</v>
      </c>
      <c r="H36" s="30"/>
      <c r="I36" s="35"/>
      <c r="J36" s="34" t="s">
        <v>431</v>
      </c>
      <c r="K36" s="34" t="s">
        <v>134</v>
      </c>
      <c r="L36" s="40">
        <v>0</v>
      </c>
      <c r="O36" s="2"/>
    </row>
    <row r="37" spans="1:15" s="29" customFormat="1">
      <c r="B37" s="49" t="s">
        <v>820</v>
      </c>
      <c r="C37" s="49" t="s">
        <v>136</v>
      </c>
      <c r="D37" s="12" t="s">
        <v>821</v>
      </c>
      <c r="E37" s="30" t="s">
        <v>243</v>
      </c>
      <c r="F37" s="31"/>
      <c r="G37" s="19" t="s">
        <v>1309</v>
      </c>
      <c r="H37" s="32"/>
      <c r="I37" s="35"/>
      <c r="J37" s="34" t="s">
        <v>431</v>
      </c>
      <c r="K37" s="34" t="s">
        <v>134</v>
      </c>
      <c r="L37" s="34" t="s">
        <v>439</v>
      </c>
      <c r="O37" s="2"/>
    </row>
    <row r="38" spans="1:15" s="29" customFormat="1">
      <c r="B38" s="49" t="s">
        <v>814</v>
      </c>
      <c r="C38" s="49" t="s">
        <v>136</v>
      </c>
      <c r="D38" s="12" t="s">
        <v>815</v>
      </c>
      <c r="E38" s="30" t="s">
        <v>243</v>
      </c>
      <c r="F38" s="31"/>
      <c r="G38" s="19" t="s">
        <v>1307</v>
      </c>
      <c r="H38" s="32"/>
      <c r="I38" s="35"/>
      <c r="J38" s="34" t="s">
        <v>431</v>
      </c>
      <c r="K38" s="34" t="s">
        <v>134</v>
      </c>
      <c r="L38" s="34" t="s">
        <v>533</v>
      </c>
      <c r="O38" s="2"/>
    </row>
    <row r="39" spans="1:15" s="29" customFormat="1">
      <c r="B39" s="49" t="s">
        <v>817</v>
      </c>
      <c r="C39" s="55" t="s">
        <v>245</v>
      </c>
      <c r="D39" s="12" t="s">
        <v>818</v>
      </c>
      <c r="E39" s="30" t="s">
        <v>243</v>
      </c>
      <c r="F39" s="31"/>
      <c r="G39" s="19" t="s">
        <v>1308</v>
      </c>
      <c r="H39" s="32"/>
      <c r="I39" s="35"/>
      <c r="J39" s="34" t="s">
        <v>431</v>
      </c>
      <c r="K39" s="34" t="s">
        <v>134</v>
      </c>
      <c r="L39" s="34" t="s">
        <v>432</v>
      </c>
      <c r="O39" s="2"/>
    </row>
    <row r="40" spans="1:15" s="5" customFormat="1">
      <c r="B40" s="49" t="s">
        <v>2297</v>
      </c>
      <c r="C40" s="55" t="s">
        <v>136</v>
      </c>
      <c r="D40" s="12" t="s">
        <v>1070</v>
      </c>
      <c r="E40" s="30" t="s">
        <v>243</v>
      </c>
      <c r="F40" s="31"/>
      <c r="G40" s="19" t="s">
        <v>1310</v>
      </c>
      <c r="H40" s="63"/>
      <c r="I40" s="33"/>
      <c r="J40" s="34" t="s">
        <v>431</v>
      </c>
      <c r="K40" s="34" t="s">
        <v>134</v>
      </c>
      <c r="L40" s="34" t="s">
        <v>439</v>
      </c>
      <c r="O40" s="2"/>
    </row>
    <row r="41" spans="1:15" s="5" customFormat="1">
      <c r="B41" s="49" t="s">
        <v>826</v>
      </c>
      <c r="C41" s="55" t="s">
        <v>136</v>
      </c>
      <c r="D41" s="12" t="s">
        <v>1073</v>
      </c>
      <c r="E41" s="30" t="s">
        <v>243</v>
      </c>
      <c r="F41" s="31"/>
      <c r="G41" s="19" t="s">
        <v>1311</v>
      </c>
      <c r="H41" s="63"/>
      <c r="I41" s="33"/>
      <c r="J41" s="34" t="s">
        <v>431</v>
      </c>
      <c r="K41" s="34" t="s">
        <v>134</v>
      </c>
      <c r="L41" s="34" t="s">
        <v>439</v>
      </c>
      <c r="O41" s="2"/>
    </row>
    <row r="42" spans="1:15" s="5" customFormat="1">
      <c r="B42" s="49" t="s">
        <v>829</v>
      </c>
      <c r="C42" s="55" t="s">
        <v>136</v>
      </c>
      <c r="D42" s="12" t="s">
        <v>1076</v>
      </c>
      <c r="E42" s="30" t="s">
        <v>243</v>
      </c>
      <c r="F42" s="31"/>
      <c r="G42" s="19" t="s">
        <v>1312</v>
      </c>
      <c r="H42" s="63"/>
      <c r="I42" s="33"/>
      <c r="J42" s="34" t="s">
        <v>431</v>
      </c>
      <c r="K42" s="34" t="s">
        <v>134</v>
      </c>
      <c r="L42" s="34" t="s">
        <v>439</v>
      </c>
      <c r="O42" s="2"/>
    </row>
    <row r="43" spans="1:15" s="5" customFormat="1">
      <c r="B43" s="49" t="s">
        <v>832</v>
      </c>
      <c r="C43" s="55" t="s">
        <v>136</v>
      </c>
      <c r="D43" s="12" t="s">
        <v>1079</v>
      </c>
      <c r="E43" s="30" t="s">
        <v>243</v>
      </c>
      <c r="F43" s="31"/>
      <c r="G43" s="19" t="s">
        <v>1313</v>
      </c>
      <c r="H43" s="63"/>
      <c r="I43" s="33"/>
      <c r="J43" s="34" t="s">
        <v>431</v>
      </c>
      <c r="K43" s="34" t="s">
        <v>134</v>
      </c>
      <c r="L43" s="34" t="s">
        <v>439</v>
      </c>
      <c r="O43" s="2"/>
    </row>
    <row r="44" spans="1:15" s="5" customFormat="1">
      <c r="B44" s="49" t="s">
        <v>835</v>
      </c>
      <c r="C44" s="55" t="s">
        <v>136</v>
      </c>
      <c r="D44" s="12" t="s">
        <v>1081</v>
      </c>
      <c r="E44" s="30" t="s">
        <v>243</v>
      </c>
      <c r="F44" s="31"/>
      <c r="G44" s="19" t="s">
        <v>1314</v>
      </c>
      <c r="H44" s="63"/>
      <c r="I44" s="33"/>
      <c r="J44" s="34" t="s">
        <v>431</v>
      </c>
      <c r="K44" s="34" t="s">
        <v>134</v>
      </c>
      <c r="L44" s="34" t="s">
        <v>439</v>
      </c>
      <c r="O44" s="2"/>
    </row>
    <row r="45" spans="1:15" s="1" customFormat="1">
      <c r="A45" s="25"/>
      <c r="B45" s="26" t="s">
        <v>838</v>
      </c>
      <c r="C45" s="26" t="s">
        <v>136</v>
      </c>
      <c r="D45" s="12" t="s">
        <v>1083</v>
      </c>
      <c r="E45" s="30" t="s">
        <v>243</v>
      </c>
      <c r="F45" s="31"/>
      <c r="G45" s="19" t="s">
        <v>1315</v>
      </c>
      <c r="H45" s="63"/>
      <c r="I45" s="33"/>
      <c r="J45" s="34" t="s">
        <v>431</v>
      </c>
      <c r="K45" s="34" t="s">
        <v>134</v>
      </c>
      <c r="L45" s="34" t="s">
        <v>439</v>
      </c>
      <c r="O45" s="2"/>
    </row>
    <row r="46" spans="1:15" s="1" customFormat="1">
      <c r="A46" s="25"/>
      <c r="B46" s="26" t="s">
        <v>841</v>
      </c>
      <c r="C46" s="26" t="s">
        <v>136</v>
      </c>
      <c r="D46" s="12" t="s">
        <v>1086</v>
      </c>
      <c r="E46" s="30" t="s">
        <v>243</v>
      </c>
      <c r="F46" s="31"/>
      <c r="G46" s="19" t="s">
        <v>1316</v>
      </c>
      <c r="H46" s="63"/>
      <c r="I46" s="33"/>
      <c r="J46" s="34" t="s">
        <v>431</v>
      </c>
      <c r="K46" s="34" t="s">
        <v>134</v>
      </c>
      <c r="L46" s="34" t="s">
        <v>439</v>
      </c>
      <c r="O46" s="2"/>
    </row>
    <row r="47" spans="1:15" s="1" customFormat="1">
      <c r="A47" s="25"/>
      <c r="B47" s="26" t="s">
        <v>1488</v>
      </c>
      <c r="C47" s="26" t="s">
        <v>136</v>
      </c>
      <c r="D47" s="12" t="s">
        <v>1089</v>
      </c>
      <c r="E47" s="30" t="s">
        <v>243</v>
      </c>
      <c r="F47" s="31"/>
      <c r="G47" s="19" t="s">
        <v>1592</v>
      </c>
      <c r="H47" s="63"/>
      <c r="I47" s="33"/>
      <c r="J47" s="34" t="s">
        <v>431</v>
      </c>
      <c r="K47" s="34" t="s">
        <v>134</v>
      </c>
      <c r="L47" s="34" t="s">
        <v>439</v>
      </c>
      <c r="O47" s="2"/>
    </row>
    <row r="48" spans="1:15" s="1" customFormat="1">
      <c r="A48" s="25"/>
      <c r="B48" s="26" t="s">
        <v>1489</v>
      </c>
      <c r="C48" s="26" t="s">
        <v>136</v>
      </c>
      <c r="D48" s="12" t="s">
        <v>1092</v>
      </c>
      <c r="E48" s="30" t="s">
        <v>243</v>
      </c>
      <c r="F48" s="31"/>
      <c r="G48" s="19" t="s">
        <v>1593</v>
      </c>
      <c r="H48" s="63"/>
      <c r="I48" s="33"/>
      <c r="J48" s="34" t="s">
        <v>431</v>
      </c>
      <c r="K48" s="34" t="s">
        <v>134</v>
      </c>
      <c r="L48" s="34" t="s">
        <v>439</v>
      </c>
      <c r="O48" s="2"/>
    </row>
    <row r="49" spans="1:15" s="1" customFormat="1">
      <c r="A49" s="25"/>
      <c r="B49" s="26" t="s">
        <v>1490</v>
      </c>
      <c r="C49" s="26" t="s">
        <v>136</v>
      </c>
      <c r="D49" s="12" t="s">
        <v>1095</v>
      </c>
      <c r="E49" s="30" t="s">
        <v>243</v>
      </c>
      <c r="F49" s="31"/>
      <c r="G49" s="19" t="s">
        <v>1594</v>
      </c>
      <c r="H49" s="63"/>
      <c r="I49" s="33"/>
      <c r="J49" s="34" t="s">
        <v>431</v>
      </c>
      <c r="K49" s="34" t="s">
        <v>134</v>
      </c>
      <c r="L49" s="34" t="s">
        <v>439</v>
      </c>
      <c r="O49" s="2"/>
    </row>
    <row r="50" spans="1:15" s="1" customFormat="1">
      <c r="A50" s="25"/>
      <c r="B50" s="26" t="s">
        <v>1491</v>
      </c>
      <c r="C50" s="26" t="s">
        <v>136</v>
      </c>
      <c r="D50" s="12" t="s">
        <v>1098</v>
      </c>
      <c r="E50" s="30" t="s">
        <v>243</v>
      </c>
      <c r="F50" s="31"/>
      <c r="G50" s="19" t="s">
        <v>1595</v>
      </c>
      <c r="H50" s="63"/>
      <c r="I50" s="33"/>
      <c r="J50" s="34" t="s">
        <v>431</v>
      </c>
      <c r="K50" s="34" t="s">
        <v>134</v>
      </c>
      <c r="L50" s="34" t="s">
        <v>439</v>
      </c>
      <c r="O50" s="2"/>
    </row>
    <row r="51" spans="1:15" s="1" customFormat="1">
      <c r="A51" s="25"/>
      <c r="B51" s="26" t="s">
        <v>1492</v>
      </c>
      <c r="C51" s="26" t="s">
        <v>136</v>
      </c>
      <c r="D51" s="12" t="s">
        <v>1101</v>
      </c>
      <c r="E51" s="30" t="s">
        <v>243</v>
      </c>
      <c r="F51" s="31"/>
      <c r="G51" s="19" t="s">
        <v>1596</v>
      </c>
      <c r="H51" s="63"/>
      <c r="I51" s="33"/>
      <c r="J51" s="34" t="s">
        <v>431</v>
      </c>
      <c r="K51" s="34" t="s">
        <v>134</v>
      </c>
      <c r="L51" s="34" t="s">
        <v>439</v>
      </c>
      <c r="O51" s="2"/>
    </row>
    <row r="52" spans="1:15" s="1" customFormat="1">
      <c r="A52" s="25"/>
      <c r="B52" s="26" t="s">
        <v>844</v>
      </c>
      <c r="C52" s="26" t="s">
        <v>136</v>
      </c>
      <c r="D52" s="12" t="s">
        <v>1597</v>
      </c>
      <c r="E52" s="30" t="s">
        <v>243</v>
      </c>
      <c r="F52" s="31"/>
      <c r="G52" s="19" t="s">
        <v>1317</v>
      </c>
      <c r="H52" s="63"/>
      <c r="I52" s="33"/>
      <c r="J52" s="34" t="s">
        <v>431</v>
      </c>
      <c r="K52" s="34" t="s">
        <v>134</v>
      </c>
      <c r="L52" s="34" t="s">
        <v>439</v>
      </c>
      <c r="O52" s="2"/>
    </row>
    <row r="53" spans="1:15" s="1" customFormat="1">
      <c r="A53" s="25"/>
      <c r="B53" s="26" t="s">
        <v>846</v>
      </c>
      <c r="C53" s="26" t="s">
        <v>245</v>
      </c>
      <c r="D53" s="12" t="s">
        <v>1598</v>
      </c>
      <c r="E53" s="30" t="s">
        <v>243</v>
      </c>
      <c r="F53" s="31"/>
      <c r="G53" s="19" t="s">
        <v>1318</v>
      </c>
      <c r="H53" s="30"/>
      <c r="I53" s="33"/>
      <c r="J53" s="34" t="s">
        <v>431</v>
      </c>
      <c r="K53" s="34" t="s">
        <v>134</v>
      </c>
      <c r="L53" s="34" t="s">
        <v>568</v>
      </c>
      <c r="O53" s="2"/>
    </row>
    <row r="54" spans="1:15" s="1" customFormat="1">
      <c r="A54" s="25"/>
      <c r="B54" s="26" t="s">
        <v>948</v>
      </c>
      <c r="C54" s="26" t="s">
        <v>136</v>
      </c>
      <c r="D54" s="12" t="s">
        <v>949</v>
      </c>
      <c r="E54" s="30" t="s">
        <v>243</v>
      </c>
      <c r="F54" s="31"/>
      <c r="G54" s="19" t="s">
        <v>1344</v>
      </c>
      <c r="H54" s="63"/>
      <c r="I54" s="33"/>
      <c r="J54" s="34" t="s">
        <v>431</v>
      </c>
      <c r="K54" s="34" t="s">
        <v>134</v>
      </c>
      <c r="L54" s="34" t="s">
        <v>439</v>
      </c>
      <c r="O54" s="2"/>
    </row>
    <row r="55" spans="1:15" s="1" customFormat="1">
      <c r="A55" s="25"/>
      <c r="B55" s="26" t="s">
        <v>1103</v>
      </c>
      <c r="C55" s="26" t="s">
        <v>245</v>
      </c>
      <c r="D55" s="12" t="s">
        <v>1104</v>
      </c>
      <c r="E55" s="30" t="s">
        <v>243</v>
      </c>
      <c r="F55" s="31"/>
      <c r="G55" s="19" t="s">
        <v>1383</v>
      </c>
      <c r="H55" s="63"/>
      <c r="I55" s="33"/>
      <c r="J55" s="34" t="s">
        <v>431</v>
      </c>
      <c r="K55" s="34" t="s">
        <v>134</v>
      </c>
      <c r="L55" s="34" t="s">
        <v>610</v>
      </c>
      <c r="O55" s="2"/>
    </row>
    <row r="56" spans="1:15" s="1" customFormat="1">
      <c r="A56" s="25"/>
      <c r="B56" s="26" t="s">
        <v>1106</v>
      </c>
      <c r="C56" s="26" t="s">
        <v>245</v>
      </c>
      <c r="D56" s="12" t="s">
        <v>1107</v>
      </c>
      <c r="E56" s="30" t="s">
        <v>243</v>
      </c>
      <c r="F56" s="31"/>
      <c r="G56" s="19" t="s">
        <v>1384</v>
      </c>
      <c r="H56" s="30"/>
      <c r="I56" s="33"/>
      <c r="J56" s="34" t="s">
        <v>431</v>
      </c>
      <c r="K56" s="34" t="s">
        <v>134</v>
      </c>
      <c r="L56" s="34" t="s">
        <v>579</v>
      </c>
      <c r="O56" s="2"/>
    </row>
    <row r="57" spans="1:15" s="5" customFormat="1">
      <c r="B57" s="49" t="s">
        <v>951</v>
      </c>
      <c r="C57" s="55" t="s">
        <v>136</v>
      </c>
      <c r="D57" s="12" t="s">
        <v>1551</v>
      </c>
      <c r="E57" s="30" t="s">
        <v>243</v>
      </c>
      <c r="F57" s="31"/>
      <c r="G57" s="19" t="s">
        <v>1345</v>
      </c>
      <c r="H57" s="63"/>
      <c r="I57" s="33"/>
      <c r="J57" s="34" t="s">
        <v>431</v>
      </c>
      <c r="K57" s="34" t="s">
        <v>134</v>
      </c>
      <c r="L57" s="34" t="s">
        <v>439</v>
      </c>
      <c r="O57" s="2"/>
    </row>
    <row r="58" spans="1:15">
      <c r="A58" s="3"/>
      <c r="B58" s="49" t="s">
        <v>954</v>
      </c>
      <c r="C58" s="55" t="s">
        <v>136</v>
      </c>
      <c r="D58" s="12" t="s">
        <v>1552</v>
      </c>
      <c r="E58" s="30" t="s">
        <v>243</v>
      </c>
      <c r="F58" s="31"/>
      <c r="G58" s="19" t="s">
        <v>1346</v>
      </c>
      <c r="H58" s="63"/>
      <c r="I58" s="33"/>
      <c r="J58" s="34" t="s">
        <v>431</v>
      </c>
      <c r="K58" s="34" t="s">
        <v>134</v>
      </c>
      <c r="L58" s="34" t="s">
        <v>439</v>
      </c>
      <c r="O58" s="2"/>
    </row>
    <row r="59" spans="1:15">
      <c r="A59" s="3"/>
      <c r="B59" s="49" t="s">
        <v>956</v>
      </c>
      <c r="C59" s="55" t="s">
        <v>136</v>
      </c>
      <c r="D59" s="12" t="s">
        <v>1553</v>
      </c>
      <c r="E59" s="30" t="s">
        <v>243</v>
      </c>
      <c r="F59" s="31"/>
      <c r="G59" s="19" t="s">
        <v>1347</v>
      </c>
      <c r="H59" s="63"/>
      <c r="I59" s="33"/>
      <c r="J59" s="34" t="s">
        <v>431</v>
      </c>
      <c r="K59" s="34" t="s">
        <v>134</v>
      </c>
      <c r="L59" s="34" t="s">
        <v>439</v>
      </c>
      <c r="O59" s="2"/>
    </row>
    <row r="60" spans="1:15" s="2" customFormat="1">
      <c r="A60" s="29"/>
      <c r="B60" s="49" t="s">
        <v>958</v>
      </c>
      <c r="C60" s="55" t="s">
        <v>136</v>
      </c>
      <c r="D60" s="12" t="s">
        <v>1554</v>
      </c>
      <c r="E60" s="30" t="s">
        <v>243</v>
      </c>
      <c r="F60" s="31"/>
      <c r="G60" s="19" t="s">
        <v>1348</v>
      </c>
      <c r="H60" s="63"/>
      <c r="I60" s="33"/>
      <c r="J60" s="34" t="s">
        <v>431</v>
      </c>
      <c r="K60" s="34" t="s">
        <v>134</v>
      </c>
      <c r="L60" s="34" t="s">
        <v>439</v>
      </c>
    </row>
    <row r="61" spans="1:15">
      <c r="A61" s="3"/>
      <c r="B61" s="49" t="s">
        <v>960</v>
      </c>
      <c r="C61" s="55" t="s">
        <v>136</v>
      </c>
      <c r="D61" s="12" t="s">
        <v>1499</v>
      </c>
      <c r="E61" s="30" t="s">
        <v>243</v>
      </c>
      <c r="F61" s="31"/>
      <c r="G61" s="19" t="s">
        <v>1349</v>
      </c>
      <c r="H61" s="63"/>
      <c r="I61" s="33"/>
      <c r="J61" s="34" t="s">
        <v>431</v>
      </c>
      <c r="K61" s="34" t="s">
        <v>134</v>
      </c>
      <c r="L61" s="34" t="s">
        <v>439</v>
      </c>
      <c r="O61" s="2"/>
    </row>
    <row r="62" spans="1:15" s="2" customFormat="1">
      <c r="A62" s="29"/>
      <c r="B62" s="49" t="s">
        <v>962</v>
      </c>
      <c r="C62" s="55" t="s">
        <v>136</v>
      </c>
      <c r="D62" s="12" t="s">
        <v>1500</v>
      </c>
      <c r="E62" s="30" t="s">
        <v>243</v>
      </c>
      <c r="F62" s="31"/>
      <c r="G62" s="19" t="s">
        <v>1350</v>
      </c>
      <c r="H62" s="63"/>
      <c r="I62" s="33"/>
      <c r="J62" s="34" t="s">
        <v>431</v>
      </c>
      <c r="K62" s="34" t="s">
        <v>134</v>
      </c>
      <c r="L62" s="34" t="s">
        <v>439</v>
      </c>
    </row>
    <row r="63" spans="1:15" s="2" customFormat="1">
      <c r="A63" s="29"/>
      <c r="B63" s="49" t="s">
        <v>964</v>
      </c>
      <c r="C63" s="55" t="s">
        <v>136</v>
      </c>
      <c r="D63" s="12" t="s">
        <v>1501</v>
      </c>
      <c r="E63" s="30" t="s">
        <v>243</v>
      </c>
      <c r="F63" s="31"/>
      <c r="G63" s="19" t="s">
        <v>1351</v>
      </c>
      <c r="H63" s="63"/>
      <c r="I63" s="33"/>
      <c r="J63" s="34" t="s">
        <v>431</v>
      </c>
      <c r="K63" s="34" t="s">
        <v>134</v>
      </c>
      <c r="L63" s="34" t="s">
        <v>439</v>
      </c>
    </row>
    <row r="64" spans="1:15" s="2" customFormat="1">
      <c r="A64" s="29"/>
      <c r="B64" s="49" t="s">
        <v>1502</v>
      </c>
      <c r="C64" s="55" t="s">
        <v>136</v>
      </c>
      <c r="D64" s="12" t="s">
        <v>1503</v>
      </c>
      <c r="E64" s="30" t="s">
        <v>243</v>
      </c>
      <c r="F64" s="31"/>
      <c r="G64" s="19" t="s">
        <v>1599</v>
      </c>
      <c r="H64" s="63"/>
      <c r="I64" s="33"/>
      <c r="J64" s="34" t="s">
        <v>431</v>
      </c>
      <c r="K64" s="34" t="s">
        <v>134</v>
      </c>
      <c r="L64" s="34" t="s">
        <v>439</v>
      </c>
    </row>
    <row r="65" spans="1:15" s="2" customFormat="1">
      <c r="A65" s="29"/>
      <c r="B65" s="49" t="s">
        <v>1504</v>
      </c>
      <c r="C65" s="55" t="s">
        <v>136</v>
      </c>
      <c r="D65" s="12" t="s">
        <v>1505</v>
      </c>
      <c r="E65" s="30" t="s">
        <v>243</v>
      </c>
      <c r="F65" s="31"/>
      <c r="G65" s="19" t="s">
        <v>1600</v>
      </c>
      <c r="H65" s="63"/>
      <c r="I65" s="33"/>
      <c r="J65" s="34" t="s">
        <v>431</v>
      </c>
      <c r="K65" s="34" t="s">
        <v>134</v>
      </c>
      <c r="L65" s="34" t="s">
        <v>439</v>
      </c>
    </row>
    <row r="66" spans="1:15" s="2" customFormat="1">
      <c r="A66" s="29"/>
      <c r="B66" s="49" t="s">
        <v>1506</v>
      </c>
      <c r="C66" s="55" t="s">
        <v>136</v>
      </c>
      <c r="D66" s="12" t="s">
        <v>1507</v>
      </c>
      <c r="E66" s="30" t="s">
        <v>243</v>
      </c>
      <c r="F66" s="31"/>
      <c r="G66" s="19" t="s">
        <v>1601</v>
      </c>
      <c r="H66" s="63"/>
      <c r="I66" s="33"/>
      <c r="J66" s="34" t="s">
        <v>431</v>
      </c>
      <c r="K66" s="34" t="s">
        <v>134</v>
      </c>
      <c r="L66" s="34" t="s">
        <v>439</v>
      </c>
    </row>
    <row r="67" spans="1:15" s="2" customFormat="1">
      <c r="A67" s="29"/>
      <c r="B67" s="49" t="s">
        <v>1508</v>
      </c>
      <c r="C67" s="55" t="s">
        <v>136</v>
      </c>
      <c r="D67" s="12" t="s">
        <v>1509</v>
      </c>
      <c r="E67" s="30" t="s">
        <v>243</v>
      </c>
      <c r="F67" s="31"/>
      <c r="G67" s="19" t="s">
        <v>1602</v>
      </c>
      <c r="H67" s="63"/>
      <c r="I67" s="33"/>
      <c r="J67" s="34" t="s">
        <v>431</v>
      </c>
      <c r="K67" s="34" t="s">
        <v>134</v>
      </c>
      <c r="L67" s="34" t="s">
        <v>439</v>
      </c>
    </row>
    <row r="68" spans="1:15" s="1" customFormat="1">
      <c r="A68" s="25"/>
      <c r="B68" s="49" t="s">
        <v>1510</v>
      </c>
      <c r="C68" s="26" t="s">
        <v>136</v>
      </c>
      <c r="D68" s="12" t="s">
        <v>1511</v>
      </c>
      <c r="E68" s="30" t="s">
        <v>243</v>
      </c>
      <c r="F68" s="31"/>
      <c r="G68" s="19" t="s">
        <v>1603</v>
      </c>
      <c r="H68" s="63"/>
      <c r="I68" s="33"/>
      <c r="J68" s="34" t="s">
        <v>431</v>
      </c>
      <c r="K68" s="34" t="s">
        <v>134</v>
      </c>
      <c r="L68" s="34" t="s">
        <v>439</v>
      </c>
      <c r="O68" s="2"/>
    </row>
    <row r="69" spans="1:15" s="1" customFormat="1">
      <c r="A69" s="25"/>
      <c r="B69" s="26" t="s">
        <v>1139</v>
      </c>
      <c r="C69" s="26" t="s">
        <v>136</v>
      </c>
      <c r="D69" s="12" t="s">
        <v>1140</v>
      </c>
      <c r="E69" s="30" t="s">
        <v>243</v>
      </c>
      <c r="F69" s="31"/>
      <c r="G69" s="19" t="s">
        <v>1397</v>
      </c>
      <c r="H69" s="63"/>
      <c r="I69" s="33"/>
      <c r="J69" s="34" t="s">
        <v>431</v>
      </c>
      <c r="K69" s="34" t="s">
        <v>134</v>
      </c>
      <c r="L69" s="34" t="s">
        <v>439</v>
      </c>
      <c r="O69" s="2"/>
    </row>
    <row r="70" spans="1:15" s="1" customFormat="1">
      <c r="A70" s="25"/>
      <c r="B70" s="26" t="s">
        <v>1142</v>
      </c>
      <c r="C70" s="26" t="s">
        <v>245</v>
      </c>
      <c r="D70" s="12" t="s">
        <v>1512</v>
      </c>
      <c r="E70" s="30" t="s">
        <v>243</v>
      </c>
      <c r="F70" s="31"/>
      <c r="G70" s="19" t="s">
        <v>1398</v>
      </c>
      <c r="H70" s="32"/>
      <c r="I70" s="35"/>
      <c r="J70" s="34" t="s">
        <v>431</v>
      </c>
      <c r="K70" s="34" t="s">
        <v>134</v>
      </c>
      <c r="L70" s="34" t="s">
        <v>568</v>
      </c>
      <c r="O70" s="2"/>
    </row>
    <row r="71" spans="1:15" s="1" customFormat="1">
      <c r="A71" s="25"/>
      <c r="B71" s="26" t="s">
        <v>1145</v>
      </c>
      <c r="C71" s="26" t="s">
        <v>136</v>
      </c>
      <c r="D71" s="12" t="s">
        <v>1146</v>
      </c>
      <c r="E71" s="30" t="s">
        <v>243</v>
      </c>
      <c r="F71" s="31"/>
      <c r="G71" s="19" t="s">
        <v>1399</v>
      </c>
      <c r="H71" s="63"/>
      <c r="I71" s="33"/>
      <c r="J71" s="34" t="s">
        <v>431</v>
      </c>
      <c r="K71" s="34" t="s">
        <v>134</v>
      </c>
      <c r="L71" s="34" t="s">
        <v>439</v>
      </c>
      <c r="O71" s="2"/>
    </row>
    <row r="72" spans="1:15" s="1" customFormat="1">
      <c r="A72" s="25"/>
      <c r="B72" s="26" t="s">
        <v>1147</v>
      </c>
      <c r="C72" s="26" t="s">
        <v>245</v>
      </c>
      <c r="D72" s="12" t="s">
        <v>1148</v>
      </c>
      <c r="E72" s="30" t="s">
        <v>243</v>
      </c>
      <c r="F72" s="31"/>
      <c r="G72" s="19" t="s">
        <v>1400</v>
      </c>
      <c r="H72" s="63"/>
      <c r="I72" s="33"/>
      <c r="J72" s="34" t="s">
        <v>431</v>
      </c>
      <c r="K72" s="34" t="s">
        <v>134</v>
      </c>
      <c r="L72" s="34" t="s">
        <v>610</v>
      </c>
      <c r="O72" s="2"/>
    </row>
    <row r="73" spans="1:15" s="1" customFormat="1">
      <c r="A73" s="25"/>
      <c r="B73" s="26" t="s">
        <v>1149</v>
      </c>
      <c r="C73" s="26" t="s">
        <v>245</v>
      </c>
      <c r="D73" s="12" t="s">
        <v>1150</v>
      </c>
      <c r="E73" s="30" t="s">
        <v>243</v>
      </c>
      <c r="F73" s="31"/>
      <c r="G73" s="19" t="s">
        <v>1401</v>
      </c>
      <c r="H73" s="32"/>
      <c r="I73" s="35"/>
      <c r="J73" s="34" t="s">
        <v>431</v>
      </c>
      <c r="K73" s="34" t="s">
        <v>134</v>
      </c>
      <c r="L73" s="34" t="s">
        <v>615</v>
      </c>
      <c r="O73" s="2"/>
    </row>
    <row r="74" spans="1:15" s="1" customFormat="1">
      <c r="A74" s="25"/>
      <c r="B74" s="26" t="s">
        <v>1513</v>
      </c>
      <c r="C74" s="26" t="s">
        <v>136</v>
      </c>
      <c r="D74" s="12" t="s">
        <v>1514</v>
      </c>
      <c r="E74" s="30" t="s">
        <v>243</v>
      </c>
      <c r="F74" s="31"/>
      <c r="G74" s="19" t="s">
        <v>1605</v>
      </c>
      <c r="H74" s="63"/>
      <c r="I74" s="33"/>
      <c r="J74" s="34" t="s">
        <v>431</v>
      </c>
      <c r="K74" s="34" t="s">
        <v>134</v>
      </c>
      <c r="L74" s="34" t="s">
        <v>439</v>
      </c>
      <c r="O74" s="2"/>
    </row>
    <row r="75" spans="1:15" s="1" customFormat="1">
      <c r="A75" s="25"/>
      <c r="B75" s="26" t="s">
        <v>1515</v>
      </c>
      <c r="C75" s="26" t="s">
        <v>136</v>
      </c>
      <c r="D75" s="12" t="s">
        <v>1516</v>
      </c>
      <c r="E75" s="30" t="s">
        <v>243</v>
      </c>
      <c r="F75" s="31"/>
      <c r="G75" s="19" t="s">
        <v>1606</v>
      </c>
      <c r="H75" s="63"/>
      <c r="I75" s="33"/>
      <c r="J75" s="34" t="s">
        <v>431</v>
      </c>
      <c r="K75" s="34" t="s">
        <v>134</v>
      </c>
      <c r="L75" s="34" t="s">
        <v>439</v>
      </c>
      <c r="O75" s="2"/>
    </row>
    <row r="76" spans="1:15" s="1" customFormat="1">
      <c r="A76" s="25"/>
      <c r="B76" s="26" t="s">
        <v>1517</v>
      </c>
      <c r="C76" s="26" t="s">
        <v>136</v>
      </c>
      <c r="D76" s="12" t="s">
        <v>1518</v>
      </c>
      <c r="E76" s="30" t="s">
        <v>243</v>
      </c>
      <c r="F76" s="31"/>
      <c r="G76" s="19" t="s">
        <v>1607</v>
      </c>
      <c r="H76" s="63"/>
      <c r="I76" s="33"/>
      <c r="J76" s="34" t="s">
        <v>431</v>
      </c>
      <c r="K76" s="34" t="s">
        <v>134</v>
      </c>
      <c r="L76" s="34" t="s">
        <v>439</v>
      </c>
      <c r="O76" s="2"/>
    </row>
    <row r="77" spans="1:15" s="1" customFormat="1">
      <c r="A77" s="25"/>
      <c r="B77" s="26" t="s">
        <v>1519</v>
      </c>
      <c r="C77" s="26" t="s">
        <v>136</v>
      </c>
      <c r="D77" s="12" t="s">
        <v>1520</v>
      </c>
      <c r="E77" s="30" t="s">
        <v>243</v>
      </c>
      <c r="F77" s="31"/>
      <c r="G77" s="19" t="s">
        <v>1608</v>
      </c>
      <c r="H77" s="63"/>
      <c r="I77" s="33"/>
      <c r="J77" s="34" t="s">
        <v>431</v>
      </c>
      <c r="K77" s="34" t="s">
        <v>134</v>
      </c>
      <c r="L77" s="34" t="s">
        <v>439</v>
      </c>
      <c r="O77" s="2"/>
    </row>
    <row r="78" spans="1:15" s="1" customFormat="1">
      <c r="A78" s="25"/>
      <c r="B78" s="26" t="s">
        <v>1521</v>
      </c>
      <c r="C78" s="26" t="s">
        <v>136</v>
      </c>
      <c r="D78" s="12" t="s">
        <v>1522</v>
      </c>
      <c r="E78" s="30" t="s">
        <v>243</v>
      </c>
      <c r="F78" s="31"/>
      <c r="G78" s="19" t="s">
        <v>1609</v>
      </c>
      <c r="H78" s="63"/>
      <c r="I78" s="33"/>
      <c r="J78" s="34" t="s">
        <v>431</v>
      </c>
      <c r="K78" s="34" t="s">
        <v>134</v>
      </c>
      <c r="L78" s="34" t="s">
        <v>439</v>
      </c>
      <c r="O78" s="2"/>
    </row>
    <row r="79" spans="1:15" s="1" customFormat="1">
      <c r="A79" s="25"/>
      <c r="B79" s="26" t="s">
        <v>1523</v>
      </c>
      <c r="C79" s="26" t="s">
        <v>136</v>
      </c>
      <c r="D79" s="12" t="s">
        <v>1524</v>
      </c>
      <c r="E79" s="30" t="s">
        <v>243</v>
      </c>
      <c r="F79" s="31"/>
      <c r="G79" s="19" t="s">
        <v>1610</v>
      </c>
      <c r="H79" s="63"/>
      <c r="I79" s="33"/>
      <c r="J79" s="34" t="s">
        <v>431</v>
      </c>
      <c r="K79" s="34" t="s">
        <v>134</v>
      </c>
      <c r="L79" s="34" t="s">
        <v>439</v>
      </c>
      <c r="O79" s="2"/>
    </row>
    <row r="80" spans="1:15" s="1" customFormat="1">
      <c r="A80" s="25"/>
      <c r="B80" s="26" t="s">
        <v>1525</v>
      </c>
      <c r="C80" s="26" t="s">
        <v>136</v>
      </c>
      <c r="D80" s="12" t="s">
        <v>1526</v>
      </c>
      <c r="E80" s="30" t="s">
        <v>243</v>
      </c>
      <c r="F80" s="31"/>
      <c r="G80" s="19" t="s">
        <v>1611</v>
      </c>
      <c r="H80" s="63"/>
      <c r="I80" s="33"/>
      <c r="J80" s="34" t="s">
        <v>431</v>
      </c>
      <c r="K80" s="34" t="s">
        <v>134</v>
      </c>
      <c r="L80" s="34" t="s">
        <v>439</v>
      </c>
      <c r="O80" s="2"/>
    </row>
    <row r="81" spans="1:15" s="1" customFormat="1">
      <c r="A81" s="25"/>
      <c r="B81" s="26" t="s">
        <v>1527</v>
      </c>
      <c r="C81" s="26" t="s">
        <v>136</v>
      </c>
      <c r="D81" s="12" t="s">
        <v>1528</v>
      </c>
      <c r="E81" s="30" t="s">
        <v>243</v>
      </c>
      <c r="F81" s="31"/>
      <c r="G81" s="19" t="s">
        <v>1612</v>
      </c>
      <c r="H81" s="63"/>
      <c r="I81" s="33"/>
      <c r="J81" s="34" t="s">
        <v>431</v>
      </c>
      <c r="K81" s="34" t="s">
        <v>134</v>
      </c>
      <c r="L81" s="34" t="s">
        <v>439</v>
      </c>
      <c r="O81" s="2"/>
    </row>
    <row r="82" spans="1:15" s="1" customFormat="1">
      <c r="A82" s="25"/>
      <c r="B82" s="26" t="s">
        <v>1529</v>
      </c>
      <c r="C82" s="26" t="s">
        <v>136</v>
      </c>
      <c r="D82" s="12" t="s">
        <v>1530</v>
      </c>
      <c r="E82" s="30" t="s">
        <v>243</v>
      </c>
      <c r="F82" s="31"/>
      <c r="G82" s="19" t="s">
        <v>1613</v>
      </c>
      <c r="H82" s="63"/>
      <c r="I82" s="33"/>
      <c r="J82" s="34" t="s">
        <v>431</v>
      </c>
      <c r="K82" s="34" t="s">
        <v>134</v>
      </c>
      <c r="L82" s="34" t="s">
        <v>439</v>
      </c>
      <c r="O82" s="2"/>
    </row>
    <row r="83" spans="1:15" s="1" customFormat="1">
      <c r="A83" s="25"/>
      <c r="B83" s="26" t="s">
        <v>1531</v>
      </c>
      <c r="C83" s="26" t="s">
        <v>136</v>
      </c>
      <c r="D83" s="12" t="s">
        <v>1532</v>
      </c>
      <c r="E83" s="30" t="s">
        <v>243</v>
      </c>
      <c r="F83" s="31"/>
      <c r="G83" s="19" t="s">
        <v>1614</v>
      </c>
      <c r="H83" s="63"/>
      <c r="I83" s="33"/>
      <c r="J83" s="34" t="s">
        <v>431</v>
      </c>
      <c r="K83" s="34" t="s">
        <v>134</v>
      </c>
      <c r="L83" s="34" t="s">
        <v>439</v>
      </c>
      <c r="O83" s="2"/>
    </row>
    <row r="84" spans="1:15" s="1" customFormat="1">
      <c r="A84" s="25"/>
      <c r="B84" s="26" t="s">
        <v>1533</v>
      </c>
      <c r="C84" s="26" t="s">
        <v>136</v>
      </c>
      <c r="D84" s="12" t="s">
        <v>1534</v>
      </c>
      <c r="E84" s="30" t="s">
        <v>243</v>
      </c>
      <c r="F84" s="31"/>
      <c r="G84" s="19" t="s">
        <v>1615</v>
      </c>
      <c r="H84" s="63"/>
      <c r="I84" s="33"/>
      <c r="J84" s="34" t="s">
        <v>431</v>
      </c>
      <c r="K84" s="34" t="s">
        <v>134</v>
      </c>
      <c r="L84" s="34" t="s">
        <v>439</v>
      </c>
      <c r="O84" s="2"/>
    </row>
    <row r="85" spans="1:15" s="1" customFormat="1">
      <c r="A85" s="25"/>
      <c r="B85" s="26" t="s">
        <v>1535</v>
      </c>
      <c r="C85" s="26" t="s">
        <v>136</v>
      </c>
      <c r="D85" s="12" t="s">
        <v>1536</v>
      </c>
      <c r="E85" s="30" t="s">
        <v>243</v>
      </c>
      <c r="F85" s="31"/>
      <c r="G85" s="19" t="s">
        <v>1616</v>
      </c>
      <c r="H85" s="63"/>
      <c r="I85" s="33"/>
      <c r="J85" s="34" t="s">
        <v>431</v>
      </c>
      <c r="K85" s="34" t="s">
        <v>134</v>
      </c>
      <c r="L85" s="34" t="s">
        <v>439</v>
      </c>
      <c r="O85" s="2"/>
    </row>
    <row r="86" spans="1:15" s="1" customFormat="1">
      <c r="A86" s="25"/>
      <c r="B86" s="26" t="s">
        <v>1187</v>
      </c>
      <c r="C86" s="26" t="s">
        <v>136</v>
      </c>
      <c r="D86" s="12" t="s">
        <v>1188</v>
      </c>
      <c r="E86" s="30" t="s">
        <v>243</v>
      </c>
      <c r="F86" s="31"/>
      <c r="G86" s="19" t="s">
        <v>1414</v>
      </c>
      <c r="H86" s="63"/>
      <c r="I86" s="33"/>
      <c r="J86" s="34" t="s">
        <v>431</v>
      </c>
      <c r="K86" s="34" t="s">
        <v>134</v>
      </c>
      <c r="L86" s="34" t="s">
        <v>439</v>
      </c>
      <c r="O86" s="2"/>
    </row>
    <row r="87" spans="1:15" s="1" customFormat="1">
      <c r="A87" s="25"/>
      <c r="B87" s="26" t="s">
        <v>1189</v>
      </c>
      <c r="C87" s="26" t="s">
        <v>245</v>
      </c>
      <c r="D87" s="12" t="s">
        <v>1190</v>
      </c>
      <c r="E87" s="30" t="s">
        <v>243</v>
      </c>
      <c r="F87" s="31"/>
      <c r="G87" s="19" t="s">
        <v>1415</v>
      </c>
      <c r="H87" s="32"/>
      <c r="I87" s="35"/>
      <c r="J87" s="34" t="s">
        <v>431</v>
      </c>
      <c r="K87" s="34" t="s">
        <v>134</v>
      </c>
      <c r="L87" s="34" t="s">
        <v>568</v>
      </c>
      <c r="O87" s="2"/>
    </row>
    <row r="88" spans="1:15" s="1" customFormat="1">
      <c r="A88" s="25"/>
      <c r="B88" s="26" t="s">
        <v>1221</v>
      </c>
      <c r="C88" s="26" t="s">
        <v>136</v>
      </c>
      <c r="D88" s="12" t="s">
        <v>1222</v>
      </c>
      <c r="E88" s="30" t="s">
        <v>243</v>
      </c>
      <c r="F88" s="31"/>
      <c r="G88" s="19" t="s">
        <v>2301</v>
      </c>
      <c r="H88" s="63"/>
      <c r="I88" s="33"/>
      <c r="J88" s="34" t="s">
        <v>431</v>
      </c>
      <c r="K88" s="34" t="s">
        <v>134</v>
      </c>
      <c r="L88" s="34" t="s">
        <v>533</v>
      </c>
      <c r="O88" s="2"/>
    </row>
    <row r="89" spans="1:15" s="1" customFormat="1">
      <c r="A89" s="25"/>
      <c r="B89" s="26" t="s">
        <v>904</v>
      </c>
      <c r="C89" s="26" t="s">
        <v>136</v>
      </c>
      <c r="D89" s="12" t="s">
        <v>1537</v>
      </c>
      <c r="E89" s="30" t="s">
        <v>243</v>
      </c>
      <c r="F89" s="31"/>
      <c r="G89" s="19" t="s">
        <v>1332</v>
      </c>
      <c r="H89" s="63"/>
      <c r="I89" s="33"/>
      <c r="J89" s="34" t="s">
        <v>431</v>
      </c>
      <c r="K89" s="34" t="s">
        <v>134</v>
      </c>
      <c r="L89" s="34" t="s">
        <v>439</v>
      </c>
      <c r="O89" s="2"/>
    </row>
    <row r="90" spans="1:15" s="1" customFormat="1">
      <c r="A90" s="25"/>
      <c r="B90" s="26" t="s">
        <v>1223</v>
      </c>
      <c r="C90" s="26" t="s">
        <v>245</v>
      </c>
      <c r="D90" s="12" t="s">
        <v>1224</v>
      </c>
      <c r="E90" s="30" t="s">
        <v>243</v>
      </c>
      <c r="F90" s="31"/>
      <c r="G90" s="31" t="s">
        <v>2305</v>
      </c>
      <c r="H90" s="30"/>
      <c r="I90" s="33"/>
      <c r="J90" s="34" t="s">
        <v>431</v>
      </c>
      <c r="K90" s="34" t="s">
        <v>134</v>
      </c>
      <c r="L90" s="34" t="s">
        <v>432</v>
      </c>
      <c r="O90" s="2"/>
    </row>
    <row r="91" spans="1:15" s="1" customFormat="1">
      <c r="A91" s="25"/>
      <c r="B91" s="26" t="s">
        <v>910</v>
      </c>
      <c r="C91" s="26" t="s">
        <v>900</v>
      </c>
      <c r="D91" s="12" t="s">
        <v>1538</v>
      </c>
      <c r="E91" s="30" t="s">
        <v>243</v>
      </c>
      <c r="F91" s="31"/>
      <c r="G91" s="31" t="s">
        <v>1334</v>
      </c>
      <c r="H91" s="30"/>
      <c r="I91" s="33"/>
      <c r="J91" s="34" t="s">
        <v>431</v>
      </c>
      <c r="K91" s="34" t="s">
        <v>134</v>
      </c>
      <c r="L91" s="34" t="s">
        <v>568</v>
      </c>
      <c r="O91" s="2"/>
    </row>
    <row r="92" spans="1:15" s="1" customFormat="1">
      <c r="A92" s="25"/>
      <c r="B92" s="26" t="s">
        <v>1225</v>
      </c>
      <c r="C92" s="26" t="s">
        <v>136</v>
      </c>
      <c r="D92" s="12" t="s">
        <v>1226</v>
      </c>
      <c r="E92" s="30" t="s">
        <v>243</v>
      </c>
      <c r="F92" s="31"/>
      <c r="G92" s="19" t="s">
        <v>1432</v>
      </c>
      <c r="H92" s="63"/>
      <c r="I92" s="33"/>
      <c r="J92" s="34" t="s">
        <v>431</v>
      </c>
      <c r="K92" s="34" t="s">
        <v>134</v>
      </c>
      <c r="L92" s="34" t="s">
        <v>533</v>
      </c>
      <c r="O92" s="2"/>
    </row>
    <row r="93" spans="1:15" s="1" customFormat="1">
      <c r="A93" s="25"/>
      <c r="B93" s="26" t="s">
        <v>915</v>
      </c>
      <c r="C93" s="26" t="s">
        <v>136</v>
      </c>
      <c r="D93" s="12" t="s">
        <v>1539</v>
      </c>
      <c r="E93" s="30" t="s">
        <v>243</v>
      </c>
      <c r="F93" s="31"/>
      <c r="G93" s="19" t="s">
        <v>1335</v>
      </c>
      <c r="H93" s="63"/>
      <c r="I93" s="33"/>
      <c r="J93" s="34" t="s">
        <v>431</v>
      </c>
      <c r="K93" s="34" t="s">
        <v>134</v>
      </c>
      <c r="L93" s="34" t="s">
        <v>439</v>
      </c>
      <c r="O93" s="2"/>
    </row>
    <row r="94" spans="1:15" s="1" customFormat="1">
      <c r="A94" s="25"/>
      <c r="B94" s="26" t="s">
        <v>1227</v>
      </c>
      <c r="C94" s="26" t="s">
        <v>245</v>
      </c>
      <c r="D94" s="12" t="s">
        <v>1228</v>
      </c>
      <c r="E94" s="30" t="s">
        <v>243</v>
      </c>
      <c r="F94" s="31"/>
      <c r="G94" s="19" t="s">
        <v>2306</v>
      </c>
      <c r="H94" s="30"/>
      <c r="I94" s="33"/>
      <c r="J94" s="34" t="s">
        <v>431</v>
      </c>
      <c r="K94" s="34" t="s">
        <v>134</v>
      </c>
      <c r="L94" s="34" t="s">
        <v>432</v>
      </c>
      <c r="O94" s="2"/>
    </row>
    <row r="95" spans="1:15" s="1" customFormat="1">
      <c r="A95" s="25"/>
      <c r="B95" s="26" t="s">
        <v>921</v>
      </c>
      <c r="C95" s="26" t="s">
        <v>900</v>
      </c>
      <c r="D95" s="12" t="s">
        <v>1540</v>
      </c>
      <c r="E95" s="30" t="s">
        <v>243</v>
      </c>
      <c r="F95" s="31"/>
      <c r="G95" s="19" t="s">
        <v>1337</v>
      </c>
      <c r="H95" s="30"/>
      <c r="I95" s="33"/>
      <c r="J95" s="34" t="s">
        <v>431</v>
      </c>
      <c r="K95" s="34" t="s">
        <v>134</v>
      </c>
      <c r="L95" s="34" t="s">
        <v>568</v>
      </c>
      <c r="O95" s="2"/>
    </row>
    <row r="96" spans="1:15" s="1" customFormat="1">
      <c r="A96" s="25"/>
      <c r="B96" s="26" t="s">
        <v>1229</v>
      </c>
      <c r="C96" s="26" t="s">
        <v>136</v>
      </c>
      <c r="D96" s="12" t="s">
        <v>1230</v>
      </c>
      <c r="E96" s="30" t="s">
        <v>243</v>
      </c>
      <c r="F96" s="31"/>
      <c r="G96" s="19" t="s">
        <v>1434</v>
      </c>
      <c r="H96" s="63"/>
      <c r="I96" s="33"/>
      <c r="J96" s="34" t="s">
        <v>431</v>
      </c>
      <c r="K96" s="34" t="s">
        <v>134</v>
      </c>
      <c r="L96" s="34" t="s">
        <v>533</v>
      </c>
      <c r="O96" s="2"/>
    </row>
    <row r="97" spans="1:15" s="1" customFormat="1">
      <c r="A97" s="25"/>
      <c r="B97" s="26" t="s">
        <v>927</v>
      </c>
      <c r="C97" s="26" t="s">
        <v>136</v>
      </c>
      <c r="D97" s="12" t="s">
        <v>1541</v>
      </c>
      <c r="E97" s="30" t="s">
        <v>243</v>
      </c>
      <c r="F97" s="31"/>
      <c r="G97" s="19" t="s">
        <v>1338</v>
      </c>
      <c r="H97" s="63"/>
      <c r="I97" s="33"/>
      <c r="J97" s="34" t="s">
        <v>431</v>
      </c>
      <c r="K97" s="34" t="s">
        <v>134</v>
      </c>
      <c r="L97" s="34" t="s">
        <v>439</v>
      </c>
      <c r="O97" s="2"/>
    </row>
    <row r="98" spans="1:15" s="1" customFormat="1">
      <c r="A98" s="25"/>
      <c r="B98" s="26" t="s">
        <v>1231</v>
      </c>
      <c r="C98" s="26" t="s">
        <v>245</v>
      </c>
      <c r="D98" s="12" t="s">
        <v>1232</v>
      </c>
      <c r="E98" s="30" t="s">
        <v>243</v>
      </c>
      <c r="F98" s="31"/>
      <c r="G98" s="31" t="s">
        <v>2307</v>
      </c>
      <c r="H98" s="32"/>
      <c r="I98" s="35"/>
      <c r="J98" s="34" t="s">
        <v>431</v>
      </c>
      <c r="K98" s="34" t="s">
        <v>134</v>
      </c>
      <c r="L98" s="34" t="s">
        <v>432</v>
      </c>
      <c r="O98" s="2"/>
    </row>
    <row r="99" spans="1:15" s="1" customFormat="1">
      <c r="A99" s="25"/>
      <c r="B99" s="26" t="s">
        <v>933</v>
      </c>
      <c r="C99" s="26" t="s">
        <v>900</v>
      </c>
      <c r="D99" s="12" t="s">
        <v>1542</v>
      </c>
      <c r="E99" s="30" t="s">
        <v>243</v>
      </c>
      <c r="F99" s="31"/>
      <c r="G99" s="31" t="s">
        <v>1619</v>
      </c>
      <c r="H99" s="32"/>
      <c r="I99" s="35"/>
      <c r="J99" s="34" t="s">
        <v>431</v>
      </c>
      <c r="K99" s="34" t="s">
        <v>134</v>
      </c>
      <c r="L99" s="34" t="s">
        <v>568</v>
      </c>
      <c r="O99" s="2"/>
    </row>
    <row r="100" spans="1:15" s="1" customFormat="1">
      <c r="A100" s="25"/>
      <c r="B100" s="26" t="s">
        <v>1244</v>
      </c>
      <c r="C100" s="26" t="s">
        <v>136</v>
      </c>
      <c r="D100" s="12" t="s">
        <v>1245</v>
      </c>
      <c r="E100" s="30" t="s">
        <v>243</v>
      </c>
      <c r="F100" s="31"/>
      <c r="G100" s="19" t="s">
        <v>1439</v>
      </c>
      <c r="H100" s="63"/>
      <c r="I100" s="33"/>
      <c r="J100" s="34" t="s">
        <v>431</v>
      </c>
      <c r="K100" s="34" t="s">
        <v>134</v>
      </c>
      <c r="L100" s="34" t="s">
        <v>439</v>
      </c>
      <c r="O100" s="2"/>
    </row>
    <row r="101" spans="1:15" s="1" customFormat="1">
      <c r="A101" s="25"/>
      <c r="B101" s="26" t="s">
        <v>504</v>
      </c>
      <c r="C101" s="26" t="s">
        <v>245</v>
      </c>
      <c r="D101" s="12" t="s">
        <v>505</v>
      </c>
      <c r="E101" s="30" t="s">
        <v>243</v>
      </c>
      <c r="F101" s="19" t="s">
        <v>504</v>
      </c>
      <c r="G101" s="19" t="s">
        <v>250</v>
      </c>
      <c r="H101" s="32"/>
      <c r="I101" s="35"/>
      <c r="J101" s="34" t="s">
        <v>384</v>
      </c>
      <c r="K101" s="34" t="s">
        <v>134</v>
      </c>
      <c r="L101" s="34" t="s">
        <v>134</v>
      </c>
      <c r="O101" s="2"/>
    </row>
    <row r="102" spans="1:15" s="1" customFormat="1">
      <c r="A102" s="25"/>
      <c r="B102" s="26" t="s">
        <v>506</v>
      </c>
      <c r="C102" s="26" t="s">
        <v>245</v>
      </c>
      <c r="D102" s="12" t="s">
        <v>1053</v>
      </c>
      <c r="E102" s="30" t="s">
        <v>243</v>
      </c>
      <c r="F102" s="19" t="s">
        <v>506</v>
      </c>
      <c r="G102" s="19" t="s">
        <v>250</v>
      </c>
      <c r="H102" s="32"/>
      <c r="I102" s="35"/>
      <c r="J102" s="34" t="s">
        <v>384</v>
      </c>
      <c r="K102" s="34" t="s">
        <v>134</v>
      </c>
      <c r="L102" s="34" t="s">
        <v>134</v>
      </c>
      <c r="O102" s="2"/>
    </row>
    <row r="103" spans="1:15" s="1" customFormat="1">
      <c r="A103" s="25"/>
      <c r="B103" s="26" t="s">
        <v>508</v>
      </c>
      <c r="C103" s="26" t="s">
        <v>245</v>
      </c>
      <c r="D103" s="12" t="s">
        <v>509</v>
      </c>
      <c r="E103" s="30" t="s">
        <v>243</v>
      </c>
      <c r="F103" s="19" t="s">
        <v>508</v>
      </c>
      <c r="G103" s="19" t="s">
        <v>250</v>
      </c>
      <c r="H103" s="32"/>
      <c r="I103" s="35"/>
      <c r="J103" s="34" t="s">
        <v>384</v>
      </c>
      <c r="K103" s="34" t="s">
        <v>134</v>
      </c>
      <c r="L103" s="34" t="s">
        <v>134</v>
      </c>
      <c r="O103" s="2"/>
    </row>
    <row r="104" spans="1:15" s="1" customFormat="1">
      <c r="A104" s="25"/>
      <c r="B104" s="26" t="s">
        <v>510</v>
      </c>
      <c r="C104" s="26" t="s">
        <v>245</v>
      </c>
      <c r="D104" s="12" t="s">
        <v>1054</v>
      </c>
      <c r="E104" s="30" t="s">
        <v>243</v>
      </c>
      <c r="F104" s="19" t="s">
        <v>510</v>
      </c>
      <c r="G104" s="19" t="s">
        <v>250</v>
      </c>
      <c r="H104" s="32"/>
      <c r="I104" s="35"/>
      <c r="J104" s="34" t="s">
        <v>384</v>
      </c>
      <c r="K104" s="34" t="s">
        <v>134</v>
      </c>
      <c r="L104" s="34" t="s">
        <v>134</v>
      </c>
      <c r="O104" s="2"/>
    </row>
    <row r="105" spans="1:15" s="1" customFormat="1">
      <c r="A105" s="25"/>
      <c r="B105" s="26" t="s">
        <v>1238</v>
      </c>
      <c r="C105" s="26" t="s">
        <v>245</v>
      </c>
      <c r="D105" s="12" t="s">
        <v>1545</v>
      </c>
      <c r="E105" s="30" t="s">
        <v>243</v>
      </c>
      <c r="F105" s="31"/>
      <c r="G105" s="31" t="s">
        <v>1437</v>
      </c>
      <c r="H105" s="30"/>
      <c r="I105" s="33"/>
      <c r="J105" s="34" t="s">
        <v>431</v>
      </c>
      <c r="K105" s="34" t="s">
        <v>134</v>
      </c>
      <c r="L105" s="34" t="s">
        <v>432</v>
      </c>
      <c r="O105" s="2"/>
    </row>
    <row r="106" spans="1:15" s="1" customFormat="1">
      <c r="A106" s="25"/>
      <c r="B106" s="26" t="s">
        <v>1235</v>
      </c>
      <c r="C106" s="26" t="s">
        <v>136</v>
      </c>
      <c r="D106" s="12" t="s">
        <v>1544</v>
      </c>
      <c r="E106" s="30" t="s">
        <v>243</v>
      </c>
      <c r="F106" s="31"/>
      <c r="G106" s="19" t="s">
        <v>1436</v>
      </c>
      <c r="H106" s="63"/>
      <c r="I106" s="33"/>
      <c r="J106" s="34" t="s">
        <v>431</v>
      </c>
      <c r="K106" s="34" t="s">
        <v>134</v>
      </c>
      <c r="L106" s="34" t="s">
        <v>439</v>
      </c>
      <c r="O106" s="2"/>
    </row>
    <row r="107" spans="1:15" s="1" customFormat="1">
      <c r="A107" s="25"/>
      <c r="B107" s="26" t="s">
        <v>1241</v>
      </c>
      <c r="C107" s="26" t="s">
        <v>900</v>
      </c>
      <c r="D107" s="12" t="s">
        <v>1546</v>
      </c>
      <c r="E107" s="30" t="s">
        <v>243</v>
      </c>
      <c r="F107" s="31"/>
      <c r="G107" s="19" t="s">
        <v>1438</v>
      </c>
      <c r="H107" s="30"/>
      <c r="I107" s="33"/>
      <c r="J107" s="34" t="s">
        <v>431</v>
      </c>
      <c r="K107" s="34" t="s">
        <v>134</v>
      </c>
      <c r="L107" s="34" t="s">
        <v>568</v>
      </c>
      <c r="O107" s="2"/>
    </row>
    <row r="108" spans="1:15" s="1" customFormat="1">
      <c r="A108" s="25"/>
      <c r="B108" s="26" t="s">
        <v>474</v>
      </c>
      <c r="C108" s="26" t="s">
        <v>136</v>
      </c>
      <c r="D108" s="12" t="s">
        <v>1543</v>
      </c>
      <c r="E108" s="30" t="s">
        <v>243</v>
      </c>
      <c r="F108" s="31"/>
      <c r="G108" s="19" t="s">
        <v>1234</v>
      </c>
      <c r="H108" s="63"/>
      <c r="I108" s="33"/>
      <c r="J108" s="34" t="s">
        <v>431</v>
      </c>
      <c r="K108" s="34" t="s">
        <v>134</v>
      </c>
      <c r="L108" s="34" t="s">
        <v>533</v>
      </c>
      <c r="O108" s="2"/>
    </row>
    <row r="109" spans="1:15" s="1" customFormat="1">
      <c r="A109" s="25"/>
      <c r="B109" s="26" t="s">
        <v>1247</v>
      </c>
      <c r="C109" s="26" t="s">
        <v>136</v>
      </c>
      <c r="D109" s="12" t="s">
        <v>780</v>
      </c>
      <c r="E109" s="30" t="s">
        <v>243</v>
      </c>
      <c r="F109" s="31"/>
      <c r="G109" s="19" t="s">
        <v>1248</v>
      </c>
      <c r="H109" s="63"/>
      <c r="I109" s="33"/>
      <c r="J109" s="34" t="s">
        <v>431</v>
      </c>
      <c r="K109" s="34" t="s">
        <v>134</v>
      </c>
      <c r="L109" s="34" t="s">
        <v>439</v>
      </c>
      <c r="O109" s="2"/>
    </row>
    <row r="110" spans="1:15" s="1" customFormat="1">
      <c r="A110" s="25"/>
      <c r="B110" s="26" t="s">
        <v>1249</v>
      </c>
      <c r="C110" s="26" t="s">
        <v>136</v>
      </c>
      <c r="D110" s="12" t="s">
        <v>782</v>
      </c>
      <c r="E110" s="30" t="s">
        <v>243</v>
      </c>
      <c r="F110" s="19"/>
      <c r="G110" s="19" t="s">
        <v>1250</v>
      </c>
      <c r="H110" s="63"/>
      <c r="I110" s="33"/>
      <c r="J110" s="34" t="s">
        <v>431</v>
      </c>
      <c r="K110" s="34" t="s">
        <v>134</v>
      </c>
      <c r="L110" s="34" t="s">
        <v>439</v>
      </c>
      <c r="O110" s="2"/>
    </row>
    <row r="111" spans="1:15" s="1" customFormat="1">
      <c r="A111" s="25"/>
      <c r="B111" s="26" t="s">
        <v>1251</v>
      </c>
      <c r="C111" s="26" t="s">
        <v>136</v>
      </c>
      <c r="D111" s="12" t="s">
        <v>784</v>
      </c>
      <c r="E111" s="30" t="s">
        <v>243</v>
      </c>
      <c r="F111" s="19"/>
      <c r="G111" s="19" t="s">
        <v>1252</v>
      </c>
      <c r="H111" s="63"/>
      <c r="I111" s="33"/>
      <c r="J111" s="34" t="s">
        <v>431</v>
      </c>
      <c r="K111" s="34" t="s">
        <v>134</v>
      </c>
      <c r="L111" s="34" t="s">
        <v>439</v>
      </c>
      <c r="O111" s="2"/>
    </row>
    <row r="112" spans="1:15" s="1" customFormat="1">
      <c r="A112" s="25"/>
      <c r="B112" s="26" t="s">
        <v>1253</v>
      </c>
      <c r="C112" s="26" t="s">
        <v>136</v>
      </c>
      <c r="D112" s="12" t="s">
        <v>786</v>
      </c>
      <c r="E112" s="30" t="s">
        <v>243</v>
      </c>
      <c r="F112" s="19"/>
      <c r="G112" s="19" t="s">
        <v>1254</v>
      </c>
      <c r="H112" s="63"/>
      <c r="I112" s="33"/>
      <c r="J112" s="34" t="s">
        <v>431</v>
      </c>
      <c r="K112" s="34" t="s">
        <v>134</v>
      </c>
      <c r="L112" s="34" t="s">
        <v>439</v>
      </c>
      <c r="O112" s="2"/>
    </row>
    <row r="113" spans="1:15" s="1" customFormat="1">
      <c r="A113" s="25"/>
      <c r="B113" s="26" t="s">
        <v>1255</v>
      </c>
      <c r="C113" s="26" t="s">
        <v>136</v>
      </c>
      <c r="D113" s="12" t="s">
        <v>788</v>
      </c>
      <c r="E113" s="30" t="s">
        <v>243</v>
      </c>
      <c r="F113" s="19"/>
      <c r="G113" s="19" t="s">
        <v>1256</v>
      </c>
      <c r="H113" s="63"/>
      <c r="I113" s="33"/>
      <c r="J113" s="34" t="s">
        <v>431</v>
      </c>
      <c r="K113" s="34" t="s">
        <v>134</v>
      </c>
      <c r="L113" s="34" t="s">
        <v>439</v>
      </c>
      <c r="O113" s="2"/>
    </row>
    <row r="114" spans="1:15" s="1" customFormat="1">
      <c r="A114" s="25"/>
      <c r="B114" s="26" t="s">
        <v>1257</v>
      </c>
      <c r="C114" s="26" t="s">
        <v>136</v>
      </c>
      <c r="D114" s="12" t="s">
        <v>790</v>
      </c>
      <c r="E114" s="30" t="s">
        <v>243</v>
      </c>
      <c r="F114" s="19"/>
      <c r="G114" s="19" t="s">
        <v>1258</v>
      </c>
      <c r="H114" s="63"/>
      <c r="I114" s="33"/>
      <c r="J114" s="34" t="s">
        <v>431</v>
      </c>
      <c r="K114" s="34" t="s">
        <v>134</v>
      </c>
      <c r="L114" s="34" t="s">
        <v>439</v>
      </c>
      <c r="O114" s="2"/>
    </row>
    <row r="115" spans="1:15" s="1" customFormat="1">
      <c r="A115" s="25"/>
      <c r="B115" s="26" t="s">
        <v>1259</v>
      </c>
      <c r="C115" s="26" t="s">
        <v>136</v>
      </c>
      <c r="D115" s="12" t="s">
        <v>792</v>
      </c>
      <c r="E115" s="30" t="s">
        <v>243</v>
      </c>
      <c r="F115" s="19"/>
      <c r="G115" s="19" t="s">
        <v>1260</v>
      </c>
      <c r="H115" s="63"/>
      <c r="I115" s="33"/>
      <c r="J115" s="34" t="s">
        <v>431</v>
      </c>
      <c r="K115" s="34" t="s">
        <v>134</v>
      </c>
      <c r="L115" s="34" t="s">
        <v>439</v>
      </c>
      <c r="O115" s="2"/>
    </row>
    <row r="116" spans="1:15" s="1" customFormat="1">
      <c r="A116" s="25"/>
      <c r="B116" s="26" t="s">
        <v>2412</v>
      </c>
      <c r="C116" s="26" t="s">
        <v>136</v>
      </c>
      <c r="D116" s="12" t="s">
        <v>794</v>
      </c>
      <c r="E116" s="30" t="s">
        <v>243</v>
      </c>
      <c r="F116" s="19"/>
      <c r="G116" s="19" t="s">
        <v>1262</v>
      </c>
      <c r="H116" s="63"/>
      <c r="I116" s="33"/>
      <c r="J116" s="34" t="s">
        <v>431</v>
      </c>
      <c r="K116" s="34" t="s">
        <v>134</v>
      </c>
      <c r="L116" s="34" t="s">
        <v>439</v>
      </c>
      <c r="O116" s="2"/>
    </row>
    <row r="117" spans="1:15" s="1" customFormat="1">
      <c r="A117" s="25"/>
      <c r="B117" s="26" t="s">
        <v>2413</v>
      </c>
      <c r="C117" s="26" t="s">
        <v>136</v>
      </c>
      <c r="D117" s="12" t="s">
        <v>796</v>
      </c>
      <c r="E117" s="30" t="s">
        <v>243</v>
      </c>
      <c r="F117" s="19"/>
      <c r="G117" s="19" t="s">
        <v>1264</v>
      </c>
      <c r="H117" s="63"/>
      <c r="I117" s="33"/>
      <c r="J117" s="34" t="s">
        <v>431</v>
      </c>
      <c r="K117" s="34" t="s">
        <v>134</v>
      </c>
      <c r="L117" s="34" t="s">
        <v>439</v>
      </c>
      <c r="O117" s="2"/>
    </row>
    <row r="118" spans="1:15" s="1" customFormat="1">
      <c r="A118" s="25"/>
      <c r="B118" s="26" t="s">
        <v>2414</v>
      </c>
      <c r="C118" s="26" t="s">
        <v>136</v>
      </c>
      <c r="D118" s="12" t="s">
        <v>798</v>
      </c>
      <c r="E118" s="30" t="s">
        <v>243</v>
      </c>
      <c r="F118" s="19"/>
      <c r="G118" s="19" t="s">
        <v>1266</v>
      </c>
      <c r="H118" s="63"/>
      <c r="I118" s="33"/>
      <c r="J118" s="34" t="s">
        <v>431</v>
      </c>
      <c r="K118" s="34" t="s">
        <v>134</v>
      </c>
      <c r="L118" s="34" t="s">
        <v>439</v>
      </c>
      <c r="O118" s="2"/>
    </row>
    <row r="119" spans="1:15" s="1" customFormat="1">
      <c r="A119" s="25"/>
      <c r="B119" s="26" t="s">
        <v>2415</v>
      </c>
      <c r="C119" s="26" t="s">
        <v>136</v>
      </c>
      <c r="D119" s="12" t="s">
        <v>800</v>
      </c>
      <c r="E119" s="30" t="s">
        <v>243</v>
      </c>
      <c r="F119" s="19"/>
      <c r="G119" s="19" t="s">
        <v>1246</v>
      </c>
      <c r="H119" s="63"/>
      <c r="I119" s="33"/>
      <c r="J119" s="34" t="s">
        <v>431</v>
      </c>
      <c r="K119" s="34" t="s">
        <v>134</v>
      </c>
      <c r="L119" s="34" t="s">
        <v>439</v>
      </c>
      <c r="O119" s="2"/>
    </row>
    <row r="120" spans="1:15" s="1" customFormat="1">
      <c r="A120" s="25"/>
      <c r="B120" s="26" t="s">
        <v>2416</v>
      </c>
      <c r="C120" s="26" t="s">
        <v>136</v>
      </c>
      <c r="D120" s="12" t="s">
        <v>802</v>
      </c>
      <c r="E120" s="30" t="s">
        <v>243</v>
      </c>
      <c r="F120" s="19"/>
      <c r="G120" s="19" t="s">
        <v>1269</v>
      </c>
      <c r="H120" s="63"/>
      <c r="I120" s="33"/>
      <c r="J120" s="34" t="s">
        <v>431</v>
      </c>
      <c r="K120" s="34" t="s">
        <v>134</v>
      </c>
      <c r="L120" s="34" t="s">
        <v>439</v>
      </c>
      <c r="O120" s="2"/>
    </row>
    <row r="121" spans="1:15" s="1" customFormat="1">
      <c r="A121" s="25"/>
      <c r="B121" s="26" t="s">
        <v>2417</v>
      </c>
      <c r="C121" s="26" t="s">
        <v>136</v>
      </c>
      <c r="D121" s="12" t="s">
        <v>804</v>
      </c>
      <c r="E121" s="30" t="s">
        <v>243</v>
      </c>
      <c r="F121" s="19"/>
      <c r="G121" s="19" t="s">
        <v>1271</v>
      </c>
      <c r="H121" s="63"/>
      <c r="I121" s="33"/>
      <c r="J121" s="34" t="s">
        <v>431</v>
      </c>
      <c r="K121" s="34" t="s">
        <v>134</v>
      </c>
      <c r="L121" s="34" t="s">
        <v>439</v>
      </c>
      <c r="O121" s="2"/>
    </row>
    <row r="122" spans="1:15" s="1" customFormat="1">
      <c r="A122" s="25"/>
      <c r="B122" s="26" t="s">
        <v>2418</v>
      </c>
      <c r="C122" s="26" t="s">
        <v>136</v>
      </c>
      <c r="D122" s="12" t="s">
        <v>1624</v>
      </c>
      <c r="E122" s="30" t="s">
        <v>243</v>
      </c>
      <c r="F122" s="19"/>
      <c r="G122" s="19" t="s">
        <v>2296</v>
      </c>
      <c r="H122" s="73"/>
      <c r="I122" s="33"/>
      <c r="J122" s="34" t="s">
        <v>431</v>
      </c>
      <c r="K122" s="34" t="s">
        <v>134</v>
      </c>
      <c r="L122" s="34" t="s">
        <v>439</v>
      </c>
      <c r="O122" s="2"/>
    </row>
    <row r="123" spans="1:15" s="1" customFormat="1">
      <c r="A123" s="25"/>
      <c r="B123" s="26" t="s">
        <v>1625</v>
      </c>
      <c r="C123" s="26" t="s">
        <v>136</v>
      </c>
      <c r="D123" s="12" t="s">
        <v>1626</v>
      </c>
      <c r="E123" s="30" t="s">
        <v>243</v>
      </c>
      <c r="F123" s="19"/>
      <c r="G123" s="19" t="s">
        <v>1284</v>
      </c>
      <c r="H123" s="63"/>
      <c r="I123" s="33"/>
      <c r="J123" s="34" t="s">
        <v>431</v>
      </c>
      <c r="K123" s="34" t="s">
        <v>134</v>
      </c>
      <c r="L123" s="34" t="s">
        <v>439</v>
      </c>
      <c r="O123" s="2"/>
    </row>
    <row r="124" spans="1:15" s="1" customFormat="1">
      <c r="A124" s="25"/>
      <c r="B124" s="26" t="s">
        <v>1627</v>
      </c>
      <c r="C124" s="26" t="s">
        <v>136</v>
      </c>
      <c r="D124" s="12" t="s">
        <v>1628</v>
      </c>
      <c r="E124" s="30" t="s">
        <v>243</v>
      </c>
      <c r="F124" s="19"/>
      <c r="G124" s="19" t="s">
        <v>1285</v>
      </c>
      <c r="H124" s="63"/>
      <c r="I124" s="33"/>
      <c r="J124" s="34" t="s">
        <v>431</v>
      </c>
      <c r="K124" s="34" t="s">
        <v>134</v>
      </c>
      <c r="L124" s="34" t="s">
        <v>439</v>
      </c>
      <c r="O124" s="2"/>
    </row>
    <row r="125" spans="1:15" s="1" customFormat="1">
      <c r="A125" s="25"/>
      <c r="B125" s="26" t="s">
        <v>1629</v>
      </c>
      <c r="C125" s="26" t="s">
        <v>136</v>
      </c>
      <c r="D125" s="12" t="s">
        <v>1630</v>
      </c>
      <c r="E125" s="30" t="s">
        <v>243</v>
      </c>
      <c r="F125" s="19"/>
      <c r="G125" s="19" t="s">
        <v>1286</v>
      </c>
      <c r="H125" s="63"/>
      <c r="I125" s="33"/>
      <c r="J125" s="34" t="s">
        <v>431</v>
      </c>
      <c r="K125" s="34" t="s">
        <v>134</v>
      </c>
      <c r="L125" s="34" t="s">
        <v>439</v>
      </c>
      <c r="O125" s="2"/>
    </row>
    <row r="126" spans="1:15" s="1" customFormat="1">
      <c r="A126" s="25"/>
      <c r="B126" s="26" t="s">
        <v>1631</v>
      </c>
      <c r="C126" s="26" t="s">
        <v>136</v>
      </c>
      <c r="D126" s="12" t="s">
        <v>1632</v>
      </c>
      <c r="E126" s="30" t="s">
        <v>243</v>
      </c>
      <c r="F126" s="19"/>
      <c r="G126" s="19" t="s">
        <v>1287</v>
      </c>
      <c r="H126" s="63"/>
      <c r="I126" s="33"/>
      <c r="J126" s="34" t="s">
        <v>431</v>
      </c>
      <c r="K126" s="34" t="s">
        <v>134</v>
      </c>
      <c r="L126" s="34" t="s">
        <v>439</v>
      </c>
      <c r="O126" s="2"/>
    </row>
    <row r="127" spans="1:15" s="1" customFormat="1">
      <c r="A127" s="25"/>
      <c r="B127" s="26" t="s">
        <v>1633</v>
      </c>
      <c r="C127" s="26" t="s">
        <v>136</v>
      </c>
      <c r="D127" s="12" t="s">
        <v>1634</v>
      </c>
      <c r="E127" s="30" t="s">
        <v>243</v>
      </c>
      <c r="F127" s="19"/>
      <c r="G127" s="19" t="s">
        <v>1288</v>
      </c>
      <c r="H127" s="63"/>
      <c r="I127" s="33"/>
      <c r="J127" s="34" t="s">
        <v>431</v>
      </c>
      <c r="K127" s="34" t="s">
        <v>134</v>
      </c>
      <c r="L127" s="34" t="s">
        <v>439</v>
      </c>
      <c r="O127" s="2"/>
    </row>
    <row r="128" spans="1:15" s="1" customFormat="1">
      <c r="A128" s="25"/>
      <c r="B128" s="26" t="s">
        <v>1635</v>
      </c>
      <c r="C128" s="26" t="s">
        <v>136</v>
      </c>
      <c r="D128" s="12" t="s">
        <v>1636</v>
      </c>
      <c r="E128" s="30" t="s">
        <v>243</v>
      </c>
      <c r="F128" s="19"/>
      <c r="G128" s="19" t="s">
        <v>1289</v>
      </c>
      <c r="H128" s="63"/>
      <c r="I128" s="33"/>
      <c r="J128" s="34" t="s">
        <v>431</v>
      </c>
      <c r="K128" s="34" t="s">
        <v>134</v>
      </c>
      <c r="L128" s="34" t="s">
        <v>439</v>
      </c>
      <c r="O128" s="2"/>
    </row>
    <row r="129" spans="1:15" s="1" customFormat="1">
      <c r="A129" s="25"/>
      <c r="B129" s="26" t="s">
        <v>1637</v>
      </c>
      <c r="C129" s="26" t="s">
        <v>136</v>
      </c>
      <c r="D129" s="12" t="s">
        <v>1638</v>
      </c>
      <c r="E129" s="30" t="s">
        <v>243</v>
      </c>
      <c r="F129" s="19"/>
      <c r="G129" s="19" t="s">
        <v>1290</v>
      </c>
      <c r="H129" s="63"/>
      <c r="I129" s="33"/>
      <c r="J129" s="34" t="s">
        <v>431</v>
      </c>
      <c r="K129" s="34" t="s">
        <v>134</v>
      </c>
      <c r="L129" s="34" t="s">
        <v>439</v>
      </c>
      <c r="O129" s="2"/>
    </row>
    <row r="130" spans="1:15" s="1" customFormat="1">
      <c r="A130" s="25"/>
      <c r="B130" s="26" t="s">
        <v>1639</v>
      </c>
      <c r="C130" s="27" t="s">
        <v>136</v>
      </c>
      <c r="D130" s="12" t="s">
        <v>1640</v>
      </c>
      <c r="E130" s="30" t="s">
        <v>243</v>
      </c>
      <c r="F130" s="19"/>
      <c r="G130" s="19" t="s">
        <v>1291</v>
      </c>
      <c r="H130" s="63"/>
      <c r="I130" s="33"/>
      <c r="J130" s="34" t="s">
        <v>431</v>
      </c>
      <c r="K130" s="34" t="s">
        <v>134</v>
      </c>
      <c r="L130" s="34" t="s">
        <v>439</v>
      </c>
      <c r="O130" s="2"/>
    </row>
    <row r="131" spans="1:15" s="1" customFormat="1">
      <c r="A131" s="25"/>
      <c r="B131" s="26" t="s">
        <v>1641</v>
      </c>
      <c r="C131" s="27" t="s">
        <v>136</v>
      </c>
      <c r="D131" s="12" t="s">
        <v>1642</v>
      </c>
      <c r="E131" s="30" t="s">
        <v>243</v>
      </c>
      <c r="F131" s="19"/>
      <c r="G131" s="19" t="s">
        <v>1292</v>
      </c>
      <c r="H131" s="63"/>
      <c r="I131" s="33"/>
      <c r="J131" s="34" t="s">
        <v>431</v>
      </c>
      <c r="K131" s="34" t="s">
        <v>134</v>
      </c>
      <c r="L131" s="34" t="s">
        <v>439</v>
      </c>
      <c r="O131" s="2"/>
    </row>
    <row r="132" spans="1:15" s="1" customFormat="1">
      <c r="A132" s="25"/>
      <c r="B132" s="26" t="s">
        <v>1643</v>
      </c>
      <c r="C132" s="27" t="s">
        <v>136</v>
      </c>
      <c r="D132" s="12" t="s">
        <v>1644</v>
      </c>
      <c r="E132" s="30" t="s">
        <v>243</v>
      </c>
      <c r="F132" s="19"/>
      <c r="G132" s="19" t="s">
        <v>1293</v>
      </c>
      <c r="H132" s="63"/>
      <c r="I132" s="33"/>
      <c r="J132" s="34" t="s">
        <v>431</v>
      </c>
      <c r="K132" s="34" t="s">
        <v>134</v>
      </c>
      <c r="L132" s="34" t="s">
        <v>439</v>
      </c>
      <c r="O132" s="2"/>
    </row>
    <row r="133" spans="1:15" s="1" customFormat="1">
      <c r="A133" s="25"/>
      <c r="B133" s="26" t="s">
        <v>1645</v>
      </c>
      <c r="C133" s="27" t="s">
        <v>136</v>
      </c>
      <c r="D133" s="12" t="s">
        <v>1646</v>
      </c>
      <c r="E133" s="30" t="s">
        <v>243</v>
      </c>
      <c r="F133" s="19"/>
      <c r="G133" s="19" t="s">
        <v>1294</v>
      </c>
      <c r="H133" s="63"/>
      <c r="I133" s="33"/>
      <c r="J133" s="34" t="s">
        <v>431</v>
      </c>
      <c r="K133" s="34" t="s">
        <v>134</v>
      </c>
      <c r="L133" s="34" t="s">
        <v>439</v>
      </c>
      <c r="O133" s="2"/>
    </row>
    <row r="134" spans="1:15" s="1" customFormat="1">
      <c r="A134" s="25"/>
      <c r="B134" s="26" t="s">
        <v>1647</v>
      </c>
      <c r="C134" s="27" t="s">
        <v>136</v>
      </c>
      <c r="D134" s="12" t="s">
        <v>1648</v>
      </c>
      <c r="E134" s="30" t="s">
        <v>243</v>
      </c>
      <c r="F134" s="19"/>
      <c r="G134" s="19" t="s">
        <v>1295</v>
      </c>
      <c r="H134" s="63"/>
      <c r="I134" s="33"/>
      <c r="J134" s="34" t="s">
        <v>431</v>
      </c>
      <c r="K134" s="34" t="s">
        <v>134</v>
      </c>
      <c r="L134" s="34" t="s">
        <v>439</v>
      </c>
      <c r="O134" s="2"/>
    </row>
    <row r="135" spans="1:15" s="1" customFormat="1">
      <c r="A135" s="25"/>
      <c r="B135" s="26" t="s">
        <v>1649</v>
      </c>
      <c r="C135" s="27" t="s">
        <v>136</v>
      </c>
      <c r="D135" s="12" t="s">
        <v>1650</v>
      </c>
      <c r="E135" s="30" t="s">
        <v>243</v>
      </c>
      <c r="F135" s="19"/>
      <c r="G135" s="19" t="s">
        <v>1296</v>
      </c>
      <c r="H135" s="63"/>
      <c r="I135" s="33"/>
      <c r="J135" s="34" t="s">
        <v>431</v>
      </c>
      <c r="K135" s="34" t="s">
        <v>134</v>
      </c>
      <c r="L135" s="34" t="s">
        <v>439</v>
      </c>
      <c r="O135" s="2"/>
    </row>
    <row r="136" spans="1:15" s="1" customFormat="1">
      <c r="A136" s="25"/>
      <c r="B136" s="26" t="s">
        <v>1651</v>
      </c>
      <c r="C136" s="27" t="s">
        <v>136</v>
      </c>
      <c r="D136" s="12" t="s">
        <v>1652</v>
      </c>
      <c r="E136" s="30" t="s">
        <v>243</v>
      </c>
      <c r="F136" s="19"/>
      <c r="G136" s="19" t="s">
        <v>1297</v>
      </c>
      <c r="H136" s="63"/>
      <c r="I136" s="33"/>
      <c r="J136" s="34" t="s">
        <v>431</v>
      </c>
      <c r="K136" s="34" t="s">
        <v>134</v>
      </c>
      <c r="L136" s="34" t="s">
        <v>439</v>
      </c>
      <c r="O136" s="2"/>
    </row>
    <row r="137" spans="1:15" s="1" customFormat="1">
      <c r="A137" s="25"/>
      <c r="B137" s="26" t="s">
        <v>1653</v>
      </c>
      <c r="C137" s="27" t="s">
        <v>136</v>
      </c>
      <c r="D137" s="12" t="s">
        <v>1654</v>
      </c>
      <c r="E137" s="30" t="s">
        <v>243</v>
      </c>
      <c r="F137" s="19"/>
      <c r="G137" s="19" t="s">
        <v>1298</v>
      </c>
      <c r="H137" s="63"/>
      <c r="I137" s="33"/>
      <c r="J137" s="34" t="s">
        <v>431</v>
      </c>
      <c r="K137" s="34" t="s">
        <v>134</v>
      </c>
      <c r="L137" s="34" t="s">
        <v>439</v>
      </c>
      <c r="O137" s="2"/>
    </row>
    <row r="138" spans="1:15" s="1" customFormat="1">
      <c r="A138" s="25"/>
      <c r="B138" s="26" t="s">
        <v>1655</v>
      </c>
      <c r="C138" s="27" t="s">
        <v>136</v>
      </c>
      <c r="D138" s="12" t="s">
        <v>1656</v>
      </c>
      <c r="E138" s="30" t="s">
        <v>243</v>
      </c>
      <c r="F138" s="19"/>
      <c r="G138" s="19" t="s">
        <v>1299</v>
      </c>
      <c r="H138" s="63"/>
      <c r="I138" s="33"/>
      <c r="J138" s="34" t="s">
        <v>431</v>
      </c>
      <c r="K138" s="34" t="s">
        <v>134</v>
      </c>
      <c r="L138" s="34" t="s">
        <v>439</v>
      </c>
      <c r="O138" s="2"/>
    </row>
    <row r="139" spans="1:15" s="1" customFormat="1">
      <c r="A139" s="25"/>
      <c r="B139" s="26" t="s">
        <v>1657</v>
      </c>
      <c r="C139" s="27" t="s">
        <v>136</v>
      </c>
      <c r="D139" s="12" t="s">
        <v>1658</v>
      </c>
      <c r="E139" s="30" t="s">
        <v>243</v>
      </c>
      <c r="F139" s="19"/>
      <c r="G139" s="19" t="s">
        <v>1300</v>
      </c>
      <c r="H139" s="63"/>
      <c r="I139" s="33"/>
      <c r="J139" s="34" t="s">
        <v>431</v>
      </c>
      <c r="K139" s="34" t="s">
        <v>134</v>
      </c>
      <c r="L139" s="34" t="s">
        <v>439</v>
      </c>
      <c r="O139" s="2"/>
    </row>
    <row r="140" spans="1:15" s="1" customFormat="1">
      <c r="A140" s="25"/>
      <c r="B140" s="26" t="s">
        <v>1659</v>
      </c>
      <c r="C140" s="27" t="s">
        <v>136</v>
      </c>
      <c r="D140" s="12" t="s">
        <v>1660</v>
      </c>
      <c r="E140" s="30" t="s">
        <v>243</v>
      </c>
      <c r="F140" s="19"/>
      <c r="G140" s="19" t="s">
        <v>1301</v>
      </c>
      <c r="H140" s="63"/>
      <c r="I140" s="33"/>
      <c r="J140" s="34" t="s">
        <v>431</v>
      </c>
      <c r="K140" s="34" t="s">
        <v>134</v>
      </c>
      <c r="L140" s="34" t="s">
        <v>439</v>
      </c>
      <c r="O140" s="2"/>
    </row>
    <row r="141" spans="1:15" s="1" customFormat="1">
      <c r="A141" s="25"/>
      <c r="B141" s="26" t="s">
        <v>1661</v>
      </c>
      <c r="C141" s="27" t="s">
        <v>136</v>
      </c>
      <c r="D141" s="12" t="s">
        <v>1662</v>
      </c>
      <c r="E141" s="30" t="s">
        <v>243</v>
      </c>
      <c r="F141" s="19"/>
      <c r="G141" s="19" t="s">
        <v>1302</v>
      </c>
      <c r="H141" s="63"/>
      <c r="I141" s="33"/>
      <c r="J141" s="34" t="s">
        <v>431</v>
      </c>
      <c r="K141" s="34" t="s">
        <v>134</v>
      </c>
      <c r="L141" s="34" t="s">
        <v>439</v>
      </c>
      <c r="O141" s="2"/>
    </row>
    <row r="142" spans="1:15" s="1" customFormat="1">
      <c r="A142" s="25"/>
      <c r="B142" s="26" t="s">
        <v>1663</v>
      </c>
      <c r="C142" s="27" t="s">
        <v>136</v>
      </c>
      <c r="D142" s="12" t="s">
        <v>1664</v>
      </c>
      <c r="E142" s="30" t="s">
        <v>243</v>
      </c>
      <c r="F142" s="19"/>
      <c r="G142" s="19" t="s">
        <v>1303</v>
      </c>
      <c r="H142" s="63"/>
      <c r="I142" s="33"/>
      <c r="J142" s="34" t="s">
        <v>431</v>
      </c>
      <c r="K142" s="34" t="s">
        <v>134</v>
      </c>
      <c r="L142" s="34" t="s">
        <v>439</v>
      </c>
      <c r="O142" s="2"/>
    </row>
    <row r="143" spans="1:15" s="1" customFormat="1">
      <c r="A143" s="25"/>
      <c r="B143" s="26" t="s">
        <v>1665</v>
      </c>
      <c r="C143" s="27" t="s">
        <v>136</v>
      </c>
      <c r="D143" s="12" t="s">
        <v>1666</v>
      </c>
      <c r="E143" s="30" t="s">
        <v>243</v>
      </c>
      <c r="F143" s="19"/>
      <c r="G143" s="19" t="s">
        <v>1304</v>
      </c>
      <c r="H143" s="63"/>
      <c r="I143" s="33"/>
      <c r="J143" s="34" t="s">
        <v>431</v>
      </c>
      <c r="K143" s="34" t="s">
        <v>134</v>
      </c>
      <c r="L143" s="34" t="s">
        <v>439</v>
      </c>
      <c r="O143" s="2"/>
    </row>
    <row r="144" spans="1:15" s="1" customFormat="1">
      <c r="A144" s="25"/>
      <c r="B144" s="26" t="s">
        <v>1667</v>
      </c>
      <c r="C144" s="27" t="s">
        <v>136</v>
      </c>
      <c r="D144" s="12" t="s">
        <v>1668</v>
      </c>
      <c r="E144" s="30" t="s">
        <v>243</v>
      </c>
      <c r="F144" s="19"/>
      <c r="G144" s="19" t="s">
        <v>1305</v>
      </c>
      <c r="H144" s="63"/>
      <c r="I144" s="33"/>
      <c r="J144" s="34" t="s">
        <v>431</v>
      </c>
      <c r="K144" s="34" t="s">
        <v>134</v>
      </c>
      <c r="L144" s="34" t="s">
        <v>439</v>
      </c>
      <c r="O144" s="2"/>
    </row>
    <row r="145" spans="1:12" s="39" customFormat="1" ht="79.2">
      <c r="A145" s="41"/>
      <c r="B145" s="41" t="s">
        <v>227</v>
      </c>
      <c r="C145" s="41" t="s">
        <v>139</v>
      </c>
      <c r="D145" s="43" t="s">
        <v>228</v>
      </c>
      <c r="E145" s="41" t="s">
        <v>243</v>
      </c>
      <c r="F145" s="41" t="s">
        <v>227</v>
      </c>
      <c r="G145" s="42" t="s">
        <v>250</v>
      </c>
      <c r="H145" s="41"/>
      <c r="I145" s="66" t="s">
        <v>662</v>
      </c>
      <c r="J145" s="41" t="s">
        <v>384</v>
      </c>
      <c r="K145" s="41" t="s">
        <v>134</v>
      </c>
      <c r="L145" s="46" t="s">
        <v>134</v>
      </c>
    </row>
    <row r="146" spans="1:12" s="39" customFormat="1">
      <c r="A146" s="41"/>
      <c r="B146" s="41" t="s">
        <v>392</v>
      </c>
      <c r="C146" s="41" t="s">
        <v>132</v>
      </c>
      <c r="D146" s="42" t="s">
        <v>391</v>
      </c>
      <c r="E146" s="41" t="s">
        <v>243</v>
      </c>
      <c r="F146" s="41" t="s">
        <v>392</v>
      </c>
      <c r="G146" s="42" t="s">
        <v>250</v>
      </c>
      <c r="H146" s="41"/>
      <c r="I146" s="66" t="s">
        <v>662</v>
      </c>
      <c r="J146" s="41" t="s">
        <v>384</v>
      </c>
      <c r="K146" s="41" t="s">
        <v>134</v>
      </c>
      <c r="L146" s="46" t="s">
        <v>134</v>
      </c>
    </row>
    <row r="147" spans="1:12" s="39" customFormat="1">
      <c r="A147" s="41"/>
      <c r="B147" s="41" t="s">
        <v>395</v>
      </c>
      <c r="C147" s="41" t="s">
        <v>132</v>
      </c>
      <c r="D147" s="42" t="s">
        <v>489</v>
      </c>
      <c r="E147" s="41" t="s">
        <v>243</v>
      </c>
      <c r="F147" s="41" t="s">
        <v>395</v>
      </c>
      <c r="G147" s="42" t="s">
        <v>250</v>
      </c>
      <c r="H147" s="41"/>
      <c r="I147" s="66" t="s">
        <v>662</v>
      </c>
      <c r="J147" s="41" t="s">
        <v>384</v>
      </c>
      <c r="K147" s="41" t="s">
        <v>134</v>
      </c>
      <c r="L147" s="46" t="s">
        <v>134</v>
      </c>
    </row>
    <row r="148" spans="1:12" s="39" customFormat="1">
      <c r="A148" s="41"/>
      <c r="B148" s="41" t="s">
        <v>398</v>
      </c>
      <c r="C148" s="41" t="s">
        <v>132</v>
      </c>
      <c r="D148" s="42" t="s">
        <v>490</v>
      </c>
      <c r="E148" s="41" t="s">
        <v>243</v>
      </c>
      <c r="F148" s="41" t="s">
        <v>398</v>
      </c>
      <c r="G148" s="42" t="s">
        <v>250</v>
      </c>
      <c r="H148" s="41"/>
      <c r="I148" s="66" t="s">
        <v>662</v>
      </c>
      <c r="J148" s="41" t="s">
        <v>384</v>
      </c>
      <c r="K148" s="41" t="s">
        <v>134</v>
      </c>
      <c r="L148" s="46" t="s">
        <v>134</v>
      </c>
    </row>
    <row r="149" spans="1:12" s="39" customFormat="1">
      <c r="A149" s="41"/>
      <c r="B149" s="41" t="s">
        <v>377</v>
      </c>
      <c r="C149" s="41" t="s">
        <v>132</v>
      </c>
      <c r="D149" s="42" t="s">
        <v>482</v>
      </c>
      <c r="E149" s="41" t="s">
        <v>243</v>
      </c>
      <c r="F149" s="41" t="s">
        <v>377</v>
      </c>
      <c r="G149" s="42" t="s">
        <v>250</v>
      </c>
      <c r="H149" s="41"/>
      <c r="I149" s="66" t="s">
        <v>662</v>
      </c>
      <c r="J149" s="41" t="s">
        <v>384</v>
      </c>
      <c r="K149" s="41" t="s">
        <v>134</v>
      </c>
      <c r="L149" s="46" t="s">
        <v>134</v>
      </c>
    </row>
    <row r="150" spans="1:12" s="64" customFormat="1">
      <c r="A150" s="67"/>
      <c r="B150" s="68" t="s">
        <v>400</v>
      </c>
      <c r="C150" s="69" t="s">
        <v>132</v>
      </c>
      <c r="D150" s="43" t="s">
        <v>485</v>
      </c>
      <c r="E150" s="44" t="s">
        <v>243</v>
      </c>
      <c r="F150" s="41" t="s">
        <v>400</v>
      </c>
      <c r="G150" s="70" t="s">
        <v>250</v>
      </c>
      <c r="H150" s="44"/>
      <c r="I150" s="66" t="s">
        <v>662</v>
      </c>
      <c r="J150" s="66" t="s">
        <v>384</v>
      </c>
      <c r="K150" s="47" t="s">
        <v>134</v>
      </c>
      <c r="L150" s="47" t="s">
        <v>134</v>
      </c>
    </row>
    <row r="151" spans="1:12" s="64" customFormat="1">
      <c r="A151" s="67"/>
      <c r="B151" s="68" t="s">
        <v>462</v>
      </c>
      <c r="C151" s="69" t="s">
        <v>136</v>
      </c>
      <c r="D151" s="43" t="s">
        <v>463</v>
      </c>
      <c r="E151" s="44" t="s">
        <v>243</v>
      </c>
      <c r="F151" s="70"/>
      <c r="G151" s="70" t="s">
        <v>1456</v>
      </c>
      <c r="H151" s="44"/>
      <c r="I151" s="66" t="s">
        <v>662</v>
      </c>
      <c r="J151" s="66" t="s">
        <v>431</v>
      </c>
      <c r="K151" s="47" t="s">
        <v>134</v>
      </c>
      <c r="L151" s="47" t="s">
        <v>439</v>
      </c>
    </row>
    <row r="152" spans="1:12" s="64" customFormat="1">
      <c r="A152" s="67"/>
      <c r="B152" s="68" t="s">
        <v>616</v>
      </c>
      <c r="C152" s="69" t="s">
        <v>136</v>
      </c>
      <c r="D152" s="43" t="s">
        <v>855</v>
      </c>
      <c r="E152" s="44" t="s">
        <v>243</v>
      </c>
      <c r="F152" s="70"/>
      <c r="G152" s="70" t="s">
        <v>856</v>
      </c>
      <c r="H152" s="44"/>
      <c r="I152" s="66" t="s">
        <v>662</v>
      </c>
      <c r="J152" s="66" t="s">
        <v>431</v>
      </c>
      <c r="K152" s="47" t="s">
        <v>134</v>
      </c>
      <c r="L152" s="47" t="s">
        <v>439</v>
      </c>
    </row>
    <row r="153" spans="1:12" s="64" customFormat="1">
      <c r="A153" s="67"/>
      <c r="B153" s="68" t="s">
        <v>618</v>
      </c>
      <c r="C153" s="69" t="s">
        <v>136</v>
      </c>
      <c r="D153" s="43" t="s">
        <v>858</v>
      </c>
      <c r="E153" s="44" t="s">
        <v>243</v>
      </c>
      <c r="F153" s="70"/>
      <c r="G153" s="70" t="s">
        <v>859</v>
      </c>
      <c r="H153" s="44"/>
      <c r="I153" s="66" t="s">
        <v>662</v>
      </c>
      <c r="J153" s="66" t="s">
        <v>431</v>
      </c>
      <c r="K153" s="47" t="s">
        <v>134</v>
      </c>
      <c r="L153" s="47" t="s">
        <v>439</v>
      </c>
    </row>
    <row r="154" spans="1:12" s="64" customFormat="1">
      <c r="A154" s="67"/>
      <c r="B154" s="68" t="s">
        <v>620</v>
      </c>
      <c r="C154" s="69" t="s">
        <v>136</v>
      </c>
      <c r="D154" s="43" t="s">
        <v>861</v>
      </c>
      <c r="E154" s="44" t="s">
        <v>243</v>
      </c>
      <c r="F154" s="70"/>
      <c r="G154" s="70" t="s">
        <v>862</v>
      </c>
      <c r="H154" s="44"/>
      <c r="I154" s="66" t="s">
        <v>662</v>
      </c>
      <c r="J154" s="66" t="s">
        <v>431</v>
      </c>
      <c r="K154" s="47" t="s">
        <v>134</v>
      </c>
      <c r="L154" s="47" t="s">
        <v>439</v>
      </c>
    </row>
    <row r="155" spans="1:12" s="64" customFormat="1">
      <c r="A155" s="67"/>
      <c r="B155" s="68" t="s">
        <v>622</v>
      </c>
      <c r="C155" s="69" t="s">
        <v>136</v>
      </c>
      <c r="D155" s="43" t="s">
        <v>864</v>
      </c>
      <c r="E155" s="44" t="s">
        <v>243</v>
      </c>
      <c r="F155" s="70"/>
      <c r="G155" s="70" t="s">
        <v>865</v>
      </c>
      <c r="H155" s="44"/>
      <c r="I155" s="66" t="s">
        <v>662</v>
      </c>
      <c r="J155" s="66" t="s">
        <v>431</v>
      </c>
      <c r="K155" s="47" t="s">
        <v>134</v>
      </c>
      <c r="L155" s="47" t="s">
        <v>439</v>
      </c>
    </row>
    <row r="156" spans="1:12" s="64" customFormat="1">
      <c r="A156" s="67"/>
      <c r="B156" s="68" t="s">
        <v>624</v>
      </c>
      <c r="C156" s="69" t="s">
        <v>136</v>
      </c>
      <c r="D156" s="43" t="s">
        <v>867</v>
      </c>
      <c r="E156" s="44" t="s">
        <v>243</v>
      </c>
      <c r="F156" s="70"/>
      <c r="G156" s="70" t="s">
        <v>868</v>
      </c>
      <c r="H156" s="44"/>
      <c r="I156" s="66" t="s">
        <v>662</v>
      </c>
      <c r="J156" s="66" t="s">
        <v>431</v>
      </c>
      <c r="K156" s="47" t="s">
        <v>134</v>
      </c>
      <c r="L156" s="47" t="s">
        <v>439</v>
      </c>
    </row>
    <row r="157" spans="1:12" s="64" customFormat="1">
      <c r="A157" s="67"/>
      <c r="B157" s="68" t="s">
        <v>626</v>
      </c>
      <c r="C157" s="69" t="s">
        <v>136</v>
      </c>
      <c r="D157" s="43" t="s">
        <v>870</v>
      </c>
      <c r="E157" s="44" t="s">
        <v>243</v>
      </c>
      <c r="F157" s="70"/>
      <c r="G157" s="70" t="s">
        <v>871</v>
      </c>
      <c r="H157" s="44"/>
      <c r="I157" s="66" t="s">
        <v>662</v>
      </c>
      <c r="J157" s="66" t="s">
        <v>431</v>
      </c>
      <c r="K157" s="47" t="s">
        <v>134</v>
      </c>
      <c r="L157" s="47" t="s">
        <v>439</v>
      </c>
    </row>
    <row r="158" spans="1:12" s="64" customFormat="1">
      <c r="A158" s="67"/>
      <c r="B158" s="68" t="s">
        <v>628</v>
      </c>
      <c r="C158" s="69" t="s">
        <v>136</v>
      </c>
      <c r="D158" s="43" t="s">
        <v>873</v>
      </c>
      <c r="E158" s="44" t="s">
        <v>243</v>
      </c>
      <c r="F158" s="70"/>
      <c r="G158" s="70" t="s">
        <v>874</v>
      </c>
      <c r="H158" s="44"/>
      <c r="I158" s="66" t="s">
        <v>662</v>
      </c>
      <c r="J158" s="66" t="s">
        <v>431</v>
      </c>
      <c r="K158" s="47" t="s">
        <v>134</v>
      </c>
      <c r="L158" s="47" t="s">
        <v>439</v>
      </c>
    </row>
    <row r="159" spans="1:12" s="64" customFormat="1">
      <c r="A159" s="67"/>
      <c r="B159" s="68" t="s">
        <v>658</v>
      </c>
      <c r="C159" s="69" t="s">
        <v>136</v>
      </c>
      <c r="D159" s="43" t="s">
        <v>659</v>
      </c>
      <c r="E159" s="44" t="s">
        <v>243</v>
      </c>
      <c r="F159" s="70"/>
      <c r="G159" s="70" t="s">
        <v>2298</v>
      </c>
      <c r="H159" s="44"/>
      <c r="I159" s="66" t="s">
        <v>662</v>
      </c>
      <c r="J159" s="47" t="s">
        <v>431</v>
      </c>
      <c r="K159" s="47" t="s">
        <v>134</v>
      </c>
      <c r="L159" s="47" t="s">
        <v>439</v>
      </c>
    </row>
    <row r="160" spans="1:12" s="64" customFormat="1">
      <c r="A160" s="67"/>
      <c r="B160" s="68" t="s">
        <v>665</v>
      </c>
      <c r="C160" s="69" t="s">
        <v>136</v>
      </c>
      <c r="D160" s="43" t="s">
        <v>1024</v>
      </c>
      <c r="E160" s="44" t="s">
        <v>243</v>
      </c>
      <c r="F160" s="70"/>
      <c r="G160" s="70" t="s">
        <v>2299</v>
      </c>
      <c r="H160" s="44"/>
      <c r="I160" s="66" t="s">
        <v>662</v>
      </c>
      <c r="J160" s="47" t="s">
        <v>431</v>
      </c>
      <c r="K160" s="47" t="s">
        <v>134</v>
      </c>
      <c r="L160" s="47" t="s">
        <v>439</v>
      </c>
    </row>
    <row r="161" spans="1:12" s="64" customFormat="1">
      <c r="A161" s="67"/>
      <c r="B161" s="68" t="s">
        <v>669</v>
      </c>
      <c r="C161" s="69" t="s">
        <v>245</v>
      </c>
      <c r="D161" s="43" t="s">
        <v>670</v>
      </c>
      <c r="E161" s="44" t="s">
        <v>243</v>
      </c>
      <c r="F161" s="70"/>
      <c r="G161" s="70" t="s">
        <v>2300</v>
      </c>
      <c r="H161" s="44"/>
      <c r="I161" s="66" t="s">
        <v>662</v>
      </c>
      <c r="J161" s="47" t="s">
        <v>431</v>
      </c>
      <c r="K161" s="47" t="s">
        <v>134</v>
      </c>
      <c r="L161" s="47" t="s">
        <v>439</v>
      </c>
    </row>
    <row r="162" spans="1:12" s="64" customFormat="1">
      <c r="A162" s="67"/>
      <c r="B162" s="68" t="s">
        <v>743</v>
      </c>
      <c r="C162" s="68" t="s">
        <v>136</v>
      </c>
      <c r="D162" s="42" t="s">
        <v>1027</v>
      </c>
      <c r="E162" s="44" t="s">
        <v>243</v>
      </c>
      <c r="F162" s="70"/>
      <c r="G162" s="70" t="s">
        <v>1028</v>
      </c>
      <c r="H162" s="44"/>
      <c r="I162" s="66" t="s">
        <v>662</v>
      </c>
      <c r="J162" s="47" t="s">
        <v>431</v>
      </c>
      <c r="K162" s="47" t="s">
        <v>134</v>
      </c>
      <c r="L162" s="47" t="s">
        <v>439</v>
      </c>
    </row>
    <row r="163" spans="1:12" s="64" customFormat="1">
      <c r="A163" s="67"/>
      <c r="B163" s="68" t="s">
        <v>746</v>
      </c>
      <c r="C163" s="68" t="s">
        <v>136</v>
      </c>
      <c r="D163" s="42" t="s">
        <v>1030</v>
      </c>
      <c r="E163" s="44" t="s">
        <v>243</v>
      </c>
      <c r="F163" s="70"/>
      <c r="G163" s="70" t="s">
        <v>1031</v>
      </c>
      <c r="H163" s="44"/>
      <c r="I163" s="66" t="s">
        <v>662</v>
      </c>
      <c r="J163" s="47" t="s">
        <v>431</v>
      </c>
      <c r="K163" s="47" t="s">
        <v>134</v>
      </c>
      <c r="L163" s="47" t="s">
        <v>439</v>
      </c>
    </row>
    <row r="164" spans="1:12" s="64" customFormat="1">
      <c r="A164" s="67"/>
      <c r="B164" s="68" t="s">
        <v>749</v>
      </c>
      <c r="C164" s="68" t="s">
        <v>136</v>
      </c>
      <c r="D164" s="42" t="s">
        <v>1033</v>
      </c>
      <c r="E164" s="44" t="s">
        <v>243</v>
      </c>
      <c r="F164" s="70"/>
      <c r="G164" s="70" t="s">
        <v>1034</v>
      </c>
      <c r="H164" s="44"/>
      <c r="I164" s="66" t="s">
        <v>662</v>
      </c>
      <c r="J164" s="47" t="s">
        <v>431</v>
      </c>
      <c r="K164" s="47" t="s">
        <v>134</v>
      </c>
      <c r="L164" s="47" t="s">
        <v>439</v>
      </c>
    </row>
    <row r="165" spans="1:12" s="64" customFormat="1">
      <c r="A165" s="67"/>
      <c r="B165" s="68" t="s">
        <v>752</v>
      </c>
      <c r="C165" s="68" t="s">
        <v>136</v>
      </c>
      <c r="D165" s="42" t="s">
        <v>1036</v>
      </c>
      <c r="E165" s="44" t="s">
        <v>243</v>
      </c>
      <c r="F165" s="70"/>
      <c r="G165" s="70" t="s">
        <v>1037</v>
      </c>
      <c r="H165" s="44"/>
      <c r="I165" s="66" t="s">
        <v>662</v>
      </c>
      <c r="J165" s="47" t="s">
        <v>431</v>
      </c>
      <c r="K165" s="47" t="s">
        <v>134</v>
      </c>
      <c r="L165" s="47" t="s">
        <v>439</v>
      </c>
    </row>
    <row r="166" spans="1:12" s="64" customFormat="1">
      <c r="A166" s="67"/>
      <c r="B166" s="68" t="s">
        <v>755</v>
      </c>
      <c r="C166" s="68" t="s">
        <v>136</v>
      </c>
      <c r="D166" s="42" t="s">
        <v>1039</v>
      </c>
      <c r="E166" s="44" t="s">
        <v>243</v>
      </c>
      <c r="F166" s="70"/>
      <c r="G166" s="70" t="s">
        <v>1040</v>
      </c>
      <c r="H166" s="44"/>
      <c r="I166" s="66" t="s">
        <v>662</v>
      </c>
      <c r="J166" s="47" t="s">
        <v>431</v>
      </c>
      <c r="K166" s="47" t="s">
        <v>134</v>
      </c>
      <c r="L166" s="47" t="s">
        <v>439</v>
      </c>
    </row>
    <row r="167" spans="1:12" s="64" customFormat="1">
      <c r="A167" s="67"/>
      <c r="B167" s="68" t="s">
        <v>758</v>
      </c>
      <c r="C167" s="68" t="s">
        <v>136</v>
      </c>
      <c r="D167" s="42" t="s">
        <v>1042</v>
      </c>
      <c r="E167" s="44" t="s">
        <v>243</v>
      </c>
      <c r="F167" s="70"/>
      <c r="G167" s="70" t="s">
        <v>1043</v>
      </c>
      <c r="H167" s="44"/>
      <c r="I167" s="66" t="s">
        <v>662</v>
      </c>
      <c r="J167" s="47" t="s">
        <v>431</v>
      </c>
      <c r="K167" s="47" t="s">
        <v>134</v>
      </c>
      <c r="L167" s="47" t="s">
        <v>439</v>
      </c>
    </row>
    <row r="168" spans="1:12" s="64" customFormat="1">
      <c r="A168" s="67"/>
      <c r="B168" s="68" t="s">
        <v>1547</v>
      </c>
      <c r="C168" s="68" t="s">
        <v>136</v>
      </c>
      <c r="D168" s="42" t="s">
        <v>1045</v>
      </c>
      <c r="E168" s="44" t="s">
        <v>243</v>
      </c>
      <c r="F168" s="70"/>
      <c r="G168" s="70" t="s">
        <v>1046</v>
      </c>
      <c r="H168" s="44"/>
      <c r="I168" s="66" t="s">
        <v>662</v>
      </c>
      <c r="J168" s="47" t="s">
        <v>431</v>
      </c>
      <c r="K168" s="47" t="s">
        <v>134</v>
      </c>
      <c r="L168" s="47" t="s">
        <v>439</v>
      </c>
    </row>
    <row r="169" spans="1:12" s="64" customFormat="1">
      <c r="A169" s="67"/>
      <c r="B169" s="68" t="s">
        <v>2599</v>
      </c>
      <c r="C169" s="69" t="s">
        <v>136</v>
      </c>
      <c r="D169" s="43" t="s">
        <v>2592</v>
      </c>
      <c r="E169" s="44" t="s">
        <v>248</v>
      </c>
      <c r="F169" s="70"/>
      <c r="G169" s="70" t="s">
        <v>2597</v>
      </c>
      <c r="H169" s="44"/>
      <c r="I169" s="66" t="s">
        <v>662</v>
      </c>
      <c r="J169" s="47" t="s">
        <v>431</v>
      </c>
      <c r="K169" s="47" t="s">
        <v>134</v>
      </c>
      <c r="L169" s="47" t="s">
        <v>439</v>
      </c>
    </row>
    <row r="170" spans="1:12" s="64" customFormat="1" ht="26.4">
      <c r="A170" s="67"/>
      <c r="B170" s="68" t="s">
        <v>2594</v>
      </c>
      <c r="C170" s="69" t="s">
        <v>136</v>
      </c>
      <c r="D170" s="43" t="s">
        <v>2595</v>
      </c>
      <c r="E170" s="44" t="s">
        <v>248</v>
      </c>
      <c r="F170" s="70"/>
      <c r="G170" s="70" t="s">
        <v>2598</v>
      </c>
      <c r="H170" s="44"/>
      <c r="I170" s="66" t="s">
        <v>662</v>
      </c>
      <c r="J170" s="47" t="s">
        <v>431</v>
      </c>
      <c r="K170" s="47" t="s">
        <v>134</v>
      </c>
      <c r="L170" s="47" t="s">
        <v>533</v>
      </c>
    </row>
    <row r="171" spans="1:12" s="4" customFormat="1">
      <c r="B171" s="50" t="s">
        <v>233</v>
      </c>
      <c r="C171" s="51" t="s">
        <v>139</v>
      </c>
      <c r="D171" s="37" t="s">
        <v>234</v>
      </c>
      <c r="E171" s="52"/>
      <c r="F171" s="50"/>
      <c r="G171" s="50"/>
      <c r="H171" s="50"/>
      <c r="I171" s="50"/>
      <c r="J171" s="50"/>
      <c r="K171" s="50"/>
      <c r="L171" s="50"/>
    </row>
    <row r="172" spans="1:12" s="4" customFormat="1">
      <c r="B172" s="50" t="s">
        <v>235</v>
      </c>
      <c r="C172" s="51" t="s">
        <v>132</v>
      </c>
      <c r="D172" s="37" t="s">
        <v>236</v>
      </c>
      <c r="E172" s="52"/>
      <c r="F172" s="50"/>
      <c r="G172" s="50"/>
      <c r="H172" s="50"/>
      <c r="I172" s="50"/>
      <c r="J172" s="50"/>
      <c r="K172" s="50"/>
      <c r="L172" s="50"/>
    </row>
  </sheetData>
  <autoFilter ref="A14:L172" xr:uid="{00000000-0009-0000-0000-00001B000000}"/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63"/>
  <sheetViews>
    <sheetView zoomScale="85" zoomScaleNormal="85" workbookViewId="0">
      <pane ySplit="5" topLeftCell="A6" activePane="bottomLeft" state="frozen"/>
      <selection activeCell="F6" sqref="F6"/>
      <selection pane="bottomLeft" activeCell="C9" sqref="C9"/>
    </sheetView>
  </sheetViews>
  <sheetFormatPr defaultColWidth="9" defaultRowHeight="13.2"/>
  <cols>
    <col min="1" max="1" width="1.33203125" style="5" customWidth="1"/>
    <col min="2" max="2" width="23.6640625" style="5" customWidth="1"/>
    <col min="3" max="3" width="30.21875" style="5" customWidth="1"/>
    <col min="4" max="4" width="32.21875" style="5" customWidth="1"/>
    <col min="5" max="5" width="16.21875" style="5" customWidth="1"/>
    <col min="6" max="6" width="17.109375" style="5" customWidth="1"/>
    <col min="7" max="7" width="39.5546875" style="5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2:12">
      <c r="B1" s="7" t="str">
        <f>HYPERLINK("#导航!a2","返回")</f>
        <v>返回</v>
      </c>
    </row>
    <row r="2" spans="2:12">
      <c r="B2" s="156"/>
      <c r="C2" s="156"/>
      <c r="D2" s="156"/>
      <c r="E2" s="156"/>
      <c r="F2" s="156"/>
      <c r="G2" s="156"/>
      <c r="H2" s="156"/>
    </row>
    <row r="3" spans="2:12">
      <c r="B3" s="157" t="s">
        <v>106</v>
      </c>
      <c r="C3" s="157"/>
      <c r="D3" s="157"/>
      <c r="E3" s="157"/>
      <c r="F3" s="157"/>
      <c r="G3" s="157"/>
      <c r="H3" s="157"/>
    </row>
    <row r="4" spans="2:12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2:12">
      <c r="B5" s="11" t="s">
        <v>55</v>
      </c>
      <c r="C5" s="12" t="s">
        <v>2419</v>
      </c>
      <c r="D5" s="13" t="s">
        <v>97</v>
      </c>
      <c r="E5" s="14" t="s">
        <v>383</v>
      </c>
      <c r="F5" s="15"/>
      <c r="G5" s="14"/>
      <c r="H5" s="14"/>
    </row>
    <row r="6" spans="2:12">
      <c r="B6" s="8"/>
      <c r="C6" s="8"/>
      <c r="D6" s="8"/>
      <c r="E6" s="8"/>
      <c r="F6" s="8"/>
      <c r="G6" s="8"/>
      <c r="H6" s="8"/>
    </row>
    <row r="7" spans="2:12">
      <c r="B7" s="157" t="s">
        <v>113</v>
      </c>
      <c r="C7" s="157"/>
      <c r="D7" s="157"/>
      <c r="E7" s="157"/>
      <c r="F7" s="157"/>
      <c r="G7" s="157"/>
      <c r="H7" s="157"/>
    </row>
    <row r="8" spans="2:12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2:12">
      <c r="B9" s="14"/>
      <c r="C9" s="12" t="s">
        <v>2317</v>
      </c>
      <c r="D9" s="13" t="s">
        <v>96</v>
      </c>
      <c r="E9" s="14" t="s">
        <v>243</v>
      </c>
      <c r="F9" s="19"/>
      <c r="G9" s="19"/>
      <c r="H9" s="21" t="s">
        <v>38</v>
      </c>
    </row>
    <row r="10" spans="2:12">
      <c r="B10" s="14"/>
      <c r="C10" s="12"/>
      <c r="D10" s="12"/>
      <c r="E10" s="14"/>
      <c r="F10" s="19"/>
      <c r="G10" s="19"/>
      <c r="H10" s="14"/>
    </row>
    <row r="11" spans="2:12">
      <c r="G11" s="48"/>
    </row>
    <row r="12" spans="2:12">
      <c r="B12" s="5" t="s">
        <v>120</v>
      </c>
    </row>
    <row r="13" spans="2:12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2:12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2:12" s="2" customFormat="1">
      <c r="B15" s="49" t="s">
        <v>383</v>
      </c>
      <c r="C15" s="49" t="s">
        <v>132</v>
      </c>
      <c r="D15" s="12" t="s">
        <v>480</v>
      </c>
      <c r="E15" s="30" t="s">
        <v>243</v>
      </c>
      <c r="F15" s="19" t="s">
        <v>235</v>
      </c>
      <c r="G15" s="19" t="s">
        <v>250</v>
      </c>
      <c r="H15" s="32"/>
      <c r="I15" s="34"/>
      <c r="J15" s="34" t="s">
        <v>384</v>
      </c>
      <c r="K15" s="34" t="s">
        <v>134</v>
      </c>
      <c r="L15" s="34" t="s">
        <v>134</v>
      </c>
    </row>
    <row r="16" spans="2:12" s="2" customFormat="1">
      <c r="B16" s="49" t="s">
        <v>284</v>
      </c>
      <c r="C16" s="49" t="s">
        <v>132</v>
      </c>
      <c r="D16" s="12" t="s">
        <v>484</v>
      </c>
      <c r="E16" s="30" t="s">
        <v>243</v>
      </c>
      <c r="F16" s="31" t="s">
        <v>284</v>
      </c>
      <c r="G16" s="19" t="s">
        <v>250</v>
      </c>
      <c r="H16" s="32"/>
      <c r="I16" s="34"/>
      <c r="J16" s="34" t="s">
        <v>384</v>
      </c>
      <c r="K16" s="34" t="s">
        <v>134</v>
      </c>
      <c r="L16" s="34" t="s">
        <v>134</v>
      </c>
    </row>
    <row r="17" spans="1:15" s="2" customFormat="1">
      <c r="A17" s="29"/>
      <c r="B17" s="49" t="s">
        <v>287</v>
      </c>
      <c r="C17" s="49" t="s">
        <v>136</v>
      </c>
      <c r="D17" s="12" t="s">
        <v>808</v>
      </c>
      <c r="E17" s="30" t="s">
        <v>243</v>
      </c>
      <c r="F17" s="31" t="s">
        <v>287</v>
      </c>
      <c r="G17" s="19" t="s">
        <v>250</v>
      </c>
      <c r="H17" s="32"/>
      <c r="I17" s="35"/>
      <c r="J17" s="34" t="s">
        <v>384</v>
      </c>
      <c r="K17" s="34" t="s">
        <v>134</v>
      </c>
      <c r="L17" s="34" t="s">
        <v>134</v>
      </c>
    </row>
    <row r="18" spans="1:15" s="2" customFormat="1">
      <c r="A18" s="29"/>
      <c r="B18" s="49" t="s">
        <v>141</v>
      </c>
      <c r="C18" s="49" t="s">
        <v>132</v>
      </c>
      <c r="D18" s="12" t="s">
        <v>143</v>
      </c>
      <c r="E18" s="30" t="s">
        <v>243</v>
      </c>
      <c r="F18" s="31" t="s">
        <v>141</v>
      </c>
      <c r="G18" s="19" t="s">
        <v>250</v>
      </c>
      <c r="H18" s="32"/>
      <c r="I18" s="35"/>
      <c r="J18" s="34" t="s">
        <v>384</v>
      </c>
      <c r="K18" s="34" t="s">
        <v>134</v>
      </c>
      <c r="L18" s="34" t="s">
        <v>134</v>
      </c>
    </row>
    <row r="19" spans="1:15" s="2" customFormat="1">
      <c r="A19" s="29"/>
      <c r="B19" s="14" t="s">
        <v>491</v>
      </c>
      <c r="C19" s="14" t="s">
        <v>139</v>
      </c>
      <c r="D19" s="12" t="s">
        <v>1585</v>
      </c>
      <c r="E19" s="30" t="s">
        <v>243</v>
      </c>
      <c r="F19" s="31" t="s">
        <v>491</v>
      </c>
      <c r="G19" s="19" t="s">
        <v>250</v>
      </c>
      <c r="H19" s="32"/>
      <c r="I19" s="35"/>
      <c r="J19" s="34" t="s">
        <v>384</v>
      </c>
      <c r="K19" s="34" t="s">
        <v>134</v>
      </c>
      <c r="L19" s="34" t="s">
        <v>134</v>
      </c>
    </row>
    <row r="20" spans="1:15" s="2" customFormat="1">
      <c r="A20" s="29"/>
      <c r="B20" s="14" t="s">
        <v>273</v>
      </c>
      <c r="C20" s="14" t="s">
        <v>139</v>
      </c>
      <c r="D20" s="12" t="s">
        <v>274</v>
      </c>
      <c r="E20" s="30" t="s">
        <v>243</v>
      </c>
      <c r="F20" s="31" t="s">
        <v>273</v>
      </c>
      <c r="G20" s="19" t="s">
        <v>250</v>
      </c>
      <c r="H20" s="32"/>
      <c r="I20" s="35"/>
      <c r="J20" s="34" t="s">
        <v>384</v>
      </c>
      <c r="K20" s="34" t="s">
        <v>134</v>
      </c>
      <c r="L20" s="34" t="s">
        <v>134</v>
      </c>
    </row>
    <row r="21" spans="1:15" s="2" customFormat="1">
      <c r="A21" s="29"/>
      <c r="B21" s="14" t="s">
        <v>385</v>
      </c>
      <c r="C21" s="14" t="s">
        <v>139</v>
      </c>
      <c r="D21" s="12" t="s">
        <v>487</v>
      </c>
      <c r="E21" s="30" t="s">
        <v>243</v>
      </c>
      <c r="F21" s="31" t="s">
        <v>385</v>
      </c>
      <c r="G21" s="19" t="s">
        <v>250</v>
      </c>
      <c r="H21" s="32"/>
      <c r="I21" s="35"/>
      <c r="J21" s="34" t="s">
        <v>384</v>
      </c>
      <c r="K21" s="34" t="s">
        <v>134</v>
      </c>
      <c r="L21" s="34" t="s">
        <v>134</v>
      </c>
    </row>
    <row r="22" spans="1:15" s="2" customFormat="1">
      <c r="A22" s="29"/>
      <c r="B22" s="14" t="s">
        <v>388</v>
      </c>
      <c r="C22" s="14" t="s">
        <v>139</v>
      </c>
      <c r="D22" s="12" t="s">
        <v>488</v>
      </c>
      <c r="E22" s="30" t="s">
        <v>243</v>
      </c>
      <c r="F22" s="31" t="s">
        <v>388</v>
      </c>
      <c r="G22" s="19" t="s">
        <v>250</v>
      </c>
      <c r="H22" s="32"/>
      <c r="I22" s="35"/>
      <c r="J22" s="34" t="s">
        <v>384</v>
      </c>
      <c r="K22" s="34" t="s">
        <v>134</v>
      </c>
      <c r="L22" s="34" t="s">
        <v>134</v>
      </c>
    </row>
    <row r="23" spans="1:15" s="2" customFormat="1">
      <c r="A23" s="29"/>
      <c r="B23" s="14" t="s">
        <v>1058</v>
      </c>
      <c r="C23" s="14" t="s">
        <v>245</v>
      </c>
      <c r="D23" s="12" t="s">
        <v>513</v>
      </c>
      <c r="E23" s="30" t="s">
        <v>243</v>
      </c>
      <c r="F23" s="31" t="s">
        <v>1058</v>
      </c>
      <c r="G23" s="19" t="s">
        <v>1368</v>
      </c>
      <c r="H23" s="32"/>
      <c r="I23" s="35"/>
      <c r="J23" s="34" t="s">
        <v>431</v>
      </c>
      <c r="K23" s="34" t="s">
        <v>134</v>
      </c>
      <c r="L23" s="34" t="s">
        <v>1623</v>
      </c>
    </row>
    <row r="24" spans="1:15" s="2" customFormat="1">
      <c r="A24" s="29"/>
      <c r="B24" s="49" t="s">
        <v>1060</v>
      </c>
      <c r="C24" s="49" t="s">
        <v>245</v>
      </c>
      <c r="D24" s="12" t="s">
        <v>516</v>
      </c>
      <c r="E24" s="30" t="s">
        <v>243</v>
      </c>
      <c r="F24" s="31" t="s">
        <v>1060</v>
      </c>
      <c r="G24" s="19" t="s">
        <v>1369</v>
      </c>
      <c r="H24" s="32"/>
      <c r="I24" s="35"/>
      <c r="J24" s="34" t="s">
        <v>431</v>
      </c>
      <c r="K24" s="34" t="s">
        <v>134</v>
      </c>
      <c r="L24" s="34" t="s">
        <v>1623</v>
      </c>
    </row>
    <row r="25" spans="1:15" s="2" customFormat="1">
      <c r="A25" s="29"/>
      <c r="B25" s="14" t="s">
        <v>1062</v>
      </c>
      <c r="C25" s="14" t="s">
        <v>136</v>
      </c>
      <c r="D25" s="12" t="s">
        <v>519</v>
      </c>
      <c r="E25" s="30" t="s">
        <v>243</v>
      </c>
      <c r="F25" s="31" t="s">
        <v>1062</v>
      </c>
      <c r="G25" s="19" t="s">
        <v>1370</v>
      </c>
      <c r="H25" s="32"/>
      <c r="I25" s="35"/>
      <c r="J25" s="34" t="s">
        <v>431</v>
      </c>
      <c r="K25" s="34" t="s">
        <v>134</v>
      </c>
      <c r="L25" s="34" t="s">
        <v>439</v>
      </c>
    </row>
    <row r="26" spans="1:15" s="2" customFormat="1">
      <c r="A26" s="29"/>
      <c r="B26" s="14" t="s">
        <v>936</v>
      </c>
      <c r="C26" s="14" t="s">
        <v>136</v>
      </c>
      <c r="D26" s="12" t="s">
        <v>1586</v>
      </c>
      <c r="E26" s="30" t="s">
        <v>243</v>
      </c>
      <c r="F26" s="31" t="s">
        <v>936</v>
      </c>
      <c r="G26" s="19" t="s">
        <v>1340</v>
      </c>
      <c r="H26" s="32"/>
      <c r="I26" s="35"/>
      <c r="J26" s="34" t="s">
        <v>431</v>
      </c>
      <c r="K26" s="34" t="s">
        <v>134</v>
      </c>
      <c r="L26" s="34" t="s">
        <v>439</v>
      </c>
    </row>
    <row r="27" spans="1:15" s="2" customFormat="1">
      <c r="A27" s="29"/>
      <c r="B27" s="14" t="s">
        <v>939</v>
      </c>
      <c r="C27" s="14" t="s">
        <v>136</v>
      </c>
      <c r="D27" s="12" t="s">
        <v>1587</v>
      </c>
      <c r="E27" s="30" t="s">
        <v>243</v>
      </c>
      <c r="F27" s="31" t="s">
        <v>939</v>
      </c>
      <c r="G27" s="19" t="s">
        <v>1341</v>
      </c>
      <c r="H27" s="32"/>
      <c r="I27" s="35"/>
      <c r="J27" s="34" t="s">
        <v>431</v>
      </c>
      <c r="K27" s="34" t="s">
        <v>134</v>
      </c>
      <c r="L27" s="34" t="s">
        <v>439</v>
      </c>
    </row>
    <row r="28" spans="1:15" s="2" customFormat="1">
      <c r="A28" s="29"/>
      <c r="B28" s="14" t="s">
        <v>942</v>
      </c>
      <c r="C28" s="14" t="s">
        <v>245</v>
      </c>
      <c r="D28" s="12" t="s">
        <v>1588</v>
      </c>
      <c r="E28" s="30" t="s">
        <v>243</v>
      </c>
      <c r="F28" s="31" t="s">
        <v>942</v>
      </c>
      <c r="G28" s="19" t="s">
        <v>1342</v>
      </c>
      <c r="H28" s="32"/>
      <c r="I28" s="35"/>
      <c r="J28" s="34" t="s">
        <v>431</v>
      </c>
      <c r="K28" s="34" t="s">
        <v>134</v>
      </c>
      <c r="L28" s="34" t="s">
        <v>439</v>
      </c>
    </row>
    <row r="29" spans="1:15" s="2" customFormat="1">
      <c r="A29" s="29"/>
      <c r="B29" s="49" t="s">
        <v>811</v>
      </c>
      <c r="C29" s="49" t="s">
        <v>136</v>
      </c>
      <c r="D29" s="12" t="s">
        <v>1589</v>
      </c>
      <c r="E29" s="30" t="s">
        <v>243</v>
      </c>
      <c r="F29" s="31" t="s">
        <v>811</v>
      </c>
      <c r="G29" s="19" t="s">
        <v>1306</v>
      </c>
      <c r="H29" s="32"/>
      <c r="I29" s="35"/>
      <c r="J29" s="34" t="s">
        <v>431</v>
      </c>
      <c r="K29" s="34" t="s">
        <v>134</v>
      </c>
      <c r="L29" s="34" t="s">
        <v>439</v>
      </c>
    </row>
    <row r="30" spans="1:15" s="2" customFormat="1">
      <c r="B30" s="49" t="s">
        <v>1064</v>
      </c>
      <c r="C30" s="49" t="s">
        <v>136</v>
      </c>
      <c r="D30" s="12" t="s">
        <v>1590</v>
      </c>
      <c r="E30" s="30" t="s">
        <v>243</v>
      </c>
      <c r="F30" s="31" t="s">
        <v>1064</v>
      </c>
      <c r="G30" s="19" t="s">
        <v>1066</v>
      </c>
      <c r="H30" s="32"/>
      <c r="I30" s="35"/>
      <c r="J30" s="34" t="s">
        <v>431</v>
      </c>
      <c r="K30" s="34" t="s">
        <v>134</v>
      </c>
      <c r="L30" s="40">
        <v>0</v>
      </c>
    </row>
    <row r="31" spans="1:15" s="2" customFormat="1">
      <c r="B31" s="49" t="s">
        <v>1067</v>
      </c>
      <c r="C31" s="49" t="s">
        <v>136</v>
      </c>
      <c r="D31" s="12" t="s">
        <v>1591</v>
      </c>
      <c r="E31" s="30" t="s">
        <v>243</v>
      </c>
      <c r="F31" s="31" t="s">
        <v>1067</v>
      </c>
      <c r="G31" s="19" t="s">
        <v>1066</v>
      </c>
      <c r="H31" s="32"/>
      <c r="I31" s="35"/>
      <c r="J31" s="34" t="s">
        <v>431</v>
      </c>
      <c r="K31" s="34" t="s">
        <v>134</v>
      </c>
      <c r="L31" s="40">
        <v>0</v>
      </c>
    </row>
    <row r="32" spans="1:15" s="29" customFormat="1">
      <c r="B32" s="49" t="s">
        <v>820</v>
      </c>
      <c r="C32" s="49" t="s">
        <v>136</v>
      </c>
      <c r="D32" s="12" t="s">
        <v>821</v>
      </c>
      <c r="E32" s="30" t="s">
        <v>243</v>
      </c>
      <c r="F32" s="31" t="s">
        <v>820</v>
      </c>
      <c r="G32" s="19" t="s">
        <v>1309</v>
      </c>
      <c r="H32" s="32"/>
      <c r="I32" s="35"/>
      <c r="J32" s="34" t="s">
        <v>431</v>
      </c>
      <c r="K32" s="34" t="s">
        <v>134</v>
      </c>
      <c r="L32" s="34" t="s">
        <v>439</v>
      </c>
      <c r="O32" s="2"/>
    </row>
    <row r="33" spans="1:15" s="29" customFormat="1">
      <c r="B33" s="49" t="s">
        <v>814</v>
      </c>
      <c r="C33" s="49" t="s">
        <v>136</v>
      </c>
      <c r="D33" s="12" t="s">
        <v>815</v>
      </c>
      <c r="E33" s="30" t="s">
        <v>243</v>
      </c>
      <c r="F33" s="31" t="s">
        <v>814</v>
      </c>
      <c r="G33" s="19" t="s">
        <v>1307</v>
      </c>
      <c r="H33" s="32"/>
      <c r="I33" s="35"/>
      <c r="J33" s="34" t="s">
        <v>431</v>
      </c>
      <c r="K33" s="34" t="s">
        <v>134</v>
      </c>
      <c r="L33" s="34" t="s">
        <v>533</v>
      </c>
      <c r="O33" s="2"/>
    </row>
    <row r="34" spans="1:15" s="1" customFormat="1">
      <c r="A34" s="25"/>
      <c r="B34" s="26" t="s">
        <v>817</v>
      </c>
      <c r="C34" s="26" t="s">
        <v>245</v>
      </c>
      <c r="D34" s="12" t="s">
        <v>818</v>
      </c>
      <c r="E34" s="30" t="s">
        <v>243</v>
      </c>
      <c r="F34" s="31" t="s">
        <v>817</v>
      </c>
      <c r="G34" s="19" t="s">
        <v>1308</v>
      </c>
      <c r="H34" s="32"/>
      <c r="I34" s="35"/>
      <c r="J34" s="34" t="s">
        <v>431</v>
      </c>
      <c r="K34" s="34" t="s">
        <v>134</v>
      </c>
      <c r="L34" s="34" t="s">
        <v>432</v>
      </c>
      <c r="O34" s="2"/>
    </row>
    <row r="35" spans="1:15" s="2" customFormat="1">
      <c r="A35" s="29"/>
      <c r="B35" s="14" t="s">
        <v>823</v>
      </c>
      <c r="C35" s="14" t="s">
        <v>136</v>
      </c>
      <c r="D35" s="12" t="s">
        <v>1070</v>
      </c>
      <c r="E35" s="30" t="s">
        <v>243</v>
      </c>
      <c r="F35" s="31" t="s">
        <v>823</v>
      </c>
      <c r="G35" s="19" t="s">
        <v>1310</v>
      </c>
      <c r="H35" s="32"/>
      <c r="I35" s="35"/>
      <c r="J35" s="34" t="s">
        <v>431</v>
      </c>
      <c r="K35" s="34" t="s">
        <v>134</v>
      </c>
      <c r="L35" s="34" t="s">
        <v>439</v>
      </c>
    </row>
    <row r="36" spans="1:15" s="29" customFormat="1">
      <c r="B36" s="49" t="s">
        <v>826</v>
      </c>
      <c r="C36" s="49" t="s">
        <v>136</v>
      </c>
      <c r="D36" s="12" t="s">
        <v>1073</v>
      </c>
      <c r="E36" s="30" t="s">
        <v>243</v>
      </c>
      <c r="F36" s="31" t="s">
        <v>826</v>
      </c>
      <c r="G36" s="19" t="s">
        <v>1311</v>
      </c>
      <c r="H36" s="32"/>
      <c r="I36" s="35"/>
      <c r="J36" s="34" t="s">
        <v>431</v>
      </c>
      <c r="K36" s="34" t="s">
        <v>134</v>
      </c>
      <c r="L36" s="34" t="s">
        <v>439</v>
      </c>
      <c r="O36" s="2"/>
    </row>
    <row r="37" spans="1:15" s="29" customFormat="1">
      <c r="B37" s="49" t="s">
        <v>829</v>
      </c>
      <c r="C37" s="49" t="s">
        <v>136</v>
      </c>
      <c r="D37" s="12" t="s">
        <v>1076</v>
      </c>
      <c r="E37" s="30" t="s">
        <v>243</v>
      </c>
      <c r="F37" s="31" t="s">
        <v>829</v>
      </c>
      <c r="G37" s="19" t="s">
        <v>1312</v>
      </c>
      <c r="H37" s="32"/>
      <c r="I37" s="35"/>
      <c r="J37" s="34" t="s">
        <v>431</v>
      </c>
      <c r="K37" s="34" t="s">
        <v>134</v>
      </c>
      <c r="L37" s="34" t="s">
        <v>439</v>
      </c>
      <c r="O37" s="2"/>
    </row>
    <row r="38" spans="1:15" s="29" customFormat="1">
      <c r="B38" s="49" t="s">
        <v>832</v>
      </c>
      <c r="C38" s="49" t="s">
        <v>136</v>
      </c>
      <c r="D38" s="12" t="s">
        <v>1079</v>
      </c>
      <c r="E38" s="30" t="s">
        <v>243</v>
      </c>
      <c r="F38" s="31" t="s">
        <v>832</v>
      </c>
      <c r="G38" s="19" t="s">
        <v>1313</v>
      </c>
      <c r="H38" s="32"/>
      <c r="I38" s="35"/>
      <c r="J38" s="34" t="s">
        <v>431</v>
      </c>
      <c r="K38" s="34" t="s">
        <v>134</v>
      </c>
      <c r="L38" s="34" t="s">
        <v>439</v>
      </c>
      <c r="O38" s="2"/>
    </row>
    <row r="39" spans="1:15" s="29" customFormat="1">
      <c r="B39" s="49" t="s">
        <v>835</v>
      </c>
      <c r="C39" s="55" t="s">
        <v>136</v>
      </c>
      <c r="D39" s="12" t="s">
        <v>1081</v>
      </c>
      <c r="E39" s="30" t="s">
        <v>243</v>
      </c>
      <c r="F39" s="31" t="s">
        <v>835</v>
      </c>
      <c r="G39" s="19" t="s">
        <v>1314</v>
      </c>
      <c r="H39" s="32"/>
      <c r="I39" s="35"/>
      <c r="J39" s="34" t="s">
        <v>431</v>
      </c>
      <c r="K39" s="34" t="s">
        <v>134</v>
      </c>
      <c r="L39" s="34" t="s">
        <v>439</v>
      </c>
      <c r="O39" s="2"/>
    </row>
    <row r="40" spans="1:15" s="5" customFormat="1">
      <c r="B40" s="49" t="s">
        <v>838</v>
      </c>
      <c r="C40" s="55" t="s">
        <v>136</v>
      </c>
      <c r="D40" s="12" t="s">
        <v>1083</v>
      </c>
      <c r="E40" s="30" t="s">
        <v>243</v>
      </c>
      <c r="F40" s="31" t="s">
        <v>838</v>
      </c>
      <c r="G40" s="19" t="s">
        <v>1315</v>
      </c>
      <c r="H40" s="32"/>
      <c r="I40" s="35"/>
      <c r="J40" s="34" t="s">
        <v>431</v>
      </c>
      <c r="K40" s="34" t="s">
        <v>134</v>
      </c>
      <c r="L40" s="34" t="s">
        <v>439</v>
      </c>
      <c r="O40" s="2"/>
    </row>
    <row r="41" spans="1:15" s="5" customFormat="1">
      <c r="B41" s="49" t="s">
        <v>841</v>
      </c>
      <c r="C41" s="55" t="s">
        <v>136</v>
      </c>
      <c r="D41" s="12" t="s">
        <v>1086</v>
      </c>
      <c r="E41" s="30" t="s">
        <v>243</v>
      </c>
      <c r="F41" s="31" t="s">
        <v>841</v>
      </c>
      <c r="G41" s="19" t="s">
        <v>1316</v>
      </c>
      <c r="H41" s="32"/>
      <c r="I41" s="35"/>
      <c r="J41" s="34" t="s">
        <v>431</v>
      </c>
      <c r="K41" s="34" t="s">
        <v>134</v>
      </c>
      <c r="L41" s="34" t="s">
        <v>439</v>
      </c>
      <c r="O41" s="2"/>
    </row>
    <row r="42" spans="1:15" s="5" customFormat="1">
      <c r="B42" s="49" t="s">
        <v>1488</v>
      </c>
      <c r="C42" s="55" t="s">
        <v>136</v>
      </c>
      <c r="D42" s="12" t="s">
        <v>1089</v>
      </c>
      <c r="E42" s="30" t="s">
        <v>243</v>
      </c>
      <c r="F42" s="31" t="s">
        <v>1488</v>
      </c>
      <c r="G42" s="19" t="s">
        <v>1592</v>
      </c>
      <c r="H42" s="32"/>
      <c r="I42" s="35"/>
      <c r="J42" s="34" t="s">
        <v>431</v>
      </c>
      <c r="K42" s="34" t="s">
        <v>134</v>
      </c>
      <c r="L42" s="34" t="s">
        <v>439</v>
      </c>
      <c r="O42" s="2"/>
    </row>
    <row r="43" spans="1:15" s="5" customFormat="1">
      <c r="B43" s="49" t="s">
        <v>1489</v>
      </c>
      <c r="C43" s="55" t="s">
        <v>136</v>
      </c>
      <c r="D43" s="12" t="s">
        <v>1092</v>
      </c>
      <c r="E43" s="30" t="s">
        <v>243</v>
      </c>
      <c r="F43" s="31" t="s">
        <v>1489</v>
      </c>
      <c r="G43" s="19" t="s">
        <v>1593</v>
      </c>
      <c r="H43" s="32"/>
      <c r="I43" s="35"/>
      <c r="J43" s="34" t="s">
        <v>431</v>
      </c>
      <c r="K43" s="34" t="s">
        <v>134</v>
      </c>
      <c r="L43" s="34" t="s">
        <v>439</v>
      </c>
      <c r="O43" s="2"/>
    </row>
    <row r="44" spans="1:15" s="5" customFormat="1">
      <c r="B44" s="49" t="s">
        <v>1490</v>
      </c>
      <c r="C44" s="55" t="s">
        <v>136</v>
      </c>
      <c r="D44" s="12" t="s">
        <v>1095</v>
      </c>
      <c r="E44" s="30" t="s">
        <v>243</v>
      </c>
      <c r="F44" s="31" t="s">
        <v>1490</v>
      </c>
      <c r="G44" s="19" t="s">
        <v>1594</v>
      </c>
      <c r="H44" s="32"/>
      <c r="I44" s="35"/>
      <c r="J44" s="34" t="s">
        <v>431</v>
      </c>
      <c r="K44" s="34" t="s">
        <v>134</v>
      </c>
      <c r="L44" s="34" t="s">
        <v>439</v>
      </c>
      <c r="O44" s="2"/>
    </row>
    <row r="45" spans="1:15" s="1" customFormat="1">
      <c r="A45" s="25"/>
      <c r="B45" s="26" t="s">
        <v>1491</v>
      </c>
      <c r="C45" s="26" t="s">
        <v>136</v>
      </c>
      <c r="D45" s="12" t="s">
        <v>1098</v>
      </c>
      <c r="E45" s="30" t="s">
        <v>243</v>
      </c>
      <c r="F45" s="31" t="s">
        <v>1491</v>
      </c>
      <c r="G45" s="19" t="s">
        <v>1595</v>
      </c>
      <c r="H45" s="32"/>
      <c r="I45" s="35"/>
      <c r="J45" s="34" t="s">
        <v>431</v>
      </c>
      <c r="K45" s="34" t="s">
        <v>134</v>
      </c>
      <c r="L45" s="34" t="s">
        <v>439</v>
      </c>
      <c r="O45" s="2"/>
    </row>
    <row r="46" spans="1:15" s="1" customFormat="1">
      <c r="A46" s="25"/>
      <c r="B46" s="26" t="s">
        <v>1492</v>
      </c>
      <c r="C46" s="26" t="s">
        <v>136</v>
      </c>
      <c r="D46" s="12" t="s">
        <v>1101</v>
      </c>
      <c r="E46" s="30" t="s">
        <v>243</v>
      </c>
      <c r="F46" s="31" t="s">
        <v>1492</v>
      </c>
      <c r="G46" s="19" t="s">
        <v>1596</v>
      </c>
      <c r="H46" s="32"/>
      <c r="I46" s="35"/>
      <c r="J46" s="34" t="s">
        <v>431</v>
      </c>
      <c r="K46" s="34" t="s">
        <v>134</v>
      </c>
      <c r="L46" s="34" t="s">
        <v>439</v>
      </c>
      <c r="O46" s="2"/>
    </row>
    <row r="47" spans="1:15" s="1" customFormat="1">
      <c r="A47" s="25"/>
      <c r="B47" s="26" t="s">
        <v>844</v>
      </c>
      <c r="C47" s="26" t="s">
        <v>136</v>
      </c>
      <c r="D47" s="12" t="s">
        <v>1597</v>
      </c>
      <c r="E47" s="30" t="s">
        <v>243</v>
      </c>
      <c r="F47" s="31" t="s">
        <v>844</v>
      </c>
      <c r="G47" s="19" t="s">
        <v>1317</v>
      </c>
      <c r="H47" s="32"/>
      <c r="I47" s="35"/>
      <c r="J47" s="34" t="s">
        <v>431</v>
      </c>
      <c r="K47" s="34" t="s">
        <v>134</v>
      </c>
      <c r="L47" s="34" t="s">
        <v>439</v>
      </c>
      <c r="O47" s="2"/>
    </row>
    <row r="48" spans="1:15" s="1" customFormat="1">
      <c r="A48" s="25"/>
      <c r="B48" s="26" t="s">
        <v>846</v>
      </c>
      <c r="C48" s="26" t="s">
        <v>245</v>
      </c>
      <c r="D48" s="12" t="s">
        <v>1598</v>
      </c>
      <c r="E48" s="30" t="s">
        <v>243</v>
      </c>
      <c r="F48" s="31" t="s">
        <v>846</v>
      </c>
      <c r="G48" s="19" t="s">
        <v>1318</v>
      </c>
      <c r="H48" s="32"/>
      <c r="I48" s="35"/>
      <c r="J48" s="34" t="s">
        <v>431</v>
      </c>
      <c r="K48" s="34" t="s">
        <v>134</v>
      </c>
      <c r="L48" s="34" t="s">
        <v>568</v>
      </c>
      <c r="O48" s="2"/>
    </row>
    <row r="49" spans="1:15" s="1" customFormat="1">
      <c r="A49" s="25"/>
      <c r="B49" s="26" t="s">
        <v>948</v>
      </c>
      <c r="C49" s="26" t="s">
        <v>136</v>
      </c>
      <c r="D49" s="12" t="s">
        <v>949</v>
      </c>
      <c r="E49" s="30" t="s">
        <v>243</v>
      </c>
      <c r="F49" s="31" t="s">
        <v>948</v>
      </c>
      <c r="G49" s="19" t="s">
        <v>1344</v>
      </c>
      <c r="H49" s="32"/>
      <c r="I49" s="35"/>
      <c r="J49" s="34" t="s">
        <v>431</v>
      </c>
      <c r="K49" s="34" t="s">
        <v>134</v>
      </c>
      <c r="L49" s="34" t="s">
        <v>439</v>
      </c>
      <c r="O49" s="2"/>
    </row>
    <row r="50" spans="1:15" s="1" customFormat="1">
      <c r="A50" s="25"/>
      <c r="B50" s="26" t="s">
        <v>1103</v>
      </c>
      <c r="C50" s="26" t="s">
        <v>245</v>
      </c>
      <c r="D50" s="12" t="s">
        <v>1104</v>
      </c>
      <c r="E50" s="30" t="s">
        <v>243</v>
      </c>
      <c r="F50" s="31" t="s">
        <v>1103</v>
      </c>
      <c r="G50" s="19" t="s">
        <v>1383</v>
      </c>
      <c r="H50" s="32"/>
      <c r="I50" s="35"/>
      <c r="J50" s="34" t="s">
        <v>431</v>
      </c>
      <c r="K50" s="34" t="s">
        <v>134</v>
      </c>
      <c r="L50" s="34" t="s">
        <v>610</v>
      </c>
      <c r="O50" s="2"/>
    </row>
    <row r="51" spans="1:15" s="1" customFormat="1">
      <c r="A51" s="25"/>
      <c r="B51" s="26" t="s">
        <v>1106</v>
      </c>
      <c r="C51" s="26" t="s">
        <v>245</v>
      </c>
      <c r="D51" s="12" t="s">
        <v>1107</v>
      </c>
      <c r="E51" s="30" t="s">
        <v>243</v>
      </c>
      <c r="F51" s="31" t="s">
        <v>1106</v>
      </c>
      <c r="G51" s="19" t="s">
        <v>1384</v>
      </c>
      <c r="H51" s="32"/>
      <c r="I51" s="35"/>
      <c r="J51" s="34" t="s">
        <v>431</v>
      </c>
      <c r="K51" s="34" t="s">
        <v>134</v>
      </c>
      <c r="L51" s="34" t="s">
        <v>579</v>
      </c>
      <c r="O51" s="2"/>
    </row>
    <row r="52" spans="1:15" s="1" customFormat="1">
      <c r="A52" s="25"/>
      <c r="B52" s="26" t="s">
        <v>951</v>
      </c>
      <c r="C52" s="26" t="s">
        <v>136</v>
      </c>
      <c r="D52" s="12" t="s">
        <v>1551</v>
      </c>
      <c r="E52" s="30" t="s">
        <v>243</v>
      </c>
      <c r="F52" s="31" t="s">
        <v>951</v>
      </c>
      <c r="G52" s="19" t="s">
        <v>1345</v>
      </c>
      <c r="H52" s="32"/>
      <c r="I52" s="35"/>
      <c r="J52" s="34" t="s">
        <v>431</v>
      </c>
      <c r="K52" s="34" t="s">
        <v>134</v>
      </c>
      <c r="L52" s="34" t="s">
        <v>439</v>
      </c>
      <c r="O52" s="2"/>
    </row>
    <row r="53" spans="1:15" s="1" customFormat="1">
      <c r="A53" s="25"/>
      <c r="B53" s="26" t="s">
        <v>954</v>
      </c>
      <c r="C53" s="26" t="s">
        <v>136</v>
      </c>
      <c r="D53" s="12" t="s">
        <v>1552</v>
      </c>
      <c r="E53" s="30" t="s">
        <v>243</v>
      </c>
      <c r="F53" s="31" t="s">
        <v>954</v>
      </c>
      <c r="G53" s="19" t="s">
        <v>1346</v>
      </c>
      <c r="H53" s="32"/>
      <c r="I53" s="35"/>
      <c r="J53" s="34" t="s">
        <v>431</v>
      </c>
      <c r="K53" s="34" t="s">
        <v>134</v>
      </c>
      <c r="L53" s="34" t="s">
        <v>439</v>
      </c>
      <c r="O53" s="2"/>
    </row>
    <row r="54" spans="1:15" s="1" customFormat="1">
      <c r="A54" s="25"/>
      <c r="B54" s="26" t="s">
        <v>956</v>
      </c>
      <c r="C54" s="26" t="s">
        <v>136</v>
      </c>
      <c r="D54" s="12" t="s">
        <v>1553</v>
      </c>
      <c r="E54" s="30" t="s">
        <v>243</v>
      </c>
      <c r="F54" s="31" t="s">
        <v>956</v>
      </c>
      <c r="G54" s="19" t="s">
        <v>1347</v>
      </c>
      <c r="H54" s="32"/>
      <c r="I54" s="35"/>
      <c r="J54" s="34" t="s">
        <v>431</v>
      </c>
      <c r="K54" s="34" t="s">
        <v>134</v>
      </c>
      <c r="L54" s="34" t="s">
        <v>439</v>
      </c>
      <c r="O54" s="2"/>
    </row>
    <row r="55" spans="1:15" s="1" customFormat="1">
      <c r="A55" s="25"/>
      <c r="B55" s="26" t="s">
        <v>958</v>
      </c>
      <c r="C55" s="26" t="s">
        <v>136</v>
      </c>
      <c r="D55" s="12" t="s">
        <v>1554</v>
      </c>
      <c r="E55" s="30" t="s">
        <v>243</v>
      </c>
      <c r="F55" s="31" t="s">
        <v>958</v>
      </c>
      <c r="G55" s="19" t="s">
        <v>1348</v>
      </c>
      <c r="H55" s="32"/>
      <c r="I55" s="35"/>
      <c r="J55" s="34" t="s">
        <v>431</v>
      </c>
      <c r="K55" s="34" t="s">
        <v>134</v>
      </c>
      <c r="L55" s="34" t="s">
        <v>439</v>
      </c>
      <c r="O55" s="2"/>
    </row>
    <row r="56" spans="1:15" s="1" customFormat="1">
      <c r="A56" s="25"/>
      <c r="B56" s="26" t="s">
        <v>960</v>
      </c>
      <c r="C56" s="26" t="s">
        <v>136</v>
      </c>
      <c r="D56" s="12" t="s">
        <v>1499</v>
      </c>
      <c r="E56" s="30" t="s">
        <v>243</v>
      </c>
      <c r="F56" s="31" t="s">
        <v>960</v>
      </c>
      <c r="G56" s="19" t="s">
        <v>1349</v>
      </c>
      <c r="H56" s="32"/>
      <c r="I56" s="35"/>
      <c r="J56" s="34" t="s">
        <v>431</v>
      </c>
      <c r="K56" s="34" t="s">
        <v>134</v>
      </c>
      <c r="L56" s="34" t="s">
        <v>439</v>
      </c>
      <c r="O56" s="2"/>
    </row>
    <row r="57" spans="1:15" s="5" customFormat="1">
      <c r="B57" s="49" t="s">
        <v>962</v>
      </c>
      <c r="C57" s="55" t="s">
        <v>136</v>
      </c>
      <c r="D57" s="12" t="s">
        <v>1500</v>
      </c>
      <c r="E57" s="30" t="s">
        <v>243</v>
      </c>
      <c r="F57" s="31" t="s">
        <v>962</v>
      </c>
      <c r="G57" s="19" t="s">
        <v>1350</v>
      </c>
      <c r="H57" s="32"/>
      <c r="I57" s="35"/>
      <c r="J57" s="34" t="s">
        <v>431</v>
      </c>
      <c r="K57" s="34" t="s">
        <v>134</v>
      </c>
      <c r="L57" s="34" t="s">
        <v>439</v>
      </c>
      <c r="O57" s="2"/>
    </row>
    <row r="58" spans="1:15">
      <c r="A58" s="3"/>
      <c r="B58" s="49" t="s">
        <v>964</v>
      </c>
      <c r="C58" s="55" t="s">
        <v>136</v>
      </c>
      <c r="D58" s="12" t="s">
        <v>1501</v>
      </c>
      <c r="E58" s="30" t="s">
        <v>243</v>
      </c>
      <c r="F58" s="31" t="s">
        <v>964</v>
      </c>
      <c r="G58" s="19" t="s">
        <v>1351</v>
      </c>
      <c r="H58" s="32"/>
      <c r="I58" s="35"/>
      <c r="J58" s="34" t="s">
        <v>431</v>
      </c>
      <c r="K58" s="34" t="s">
        <v>134</v>
      </c>
      <c r="L58" s="34" t="s">
        <v>439</v>
      </c>
      <c r="O58" s="2"/>
    </row>
    <row r="59" spans="1:15">
      <c r="A59" s="3"/>
      <c r="B59" s="49" t="s">
        <v>1502</v>
      </c>
      <c r="C59" s="55" t="s">
        <v>136</v>
      </c>
      <c r="D59" s="12" t="s">
        <v>1503</v>
      </c>
      <c r="E59" s="30" t="s">
        <v>243</v>
      </c>
      <c r="F59" s="31" t="s">
        <v>1502</v>
      </c>
      <c r="G59" s="19" t="s">
        <v>1599</v>
      </c>
      <c r="H59" s="32"/>
      <c r="I59" s="35"/>
      <c r="J59" s="34" t="s">
        <v>431</v>
      </c>
      <c r="K59" s="34" t="s">
        <v>134</v>
      </c>
      <c r="L59" s="34" t="s">
        <v>439</v>
      </c>
      <c r="O59" s="2"/>
    </row>
    <row r="60" spans="1:15" s="2" customFormat="1">
      <c r="A60" s="29"/>
      <c r="B60" s="49" t="s">
        <v>1504</v>
      </c>
      <c r="C60" s="55" t="s">
        <v>136</v>
      </c>
      <c r="D60" s="12" t="s">
        <v>1505</v>
      </c>
      <c r="E60" s="30" t="s">
        <v>243</v>
      </c>
      <c r="F60" s="31" t="s">
        <v>1504</v>
      </c>
      <c r="G60" s="19" t="s">
        <v>1600</v>
      </c>
      <c r="H60" s="32"/>
      <c r="I60" s="35"/>
      <c r="J60" s="34" t="s">
        <v>431</v>
      </c>
      <c r="K60" s="34" t="s">
        <v>134</v>
      </c>
      <c r="L60" s="34" t="s">
        <v>439</v>
      </c>
    </row>
    <row r="61" spans="1:15">
      <c r="A61" s="3"/>
      <c r="B61" s="49" t="s">
        <v>1506</v>
      </c>
      <c r="C61" s="55" t="s">
        <v>136</v>
      </c>
      <c r="D61" s="12" t="s">
        <v>1507</v>
      </c>
      <c r="E61" s="30" t="s">
        <v>243</v>
      </c>
      <c r="F61" s="31" t="s">
        <v>1506</v>
      </c>
      <c r="G61" s="19" t="s">
        <v>1601</v>
      </c>
      <c r="H61" s="32"/>
      <c r="I61" s="35"/>
      <c r="J61" s="34" t="s">
        <v>431</v>
      </c>
      <c r="K61" s="34" t="s">
        <v>134</v>
      </c>
      <c r="L61" s="34" t="s">
        <v>439</v>
      </c>
      <c r="O61" s="2"/>
    </row>
    <row r="62" spans="1:15" s="2" customFormat="1">
      <c r="A62" s="29"/>
      <c r="B62" s="49" t="s">
        <v>1508</v>
      </c>
      <c r="C62" s="55" t="s">
        <v>136</v>
      </c>
      <c r="D62" s="12" t="s">
        <v>1509</v>
      </c>
      <c r="E62" s="30" t="s">
        <v>243</v>
      </c>
      <c r="F62" s="31" t="s">
        <v>1508</v>
      </c>
      <c r="G62" s="19" t="s">
        <v>1602</v>
      </c>
      <c r="H62" s="32"/>
      <c r="I62" s="35"/>
      <c r="J62" s="34" t="s">
        <v>431</v>
      </c>
      <c r="K62" s="34" t="s">
        <v>134</v>
      </c>
      <c r="L62" s="34" t="s">
        <v>439</v>
      </c>
    </row>
    <row r="63" spans="1:15" s="2" customFormat="1">
      <c r="A63" s="29"/>
      <c r="B63" s="49" t="s">
        <v>1510</v>
      </c>
      <c r="C63" s="55" t="s">
        <v>136</v>
      </c>
      <c r="D63" s="12" t="s">
        <v>1511</v>
      </c>
      <c r="E63" s="30" t="s">
        <v>243</v>
      </c>
      <c r="F63" s="31" t="s">
        <v>1510</v>
      </c>
      <c r="G63" s="19" t="s">
        <v>1603</v>
      </c>
      <c r="H63" s="32"/>
      <c r="I63" s="35"/>
      <c r="J63" s="34" t="s">
        <v>431</v>
      </c>
      <c r="K63" s="34" t="s">
        <v>134</v>
      </c>
      <c r="L63" s="34" t="s">
        <v>439</v>
      </c>
    </row>
    <row r="64" spans="1:15" s="2" customFormat="1">
      <c r="A64" s="29"/>
      <c r="B64" s="49" t="s">
        <v>1139</v>
      </c>
      <c r="C64" s="55" t="s">
        <v>136</v>
      </c>
      <c r="D64" s="12" t="s">
        <v>1140</v>
      </c>
      <c r="E64" s="30" t="s">
        <v>243</v>
      </c>
      <c r="F64" s="31" t="s">
        <v>1139</v>
      </c>
      <c r="G64" s="19" t="s">
        <v>1397</v>
      </c>
      <c r="H64" s="32"/>
      <c r="I64" s="35"/>
      <c r="J64" s="34" t="s">
        <v>431</v>
      </c>
      <c r="K64" s="34" t="s">
        <v>134</v>
      </c>
      <c r="L64" s="34" t="s">
        <v>439</v>
      </c>
    </row>
    <row r="65" spans="1:15" s="2" customFormat="1">
      <c r="A65" s="29"/>
      <c r="B65" s="49" t="s">
        <v>1142</v>
      </c>
      <c r="C65" s="55" t="s">
        <v>245</v>
      </c>
      <c r="D65" s="12" t="s">
        <v>1512</v>
      </c>
      <c r="E65" s="30" t="s">
        <v>243</v>
      </c>
      <c r="F65" s="31" t="s">
        <v>1142</v>
      </c>
      <c r="G65" s="19" t="s">
        <v>1398</v>
      </c>
      <c r="H65" s="32"/>
      <c r="I65" s="35"/>
      <c r="J65" s="34" t="s">
        <v>431</v>
      </c>
      <c r="K65" s="34" t="s">
        <v>134</v>
      </c>
      <c r="L65" s="34" t="s">
        <v>568</v>
      </c>
    </row>
    <row r="66" spans="1:15" s="2" customFormat="1">
      <c r="A66" s="29"/>
      <c r="B66" s="49" t="s">
        <v>1145</v>
      </c>
      <c r="C66" s="55" t="s">
        <v>136</v>
      </c>
      <c r="D66" s="12" t="s">
        <v>1146</v>
      </c>
      <c r="E66" s="30" t="s">
        <v>243</v>
      </c>
      <c r="F66" s="31" t="s">
        <v>1145</v>
      </c>
      <c r="G66" s="19" t="s">
        <v>1399</v>
      </c>
      <c r="H66" s="32"/>
      <c r="I66" s="35"/>
      <c r="J66" s="34" t="s">
        <v>431</v>
      </c>
      <c r="K66" s="34" t="s">
        <v>134</v>
      </c>
      <c r="L66" s="34" t="s">
        <v>439</v>
      </c>
    </row>
    <row r="67" spans="1:15" s="2" customFormat="1">
      <c r="A67" s="29"/>
      <c r="B67" s="49" t="s">
        <v>1147</v>
      </c>
      <c r="C67" s="55" t="s">
        <v>245</v>
      </c>
      <c r="D67" s="12" t="s">
        <v>1148</v>
      </c>
      <c r="E67" s="30" t="s">
        <v>243</v>
      </c>
      <c r="F67" s="31" t="s">
        <v>1147</v>
      </c>
      <c r="G67" s="19" t="s">
        <v>1400</v>
      </c>
      <c r="H67" s="32"/>
      <c r="I67" s="35"/>
      <c r="J67" s="34" t="s">
        <v>431</v>
      </c>
      <c r="K67" s="34" t="s">
        <v>134</v>
      </c>
      <c r="L67" s="34" t="s">
        <v>610</v>
      </c>
    </row>
    <row r="68" spans="1:15" s="1" customFormat="1">
      <c r="A68" s="25"/>
      <c r="B68" s="49" t="s">
        <v>1149</v>
      </c>
      <c r="C68" s="26" t="s">
        <v>245</v>
      </c>
      <c r="D68" s="12" t="s">
        <v>1150</v>
      </c>
      <c r="E68" s="30" t="s">
        <v>243</v>
      </c>
      <c r="F68" s="31" t="s">
        <v>1149</v>
      </c>
      <c r="G68" s="19" t="s">
        <v>1401</v>
      </c>
      <c r="H68" s="32"/>
      <c r="I68" s="35"/>
      <c r="J68" s="34" t="s">
        <v>431</v>
      </c>
      <c r="K68" s="34" t="s">
        <v>134</v>
      </c>
      <c r="L68" s="34" t="s">
        <v>615</v>
      </c>
      <c r="O68" s="2"/>
    </row>
    <row r="69" spans="1:15" s="1" customFormat="1">
      <c r="A69" s="25"/>
      <c r="B69" s="26" t="s">
        <v>1513</v>
      </c>
      <c r="C69" s="26" t="s">
        <v>136</v>
      </c>
      <c r="D69" s="12" t="s">
        <v>1514</v>
      </c>
      <c r="E69" s="30" t="s">
        <v>243</v>
      </c>
      <c r="F69" s="31" t="s">
        <v>1513</v>
      </c>
      <c r="G69" s="19" t="s">
        <v>1605</v>
      </c>
      <c r="H69" s="32"/>
      <c r="I69" s="35"/>
      <c r="J69" s="34" t="s">
        <v>431</v>
      </c>
      <c r="K69" s="34" t="s">
        <v>134</v>
      </c>
      <c r="L69" s="34" t="s">
        <v>439</v>
      </c>
      <c r="O69" s="2"/>
    </row>
    <row r="70" spans="1:15" s="1" customFormat="1">
      <c r="A70" s="25"/>
      <c r="B70" s="26" t="s">
        <v>1515</v>
      </c>
      <c r="C70" s="26" t="s">
        <v>136</v>
      </c>
      <c r="D70" s="12" t="s">
        <v>1516</v>
      </c>
      <c r="E70" s="30" t="s">
        <v>243</v>
      </c>
      <c r="F70" s="31" t="s">
        <v>1515</v>
      </c>
      <c r="G70" s="19" t="s">
        <v>1606</v>
      </c>
      <c r="H70" s="32"/>
      <c r="I70" s="35"/>
      <c r="J70" s="34" t="s">
        <v>431</v>
      </c>
      <c r="K70" s="34" t="s">
        <v>134</v>
      </c>
      <c r="L70" s="34" t="s">
        <v>439</v>
      </c>
      <c r="O70" s="2"/>
    </row>
    <row r="71" spans="1:15" s="1" customFormat="1">
      <c r="A71" s="25"/>
      <c r="B71" s="26" t="s">
        <v>1517</v>
      </c>
      <c r="C71" s="26" t="s">
        <v>136</v>
      </c>
      <c r="D71" s="12" t="s">
        <v>1518</v>
      </c>
      <c r="E71" s="30" t="s">
        <v>243</v>
      </c>
      <c r="F71" s="31" t="s">
        <v>1517</v>
      </c>
      <c r="G71" s="19" t="s">
        <v>1607</v>
      </c>
      <c r="H71" s="32"/>
      <c r="I71" s="35"/>
      <c r="J71" s="34" t="s">
        <v>431</v>
      </c>
      <c r="K71" s="34" t="s">
        <v>134</v>
      </c>
      <c r="L71" s="34" t="s">
        <v>439</v>
      </c>
      <c r="O71" s="2"/>
    </row>
    <row r="72" spans="1:15" s="1" customFormat="1">
      <c r="A72" s="25"/>
      <c r="B72" s="26" t="s">
        <v>1519</v>
      </c>
      <c r="C72" s="26" t="s">
        <v>136</v>
      </c>
      <c r="D72" s="12" t="s">
        <v>1520</v>
      </c>
      <c r="E72" s="30" t="s">
        <v>243</v>
      </c>
      <c r="F72" s="31" t="s">
        <v>1519</v>
      </c>
      <c r="G72" s="19" t="s">
        <v>1608</v>
      </c>
      <c r="H72" s="32"/>
      <c r="I72" s="35"/>
      <c r="J72" s="34" t="s">
        <v>431</v>
      </c>
      <c r="K72" s="34" t="s">
        <v>134</v>
      </c>
      <c r="L72" s="34" t="s">
        <v>439</v>
      </c>
      <c r="O72" s="2"/>
    </row>
    <row r="73" spans="1:15" s="1" customFormat="1">
      <c r="A73" s="25"/>
      <c r="B73" s="26" t="s">
        <v>1521</v>
      </c>
      <c r="C73" s="26" t="s">
        <v>136</v>
      </c>
      <c r="D73" s="12" t="s">
        <v>1522</v>
      </c>
      <c r="E73" s="30" t="s">
        <v>243</v>
      </c>
      <c r="F73" s="31" t="s">
        <v>1521</v>
      </c>
      <c r="G73" s="19" t="s">
        <v>1609</v>
      </c>
      <c r="H73" s="32"/>
      <c r="I73" s="35"/>
      <c r="J73" s="34" t="s">
        <v>431</v>
      </c>
      <c r="K73" s="34" t="s">
        <v>134</v>
      </c>
      <c r="L73" s="34" t="s">
        <v>439</v>
      </c>
      <c r="O73" s="2"/>
    </row>
    <row r="74" spans="1:15" s="1" customFormat="1">
      <c r="A74" s="25"/>
      <c r="B74" s="26" t="s">
        <v>1523</v>
      </c>
      <c r="C74" s="26" t="s">
        <v>136</v>
      </c>
      <c r="D74" s="12" t="s">
        <v>1524</v>
      </c>
      <c r="E74" s="30" t="s">
        <v>243</v>
      </c>
      <c r="F74" s="31" t="s">
        <v>1523</v>
      </c>
      <c r="G74" s="19" t="s">
        <v>1610</v>
      </c>
      <c r="H74" s="32"/>
      <c r="I74" s="35"/>
      <c r="J74" s="34" t="s">
        <v>431</v>
      </c>
      <c r="K74" s="34" t="s">
        <v>134</v>
      </c>
      <c r="L74" s="34" t="s">
        <v>439</v>
      </c>
      <c r="O74" s="2"/>
    </row>
    <row r="75" spans="1:15" s="1" customFormat="1">
      <c r="A75" s="25"/>
      <c r="B75" s="26" t="s">
        <v>1525</v>
      </c>
      <c r="C75" s="26" t="s">
        <v>136</v>
      </c>
      <c r="D75" s="12" t="s">
        <v>1526</v>
      </c>
      <c r="E75" s="30" t="s">
        <v>243</v>
      </c>
      <c r="F75" s="31" t="s">
        <v>1525</v>
      </c>
      <c r="G75" s="19" t="s">
        <v>1611</v>
      </c>
      <c r="H75" s="32"/>
      <c r="I75" s="35"/>
      <c r="J75" s="34" t="s">
        <v>431</v>
      </c>
      <c r="K75" s="34" t="s">
        <v>134</v>
      </c>
      <c r="L75" s="34" t="s">
        <v>439</v>
      </c>
      <c r="O75" s="2"/>
    </row>
    <row r="76" spans="1:15" s="1" customFormat="1">
      <c r="A76" s="25"/>
      <c r="B76" s="26" t="s">
        <v>1527</v>
      </c>
      <c r="C76" s="26" t="s">
        <v>136</v>
      </c>
      <c r="D76" s="12" t="s">
        <v>1528</v>
      </c>
      <c r="E76" s="30" t="s">
        <v>243</v>
      </c>
      <c r="F76" s="31" t="s">
        <v>1527</v>
      </c>
      <c r="G76" s="19" t="s">
        <v>1612</v>
      </c>
      <c r="H76" s="32"/>
      <c r="I76" s="35"/>
      <c r="J76" s="34" t="s">
        <v>431</v>
      </c>
      <c r="K76" s="34" t="s">
        <v>134</v>
      </c>
      <c r="L76" s="34" t="s">
        <v>439</v>
      </c>
      <c r="O76" s="2"/>
    </row>
    <row r="77" spans="1:15" s="1" customFormat="1">
      <c r="A77" s="25"/>
      <c r="B77" s="26" t="s">
        <v>1529</v>
      </c>
      <c r="C77" s="26" t="s">
        <v>136</v>
      </c>
      <c r="D77" s="12" t="s">
        <v>1530</v>
      </c>
      <c r="E77" s="30" t="s">
        <v>243</v>
      </c>
      <c r="F77" s="31" t="s">
        <v>1529</v>
      </c>
      <c r="G77" s="19" t="s">
        <v>1613</v>
      </c>
      <c r="H77" s="32"/>
      <c r="I77" s="35"/>
      <c r="J77" s="34" t="s">
        <v>431</v>
      </c>
      <c r="K77" s="34" t="s">
        <v>134</v>
      </c>
      <c r="L77" s="34" t="s">
        <v>439</v>
      </c>
      <c r="O77" s="2"/>
    </row>
    <row r="78" spans="1:15" s="1" customFormat="1">
      <c r="A78" s="25"/>
      <c r="B78" s="26" t="s">
        <v>1531</v>
      </c>
      <c r="C78" s="26" t="s">
        <v>136</v>
      </c>
      <c r="D78" s="12" t="s">
        <v>1532</v>
      </c>
      <c r="E78" s="30" t="s">
        <v>243</v>
      </c>
      <c r="F78" s="31" t="s">
        <v>1531</v>
      </c>
      <c r="G78" s="19" t="s">
        <v>1614</v>
      </c>
      <c r="H78" s="32"/>
      <c r="I78" s="35"/>
      <c r="J78" s="34" t="s">
        <v>431</v>
      </c>
      <c r="K78" s="34" t="s">
        <v>134</v>
      </c>
      <c r="L78" s="34" t="s">
        <v>439</v>
      </c>
      <c r="O78" s="2"/>
    </row>
    <row r="79" spans="1:15" s="1" customFormat="1">
      <c r="A79" s="25"/>
      <c r="B79" s="26" t="s">
        <v>1533</v>
      </c>
      <c r="C79" s="26" t="s">
        <v>136</v>
      </c>
      <c r="D79" s="12" t="s">
        <v>1534</v>
      </c>
      <c r="E79" s="30" t="s">
        <v>243</v>
      </c>
      <c r="F79" s="31" t="s">
        <v>1533</v>
      </c>
      <c r="G79" s="19" t="s">
        <v>1615</v>
      </c>
      <c r="H79" s="32"/>
      <c r="I79" s="35"/>
      <c r="J79" s="34" t="s">
        <v>431</v>
      </c>
      <c r="K79" s="34" t="s">
        <v>134</v>
      </c>
      <c r="L79" s="34" t="s">
        <v>439</v>
      </c>
      <c r="O79" s="2"/>
    </row>
    <row r="80" spans="1:15" s="1" customFormat="1">
      <c r="A80" s="25"/>
      <c r="B80" s="26" t="s">
        <v>1535</v>
      </c>
      <c r="C80" s="26" t="s">
        <v>136</v>
      </c>
      <c r="D80" s="12" t="s">
        <v>1536</v>
      </c>
      <c r="E80" s="30" t="s">
        <v>243</v>
      </c>
      <c r="F80" s="31" t="s">
        <v>1535</v>
      </c>
      <c r="G80" s="19" t="s">
        <v>1616</v>
      </c>
      <c r="H80" s="32"/>
      <c r="I80" s="35"/>
      <c r="J80" s="34" t="s">
        <v>431</v>
      </c>
      <c r="K80" s="34" t="s">
        <v>134</v>
      </c>
      <c r="L80" s="34" t="s">
        <v>439</v>
      </c>
      <c r="O80" s="2"/>
    </row>
    <row r="81" spans="1:15" s="1" customFormat="1">
      <c r="A81" s="25"/>
      <c r="B81" s="26" t="s">
        <v>1187</v>
      </c>
      <c r="C81" s="26" t="s">
        <v>136</v>
      </c>
      <c r="D81" s="12" t="s">
        <v>1188</v>
      </c>
      <c r="E81" s="30" t="s">
        <v>243</v>
      </c>
      <c r="F81" s="31" t="s">
        <v>1187</v>
      </c>
      <c r="G81" s="19" t="s">
        <v>1414</v>
      </c>
      <c r="H81" s="32"/>
      <c r="I81" s="35"/>
      <c r="J81" s="34" t="s">
        <v>431</v>
      </c>
      <c r="K81" s="34" t="s">
        <v>134</v>
      </c>
      <c r="L81" s="34" t="s">
        <v>439</v>
      </c>
      <c r="O81" s="2"/>
    </row>
    <row r="82" spans="1:15" s="1" customFormat="1">
      <c r="A82" s="25"/>
      <c r="B82" s="26" t="s">
        <v>1189</v>
      </c>
      <c r="C82" s="26" t="s">
        <v>245</v>
      </c>
      <c r="D82" s="12" t="s">
        <v>1190</v>
      </c>
      <c r="E82" s="30" t="s">
        <v>243</v>
      </c>
      <c r="F82" s="31" t="s">
        <v>1189</v>
      </c>
      <c r="G82" s="19" t="s">
        <v>1415</v>
      </c>
      <c r="H82" s="32"/>
      <c r="I82" s="35"/>
      <c r="J82" s="34" t="s">
        <v>431</v>
      </c>
      <c r="K82" s="34" t="s">
        <v>134</v>
      </c>
      <c r="L82" s="34" t="s">
        <v>568</v>
      </c>
      <c r="O82" s="2"/>
    </row>
    <row r="83" spans="1:15" s="1" customFormat="1">
      <c r="A83" s="25"/>
      <c r="B83" s="26" t="s">
        <v>1221</v>
      </c>
      <c r="C83" s="26" t="s">
        <v>136</v>
      </c>
      <c r="D83" s="12" t="s">
        <v>1222</v>
      </c>
      <c r="E83" s="30" t="s">
        <v>243</v>
      </c>
      <c r="F83" s="31" t="s">
        <v>1221</v>
      </c>
      <c r="G83" s="19" t="s">
        <v>1430</v>
      </c>
      <c r="H83" s="32"/>
      <c r="I83" s="35"/>
      <c r="J83" s="34" t="s">
        <v>431</v>
      </c>
      <c r="K83" s="34" t="s">
        <v>134</v>
      </c>
      <c r="L83" s="34" t="s">
        <v>533</v>
      </c>
      <c r="O83" s="2"/>
    </row>
    <row r="84" spans="1:15" s="1" customFormat="1">
      <c r="A84" s="25"/>
      <c r="B84" s="26" t="s">
        <v>904</v>
      </c>
      <c r="C84" s="26" t="s">
        <v>136</v>
      </c>
      <c r="D84" s="12" t="s">
        <v>1537</v>
      </c>
      <c r="E84" s="30" t="s">
        <v>243</v>
      </c>
      <c r="F84" s="31" t="s">
        <v>904</v>
      </c>
      <c r="G84" s="19" t="s">
        <v>1332</v>
      </c>
      <c r="H84" s="32"/>
      <c r="I84" s="35"/>
      <c r="J84" s="34" t="s">
        <v>431</v>
      </c>
      <c r="K84" s="34" t="s">
        <v>134</v>
      </c>
      <c r="L84" s="34" t="s">
        <v>439</v>
      </c>
      <c r="O84" s="2"/>
    </row>
    <row r="85" spans="1:15" s="1" customFormat="1" ht="26.4">
      <c r="A85" s="25"/>
      <c r="B85" s="26" t="s">
        <v>1223</v>
      </c>
      <c r="C85" s="26" t="s">
        <v>245</v>
      </c>
      <c r="D85" s="12" t="s">
        <v>1224</v>
      </c>
      <c r="E85" s="30" t="s">
        <v>243</v>
      </c>
      <c r="F85" s="31" t="s">
        <v>1223</v>
      </c>
      <c r="G85" s="19" t="s">
        <v>1431</v>
      </c>
      <c r="H85" s="32"/>
      <c r="I85" s="35"/>
      <c r="J85" s="34" t="s">
        <v>431</v>
      </c>
      <c r="K85" s="34" t="s">
        <v>134</v>
      </c>
      <c r="L85" s="34" t="s">
        <v>432</v>
      </c>
      <c r="O85" s="2"/>
    </row>
    <row r="86" spans="1:15" s="1" customFormat="1">
      <c r="A86" s="25"/>
      <c r="B86" s="26" t="s">
        <v>910</v>
      </c>
      <c r="C86" s="26" t="s">
        <v>900</v>
      </c>
      <c r="D86" s="12" t="s">
        <v>1538</v>
      </c>
      <c r="E86" s="30" t="s">
        <v>243</v>
      </c>
      <c r="F86" s="31" t="s">
        <v>910</v>
      </c>
      <c r="G86" s="19" t="s">
        <v>1334</v>
      </c>
      <c r="H86" s="32"/>
      <c r="I86" s="35"/>
      <c r="J86" s="34" t="s">
        <v>431</v>
      </c>
      <c r="K86" s="34" t="s">
        <v>134</v>
      </c>
      <c r="L86" s="34" t="s">
        <v>568</v>
      </c>
      <c r="O86" s="2"/>
    </row>
    <row r="87" spans="1:15" s="1" customFormat="1">
      <c r="A87" s="25"/>
      <c r="B87" s="26" t="s">
        <v>1225</v>
      </c>
      <c r="C87" s="26" t="s">
        <v>136</v>
      </c>
      <c r="D87" s="12" t="s">
        <v>1226</v>
      </c>
      <c r="E87" s="30" t="s">
        <v>243</v>
      </c>
      <c r="F87" s="31" t="s">
        <v>1225</v>
      </c>
      <c r="G87" s="19" t="s">
        <v>1432</v>
      </c>
      <c r="H87" s="32"/>
      <c r="I87" s="35"/>
      <c r="J87" s="34" t="s">
        <v>431</v>
      </c>
      <c r="K87" s="34" t="s">
        <v>134</v>
      </c>
      <c r="L87" s="34" t="s">
        <v>533</v>
      </c>
      <c r="O87" s="2"/>
    </row>
    <row r="88" spans="1:15" s="1" customFormat="1">
      <c r="A88" s="25"/>
      <c r="B88" s="26" t="s">
        <v>915</v>
      </c>
      <c r="C88" s="26" t="s">
        <v>136</v>
      </c>
      <c r="D88" s="12" t="s">
        <v>1539</v>
      </c>
      <c r="E88" s="30" t="s">
        <v>243</v>
      </c>
      <c r="F88" s="31" t="s">
        <v>915</v>
      </c>
      <c r="G88" s="19" t="s">
        <v>1335</v>
      </c>
      <c r="H88" s="32"/>
      <c r="I88" s="35"/>
      <c r="J88" s="34" t="s">
        <v>431</v>
      </c>
      <c r="K88" s="34" t="s">
        <v>134</v>
      </c>
      <c r="L88" s="34" t="s">
        <v>439</v>
      </c>
      <c r="O88" s="2"/>
    </row>
    <row r="89" spans="1:15" s="1" customFormat="1">
      <c r="A89" s="25"/>
      <c r="B89" s="26" t="s">
        <v>1227</v>
      </c>
      <c r="C89" s="26" t="s">
        <v>245</v>
      </c>
      <c r="D89" s="12" t="s">
        <v>1228</v>
      </c>
      <c r="E89" s="30" t="s">
        <v>243</v>
      </c>
      <c r="F89" s="31" t="s">
        <v>1227</v>
      </c>
      <c r="G89" s="19" t="s">
        <v>1433</v>
      </c>
      <c r="H89" s="30"/>
      <c r="I89" s="33"/>
      <c r="J89" s="34" t="s">
        <v>431</v>
      </c>
      <c r="K89" s="34" t="s">
        <v>134</v>
      </c>
      <c r="L89" s="34" t="s">
        <v>432</v>
      </c>
      <c r="O89" s="2"/>
    </row>
    <row r="90" spans="1:15" s="1" customFormat="1">
      <c r="A90" s="25"/>
      <c r="B90" s="26" t="s">
        <v>921</v>
      </c>
      <c r="C90" s="26" t="s">
        <v>900</v>
      </c>
      <c r="D90" s="12" t="s">
        <v>1540</v>
      </c>
      <c r="E90" s="30" t="s">
        <v>243</v>
      </c>
      <c r="F90" s="31" t="s">
        <v>921</v>
      </c>
      <c r="G90" s="31" t="s">
        <v>1337</v>
      </c>
      <c r="H90" s="30"/>
      <c r="I90" s="33"/>
      <c r="J90" s="34" t="s">
        <v>431</v>
      </c>
      <c r="K90" s="34" t="s">
        <v>134</v>
      </c>
      <c r="L90" s="34" t="s">
        <v>568</v>
      </c>
      <c r="O90" s="2"/>
    </row>
    <row r="91" spans="1:15" s="1" customFormat="1">
      <c r="A91" s="25"/>
      <c r="B91" s="26" t="s">
        <v>1229</v>
      </c>
      <c r="C91" s="26" t="s">
        <v>136</v>
      </c>
      <c r="D91" s="12" t="s">
        <v>1230</v>
      </c>
      <c r="E91" s="30" t="s">
        <v>243</v>
      </c>
      <c r="F91" s="31" t="s">
        <v>1229</v>
      </c>
      <c r="G91" s="19" t="s">
        <v>1434</v>
      </c>
      <c r="H91" s="32"/>
      <c r="I91" s="35"/>
      <c r="J91" s="34" t="s">
        <v>431</v>
      </c>
      <c r="K91" s="34" t="s">
        <v>134</v>
      </c>
      <c r="L91" s="34" t="s">
        <v>533</v>
      </c>
      <c r="O91" s="2"/>
    </row>
    <row r="92" spans="1:15" s="1" customFormat="1">
      <c r="A92" s="25"/>
      <c r="B92" s="26" t="s">
        <v>927</v>
      </c>
      <c r="C92" s="26" t="s">
        <v>136</v>
      </c>
      <c r="D92" s="12" t="s">
        <v>1541</v>
      </c>
      <c r="E92" s="30" t="s">
        <v>243</v>
      </c>
      <c r="F92" s="31" t="s">
        <v>927</v>
      </c>
      <c r="G92" s="19" t="s">
        <v>1338</v>
      </c>
      <c r="H92" s="32"/>
      <c r="I92" s="35"/>
      <c r="J92" s="34" t="s">
        <v>431</v>
      </c>
      <c r="K92" s="34" t="s">
        <v>134</v>
      </c>
      <c r="L92" s="34" t="s">
        <v>439</v>
      </c>
      <c r="O92" s="2"/>
    </row>
    <row r="93" spans="1:15" s="1" customFormat="1" ht="26.4">
      <c r="A93" s="25"/>
      <c r="B93" s="26" t="s">
        <v>1231</v>
      </c>
      <c r="C93" s="26" t="s">
        <v>245</v>
      </c>
      <c r="D93" s="12" t="s">
        <v>1232</v>
      </c>
      <c r="E93" s="30" t="s">
        <v>243</v>
      </c>
      <c r="F93" s="31" t="s">
        <v>1231</v>
      </c>
      <c r="G93" s="19" t="s">
        <v>1435</v>
      </c>
      <c r="H93" s="30"/>
      <c r="I93" s="33"/>
      <c r="J93" s="34" t="s">
        <v>431</v>
      </c>
      <c r="K93" s="34" t="s">
        <v>134</v>
      </c>
      <c r="L93" s="34" t="s">
        <v>432</v>
      </c>
      <c r="O93" s="2"/>
    </row>
    <row r="94" spans="1:15" s="1" customFormat="1">
      <c r="A94" s="25"/>
      <c r="B94" s="26" t="s">
        <v>933</v>
      </c>
      <c r="C94" s="26" t="s">
        <v>900</v>
      </c>
      <c r="D94" s="12" t="s">
        <v>1542</v>
      </c>
      <c r="E94" s="30" t="s">
        <v>243</v>
      </c>
      <c r="F94" s="31" t="s">
        <v>933</v>
      </c>
      <c r="G94" s="19" t="s">
        <v>1619</v>
      </c>
      <c r="H94" s="30"/>
      <c r="I94" s="33"/>
      <c r="J94" s="34" t="s">
        <v>431</v>
      </c>
      <c r="K94" s="34" t="s">
        <v>134</v>
      </c>
      <c r="L94" s="34" t="s">
        <v>568</v>
      </c>
      <c r="O94" s="2"/>
    </row>
    <row r="95" spans="1:15" s="1" customFormat="1">
      <c r="A95" s="25"/>
      <c r="B95" s="26" t="s">
        <v>1244</v>
      </c>
      <c r="C95" s="26" t="s">
        <v>136</v>
      </c>
      <c r="D95" s="12" t="s">
        <v>1245</v>
      </c>
      <c r="E95" s="30" t="s">
        <v>243</v>
      </c>
      <c r="F95" s="31" t="s">
        <v>1244</v>
      </c>
      <c r="G95" s="19" t="s">
        <v>1439</v>
      </c>
      <c r="H95" s="32"/>
      <c r="I95" s="35"/>
      <c r="J95" s="34" t="s">
        <v>431</v>
      </c>
      <c r="K95" s="34" t="s">
        <v>134</v>
      </c>
      <c r="L95" s="34" t="s">
        <v>439</v>
      </c>
      <c r="O95" s="2"/>
    </row>
    <row r="96" spans="1:15" s="1" customFormat="1">
      <c r="A96" s="25"/>
      <c r="B96" s="26" t="s">
        <v>1247</v>
      </c>
      <c r="C96" s="26" t="s">
        <v>136</v>
      </c>
      <c r="D96" s="12" t="s">
        <v>780</v>
      </c>
      <c r="E96" s="30" t="s">
        <v>243</v>
      </c>
      <c r="F96" s="31" t="s">
        <v>1247</v>
      </c>
      <c r="G96" s="19" t="s">
        <v>1440</v>
      </c>
      <c r="H96" s="32"/>
      <c r="I96" s="35"/>
      <c r="J96" s="34" t="s">
        <v>431</v>
      </c>
      <c r="K96" s="34" t="s">
        <v>134</v>
      </c>
      <c r="L96" s="34" t="s">
        <v>439</v>
      </c>
      <c r="O96" s="2"/>
    </row>
    <row r="97" spans="1:15" s="1" customFormat="1">
      <c r="A97" s="25"/>
      <c r="B97" s="26" t="s">
        <v>1249</v>
      </c>
      <c r="C97" s="26" t="s">
        <v>136</v>
      </c>
      <c r="D97" s="12" t="s">
        <v>782</v>
      </c>
      <c r="E97" s="30" t="s">
        <v>243</v>
      </c>
      <c r="F97" s="31" t="s">
        <v>1249</v>
      </c>
      <c r="G97" s="19" t="s">
        <v>1441</v>
      </c>
      <c r="H97" s="32"/>
      <c r="I97" s="35"/>
      <c r="J97" s="34" t="s">
        <v>431</v>
      </c>
      <c r="K97" s="34" t="s">
        <v>134</v>
      </c>
      <c r="L97" s="34" t="s">
        <v>439</v>
      </c>
      <c r="O97" s="2"/>
    </row>
    <row r="98" spans="1:15" s="1" customFormat="1">
      <c r="A98" s="25"/>
      <c r="B98" s="26" t="s">
        <v>1251</v>
      </c>
      <c r="C98" s="26" t="s">
        <v>136</v>
      </c>
      <c r="D98" s="12" t="s">
        <v>784</v>
      </c>
      <c r="E98" s="30" t="s">
        <v>243</v>
      </c>
      <c r="F98" s="31" t="s">
        <v>1251</v>
      </c>
      <c r="G98" s="19" t="s">
        <v>1442</v>
      </c>
      <c r="H98" s="32"/>
      <c r="I98" s="35"/>
      <c r="J98" s="34" t="s">
        <v>431</v>
      </c>
      <c r="K98" s="34" t="s">
        <v>134</v>
      </c>
      <c r="L98" s="34" t="s">
        <v>439</v>
      </c>
      <c r="O98" s="2"/>
    </row>
    <row r="99" spans="1:15" s="1" customFormat="1">
      <c r="A99" s="25"/>
      <c r="B99" s="26" t="s">
        <v>1253</v>
      </c>
      <c r="C99" s="26" t="s">
        <v>136</v>
      </c>
      <c r="D99" s="12" t="s">
        <v>786</v>
      </c>
      <c r="E99" s="30" t="s">
        <v>243</v>
      </c>
      <c r="F99" s="31" t="s">
        <v>1253</v>
      </c>
      <c r="G99" s="19" t="s">
        <v>1443</v>
      </c>
      <c r="H99" s="32"/>
      <c r="I99" s="35"/>
      <c r="J99" s="34" t="s">
        <v>431</v>
      </c>
      <c r="K99" s="34" t="s">
        <v>134</v>
      </c>
      <c r="L99" s="34" t="s">
        <v>439</v>
      </c>
      <c r="O99" s="2"/>
    </row>
    <row r="100" spans="1:15" s="1" customFormat="1">
      <c r="A100" s="25"/>
      <c r="B100" s="26" t="s">
        <v>1255</v>
      </c>
      <c r="C100" s="26" t="s">
        <v>136</v>
      </c>
      <c r="D100" s="12" t="s">
        <v>788</v>
      </c>
      <c r="E100" s="30" t="s">
        <v>243</v>
      </c>
      <c r="F100" s="31" t="s">
        <v>1255</v>
      </c>
      <c r="G100" s="19" t="s">
        <v>1444</v>
      </c>
      <c r="H100" s="32"/>
      <c r="I100" s="35"/>
      <c r="J100" s="34" t="s">
        <v>431</v>
      </c>
      <c r="K100" s="34" t="s">
        <v>134</v>
      </c>
      <c r="L100" s="34" t="s">
        <v>439</v>
      </c>
      <c r="O100" s="2"/>
    </row>
    <row r="101" spans="1:15" s="1" customFormat="1">
      <c r="A101" s="25"/>
      <c r="B101" s="26" t="s">
        <v>1257</v>
      </c>
      <c r="C101" s="26" t="s">
        <v>136</v>
      </c>
      <c r="D101" s="12" t="s">
        <v>790</v>
      </c>
      <c r="E101" s="30" t="s">
        <v>243</v>
      </c>
      <c r="F101" s="31" t="s">
        <v>1257</v>
      </c>
      <c r="G101" s="19" t="s">
        <v>1445</v>
      </c>
      <c r="H101" s="32"/>
      <c r="I101" s="35"/>
      <c r="J101" s="34" t="s">
        <v>431</v>
      </c>
      <c r="K101" s="34" t="s">
        <v>134</v>
      </c>
      <c r="L101" s="34" t="s">
        <v>439</v>
      </c>
      <c r="O101" s="2"/>
    </row>
    <row r="102" spans="1:15" s="1" customFormat="1">
      <c r="A102" s="25"/>
      <c r="B102" s="26" t="s">
        <v>1259</v>
      </c>
      <c r="C102" s="26" t="s">
        <v>136</v>
      </c>
      <c r="D102" s="12" t="s">
        <v>792</v>
      </c>
      <c r="E102" s="30" t="s">
        <v>243</v>
      </c>
      <c r="F102" s="31" t="s">
        <v>1259</v>
      </c>
      <c r="G102" s="19" t="s">
        <v>1446</v>
      </c>
      <c r="H102" s="32"/>
      <c r="I102" s="35"/>
      <c r="J102" s="34" t="s">
        <v>431</v>
      </c>
      <c r="K102" s="34" t="s">
        <v>134</v>
      </c>
      <c r="L102" s="34" t="s">
        <v>439</v>
      </c>
      <c r="O102" s="2"/>
    </row>
    <row r="103" spans="1:15" s="1" customFormat="1">
      <c r="A103" s="25"/>
      <c r="B103" s="26" t="s">
        <v>1261</v>
      </c>
      <c r="C103" s="26" t="s">
        <v>136</v>
      </c>
      <c r="D103" s="12" t="s">
        <v>794</v>
      </c>
      <c r="E103" s="30" t="s">
        <v>243</v>
      </c>
      <c r="F103" s="31" t="s">
        <v>1261</v>
      </c>
      <c r="G103" s="19" t="s">
        <v>1447</v>
      </c>
      <c r="H103" s="32"/>
      <c r="I103" s="35"/>
      <c r="J103" s="34" t="s">
        <v>431</v>
      </c>
      <c r="K103" s="34" t="s">
        <v>134</v>
      </c>
      <c r="L103" s="34" t="s">
        <v>439</v>
      </c>
      <c r="O103" s="2"/>
    </row>
    <row r="104" spans="1:15" s="1" customFormat="1">
      <c r="A104" s="25"/>
      <c r="B104" s="26" t="s">
        <v>1263</v>
      </c>
      <c r="C104" s="26" t="s">
        <v>136</v>
      </c>
      <c r="D104" s="12" t="s">
        <v>796</v>
      </c>
      <c r="E104" s="30" t="s">
        <v>243</v>
      </c>
      <c r="F104" s="31" t="s">
        <v>1263</v>
      </c>
      <c r="G104" s="19" t="s">
        <v>1448</v>
      </c>
      <c r="H104" s="32"/>
      <c r="I104" s="35"/>
      <c r="J104" s="34" t="s">
        <v>431</v>
      </c>
      <c r="K104" s="34" t="s">
        <v>134</v>
      </c>
      <c r="L104" s="34" t="s">
        <v>439</v>
      </c>
      <c r="O104" s="2"/>
    </row>
    <row r="105" spans="1:15" s="1" customFormat="1">
      <c r="A105" s="25"/>
      <c r="B105" s="26" t="s">
        <v>1265</v>
      </c>
      <c r="C105" s="26" t="s">
        <v>136</v>
      </c>
      <c r="D105" s="12" t="s">
        <v>798</v>
      </c>
      <c r="E105" s="30" t="s">
        <v>243</v>
      </c>
      <c r="F105" s="31" t="s">
        <v>1265</v>
      </c>
      <c r="G105" s="19" t="s">
        <v>1449</v>
      </c>
      <c r="H105" s="32"/>
      <c r="I105" s="35"/>
      <c r="J105" s="34" t="s">
        <v>431</v>
      </c>
      <c r="K105" s="34" t="s">
        <v>134</v>
      </c>
      <c r="L105" s="34" t="s">
        <v>439</v>
      </c>
      <c r="O105" s="2"/>
    </row>
    <row r="106" spans="1:15" s="1" customFormat="1">
      <c r="A106" s="25"/>
      <c r="B106" s="26" t="s">
        <v>1267</v>
      </c>
      <c r="C106" s="26" t="s">
        <v>136</v>
      </c>
      <c r="D106" s="12" t="s">
        <v>800</v>
      </c>
      <c r="E106" s="30" t="s">
        <v>243</v>
      </c>
      <c r="F106" s="31" t="s">
        <v>1267</v>
      </c>
      <c r="G106" s="19" t="s">
        <v>1450</v>
      </c>
      <c r="H106" s="32"/>
      <c r="I106" s="35"/>
      <c r="J106" s="34" t="s">
        <v>431</v>
      </c>
      <c r="K106" s="34" t="s">
        <v>134</v>
      </c>
      <c r="L106" s="34" t="s">
        <v>439</v>
      </c>
      <c r="O106" s="2"/>
    </row>
    <row r="107" spans="1:15" s="1" customFormat="1">
      <c r="A107" s="25"/>
      <c r="B107" s="26" t="s">
        <v>1268</v>
      </c>
      <c r="C107" s="26" t="s">
        <v>136</v>
      </c>
      <c r="D107" s="12" t="s">
        <v>802</v>
      </c>
      <c r="E107" s="30" t="s">
        <v>243</v>
      </c>
      <c r="F107" s="31" t="s">
        <v>1268</v>
      </c>
      <c r="G107" s="19" t="s">
        <v>1451</v>
      </c>
      <c r="H107" s="32"/>
      <c r="I107" s="35"/>
      <c r="J107" s="34" t="s">
        <v>431</v>
      </c>
      <c r="K107" s="34" t="s">
        <v>134</v>
      </c>
      <c r="L107" s="34" t="s">
        <v>439</v>
      </c>
      <c r="O107" s="2"/>
    </row>
    <row r="108" spans="1:15" s="1" customFormat="1">
      <c r="A108" s="25"/>
      <c r="B108" s="26" t="s">
        <v>1270</v>
      </c>
      <c r="C108" s="26" t="s">
        <v>136</v>
      </c>
      <c r="D108" s="12" t="s">
        <v>804</v>
      </c>
      <c r="E108" s="30" t="s">
        <v>243</v>
      </c>
      <c r="F108" s="31" t="s">
        <v>1270</v>
      </c>
      <c r="G108" s="19" t="s">
        <v>1452</v>
      </c>
      <c r="H108" s="32"/>
      <c r="I108" s="35"/>
      <c r="J108" s="34" t="s">
        <v>431</v>
      </c>
      <c r="K108" s="34" t="s">
        <v>134</v>
      </c>
      <c r="L108" s="34" t="s">
        <v>439</v>
      </c>
      <c r="O108" s="2"/>
    </row>
    <row r="109" spans="1:15" s="1" customFormat="1">
      <c r="A109" s="25"/>
      <c r="B109" s="26" t="s">
        <v>1272</v>
      </c>
      <c r="C109" s="26" t="s">
        <v>136</v>
      </c>
      <c r="D109" s="12" t="s">
        <v>1624</v>
      </c>
      <c r="E109" s="30" t="s">
        <v>243</v>
      </c>
      <c r="F109" s="31" t="s">
        <v>1272</v>
      </c>
      <c r="G109" s="19" t="s">
        <v>1453</v>
      </c>
      <c r="H109" s="32"/>
      <c r="I109" s="35"/>
      <c r="J109" s="34" t="s">
        <v>431</v>
      </c>
      <c r="K109" s="34" t="s">
        <v>134</v>
      </c>
      <c r="L109" s="34" t="s">
        <v>439</v>
      </c>
      <c r="O109" s="2"/>
    </row>
    <row r="110" spans="1:15" s="1" customFormat="1">
      <c r="A110" s="25"/>
      <c r="B110" s="26" t="s">
        <v>1625</v>
      </c>
      <c r="C110" s="26" t="s">
        <v>136</v>
      </c>
      <c r="D110" s="12" t="s">
        <v>1626</v>
      </c>
      <c r="E110" s="30" t="s">
        <v>243</v>
      </c>
      <c r="F110" s="31" t="s">
        <v>1625</v>
      </c>
      <c r="G110" s="19" t="s">
        <v>1669</v>
      </c>
      <c r="H110" s="32"/>
      <c r="I110" s="35"/>
      <c r="J110" s="34" t="s">
        <v>431</v>
      </c>
      <c r="K110" s="34" t="s">
        <v>134</v>
      </c>
      <c r="L110" s="34" t="s">
        <v>439</v>
      </c>
      <c r="O110" s="2"/>
    </row>
    <row r="111" spans="1:15" s="1" customFormat="1">
      <c r="A111" s="25"/>
      <c r="B111" s="26" t="s">
        <v>1627</v>
      </c>
      <c r="C111" s="26" t="s">
        <v>136</v>
      </c>
      <c r="D111" s="12" t="s">
        <v>1628</v>
      </c>
      <c r="E111" s="30" t="s">
        <v>243</v>
      </c>
      <c r="F111" s="31" t="s">
        <v>1627</v>
      </c>
      <c r="G111" s="19" t="s">
        <v>1670</v>
      </c>
      <c r="H111" s="32"/>
      <c r="I111" s="35"/>
      <c r="J111" s="34" t="s">
        <v>431</v>
      </c>
      <c r="K111" s="34" t="s">
        <v>134</v>
      </c>
      <c r="L111" s="34" t="s">
        <v>439</v>
      </c>
      <c r="O111" s="2"/>
    </row>
    <row r="112" spans="1:15" s="1" customFormat="1">
      <c r="A112" s="25"/>
      <c r="B112" s="26" t="s">
        <v>1629</v>
      </c>
      <c r="C112" s="26" t="s">
        <v>136</v>
      </c>
      <c r="D112" s="12" t="s">
        <v>1630</v>
      </c>
      <c r="E112" s="30" t="s">
        <v>243</v>
      </c>
      <c r="F112" s="31" t="s">
        <v>1629</v>
      </c>
      <c r="G112" s="19" t="s">
        <v>1671</v>
      </c>
      <c r="H112" s="32"/>
      <c r="I112" s="35"/>
      <c r="J112" s="34" t="s">
        <v>431</v>
      </c>
      <c r="K112" s="34" t="s">
        <v>134</v>
      </c>
      <c r="L112" s="34" t="s">
        <v>439</v>
      </c>
      <c r="O112" s="2"/>
    </row>
    <row r="113" spans="1:15" s="1" customFormat="1">
      <c r="A113" s="25"/>
      <c r="B113" s="26" t="s">
        <v>1631</v>
      </c>
      <c r="C113" s="26" t="s">
        <v>136</v>
      </c>
      <c r="D113" s="12" t="s">
        <v>1632</v>
      </c>
      <c r="E113" s="30" t="s">
        <v>243</v>
      </c>
      <c r="F113" s="31" t="s">
        <v>1631</v>
      </c>
      <c r="G113" s="19" t="s">
        <v>1672</v>
      </c>
      <c r="H113" s="32"/>
      <c r="I113" s="35"/>
      <c r="J113" s="34" t="s">
        <v>431</v>
      </c>
      <c r="K113" s="34" t="s">
        <v>134</v>
      </c>
      <c r="L113" s="34" t="s">
        <v>439</v>
      </c>
      <c r="O113" s="2"/>
    </row>
    <row r="114" spans="1:15" s="1" customFormat="1">
      <c r="A114" s="25"/>
      <c r="B114" s="26" t="s">
        <v>1633</v>
      </c>
      <c r="C114" s="26" t="s">
        <v>136</v>
      </c>
      <c r="D114" s="12" t="s">
        <v>1634</v>
      </c>
      <c r="E114" s="30" t="s">
        <v>243</v>
      </c>
      <c r="F114" s="31" t="s">
        <v>1633</v>
      </c>
      <c r="G114" s="19" t="s">
        <v>1673</v>
      </c>
      <c r="H114" s="32"/>
      <c r="I114" s="35"/>
      <c r="J114" s="34" t="s">
        <v>431</v>
      </c>
      <c r="K114" s="34" t="s">
        <v>134</v>
      </c>
      <c r="L114" s="34" t="s">
        <v>439</v>
      </c>
      <c r="O114" s="2"/>
    </row>
    <row r="115" spans="1:15" s="1" customFormat="1">
      <c r="A115" s="25"/>
      <c r="B115" s="26" t="s">
        <v>1635</v>
      </c>
      <c r="C115" s="26" t="s">
        <v>136</v>
      </c>
      <c r="D115" s="12" t="s">
        <v>1636</v>
      </c>
      <c r="E115" s="30" t="s">
        <v>243</v>
      </c>
      <c r="F115" s="31" t="s">
        <v>1635</v>
      </c>
      <c r="G115" s="19" t="s">
        <v>1674</v>
      </c>
      <c r="H115" s="32"/>
      <c r="I115" s="35"/>
      <c r="J115" s="34" t="s">
        <v>431</v>
      </c>
      <c r="K115" s="34" t="s">
        <v>134</v>
      </c>
      <c r="L115" s="34" t="s">
        <v>439</v>
      </c>
      <c r="O115" s="2"/>
    </row>
    <row r="116" spans="1:15" s="1" customFormat="1">
      <c r="A116" s="25"/>
      <c r="B116" s="26" t="s">
        <v>1637</v>
      </c>
      <c r="C116" s="26" t="s">
        <v>136</v>
      </c>
      <c r="D116" s="12" t="s">
        <v>1638</v>
      </c>
      <c r="E116" s="30" t="s">
        <v>243</v>
      </c>
      <c r="F116" s="31" t="s">
        <v>1637</v>
      </c>
      <c r="G116" s="19" t="s">
        <v>1675</v>
      </c>
      <c r="H116" s="32"/>
      <c r="I116" s="35"/>
      <c r="J116" s="34" t="s">
        <v>431</v>
      </c>
      <c r="K116" s="34" t="s">
        <v>134</v>
      </c>
      <c r="L116" s="34" t="s">
        <v>439</v>
      </c>
      <c r="O116" s="2"/>
    </row>
    <row r="117" spans="1:15" s="1" customFormat="1">
      <c r="A117" s="25"/>
      <c r="B117" s="26" t="s">
        <v>1639</v>
      </c>
      <c r="C117" s="26" t="s">
        <v>136</v>
      </c>
      <c r="D117" s="12" t="s">
        <v>1640</v>
      </c>
      <c r="E117" s="30" t="s">
        <v>243</v>
      </c>
      <c r="F117" s="31" t="s">
        <v>1639</v>
      </c>
      <c r="G117" s="19" t="s">
        <v>1676</v>
      </c>
      <c r="H117" s="32"/>
      <c r="I117" s="35"/>
      <c r="J117" s="34" t="s">
        <v>431</v>
      </c>
      <c r="K117" s="34" t="s">
        <v>134</v>
      </c>
      <c r="L117" s="34" t="s">
        <v>439</v>
      </c>
      <c r="O117" s="2"/>
    </row>
    <row r="118" spans="1:15" s="1" customFormat="1">
      <c r="A118" s="25"/>
      <c r="B118" s="26" t="s">
        <v>1641</v>
      </c>
      <c r="C118" s="26" t="s">
        <v>136</v>
      </c>
      <c r="D118" s="12" t="s">
        <v>1642</v>
      </c>
      <c r="E118" s="30" t="s">
        <v>243</v>
      </c>
      <c r="F118" s="31" t="s">
        <v>1641</v>
      </c>
      <c r="G118" s="19" t="s">
        <v>1677</v>
      </c>
      <c r="H118" s="32"/>
      <c r="I118" s="35"/>
      <c r="J118" s="34" t="s">
        <v>431</v>
      </c>
      <c r="K118" s="34" t="s">
        <v>134</v>
      </c>
      <c r="L118" s="34" t="s">
        <v>439</v>
      </c>
      <c r="O118" s="2"/>
    </row>
    <row r="119" spans="1:15" s="1" customFormat="1">
      <c r="A119" s="25"/>
      <c r="B119" s="26" t="s">
        <v>1643</v>
      </c>
      <c r="C119" s="26" t="s">
        <v>136</v>
      </c>
      <c r="D119" s="12" t="s">
        <v>1644</v>
      </c>
      <c r="E119" s="30" t="s">
        <v>243</v>
      </c>
      <c r="F119" s="31" t="s">
        <v>1643</v>
      </c>
      <c r="G119" s="19" t="s">
        <v>1678</v>
      </c>
      <c r="H119" s="32"/>
      <c r="I119" s="35"/>
      <c r="J119" s="34" t="s">
        <v>431</v>
      </c>
      <c r="K119" s="34" t="s">
        <v>134</v>
      </c>
      <c r="L119" s="34" t="s">
        <v>439</v>
      </c>
      <c r="O119" s="2"/>
    </row>
    <row r="120" spans="1:15" s="1" customFormat="1">
      <c r="A120" s="25"/>
      <c r="B120" s="26" t="s">
        <v>1645</v>
      </c>
      <c r="C120" s="26" t="s">
        <v>136</v>
      </c>
      <c r="D120" s="12" t="s">
        <v>1646</v>
      </c>
      <c r="E120" s="30" t="s">
        <v>243</v>
      </c>
      <c r="F120" s="31" t="s">
        <v>1645</v>
      </c>
      <c r="G120" s="19" t="s">
        <v>1679</v>
      </c>
      <c r="H120" s="32"/>
      <c r="I120" s="35"/>
      <c r="J120" s="34" t="s">
        <v>431</v>
      </c>
      <c r="K120" s="34" t="s">
        <v>134</v>
      </c>
      <c r="L120" s="34" t="s">
        <v>439</v>
      </c>
      <c r="O120" s="2"/>
    </row>
    <row r="121" spans="1:15" s="1" customFormat="1">
      <c r="A121" s="25"/>
      <c r="B121" s="26" t="s">
        <v>1647</v>
      </c>
      <c r="C121" s="26" t="s">
        <v>136</v>
      </c>
      <c r="D121" s="12" t="s">
        <v>1648</v>
      </c>
      <c r="E121" s="30" t="s">
        <v>243</v>
      </c>
      <c r="F121" s="31" t="s">
        <v>1647</v>
      </c>
      <c r="G121" s="19" t="s">
        <v>1680</v>
      </c>
      <c r="H121" s="32"/>
      <c r="I121" s="35"/>
      <c r="J121" s="34" t="s">
        <v>431</v>
      </c>
      <c r="K121" s="34" t="s">
        <v>134</v>
      </c>
      <c r="L121" s="34" t="s">
        <v>439</v>
      </c>
      <c r="O121" s="2"/>
    </row>
    <row r="122" spans="1:15" s="1" customFormat="1">
      <c r="A122" s="25"/>
      <c r="B122" s="26" t="s">
        <v>1649</v>
      </c>
      <c r="C122" s="26" t="s">
        <v>136</v>
      </c>
      <c r="D122" s="12" t="s">
        <v>1650</v>
      </c>
      <c r="E122" s="30" t="s">
        <v>243</v>
      </c>
      <c r="F122" s="31" t="s">
        <v>1649</v>
      </c>
      <c r="G122" s="19" t="s">
        <v>1681</v>
      </c>
      <c r="H122" s="32"/>
      <c r="I122" s="35"/>
      <c r="J122" s="34" t="s">
        <v>431</v>
      </c>
      <c r="K122" s="34" t="s">
        <v>134</v>
      </c>
      <c r="L122" s="34" t="s">
        <v>439</v>
      </c>
      <c r="O122" s="2"/>
    </row>
    <row r="123" spans="1:15" s="1" customFormat="1">
      <c r="A123" s="25"/>
      <c r="B123" s="26" t="s">
        <v>1651</v>
      </c>
      <c r="C123" s="26" t="s">
        <v>136</v>
      </c>
      <c r="D123" s="12" t="s">
        <v>1652</v>
      </c>
      <c r="E123" s="30" t="s">
        <v>243</v>
      </c>
      <c r="F123" s="31" t="s">
        <v>1651</v>
      </c>
      <c r="G123" s="19" t="s">
        <v>1682</v>
      </c>
      <c r="H123" s="32"/>
      <c r="I123" s="35"/>
      <c r="J123" s="34" t="s">
        <v>431</v>
      </c>
      <c r="K123" s="34" t="s">
        <v>134</v>
      </c>
      <c r="L123" s="34" t="s">
        <v>439</v>
      </c>
      <c r="O123" s="2"/>
    </row>
    <row r="124" spans="1:15" s="1" customFormat="1">
      <c r="A124" s="25"/>
      <c r="B124" s="26" t="s">
        <v>1653</v>
      </c>
      <c r="C124" s="26" t="s">
        <v>136</v>
      </c>
      <c r="D124" s="12" t="s">
        <v>1654</v>
      </c>
      <c r="E124" s="30" t="s">
        <v>243</v>
      </c>
      <c r="F124" s="31" t="s">
        <v>1653</v>
      </c>
      <c r="G124" s="19" t="s">
        <v>1683</v>
      </c>
      <c r="H124" s="32"/>
      <c r="I124" s="35"/>
      <c r="J124" s="34" t="s">
        <v>431</v>
      </c>
      <c r="K124" s="34" t="s">
        <v>134</v>
      </c>
      <c r="L124" s="34" t="s">
        <v>439</v>
      </c>
      <c r="O124" s="2"/>
    </row>
    <row r="125" spans="1:15" s="1" customFormat="1">
      <c r="A125" s="25"/>
      <c r="B125" s="26" t="s">
        <v>1655</v>
      </c>
      <c r="C125" s="26" t="s">
        <v>136</v>
      </c>
      <c r="D125" s="12" t="s">
        <v>1656</v>
      </c>
      <c r="E125" s="30" t="s">
        <v>243</v>
      </c>
      <c r="F125" s="31" t="s">
        <v>1655</v>
      </c>
      <c r="G125" s="19" t="s">
        <v>1684</v>
      </c>
      <c r="H125" s="32"/>
      <c r="I125" s="35"/>
      <c r="J125" s="34" t="s">
        <v>431</v>
      </c>
      <c r="K125" s="34" t="s">
        <v>134</v>
      </c>
      <c r="L125" s="34" t="s">
        <v>439</v>
      </c>
      <c r="O125" s="2"/>
    </row>
    <row r="126" spans="1:15" s="1" customFormat="1">
      <c r="A126" s="25"/>
      <c r="B126" s="26" t="s">
        <v>1657</v>
      </c>
      <c r="C126" s="26" t="s">
        <v>136</v>
      </c>
      <c r="D126" s="12" t="s">
        <v>1658</v>
      </c>
      <c r="E126" s="30" t="s">
        <v>243</v>
      </c>
      <c r="F126" s="31" t="s">
        <v>1657</v>
      </c>
      <c r="G126" s="19" t="s">
        <v>1685</v>
      </c>
      <c r="H126" s="32"/>
      <c r="I126" s="35"/>
      <c r="J126" s="34" t="s">
        <v>431</v>
      </c>
      <c r="K126" s="34" t="s">
        <v>134</v>
      </c>
      <c r="L126" s="34" t="s">
        <v>439</v>
      </c>
      <c r="O126" s="2"/>
    </row>
    <row r="127" spans="1:15" s="1" customFormat="1">
      <c r="A127" s="25"/>
      <c r="B127" s="26" t="s">
        <v>1659</v>
      </c>
      <c r="C127" s="26" t="s">
        <v>136</v>
      </c>
      <c r="D127" s="12" t="s">
        <v>1660</v>
      </c>
      <c r="E127" s="30" t="s">
        <v>243</v>
      </c>
      <c r="F127" s="31" t="s">
        <v>1659</v>
      </c>
      <c r="G127" s="19" t="s">
        <v>1686</v>
      </c>
      <c r="H127" s="32"/>
      <c r="I127" s="35"/>
      <c r="J127" s="34" t="s">
        <v>431</v>
      </c>
      <c r="K127" s="34" t="s">
        <v>134</v>
      </c>
      <c r="L127" s="34" t="s">
        <v>439</v>
      </c>
      <c r="O127" s="2"/>
    </row>
    <row r="128" spans="1:15" s="1" customFormat="1">
      <c r="A128" s="25"/>
      <c r="B128" s="26" t="s">
        <v>1661</v>
      </c>
      <c r="C128" s="26" t="s">
        <v>136</v>
      </c>
      <c r="D128" s="12" t="s">
        <v>1662</v>
      </c>
      <c r="E128" s="30" t="s">
        <v>243</v>
      </c>
      <c r="F128" s="31" t="s">
        <v>1661</v>
      </c>
      <c r="G128" s="19" t="s">
        <v>1687</v>
      </c>
      <c r="H128" s="32"/>
      <c r="I128" s="35"/>
      <c r="J128" s="34" t="s">
        <v>431</v>
      </c>
      <c r="K128" s="34" t="s">
        <v>134</v>
      </c>
      <c r="L128" s="34" t="s">
        <v>439</v>
      </c>
      <c r="O128" s="2"/>
    </row>
    <row r="129" spans="1:15" s="1" customFormat="1">
      <c r="A129" s="25"/>
      <c r="B129" s="26" t="s">
        <v>1663</v>
      </c>
      <c r="C129" s="26" t="s">
        <v>136</v>
      </c>
      <c r="D129" s="12" t="s">
        <v>1664</v>
      </c>
      <c r="E129" s="30" t="s">
        <v>243</v>
      </c>
      <c r="F129" s="31" t="s">
        <v>1663</v>
      </c>
      <c r="G129" s="19" t="s">
        <v>1688</v>
      </c>
      <c r="H129" s="32"/>
      <c r="I129" s="35"/>
      <c r="J129" s="34" t="s">
        <v>431</v>
      </c>
      <c r="K129" s="34" t="s">
        <v>134</v>
      </c>
      <c r="L129" s="34" t="s">
        <v>439</v>
      </c>
      <c r="O129" s="2"/>
    </row>
    <row r="130" spans="1:15" s="1" customFormat="1">
      <c r="A130" s="25"/>
      <c r="B130" s="26" t="s">
        <v>1665</v>
      </c>
      <c r="C130" s="27" t="s">
        <v>136</v>
      </c>
      <c r="D130" s="12" t="s">
        <v>1666</v>
      </c>
      <c r="E130" s="30" t="s">
        <v>243</v>
      </c>
      <c r="F130" s="31" t="s">
        <v>1665</v>
      </c>
      <c r="G130" s="19" t="s">
        <v>1689</v>
      </c>
      <c r="H130" s="32"/>
      <c r="I130" s="35"/>
      <c r="J130" s="34" t="s">
        <v>431</v>
      </c>
      <c r="K130" s="34" t="s">
        <v>134</v>
      </c>
      <c r="L130" s="34" t="s">
        <v>439</v>
      </c>
      <c r="O130" s="2"/>
    </row>
    <row r="131" spans="1:15" s="1" customFormat="1">
      <c r="A131" s="25"/>
      <c r="B131" s="26" t="s">
        <v>1667</v>
      </c>
      <c r="C131" s="27" t="s">
        <v>136</v>
      </c>
      <c r="D131" s="12" t="s">
        <v>1668</v>
      </c>
      <c r="E131" s="30" t="s">
        <v>243</v>
      </c>
      <c r="F131" s="31" t="s">
        <v>1667</v>
      </c>
      <c r="G131" s="19" t="s">
        <v>1690</v>
      </c>
      <c r="H131" s="32"/>
      <c r="I131" s="35"/>
      <c r="J131" s="34" t="s">
        <v>431</v>
      </c>
      <c r="K131" s="34" t="s">
        <v>134</v>
      </c>
      <c r="L131" s="34" t="s">
        <v>439</v>
      </c>
      <c r="O131" s="2"/>
    </row>
    <row r="132" spans="1:15" s="39" customFormat="1" ht="79.2">
      <c r="A132" s="41"/>
      <c r="B132" s="41" t="s">
        <v>227</v>
      </c>
      <c r="C132" s="41" t="s">
        <v>139</v>
      </c>
      <c r="D132" s="43" t="s">
        <v>228</v>
      </c>
      <c r="E132" s="41" t="s">
        <v>243</v>
      </c>
      <c r="F132" s="41" t="s">
        <v>227</v>
      </c>
      <c r="G132" s="42" t="s">
        <v>250</v>
      </c>
      <c r="H132" s="41"/>
      <c r="I132" s="66" t="s">
        <v>662</v>
      </c>
      <c r="J132" s="41" t="s">
        <v>384</v>
      </c>
      <c r="K132" s="41" t="s">
        <v>134</v>
      </c>
      <c r="L132" s="46" t="s">
        <v>134</v>
      </c>
    </row>
    <row r="133" spans="1:15" s="39" customFormat="1">
      <c r="A133" s="41"/>
      <c r="B133" s="41" t="s">
        <v>392</v>
      </c>
      <c r="C133" s="41" t="s">
        <v>132</v>
      </c>
      <c r="D133" s="42" t="s">
        <v>391</v>
      </c>
      <c r="E133" s="41" t="s">
        <v>243</v>
      </c>
      <c r="F133" s="41" t="s">
        <v>392</v>
      </c>
      <c r="G133" s="42" t="s">
        <v>250</v>
      </c>
      <c r="H133" s="41"/>
      <c r="I133" s="66" t="s">
        <v>662</v>
      </c>
      <c r="J133" s="41" t="s">
        <v>384</v>
      </c>
      <c r="K133" s="41" t="s">
        <v>134</v>
      </c>
      <c r="L133" s="46" t="s">
        <v>134</v>
      </c>
    </row>
    <row r="134" spans="1:15" s="39" customFormat="1">
      <c r="A134" s="41"/>
      <c r="B134" s="41" t="s">
        <v>395</v>
      </c>
      <c r="C134" s="41" t="s">
        <v>132</v>
      </c>
      <c r="D134" s="42" t="s">
        <v>489</v>
      </c>
      <c r="E134" s="41" t="s">
        <v>243</v>
      </c>
      <c r="F134" s="41" t="s">
        <v>395</v>
      </c>
      <c r="G134" s="42" t="s">
        <v>250</v>
      </c>
      <c r="H134" s="41"/>
      <c r="I134" s="66" t="s">
        <v>662</v>
      </c>
      <c r="J134" s="41" t="s">
        <v>384</v>
      </c>
      <c r="K134" s="41" t="s">
        <v>134</v>
      </c>
      <c r="L134" s="46" t="s">
        <v>134</v>
      </c>
    </row>
    <row r="135" spans="1:15" s="39" customFormat="1">
      <c r="A135" s="41"/>
      <c r="B135" s="41" t="s">
        <v>398</v>
      </c>
      <c r="C135" s="41" t="s">
        <v>132</v>
      </c>
      <c r="D135" s="42" t="s">
        <v>490</v>
      </c>
      <c r="E135" s="41" t="s">
        <v>243</v>
      </c>
      <c r="F135" s="41" t="s">
        <v>398</v>
      </c>
      <c r="G135" s="42" t="s">
        <v>250</v>
      </c>
      <c r="H135" s="41"/>
      <c r="I135" s="66" t="s">
        <v>662</v>
      </c>
      <c r="J135" s="41" t="s">
        <v>384</v>
      </c>
      <c r="K135" s="41" t="s">
        <v>134</v>
      </c>
      <c r="L135" s="46" t="s">
        <v>134</v>
      </c>
    </row>
    <row r="136" spans="1:15" s="39" customFormat="1">
      <c r="A136" s="41"/>
      <c r="B136" s="41" t="s">
        <v>377</v>
      </c>
      <c r="C136" s="41" t="s">
        <v>132</v>
      </c>
      <c r="D136" s="42" t="s">
        <v>482</v>
      </c>
      <c r="E136" s="41" t="s">
        <v>243</v>
      </c>
      <c r="F136" s="41" t="s">
        <v>377</v>
      </c>
      <c r="G136" s="42" t="s">
        <v>250</v>
      </c>
      <c r="H136" s="41"/>
      <c r="I136" s="66" t="s">
        <v>662</v>
      </c>
      <c r="J136" s="41" t="s">
        <v>384</v>
      </c>
      <c r="K136" s="41" t="s">
        <v>134</v>
      </c>
      <c r="L136" s="46" t="s">
        <v>134</v>
      </c>
    </row>
    <row r="137" spans="1:15" s="64" customFormat="1">
      <c r="A137" s="67"/>
      <c r="B137" s="68" t="s">
        <v>400</v>
      </c>
      <c r="C137" s="69" t="s">
        <v>132</v>
      </c>
      <c r="D137" s="43" t="s">
        <v>485</v>
      </c>
      <c r="E137" s="44" t="s">
        <v>243</v>
      </c>
      <c r="F137" s="41" t="s">
        <v>400</v>
      </c>
      <c r="G137" s="70" t="s">
        <v>250</v>
      </c>
      <c r="H137" s="44"/>
      <c r="I137" s="66" t="s">
        <v>662</v>
      </c>
      <c r="J137" s="66" t="s">
        <v>384</v>
      </c>
      <c r="K137" s="47" t="s">
        <v>134</v>
      </c>
      <c r="L137" s="47" t="s">
        <v>134</v>
      </c>
    </row>
    <row r="138" spans="1:15" s="64" customFormat="1" ht="26.4">
      <c r="A138" s="67"/>
      <c r="B138" s="68" t="s">
        <v>1238</v>
      </c>
      <c r="C138" s="69" t="s">
        <v>245</v>
      </c>
      <c r="D138" s="43" t="s">
        <v>1545</v>
      </c>
      <c r="E138" s="44" t="s">
        <v>243</v>
      </c>
      <c r="F138" s="41"/>
      <c r="G138" s="70" t="s">
        <v>2420</v>
      </c>
      <c r="H138" s="44"/>
      <c r="I138" s="66" t="s">
        <v>662</v>
      </c>
      <c r="J138" s="66" t="s">
        <v>431</v>
      </c>
      <c r="K138" s="47" t="s">
        <v>134</v>
      </c>
      <c r="L138" s="47" t="s">
        <v>432</v>
      </c>
    </row>
    <row r="139" spans="1:15" s="64" customFormat="1">
      <c r="A139" s="67"/>
      <c r="B139" s="68" t="s">
        <v>1235</v>
      </c>
      <c r="C139" s="69" t="s">
        <v>136</v>
      </c>
      <c r="D139" s="43" t="s">
        <v>1544</v>
      </c>
      <c r="E139" s="44" t="s">
        <v>243</v>
      </c>
      <c r="F139" s="41"/>
      <c r="G139" s="70" t="s">
        <v>1436</v>
      </c>
      <c r="H139" s="44"/>
      <c r="I139" s="66" t="s">
        <v>662</v>
      </c>
      <c r="J139" s="66" t="s">
        <v>431</v>
      </c>
      <c r="K139" s="47" t="s">
        <v>134</v>
      </c>
      <c r="L139" s="47" t="s">
        <v>439</v>
      </c>
    </row>
    <row r="140" spans="1:15" s="64" customFormat="1">
      <c r="A140" s="67"/>
      <c r="B140" s="68" t="s">
        <v>1241</v>
      </c>
      <c r="C140" s="69" t="s">
        <v>900</v>
      </c>
      <c r="D140" s="43" t="s">
        <v>1546</v>
      </c>
      <c r="E140" s="44" t="s">
        <v>243</v>
      </c>
      <c r="F140" s="41"/>
      <c r="G140" s="70" t="s">
        <v>2421</v>
      </c>
      <c r="H140" s="44"/>
      <c r="I140" s="66" t="s">
        <v>662</v>
      </c>
      <c r="J140" s="66" t="s">
        <v>431</v>
      </c>
      <c r="K140" s="47" t="s">
        <v>134</v>
      </c>
      <c r="L140" s="47" t="s">
        <v>568</v>
      </c>
    </row>
    <row r="141" spans="1:15" s="64" customFormat="1">
      <c r="A141" s="67"/>
      <c r="B141" s="68" t="s">
        <v>474</v>
      </c>
      <c r="C141" s="69" t="s">
        <v>136</v>
      </c>
      <c r="D141" s="43" t="s">
        <v>1543</v>
      </c>
      <c r="E141" s="44" t="s">
        <v>243</v>
      </c>
      <c r="F141" s="41"/>
      <c r="G141" s="70" t="s">
        <v>2422</v>
      </c>
      <c r="H141" s="44"/>
      <c r="I141" s="66" t="s">
        <v>662</v>
      </c>
      <c r="J141" s="66" t="s">
        <v>431</v>
      </c>
      <c r="K141" s="47" t="s">
        <v>134</v>
      </c>
      <c r="L141" s="47" t="s">
        <v>533</v>
      </c>
    </row>
    <row r="142" spans="1:15" s="64" customFormat="1">
      <c r="A142" s="67"/>
      <c r="B142" s="68" t="s">
        <v>462</v>
      </c>
      <c r="C142" s="69" t="s">
        <v>136</v>
      </c>
      <c r="D142" s="43" t="s">
        <v>463</v>
      </c>
      <c r="E142" s="44" t="s">
        <v>243</v>
      </c>
      <c r="F142" s="70"/>
      <c r="G142" s="70" t="s">
        <v>1456</v>
      </c>
      <c r="H142" s="44"/>
      <c r="I142" s="66" t="s">
        <v>662</v>
      </c>
      <c r="J142" s="66" t="s">
        <v>431</v>
      </c>
      <c r="K142" s="47" t="s">
        <v>134</v>
      </c>
      <c r="L142" s="47" t="s">
        <v>439</v>
      </c>
    </row>
    <row r="143" spans="1:15" s="64" customFormat="1">
      <c r="A143" s="67"/>
      <c r="B143" s="68" t="s">
        <v>616</v>
      </c>
      <c r="C143" s="69" t="s">
        <v>136</v>
      </c>
      <c r="D143" s="43" t="s">
        <v>855</v>
      </c>
      <c r="E143" s="44" t="s">
        <v>243</v>
      </c>
      <c r="F143" s="70"/>
      <c r="G143" s="70" t="s">
        <v>856</v>
      </c>
      <c r="H143" s="44"/>
      <c r="I143" s="66" t="s">
        <v>662</v>
      </c>
      <c r="J143" s="66" t="s">
        <v>431</v>
      </c>
      <c r="K143" s="47" t="s">
        <v>134</v>
      </c>
      <c r="L143" s="47" t="s">
        <v>439</v>
      </c>
    </row>
    <row r="144" spans="1:15" s="64" customFormat="1">
      <c r="A144" s="67"/>
      <c r="B144" s="68" t="s">
        <v>618</v>
      </c>
      <c r="C144" s="69" t="s">
        <v>136</v>
      </c>
      <c r="D144" s="43" t="s">
        <v>858</v>
      </c>
      <c r="E144" s="44" t="s">
        <v>243</v>
      </c>
      <c r="F144" s="70"/>
      <c r="G144" s="70" t="s">
        <v>859</v>
      </c>
      <c r="H144" s="44"/>
      <c r="I144" s="66" t="s">
        <v>662</v>
      </c>
      <c r="J144" s="66" t="s">
        <v>431</v>
      </c>
      <c r="K144" s="47" t="s">
        <v>134</v>
      </c>
      <c r="L144" s="47" t="s">
        <v>439</v>
      </c>
    </row>
    <row r="145" spans="1:12" s="64" customFormat="1">
      <c r="A145" s="67"/>
      <c r="B145" s="68" t="s">
        <v>620</v>
      </c>
      <c r="C145" s="69" t="s">
        <v>136</v>
      </c>
      <c r="D145" s="43" t="s">
        <v>861</v>
      </c>
      <c r="E145" s="44" t="s">
        <v>243</v>
      </c>
      <c r="F145" s="70"/>
      <c r="G145" s="70" t="s">
        <v>862</v>
      </c>
      <c r="H145" s="44"/>
      <c r="I145" s="66" t="s">
        <v>662</v>
      </c>
      <c r="J145" s="66" t="s">
        <v>431</v>
      </c>
      <c r="K145" s="47" t="s">
        <v>134</v>
      </c>
      <c r="L145" s="47" t="s">
        <v>439</v>
      </c>
    </row>
    <row r="146" spans="1:12" s="64" customFormat="1">
      <c r="A146" s="67"/>
      <c r="B146" s="68" t="s">
        <v>622</v>
      </c>
      <c r="C146" s="69" t="s">
        <v>136</v>
      </c>
      <c r="D146" s="43" t="s">
        <v>864</v>
      </c>
      <c r="E146" s="44" t="s">
        <v>243</v>
      </c>
      <c r="F146" s="70"/>
      <c r="G146" s="70" t="s">
        <v>865</v>
      </c>
      <c r="H146" s="44"/>
      <c r="I146" s="66" t="s">
        <v>662</v>
      </c>
      <c r="J146" s="66" t="s">
        <v>431</v>
      </c>
      <c r="K146" s="47" t="s">
        <v>134</v>
      </c>
      <c r="L146" s="47" t="s">
        <v>439</v>
      </c>
    </row>
    <row r="147" spans="1:12" s="64" customFormat="1">
      <c r="A147" s="67"/>
      <c r="B147" s="68" t="s">
        <v>624</v>
      </c>
      <c r="C147" s="69" t="s">
        <v>136</v>
      </c>
      <c r="D147" s="43" t="s">
        <v>867</v>
      </c>
      <c r="E147" s="44" t="s">
        <v>243</v>
      </c>
      <c r="F147" s="70"/>
      <c r="G147" s="70" t="s">
        <v>868</v>
      </c>
      <c r="H147" s="44"/>
      <c r="I147" s="66" t="s">
        <v>662</v>
      </c>
      <c r="J147" s="66" t="s">
        <v>431</v>
      </c>
      <c r="K147" s="47" t="s">
        <v>134</v>
      </c>
      <c r="L147" s="47" t="s">
        <v>439</v>
      </c>
    </row>
    <row r="148" spans="1:12" s="64" customFormat="1">
      <c r="A148" s="67"/>
      <c r="B148" s="68" t="s">
        <v>626</v>
      </c>
      <c r="C148" s="69" t="s">
        <v>136</v>
      </c>
      <c r="D148" s="43" t="s">
        <v>870</v>
      </c>
      <c r="E148" s="44" t="s">
        <v>243</v>
      </c>
      <c r="F148" s="70"/>
      <c r="G148" s="70" t="s">
        <v>871</v>
      </c>
      <c r="H148" s="44"/>
      <c r="I148" s="66" t="s">
        <v>662</v>
      </c>
      <c r="J148" s="66" t="s">
        <v>431</v>
      </c>
      <c r="K148" s="47" t="s">
        <v>134</v>
      </c>
      <c r="L148" s="47" t="s">
        <v>439</v>
      </c>
    </row>
    <row r="149" spans="1:12" s="64" customFormat="1">
      <c r="A149" s="67"/>
      <c r="B149" s="68" t="s">
        <v>628</v>
      </c>
      <c r="C149" s="69" t="s">
        <v>136</v>
      </c>
      <c r="D149" s="43" t="s">
        <v>873</v>
      </c>
      <c r="E149" s="44" t="s">
        <v>243</v>
      </c>
      <c r="F149" s="70"/>
      <c r="G149" s="70" t="s">
        <v>874</v>
      </c>
      <c r="H149" s="44"/>
      <c r="I149" s="66" t="s">
        <v>662</v>
      </c>
      <c r="J149" s="66" t="s">
        <v>431</v>
      </c>
      <c r="K149" s="47" t="s">
        <v>134</v>
      </c>
      <c r="L149" s="47" t="s">
        <v>439</v>
      </c>
    </row>
    <row r="150" spans="1:12" s="64" customFormat="1">
      <c r="A150" s="67"/>
      <c r="B150" s="68" t="s">
        <v>658</v>
      </c>
      <c r="C150" s="69" t="s">
        <v>136</v>
      </c>
      <c r="D150" s="43" t="s">
        <v>659</v>
      </c>
      <c r="E150" s="44" t="s">
        <v>243</v>
      </c>
      <c r="F150" s="70"/>
      <c r="G150" s="70" t="s">
        <v>1193</v>
      </c>
      <c r="H150" s="44"/>
      <c r="I150" s="66" t="s">
        <v>662</v>
      </c>
      <c r="J150" s="47" t="s">
        <v>431</v>
      </c>
      <c r="K150" s="47" t="s">
        <v>134</v>
      </c>
      <c r="L150" s="47" t="s">
        <v>439</v>
      </c>
    </row>
    <row r="151" spans="1:12" s="64" customFormat="1">
      <c r="A151" s="67"/>
      <c r="B151" s="68" t="s">
        <v>665</v>
      </c>
      <c r="C151" s="69" t="s">
        <v>136</v>
      </c>
      <c r="D151" s="43" t="s">
        <v>1024</v>
      </c>
      <c r="E151" s="44" t="s">
        <v>243</v>
      </c>
      <c r="F151" s="70"/>
      <c r="G151" s="70" t="s">
        <v>1025</v>
      </c>
      <c r="H151" s="44"/>
      <c r="I151" s="66" t="s">
        <v>662</v>
      </c>
      <c r="J151" s="47" t="s">
        <v>431</v>
      </c>
      <c r="K151" s="47" t="s">
        <v>134</v>
      </c>
      <c r="L151" s="47" t="s">
        <v>439</v>
      </c>
    </row>
    <row r="152" spans="1:12" s="64" customFormat="1">
      <c r="A152" s="67"/>
      <c r="B152" s="68" t="s">
        <v>669</v>
      </c>
      <c r="C152" s="69" t="s">
        <v>245</v>
      </c>
      <c r="D152" s="43" t="s">
        <v>670</v>
      </c>
      <c r="E152" s="44" t="s">
        <v>243</v>
      </c>
      <c r="F152" s="70"/>
      <c r="G152" s="70" t="s">
        <v>1196</v>
      </c>
      <c r="H152" s="44"/>
      <c r="I152" s="66" t="s">
        <v>662</v>
      </c>
      <c r="J152" s="47" t="s">
        <v>431</v>
      </c>
      <c r="K152" s="47" t="s">
        <v>134</v>
      </c>
      <c r="L152" s="47" t="s">
        <v>439</v>
      </c>
    </row>
    <row r="153" spans="1:12" s="64" customFormat="1">
      <c r="A153" s="67"/>
      <c r="B153" s="68" t="s">
        <v>743</v>
      </c>
      <c r="C153" s="68" t="s">
        <v>136</v>
      </c>
      <c r="D153" s="42" t="s">
        <v>1027</v>
      </c>
      <c r="E153" s="44" t="s">
        <v>243</v>
      </c>
      <c r="F153" s="70"/>
      <c r="G153" s="70" t="s">
        <v>1028</v>
      </c>
      <c r="H153" s="71"/>
      <c r="I153" s="66" t="s">
        <v>662</v>
      </c>
      <c r="J153" s="47" t="s">
        <v>431</v>
      </c>
      <c r="K153" s="47" t="s">
        <v>134</v>
      </c>
      <c r="L153" s="47" t="s">
        <v>439</v>
      </c>
    </row>
    <row r="154" spans="1:12" s="64" customFormat="1">
      <c r="A154" s="67"/>
      <c r="B154" s="68" t="s">
        <v>746</v>
      </c>
      <c r="C154" s="68" t="s">
        <v>136</v>
      </c>
      <c r="D154" s="42" t="s">
        <v>1030</v>
      </c>
      <c r="E154" s="44" t="s">
        <v>243</v>
      </c>
      <c r="F154" s="70"/>
      <c r="G154" s="70" t="s">
        <v>1031</v>
      </c>
      <c r="H154" s="71"/>
      <c r="I154" s="66" t="s">
        <v>662</v>
      </c>
      <c r="J154" s="47" t="s">
        <v>431</v>
      </c>
      <c r="K154" s="47" t="s">
        <v>134</v>
      </c>
      <c r="L154" s="47" t="s">
        <v>439</v>
      </c>
    </row>
    <row r="155" spans="1:12" s="64" customFormat="1">
      <c r="A155" s="67"/>
      <c r="B155" s="68" t="s">
        <v>749</v>
      </c>
      <c r="C155" s="68" t="s">
        <v>136</v>
      </c>
      <c r="D155" s="42" t="s">
        <v>1033</v>
      </c>
      <c r="E155" s="44" t="s">
        <v>243</v>
      </c>
      <c r="F155" s="70"/>
      <c r="G155" s="70" t="s">
        <v>1034</v>
      </c>
      <c r="H155" s="71"/>
      <c r="I155" s="66" t="s">
        <v>662</v>
      </c>
      <c r="J155" s="47" t="s">
        <v>431</v>
      </c>
      <c r="K155" s="47" t="s">
        <v>134</v>
      </c>
      <c r="L155" s="47" t="s">
        <v>439</v>
      </c>
    </row>
    <row r="156" spans="1:12" s="64" customFormat="1">
      <c r="A156" s="67"/>
      <c r="B156" s="68" t="s">
        <v>752</v>
      </c>
      <c r="C156" s="68" t="s">
        <v>136</v>
      </c>
      <c r="D156" s="42" t="s">
        <v>1036</v>
      </c>
      <c r="E156" s="44" t="s">
        <v>243</v>
      </c>
      <c r="F156" s="70"/>
      <c r="G156" s="70" t="s">
        <v>1037</v>
      </c>
      <c r="H156" s="71"/>
      <c r="I156" s="66" t="s">
        <v>662</v>
      </c>
      <c r="J156" s="47" t="s">
        <v>431</v>
      </c>
      <c r="K156" s="47" t="s">
        <v>134</v>
      </c>
      <c r="L156" s="47" t="s">
        <v>439</v>
      </c>
    </row>
    <row r="157" spans="1:12" s="64" customFormat="1">
      <c r="A157" s="67"/>
      <c r="B157" s="68" t="s">
        <v>755</v>
      </c>
      <c r="C157" s="68" t="s">
        <v>136</v>
      </c>
      <c r="D157" s="42" t="s">
        <v>1039</v>
      </c>
      <c r="E157" s="44" t="s">
        <v>243</v>
      </c>
      <c r="F157" s="70"/>
      <c r="G157" s="70" t="s">
        <v>1040</v>
      </c>
      <c r="H157" s="71"/>
      <c r="I157" s="66" t="s">
        <v>662</v>
      </c>
      <c r="J157" s="47" t="s">
        <v>431</v>
      </c>
      <c r="K157" s="47" t="s">
        <v>134</v>
      </c>
      <c r="L157" s="47" t="s">
        <v>439</v>
      </c>
    </row>
    <row r="158" spans="1:12" s="64" customFormat="1">
      <c r="A158" s="67"/>
      <c r="B158" s="68" t="s">
        <v>758</v>
      </c>
      <c r="C158" s="68" t="s">
        <v>136</v>
      </c>
      <c r="D158" s="42" t="s">
        <v>1042</v>
      </c>
      <c r="E158" s="44" t="s">
        <v>243</v>
      </c>
      <c r="F158" s="70"/>
      <c r="G158" s="70" t="s">
        <v>1043</v>
      </c>
      <c r="H158" s="71"/>
      <c r="I158" s="66" t="s">
        <v>662</v>
      </c>
      <c r="J158" s="47" t="s">
        <v>431</v>
      </c>
      <c r="K158" s="47" t="s">
        <v>134</v>
      </c>
      <c r="L158" s="47" t="s">
        <v>439</v>
      </c>
    </row>
    <row r="159" spans="1:12" s="64" customFormat="1">
      <c r="A159" s="67"/>
      <c r="B159" s="68" t="s">
        <v>1547</v>
      </c>
      <c r="C159" s="68" t="s">
        <v>136</v>
      </c>
      <c r="D159" s="42" t="s">
        <v>1045</v>
      </c>
      <c r="E159" s="44" t="s">
        <v>243</v>
      </c>
      <c r="F159" s="70"/>
      <c r="G159" s="70" t="s">
        <v>1046</v>
      </c>
      <c r="H159" s="71"/>
      <c r="I159" s="66" t="s">
        <v>662</v>
      </c>
      <c r="J159" s="47" t="s">
        <v>431</v>
      </c>
      <c r="K159" s="47" t="s">
        <v>134</v>
      </c>
      <c r="L159" s="47" t="s">
        <v>439</v>
      </c>
    </row>
    <row r="160" spans="1:12" s="64" customFormat="1">
      <c r="A160" s="67"/>
      <c r="B160" s="68" t="s">
        <v>2591</v>
      </c>
      <c r="C160" s="69" t="s">
        <v>136</v>
      </c>
      <c r="D160" s="43" t="s">
        <v>2592</v>
      </c>
      <c r="E160" s="44" t="s">
        <v>248</v>
      </c>
      <c r="F160" s="70"/>
      <c r="G160" s="70" t="s">
        <v>2597</v>
      </c>
      <c r="H160" s="44"/>
      <c r="I160" s="66" t="s">
        <v>662</v>
      </c>
      <c r="J160" s="47" t="s">
        <v>431</v>
      </c>
      <c r="K160" s="47" t="s">
        <v>134</v>
      </c>
      <c r="L160" s="47" t="s">
        <v>439</v>
      </c>
    </row>
    <row r="161" spans="1:12" s="64" customFormat="1" ht="26.4">
      <c r="A161" s="67"/>
      <c r="B161" s="68" t="s">
        <v>2594</v>
      </c>
      <c r="C161" s="69" t="s">
        <v>136</v>
      </c>
      <c r="D161" s="43" t="s">
        <v>2595</v>
      </c>
      <c r="E161" s="44" t="s">
        <v>248</v>
      </c>
      <c r="F161" s="70"/>
      <c r="G161" s="70" t="s">
        <v>2598</v>
      </c>
      <c r="H161" s="44"/>
      <c r="I161" s="66" t="s">
        <v>662</v>
      </c>
      <c r="J161" s="47" t="s">
        <v>431</v>
      </c>
      <c r="K161" s="47" t="s">
        <v>134</v>
      </c>
      <c r="L161" s="47" t="s">
        <v>533</v>
      </c>
    </row>
    <row r="162" spans="1:12" s="4" customFormat="1">
      <c r="B162" s="50" t="s">
        <v>233</v>
      </c>
      <c r="C162" s="51" t="s">
        <v>139</v>
      </c>
      <c r="D162" s="37" t="s">
        <v>234</v>
      </c>
      <c r="E162" s="50"/>
      <c r="F162" s="50"/>
      <c r="G162" s="50"/>
      <c r="H162" s="50"/>
      <c r="I162" s="50"/>
      <c r="J162" s="50"/>
      <c r="K162" s="50"/>
      <c r="L162" s="50"/>
    </row>
    <row r="163" spans="1:12" s="4" customFormat="1">
      <c r="B163" s="50" t="s">
        <v>235</v>
      </c>
      <c r="C163" s="51" t="s">
        <v>132</v>
      </c>
      <c r="D163" s="37" t="s">
        <v>236</v>
      </c>
      <c r="E163" s="50"/>
      <c r="F163" s="50"/>
      <c r="G163" s="50"/>
      <c r="H163" s="50"/>
      <c r="I163" s="50"/>
      <c r="J163" s="50"/>
      <c r="K163" s="50"/>
      <c r="L163" s="50"/>
    </row>
  </sheetData>
  <autoFilter ref="A14:L163" xr:uid="{00000000-0009-0000-0000-00001C000000}"/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21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5" customWidth="1"/>
    <col min="2" max="2" width="23.6640625" style="5" customWidth="1"/>
    <col min="3" max="3" width="30.21875" style="5" customWidth="1"/>
    <col min="4" max="4" width="32.21875" style="5" customWidth="1"/>
    <col min="5" max="5" width="16.21875" style="5" customWidth="1"/>
    <col min="6" max="6" width="17.109375" style="5" customWidth="1"/>
    <col min="7" max="7" width="39.5546875" style="5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2:12">
      <c r="B1" s="7" t="str">
        <f>HYPERLINK("#导航!a2","返回")</f>
        <v>返回</v>
      </c>
    </row>
    <row r="2" spans="2:12">
      <c r="B2" s="156"/>
      <c r="C2" s="156"/>
      <c r="D2" s="156"/>
      <c r="E2" s="156"/>
      <c r="F2" s="156"/>
      <c r="G2" s="156"/>
      <c r="H2" s="156"/>
    </row>
    <row r="3" spans="2:12">
      <c r="B3" s="157" t="s">
        <v>106</v>
      </c>
      <c r="C3" s="157"/>
      <c r="D3" s="157"/>
      <c r="E3" s="157"/>
      <c r="F3" s="157"/>
      <c r="G3" s="157"/>
      <c r="H3" s="157"/>
    </row>
    <row r="4" spans="2:12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2:12">
      <c r="B5" s="11" t="s">
        <v>55</v>
      </c>
      <c r="C5" s="12" t="s">
        <v>2544</v>
      </c>
      <c r="D5" s="13" t="s">
        <v>2545</v>
      </c>
      <c r="E5" s="14" t="s">
        <v>383</v>
      </c>
      <c r="F5" s="15"/>
      <c r="G5" s="14"/>
      <c r="H5" s="14"/>
    </row>
    <row r="6" spans="2:12">
      <c r="B6" s="8"/>
      <c r="C6" s="8"/>
      <c r="D6" s="8"/>
      <c r="E6" s="8"/>
      <c r="F6" s="8"/>
      <c r="G6" s="8"/>
      <c r="H6" s="8"/>
    </row>
    <row r="7" spans="2:12">
      <c r="B7" s="157" t="s">
        <v>113</v>
      </c>
      <c r="C7" s="157"/>
      <c r="D7" s="157"/>
      <c r="E7" s="157"/>
      <c r="F7" s="157"/>
      <c r="G7" s="157"/>
      <c r="H7" s="157"/>
    </row>
    <row r="8" spans="2:12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2:12">
      <c r="B9" s="14"/>
      <c r="C9" s="12" t="s">
        <v>2316</v>
      </c>
      <c r="D9" s="13" t="s">
        <v>97</v>
      </c>
      <c r="E9" s="14" t="s">
        <v>243</v>
      </c>
      <c r="F9" s="19"/>
      <c r="G9" s="19"/>
      <c r="H9" s="21" t="s">
        <v>38</v>
      </c>
    </row>
    <row r="10" spans="2:12">
      <c r="B10" s="14"/>
      <c r="C10" s="12"/>
      <c r="D10" s="12"/>
      <c r="E10" s="14"/>
      <c r="F10" s="19"/>
      <c r="G10" s="19"/>
      <c r="H10" s="14"/>
    </row>
    <row r="11" spans="2:12">
      <c r="G11" s="48"/>
    </row>
    <row r="12" spans="2:12">
      <c r="B12" s="5" t="s">
        <v>120</v>
      </c>
    </row>
    <row r="13" spans="2:12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2:12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2:12" s="2" customFormat="1">
      <c r="B15" s="49" t="s">
        <v>383</v>
      </c>
      <c r="C15" s="49" t="s">
        <v>132</v>
      </c>
      <c r="D15" s="12" t="s">
        <v>480</v>
      </c>
      <c r="E15" s="30" t="s">
        <v>243</v>
      </c>
      <c r="F15" s="19" t="s">
        <v>235</v>
      </c>
      <c r="G15" s="19" t="s">
        <v>250</v>
      </c>
      <c r="H15" s="32"/>
      <c r="I15" s="34"/>
      <c r="J15" s="34" t="s">
        <v>384</v>
      </c>
      <c r="K15" s="34" t="s">
        <v>134</v>
      </c>
      <c r="L15" s="34" t="s">
        <v>134</v>
      </c>
    </row>
    <row r="16" spans="2:12" s="2" customFormat="1">
      <c r="B16" s="49" t="s">
        <v>284</v>
      </c>
      <c r="C16" s="49" t="s">
        <v>132</v>
      </c>
      <c r="D16" s="12" t="s">
        <v>484</v>
      </c>
      <c r="E16" s="30" t="s">
        <v>243</v>
      </c>
      <c r="F16" s="19" t="s">
        <v>284</v>
      </c>
      <c r="G16" s="19" t="s">
        <v>250</v>
      </c>
      <c r="H16" s="32"/>
      <c r="I16" s="34"/>
      <c r="J16" s="34" t="s">
        <v>384</v>
      </c>
      <c r="K16" s="34" t="s">
        <v>134</v>
      </c>
      <c r="L16" s="34" t="s">
        <v>134</v>
      </c>
    </row>
    <row r="17" spans="1:15" s="2" customFormat="1">
      <c r="A17" s="29"/>
      <c r="B17" s="49" t="s">
        <v>287</v>
      </c>
      <c r="C17" s="49" t="s">
        <v>136</v>
      </c>
      <c r="D17" s="12" t="s">
        <v>808</v>
      </c>
      <c r="E17" s="30" t="s">
        <v>243</v>
      </c>
      <c r="F17" s="19" t="s">
        <v>287</v>
      </c>
      <c r="G17" s="19" t="s">
        <v>250</v>
      </c>
      <c r="H17" s="32"/>
      <c r="I17" s="35"/>
      <c r="J17" s="34" t="s">
        <v>384</v>
      </c>
      <c r="K17" s="34" t="s">
        <v>134</v>
      </c>
      <c r="L17" s="34" t="s">
        <v>134</v>
      </c>
    </row>
    <row r="18" spans="1:15" s="2" customFormat="1">
      <c r="A18" s="29"/>
      <c r="B18" s="49" t="s">
        <v>141</v>
      </c>
      <c r="C18" s="49" t="s">
        <v>132</v>
      </c>
      <c r="D18" s="12" t="s">
        <v>143</v>
      </c>
      <c r="E18" s="30" t="s">
        <v>243</v>
      </c>
      <c r="F18" s="19" t="s">
        <v>141</v>
      </c>
      <c r="G18" s="19" t="s">
        <v>250</v>
      </c>
      <c r="H18" s="32"/>
      <c r="I18" s="35"/>
      <c r="J18" s="34" t="s">
        <v>384</v>
      </c>
      <c r="K18" s="34" t="s">
        <v>134</v>
      </c>
      <c r="L18" s="34" t="s">
        <v>134</v>
      </c>
    </row>
    <row r="19" spans="1:15" s="2" customFormat="1">
      <c r="A19" s="29"/>
      <c r="B19" s="14" t="s">
        <v>491</v>
      </c>
      <c r="C19" s="14" t="s">
        <v>139</v>
      </c>
      <c r="D19" s="12" t="s">
        <v>1585</v>
      </c>
      <c r="E19" s="30" t="s">
        <v>243</v>
      </c>
      <c r="F19" s="19" t="s">
        <v>491</v>
      </c>
      <c r="G19" s="19" t="s">
        <v>250</v>
      </c>
      <c r="H19" s="32"/>
      <c r="I19" s="35"/>
      <c r="J19" s="34" t="s">
        <v>384</v>
      </c>
      <c r="K19" s="34" t="s">
        <v>134</v>
      </c>
      <c r="L19" s="34" t="s">
        <v>134</v>
      </c>
    </row>
    <row r="20" spans="1:15" s="2" customFormat="1">
      <c r="A20" s="29"/>
      <c r="B20" s="14" t="s">
        <v>273</v>
      </c>
      <c r="C20" s="14" t="s">
        <v>139</v>
      </c>
      <c r="D20" s="12" t="s">
        <v>274</v>
      </c>
      <c r="E20" s="30" t="s">
        <v>243</v>
      </c>
      <c r="F20" s="19" t="s">
        <v>273</v>
      </c>
      <c r="G20" s="19" t="s">
        <v>250</v>
      </c>
      <c r="H20" s="32"/>
      <c r="I20" s="35"/>
      <c r="J20" s="34" t="s">
        <v>384</v>
      </c>
      <c r="K20" s="34" t="s">
        <v>134</v>
      </c>
      <c r="L20" s="34" t="s">
        <v>134</v>
      </c>
    </row>
    <row r="21" spans="1:15" s="2" customFormat="1">
      <c r="A21" s="29"/>
      <c r="B21" s="14" t="s">
        <v>385</v>
      </c>
      <c r="C21" s="14" t="s">
        <v>139</v>
      </c>
      <c r="D21" s="12" t="s">
        <v>487</v>
      </c>
      <c r="E21" s="30" t="s">
        <v>243</v>
      </c>
      <c r="F21" s="19" t="s">
        <v>385</v>
      </c>
      <c r="G21" s="19" t="s">
        <v>250</v>
      </c>
      <c r="H21" s="32"/>
      <c r="I21" s="35"/>
      <c r="J21" s="34" t="s">
        <v>384</v>
      </c>
      <c r="K21" s="34" t="s">
        <v>134</v>
      </c>
      <c r="L21" s="34" t="s">
        <v>134</v>
      </c>
    </row>
    <row r="22" spans="1:15" s="2" customFormat="1">
      <c r="A22" s="29"/>
      <c r="B22" s="14" t="s">
        <v>388</v>
      </c>
      <c r="C22" s="14" t="s">
        <v>139</v>
      </c>
      <c r="D22" s="12" t="s">
        <v>488</v>
      </c>
      <c r="E22" s="30" t="s">
        <v>243</v>
      </c>
      <c r="F22" s="19" t="s">
        <v>388</v>
      </c>
      <c r="G22" s="19" t="s">
        <v>250</v>
      </c>
      <c r="H22" s="32"/>
      <c r="I22" s="35"/>
      <c r="J22" s="34" t="s">
        <v>384</v>
      </c>
      <c r="K22" s="34" t="s">
        <v>134</v>
      </c>
      <c r="L22" s="34" t="s">
        <v>134</v>
      </c>
    </row>
    <row r="23" spans="1:15" s="2" customFormat="1">
      <c r="A23" s="29"/>
      <c r="B23" s="12" t="s">
        <v>1691</v>
      </c>
      <c r="C23" s="14" t="s">
        <v>136</v>
      </c>
      <c r="D23" s="12" t="s">
        <v>1692</v>
      </c>
      <c r="E23" s="30" t="s">
        <v>243</v>
      </c>
      <c r="F23" s="19"/>
      <c r="G23" s="19" t="s">
        <v>880</v>
      </c>
      <c r="H23" s="32"/>
      <c r="I23" s="35"/>
      <c r="J23" s="34" t="s">
        <v>431</v>
      </c>
      <c r="K23" s="34" t="s">
        <v>134</v>
      </c>
      <c r="L23" s="34" t="s">
        <v>881</v>
      </c>
    </row>
    <row r="24" spans="1:15" s="2" customFormat="1">
      <c r="A24" s="29"/>
      <c r="B24" s="12" t="s">
        <v>1693</v>
      </c>
      <c r="C24" s="49" t="s">
        <v>136</v>
      </c>
      <c r="D24" s="12" t="s">
        <v>1694</v>
      </c>
      <c r="E24" s="30" t="s">
        <v>243</v>
      </c>
      <c r="F24" s="19"/>
      <c r="G24" s="19" t="s">
        <v>880</v>
      </c>
      <c r="H24" s="32"/>
      <c r="I24" s="35"/>
      <c r="J24" s="34" t="s">
        <v>431</v>
      </c>
      <c r="K24" s="34" t="s">
        <v>134</v>
      </c>
      <c r="L24" s="34" t="s">
        <v>881</v>
      </c>
    </row>
    <row r="25" spans="1:15" s="2" customFormat="1">
      <c r="A25" s="29"/>
      <c r="B25" s="12" t="s">
        <v>1695</v>
      </c>
      <c r="C25" s="14" t="s">
        <v>136</v>
      </c>
      <c r="D25" s="12" t="s">
        <v>1696</v>
      </c>
      <c r="E25" s="30" t="s">
        <v>243</v>
      </c>
      <c r="F25" s="19"/>
      <c r="G25" s="19" t="s">
        <v>880</v>
      </c>
      <c r="H25" s="32"/>
      <c r="I25" s="35"/>
      <c r="J25" s="34" t="s">
        <v>431</v>
      </c>
      <c r="K25" s="34" t="s">
        <v>134</v>
      </c>
      <c r="L25" s="34" t="s">
        <v>881</v>
      </c>
    </row>
    <row r="26" spans="1:15" s="2" customFormat="1">
      <c r="A26" s="29"/>
      <c r="B26" s="12" t="s">
        <v>1697</v>
      </c>
      <c r="C26" s="14" t="s">
        <v>136</v>
      </c>
      <c r="D26" s="12" t="s">
        <v>1698</v>
      </c>
      <c r="E26" s="30" t="s">
        <v>243</v>
      </c>
      <c r="F26" s="19"/>
      <c r="G26" s="19" t="s">
        <v>880</v>
      </c>
      <c r="H26" s="32"/>
      <c r="I26" s="35"/>
      <c r="J26" s="34" t="s">
        <v>431</v>
      </c>
      <c r="K26" s="34" t="s">
        <v>134</v>
      </c>
      <c r="L26" s="34" t="s">
        <v>881</v>
      </c>
    </row>
    <row r="27" spans="1:15" s="2" customFormat="1">
      <c r="A27" s="29"/>
      <c r="B27" s="12" t="s">
        <v>1699</v>
      </c>
      <c r="C27" s="14" t="s">
        <v>136</v>
      </c>
      <c r="D27" s="12" t="s">
        <v>1700</v>
      </c>
      <c r="E27" s="30" t="s">
        <v>243</v>
      </c>
      <c r="F27" s="19"/>
      <c r="G27" s="19" t="s">
        <v>880</v>
      </c>
      <c r="H27" s="32"/>
      <c r="I27" s="35"/>
      <c r="J27" s="34" t="s">
        <v>431</v>
      </c>
      <c r="K27" s="34" t="s">
        <v>134</v>
      </c>
      <c r="L27" s="34" t="s">
        <v>881</v>
      </c>
    </row>
    <row r="28" spans="1:15" s="2" customFormat="1">
      <c r="A28" s="29"/>
      <c r="B28" s="12" t="s">
        <v>1701</v>
      </c>
      <c r="C28" s="14" t="s">
        <v>136</v>
      </c>
      <c r="D28" s="12" t="s">
        <v>1702</v>
      </c>
      <c r="E28" s="30" t="s">
        <v>243</v>
      </c>
      <c r="F28" s="19"/>
      <c r="G28" s="19" t="s">
        <v>880</v>
      </c>
      <c r="H28" s="32"/>
      <c r="I28" s="35"/>
      <c r="J28" s="34" t="s">
        <v>431</v>
      </c>
      <c r="K28" s="34" t="s">
        <v>134</v>
      </c>
      <c r="L28" s="34" t="s">
        <v>881</v>
      </c>
    </row>
    <row r="29" spans="1:15" s="2" customFormat="1">
      <c r="A29" s="29"/>
      <c r="B29" s="12" t="s">
        <v>1703</v>
      </c>
      <c r="C29" s="49" t="s">
        <v>136</v>
      </c>
      <c r="D29" s="12" t="s">
        <v>1704</v>
      </c>
      <c r="E29" s="30" t="s">
        <v>243</v>
      </c>
      <c r="F29" s="19"/>
      <c r="G29" s="19" t="s">
        <v>880</v>
      </c>
      <c r="H29" s="32"/>
      <c r="I29" s="35"/>
      <c r="J29" s="34" t="s">
        <v>431</v>
      </c>
      <c r="K29" s="34" t="s">
        <v>134</v>
      </c>
      <c r="L29" s="34" t="s">
        <v>881</v>
      </c>
    </row>
    <row r="30" spans="1:15" s="2" customFormat="1">
      <c r="B30" s="12" t="s">
        <v>1705</v>
      </c>
      <c r="C30" s="49" t="s">
        <v>136</v>
      </c>
      <c r="D30" s="12" t="s">
        <v>1706</v>
      </c>
      <c r="E30" s="30" t="s">
        <v>243</v>
      </c>
      <c r="F30" s="19"/>
      <c r="G30" s="19" t="s">
        <v>880</v>
      </c>
      <c r="H30" s="32"/>
      <c r="I30" s="35"/>
      <c r="J30" s="34" t="s">
        <v>431</v>
      </c>
      <c r="K30" s="34" t="s">
        <v>134</v>
      </c>
      <c r="L30" s="34" t="s">
        <v>881</v>
      </c>
    </row>
    <row r="31" spans="1:15" s="2" customFormat="1">
      <c r="B31" s="12" t="s">
        <v>1707</v>
      </c>
      <c r="C31" s="49" t="s">
        <v>136</v>
      </c>
      <c r="D31" s="12" t="s">
        <v>1708</v>
      </c>
      <c r="E31" s="30" t="s">
        <v>243</v>
      </c>
      <c r="F31" s="19"/>
      <c r="G31" s="19" t="s">
        <v>880</v>
      </c>
      <c r="H31" s="32"/>
      <c r="I31" s="35"/>
      <c r="J31" s="34" t="s">
        <v>431</v>
      </c>
      <c r="K31" s="34" t="s">
        <v>134</v>
      </c>
      <c r="L31" s="34" t="s">
        <v>881</v>
      </c>
    </row>
    <row r="32" spans="1:15" s="29" customFormat="1">
      <c r="B32" s="12" t="s">
        <v>1709</v>
      </c>
      <c r="C32" s="49" t="s">
        <v>136</v>
      </c>
      <c r="D32" s="12" t="s">
        <v>1710</v>
      </c>
      <c r="E32" s="30" t="s">
        <v>243</v>
      </c>
      <c r="F32" s="19"/>
      <c r="G32" s="19" t="s">
        <v>880</v>
      </c>
      <c r="H32" s="32"/>
      <c r="I32" s="35"/>
      <c r="J32" s="34" t="s">
        <v>431</v>
      </c>
      <c r="K32" s="34" t="s">
        <v>134</v>
      </c>
      <c r="L32" s="34" t="s">
        <v>881</v>
      </c>
      <c r="O32" s="2"/>
    </row>
    <row r="33" spans="1:15" s="29" customFormat="1">
      <c r="B33" s="12" t="s">
        <v>1711</v>
      </c>
      <c r="C33" s="49" t="s">
        <v>136</v>
      </c>
      <c r="D33" s="12" t="s">
        <v>1712</v>
      </c>
      <c r="E33" s="30" t="s">
        <v>243</v>
      </c>
      <c r="F33" s="19"/>
      <c r="G33" s="19" t="s">
        <v>880</v>
      </c>
      <c r="H33" s="32"/>
      <c r="I33" s="35"/>
      <c r="J33" s="34" t="s">
        <v>431</v>
      </c>
      <c r="K33" s="34" t="s">
        <v>134</v>
      </c>
      <c r="L33" s="34" t="s">
        <v>881</v>
      </c>
      <c r="O33" s="2"/>
    </row>
    <row r="34" spans="1:15" s="1" customFormat="1">
      <c r="A34" s="25"/>
      <c r="B34" s="72" t="s">
        <v>1713</v>
      </c>
      <c r="C34" s="26" t="s">
        <v>136</v>
      </c>
      <c r="D34" s="12" t="s">
        <v>1714</v>
      </c>
      <c r="E34" s="30" t="s">
        <v>243</v>
      </c>
      <c r="F34" s="19"/>
      <c r="G34" s="19" t="s">
        <v>880</v>
      </c>
      <c r="H34" s="32"/>
      <c r="I34" s="35"/>
      <c r="J34" s="34" t="s">
        <v>431</v>
      </c>
      <c r="K34" s="34" t="s">
        <v>134</v>
      </c>
      <c r="L34" s="34" t="s">
        <v>881</v>
      </c>
      <c r="O34" s="2"/>
    </row>
    <row r="35" spans="1:15" s="2" customFormat="1">
      <c r="A35" s="29"/>
      <c r="B35" s="12" t="s">
        <v>1715</v>
      </c>
      <c r="C35" s="14" t="s">
        <v>136</v>
      </c>
      <c r="D35" s="12" t="s">
        <v>1716</v>
      </c>
      <c r="E35" s="30" t="s">
        <v>243</v>
      </c>
      <c r="F35" s="19"/>
      <c r="G35" s="19" t="s">
        <v>880</v>
      </c>
      <c r="H35" s="32"/>
      <c r="I35" s="35"/>
      <c r="J35" s="34" t="s">
        <v>431</v>
      </c>
      <c r="K35" s="34" t="s">
        <v>134</v>
      </c>
      <c r="L35" s="34" t="s">
        <v>881</v>
      </c>
    </row>
    <row r="36" spans="1:15" s="29" customFormat="1">
      <c r="B36" s="12" t="s">
        <v>1717</v>
      </c>
      <c r="C36" s="49" t="s">
        <v>136</v>
      </c>
      <c r="D36" s="12" t="s">
        <v>1718</v>
      </c>
      <c r="E36" s="30" t="s">
        <v>243</v>
      </c>
      <c r="F36" s="19"/>
      <c r="G36" s="19" t="s">
        <v>880</v>
      </c>
      <c r="H36" s="32"/>
      <c r="I36" s="35"/>
      <c r="J36" s="34" t="s">
        <v>431</v>
      </c>
      <c r="K36" s="34" t="s">
        <v>134</v>
      </c>
      <c r="L36" s="34" t="s">
        <v>881</v>
      </c>
      <c r="O36" s="2"/>
    </row>
    <row r="37" spans="1:15" s="29" customFormat="1">
      <c r="B37" s="12" t="s">
        <v>1719</v>
      </c>
      <c r="C37" s="49" t="s">
        <v>136</v>
      </c>
      <c r="D37" s="12" t="s">
        <v>1720</v>
      </c>
      <c r="E37" s="30" t="s">
        <v>243</v>
      </c>
      <c r="F37" s="19"/>
      <c r="G37" s="19" t="s">
        <v>880</v>
      </c>
      <c r="H37" s="32"/>
      <c r="I37" s="35"/>
      <c r="J37" s="34" t="s">
        <v>431</v>
      </c>
      <c r="K37" s="34" t="s">
        <v>134</v>
      </c>
      <c r="L37" s="34" t="s">
        <v>881</v>
      </c>
      <c r="O37" s="2"/>
    </row>
    <row r="38" spans="1:15" s="29" customFormat="1">
      <c r="B38" s="12" t="s">
        <v>1721</v>
      </c>
      <c r="C38" s="49" t="s">
        <v>136</v>
      </c>
      <c r="D38" s="12" t="s">
        <v>1722</v>
      </c>
      <c r="E38" s="30" t="s">
        <v>243</v>
      </c>
      <c r="F38" s="19"/>
      <c r="G38" s="19" t="s">
        <v>880</v>
      </c>
      <c r="H38" s="32"/>
      <c r="I38" s="35"/>
      <c r="J38" s="34" t="s">
        <v>431</v>
      </c>
      <c r="K38" s="34" t="s">
        <v>134</v>
      </c>
      <c r="L38" s="34" t="s">
        <v>881</v>
      </c>
      <c r="O38" s="2"/>
    </row>
    <row r="39" spans="1:15" s="29" customFormat="1">
      <c r="B39" s="12" t="s">
        <v>1723</v>
      </c>
      <c r="C39" s="55" t="s">
        <v>136</v>
      </c>
      <c r="D39" s="12" t="s">
        <v>1724</v>
      </c>
      <c r="E39" s="30" t="s">
        <v>243</v>
      </c>
      <c r="F39" s="19"/>
      <c r="G39" s="19" t="s">
        <v>880</v>
      </c>
      <c r="H39" s="32"/>
      <c r="I39" s="35"/>
      <c r="J39" s="34" t="s">
        <v>431</v>
      </c>
      <c r="K39" s="34" t="s">
        <v>134</v>
      </c>
      <c r="L39" s="34" t="s">
        <v>881</v>
      </c>
      <c r="O39" s="2"/>
    </row>
    <row r="40" spans="1:15" s="5" customFormat="1">
      <c r="B40" s="12" t="s">
        <v>1725</v>
      </c>
      <c r="C40" s="55" t="s">
        <v>136</v>
      </c>
      <c r="D40" s="12" t="s">
        <v>1726</v>
      </c>
      <c r="E40" s="30" t="s">
        <v>243</v>
      </c>
      <c r="F40" s="19"/>
      <c r="G40" s="19" t="s">
        <v>880</v>
      </c>
      <c r="H40" s="32"/>
      <c r="I40" s="35"/>
      <c r="J40" s="34" t="s">
        <v>431</v>
      </c>
      <c r="K40" s="34" t="s">
        <v>134</v>
      </c>
      <c r="L40" s="34" t="s">
        <v>881</v>
      </c>
      <c r="O40" s="2"/>
    </row>
    <row r="41" spans="1:15" s="5" customFormat="1">
      <c r="B41" s="12" t="s">
        <v>1727</v>
      </c>
      <c r="C41" s="55" t="s">
        <v>136</v>
      </c>
      <c r="D41" s="12" t="s">
        <v>1728</v>
      </c>
      <c r="E41" s="30" t="s">
        <v>243</v>
      </c>
      <c r="F41" s="19"/>
      <c r="G41" s="19" t="s">
        <v>880</v>
      </c>
      <c r="H41" s="32"/>
      <c r="I41" s="35"/>
      <c r="J41" s="34" t="s">
        <v>431</v>
      </c>
      <c r="K41" s="34" t="s">
        <v>134</v>
      </c>
      <c r="L41" s="34" t="s">
        <v>881</v>
      </c>
      <c r="O41" s="2"/>
    </row>
    <row r="42" spans="1:15" s="5" customFormat="1">
      <c r="B42" s="12" t="s">
        <v>1729</v>
      </c>
      <c r="C42" s="55" t="s">
        <v>136</v>
      </c>
      <c r="D42" s="12" t="s">
        <v>1730</v>
      </c>
      <c r="E42" s="30" t="s">
        <v>243</v>
      </c>
      <c r="F42" s="19"/>
      <c r="G42" s="19" t="s">
        <v>880</v>
      </c>
      <c r="H42" s="32"/>
      <c r="I42" s="35"/>
      <c r="J42" s="34" t="s">
        <v>431</v>
      </c>
      <c r="K42" s="34" t="s">
        <v>134</v>
      </c>
      <c r="L42" s="34" t="s">
        <v>881</v>
      </c>
      <c r="O42" s="2"/>
    </row>
    <row r="43" spans="1:15" s="5" customFormat="1">
      <c r="B43" s="12" t="s">
        <v>1731</v>
      </c>
      <c r="C43" s="55" t="s">
        <v>136</v>
      </c>
      <c r="D43" s="12" t="s">
        <v>1732</v>
      </c>
      <c r="E43" s="30" t="s">
        <v>243</v>
      </c>
      <c r="F43" s="19"/>
      <c r="G43" s="19" t="s">
        <v>880</v>
      </c>
      <c r="H43" s="32"/>
      <c r="I43" s="35"/>
      <c r="J43" s="34" t="s">
        <v>431</v>
      </c>
      <c r="K43" s="34" t="s">
        <v>134</v>
      </c>
      <c r="L43" s="34" t="s">
        <v>881</v>
      </c>
      <c r="O43" s="2"/>
    </row>
    <row r="44" spans="1:15" s="5" customFormat="1">
      <c r="B44" s="12" t="s">
        <v>1733</v>
      </c>
      <c r="C44" s="55" t="s">
        <v>136</v>
      </c>
      <c r="D44" s="12" t="s">
        <v>1734</v>
      </c>
      <c r="E44" s="30" t="s">
        <v>243</v>
      </c>
      <c r="F44" s="19"/>
      <c r="G44" s="19" t="s">
        <v>880</v>
      </c>
      <c r="H44" s="32"/>
      <c r="I44" s="35"/>
      <c r="J44" s="34" t="s">
        <v>431</v>
      </c>
      <c r="K44" s="34" t="s">
        <v>134</v>
      </c>
      <c r="L44" s="34" t="s">
        <v>881</v>
      </c>
      <c r="O44" s="2"/>
    </row>
    <row r="45" spans="1:15" s="1" customFormat="1">
      <c r="A45" s="25"/>
      <c r="B45" s="72" t="s">
        <v>1735</v>
      </c>
      <c r="C45" s="26" t="s">
        <v>136</v>
      </c>
      <c r="D45" s="12" t="s">
        <v>1736</v>
      </c>
      <c r="E45" s="30" t="s">
        <v>243</v>
      </c>
      <c r="F45" s="19"/>
      <c r="G45" s="19" t="s">
        <v>880</v>
      </c>
      <c r="H45" s="32"/>
      <c r="I45" s="35"/>
      <c r="J45" s="34" t="s">
        <v>431</v>
      </c>
      <c r="K45" s="34" t="s">
        <v>134</v>
      </c>
      <c r="L45" s="34" t="s">
        <v>881</v>
      </c>
      <c r="O45" s="2"/>
    </row>
    <row r="46" spans="1:15" s="1" customFormat="1">
      <c r="A46" s="25"/>
      <c r="B46" s="72" t="s">
        <v>1737</v>
      </c>
      <c r="C46" s="26" t="s">
        <v>136</v>
      </c>
      <c r="D46" s="12" t="s">
        <v>1738</v>
      </c>
      <c r="E46" s="30" t="s">
        <v>243</v>
      </c>
      <c r="F46" s="19"/>
      <c r="G46" s="19" t="s">
        <v>880</v>
      </c>
      <c r="H46" s="32"/>
      <c r="I46" s="35"/>
      <c r="J46" s="34" t="s">
        <v>431</v>
      </c>
      <c r="K46" s="34" t="s">
        <v>134</v>
      </c>
      <c r="L46" s="34" t="s">
        <v>881</v>
      </c>
      <c r="O46" s="2"/>
    </row>
    <row r="47" spans="1:15" s="1" customFormat="1">
      <c r="A47" s="25"/>
      <c r="B47" s="72" t="s">
        <v>1739</v>
      </c>
      <c r="C47" s="26" t="s">
        <v>136</v>
      </c>
      <c r="D47" s="12" t="s">
        <v>1740</v>
      </c>
      <c r="E47" s="30" t="s">
        <v>243</v>
      </c>
      <c r="F47" s="19"/>
      <c r="G47" s="19" t="s">
        <v>880</v>
      </c>
      <c r="H47" s="32"/>
      <c r="I47" s="35"/>
      <c r="J47" s="34" t="s">
        <v>431</v>
      </c>
      <c r="K47" s="34" t="s">
        <v>134</v>
      </c>
      <c r="L47" s="34" t="s">
        <v>881</v>
      </c>
      <c r="O47" s="2"/>
    </row>
    <row r="48" spans="1:15" s="1" customFormat="1">
      <c r="A48" s="25"/>
      <c r="B48" s="72" t="s">
        <v>1741</v>
      </c>
      <c r="C48" s="26" t="s">
        <v>136</v>
      </c>
      <c r="D48" s="12" t="s">
        <v>1742</v>
      </c>
      <c r="E48" s="30" t="s">
        <v>243</v>
      </c>
      <c r="F48" s="19"/>
      <c r="G48" s="19" t="s">
        <v>880</v>
      </c>
      <c r="H48" s="32"/>
      <c r="I48" s="35"/>
      <c r="J48" s="34" t="s">
        <v>431</v>
      </c>
      <c r="K48" s="34" t="s">
        <v>134</v>
      </c>
      <c r="L48" s="34" t="s">
        <v>881</v>
      </c>
      <c r="O48" s="2"/>
    </row>
    <row r="49" spans="1:15" s="1" customFormat="1">
      <c r="A49" s="25"/>
      <c r="B49" s="72" t="s">
        <v>1743</v>
      </c>
      <c r="C49" s="26" t="s">
        <v>136</v>
      </c>
      <c r="D49" s="12" t="s">
        <v>1744</v>
      </c>
      <c r="E49" s="30" t="s">
        <v>243</v>
      </c>
      <c r="F49" s="19"/>
      <c r="G49" s="19" t="s">
        <v>880</v>
      </c>
      <c r="H49" s="32"/>
      <c r="I49" s="35"/>
      <c r="J49" s="34" t="s">
        <v>431</v>
      </c>
      <c r="K49" s="34" t="s">
        <v>134</v>
      </c>
      <c r="L49" s="34" t="s">
        <v>881</v>
      </c>
      <c r="O49" s="2"/>
    </row>
    <row r="50" spans="1:15" s="1" customFormat="1">
      <c r="A50" s="25"/>
      <c r="B50" s="72" t="s">
        <v>1745</v>
      </c>
      <c r="C50" s="26" t="s">
        <v>136</v>
      </c>
      <c r="D50" s="12" t="s">
        <v>1746</v>
      </c>
      <c r="E50" s="30" t="s">
        <v>243</v>
      </c>
      <c r="F50" s="19"/>
      <c r="G50" s="19" t="s">
        <v>880</v>
      </c>
      <c r="H50" s="32"/>
      <c r="I50" s="35"/>
      <c r="J50" s="34" t="s">
        <v>431</v>
      </c>
      <c r="K50" s="34" t="s">
        <v>134</v>
      </c>
      <c r="L50" s="34" t="s">
        <v>881</v>
      </c>
      <c r="O50" s="2"/>
    </row>
    <row r="51" spans="1:15" s="1" customFormat="1">
      <c r="A51" s="25"/>
      <c r="B51" s="72" t="s">
        <v>1747</v>
      </c>
      <c r="C51" s="26" t="s">
        <v>136</v>
      </c>
      <c r="D51" s="12" t="s">
        <v>1748</v>
      </c>
      <c r="E51" s="30" t="s">
        <v>243</v>
      </c>
      <c r="F51" s="19"/>
      <c r="G51" s="19" t="s">
        <v>880</v>
      </c>
      <c r="H51" s="32"/>
      <c r="I51" s="35"/>
      <c r="J51" s="34" t="s">
        <v>431</v>
      </c>
      <c r="K51" s="34" t="s">
        <v>134</v>
      </c>
      <c r="L51" s="34" t="s">
        <v>881</v>
      </c>
      <c r="O51" s="2"/>
    </row>
    <row r="52" spans="1:15" s="1" customFormat="1">
      <c r="A52" s="25"/>
      <c r="B52" s="72" t="s">
        <v>1749</v>
      </c>
      <c r="C52" s="26" t="s">
        <v>136</v>
      </c>
      <c r="D52" s="12" t="s">
        <v>1750</v>
      </c>
      <c r="E52" s="30" t="s">
        <v>243</v>
      </c>
      <c r="F52" s="19"/>
      <c r="G52" s="19" t="s">
        <v>880</v>
      </c>
      <c r="H52" s="32"/>
      <c r="I52" s="35"/>
      <c r="J52" s="34" t="s">
        <v>431</v>
      </c>
      <c r="K52" s="34" t="s">
        <v>134</v>
      </c>
      <c r="L52" s="34" t="s">
        <v>881</v>
      </c>
      <c r="O52" s="2"/>
    </row>
    <row r="53" spans="1:15" s="1" customFormat="1">
      <c r="A53" s="25"/>
      <c r="B53" s="72" t="s">
        <v>1751</v>
      </c>
      <c r="C53" s="26" t="s">
        <v>136</v>
      </c>
      <c r="D53" s="12" t="s">
        <v>1752</v>
      </c>
      <c r="E53" s="30" t="s">
        <v>243</v>
      </c>
      <c r="F53" s="19"/>
      <c r="G53" s="19" t="s">
        <v>880</v>
      </c>
      <c r="H53" s="32"/>
      <c r="I53" s="35"/>
      <c r="J53" s="34" t="s">
        <v>431</v>
      </c>
      <c r="K53" s="34" t="s">
        <v>134</v>
      </c>
      <c r="L53" s="34" t="s">
        <v>881</v>
      </c>
      <c r="O53" s="2"/>
    </row>
    <row r="54" spans="1:15" s="1" customFormat="1">
      <c r="A54" s="25"/>
      <c r="B54" s="72" t="s">
        <v>1753</v>
      </c>
      <c r="C54" s="26" t="s">
        <v>136</v>
      </c>
      <c r="D54" s="12" t="s">
        <v>1754</v>
      </c>
      <c r="E54" s="30" t="s">
        <v>243</v>
      </c>
      <c r="F54" s="19"/>
      <c r="G54" s="19" t="s">
        <v>880</v>
      </c>
      <c r="H54" s="32"/>
      <c r="I54" s="35"/>
      <c r="J54" s="34" t="s">
        <v>431</v>
      </c>
      <c r="K54" s="34" t="s">
        <v>134</v>
      </c>
      <c r="L54" s="34" t="s">
        <v>881</v>
      </c>
      <c r="O54" s="2"/>
    </row>
    <row r="55" spans="1:15" s="1" customFormat="1">
      <c r="A55" s="25"/>
      <c r="B55" s="72" t="s">
        <v>1755</v>
      </c>
      <c r="C55" s="26" t="s">
        <v>136</v>
      </c>
      <c r="D55" s="12" t="s">
        <v>1756</v>
      </c>
      <c r="E55" s="30" t="s">
        <v>243</v>
      </c>
      <c r="F55" s="19"/>
      <c r="G55" s="19" t="s">
        <v>880</v>
      </c>
      <c r="H55" s="32"/>
      <c r="I55" s="35"/>
      <c r="J55" s="34" t="s">
        <v>431</v>
      </c>
      <c r="K55" s="34" t="s">
        <v>134</v>
      </c>
      <c r="L55" s="34" t="s">
        <v>881</v>
      </c>
      <c r="O55" s="2"/>
    </row>
    <row r="56" spans="1:15" s="1" customFormat="1">
      <c r="A56" s="25"/>
      <c r="B56" s="72" t="s">
        <v>1757</v>
      </c>
      <c r="C56" s="26" t="s">
        <v>136</v>
      </c>
      <c r="D56" s="12" t="s">
        <v>1758</v>
      </c>
      <c r="E56" s="30" t="s">
        <v>243</v>
      </c>
      <c r="F56" s="19"/>
      <c r="G56" s="19" t="s">
        <v>880</v>
      </c>
      <c r="H56" s="32"/>
      <c r="I56" s="35"/>
      <c r="J56" s="34" t="s">
        <v>431</v>
      </c>
      <c r="K56" s="34" t="s">
        <v>134</v>
      </c>
      <c r="L56" s="34" t="s">
        <v>881</v>
      </c>
      <c r="O56" s="2"/>
    </row>
    <row r="57" spans="1:15" s="5" customFormat="1">
      <c r="B57" s="12" t="s">
        <v>1759</v>
      </c>
      <c r="C57" s="55" t="s">
        <v>136</v>
      </c>
      <c r="D57" s="12" t="s">
        <v>1760</v>
      </c>
      <c r="E57" s="30" t="s">
        <v>243</v>
      </c>
      <c r="F57" s="19"/>
      <c r="G57" s="19" t="s">
        <v>880</v>
      </c>
      <c r="H57" s="32"/>
      <c r="I57" s="35"/>
      <c r="J57" s="34" t="s">
        <v>431</v>
      </c>
      <c r="K57" s="34" t="s">
        <v>134</v>
      </c>
      <c r="L57" s="34" t="s">
        <v>881</v>
      </c>
      <c r="O57" s="2"/>
    </row>
    <row r="58" spans="1:15">
      <c r="A58" s="3"/>
      <c r="B58" s="12" t="s">
        <v>1761</v>
      </c>
      <c r="C58" s="55" t="s">
        <v>136</v>
      </c>
      <c r="D58" s="12" t="s">
        <v>1762</v>
      </c>
      <c r="E58" s="30" t="s">
        <v>243</v>
      </c>
      <c r="F58" s="19"/>
      <c r="G58" s="19" t="s">
        <v>880</v>
      </c>
      <c r="H58" s="32"/>
      <c r="I58" s="35"/>
      <c r="J58" s="34" t="s">
        <v>431</v>
      </c>
      <c r="K58" s="34" t="s">
        <v>134</v>
      </c>
      <c r="L58" s="34" t="s">
        <v>881</v>
      </c>
      <c r="O58" s="2"/>
    </row>
    <row r="59" spans="1:15">
      <c r="A59" s="3"/>
      <c r="B59" s="12" t="s">
        <v>1763</v>
      </c>
      <c r="C59" s="55" t="s">
        <v>136</v>
      </c>
      <c r="D59" s="12" t="s">
        <v>1764</v>
      </c>
      <c r="E59" s="30" t="s">
        <v>243</v>
      </c>
      <c r="F59" s="19"/>
      <c r="G59" s="19" t="s">
        <v>880</v>
      </c>
      <c r="H59" s="32"/>
      <c r="I59" s="35"/>
      <c r="J59" s="34" t="s">
        <v>431</v>
      </c>
      <c r="K59" s="34" t="s">
        <v>134</v>
      </c>
      <c r="L59" s="34" t="s">
        <v>881</v>
      </c>
      <c r="O59" s="2"/>
    </row>
    <row r="60" spans="1:15" s="2" customFormat="1">
      <c r="A60" s="29"/>
      <c r="B60" s="12" t="s">
        <v>1765</v>
      </c>
      <c r="C60" s="55" t="s">
        <v>136</v>
      </c>
      <c r="D60" s="12" t="s">
        <v>1766</v>
      </c>
      <c r="E60" s="30" t="s">
        <v>243</v>
      </c>
      <c r="F60" s="19"/>
      <c r="G60" s="19" t="s">
        <v>880</v>
      </c>
      <c r="H60" s="32"/>
      <c r="I60" s="35"/>
      <c r="J60" s="34" t="s">
        <v>431</v>
      </c>
      <c r="K60" s="34" t="s">
        <v>134</v>
      </c>
      <c r="L60" s="34" t="s">
        <v>881</v>
      </c>
    </row>
    <row r="61" spans="1:15">
      <c r="A61" s="3"/>
      <c r="B61" s="12" t="s">
        <v>1767</v>
      </c>
      <c r="C61" s="55" t="s">
        <v>136</v>
      </c>
      <c r="D61" s="12" t="s">
        <v>1768</v>
      </c>
      <c r="E61" s="30" t="s">
        <v>243</v>
      </c>
      <c r="F61" s="19"/>
      <c r="G61" s="19" t="s">
        <v>880</v>
      </c>
      <c r="H61" s="32"/>
      <c r="I61" s="35"/>
      <c r="J61" s="34" t="s">
        <v>431</v>
      </c>
      <c r="K61" s="34" t="s">
        <v>134</v>
      </c>
      <c r="L61" s="34" t="s">
        <v>881</v>
      </c>
      <c r="O61" s="2"/>
    </row>
    <row r="62" spans="1:15" s="2" customFormat="1">
      <c r="A62" s="29"/>
      <c r="B62" s="12" t="s">
        <v>1769</v>
      </c>
      <c r="C62" s="55" t="s">
        <v>136</v>
      </c>
      <c r="D62" s="12" t="s">
        <v>1770</v>
      </c>
      <c r="E62" s="30" t="s">
        <v>243</v>
      </c>
      <c r="F62" s="19"/>
      <c r="G62" s="19" t="s">
        <v>880</v>
      </c>
      <c r="H62" s="32"/>
      <c r="I62" s="35"/>
      <c r="J62" s="34" t="s">
        <v>431</v>
      </c>
      <c r="K62" s="34" t="s">
        <v>134</v>
      </c>
      <c r="L62" s="34" t="s">
        <v>881</v>
      </c>
    </row>
    <row r="63" spans="1:15" s="2" customFormat="1">
      <c r="A63" s="29"/>
      <c r="B63" s="12" t="s">
        <v>1771</v>
      </c>
      <c r="C63" s="55" t="s">
        <v>136</v>
      </c>
      <c r="D63" s="12" t="s">
        <v>1772</v>
      </c>
      <c r="E63" s="30" t="s">
        <v>243</v>
      </c>
      <c r="F63" s="19"/>
      <c r="G63" s="19" t="s">
        <v>880</v>
      </c>
      <c r="H63" s="32"/>
      <c r="I63" s="35"/>
      <c r="J63" s="34" t="s">
        <v>431</v>
      </c>
      <c r="K63" s="34" t="s">
        <v>134</v>
      </c>
      <c r="L63" s="34" t="s">
        <v>881</v>
      </c>
    </row>
    <row r="64" spans="1:15" s="2" customFormat="1">
      <c r="A64" s="29"/>
      <c r="B64" s="12" t="s">
        <v>1773</v>
      </c>
      <c r="C64" s="55" t="s">
        <v>136</v>
      </c>
      <c r="D64" s="12" t="s">
        <v>1774</v>
      </c>
      <c r="E64" s="30" t="s">
        <v>243</v>
      </c>
      <c r="F64" s="19"/>
      <c r="G64" s="19" t="s">
        <v>880</v>
      </c>
      <c r="H64" s="32"/>
      <c r="I64" s="35"/>
      <c r="J64" s="34" t="s">
        <v>431</v>
      </c>
      <c r="K64" s="34" t="s">
        <v>134</v>
      </c>
      <c r="L64" s="34" t="s">
        <v>881</v>
      </c>
    </row>
    <row r="65" spans="1:15" s="2" customFormat="1">
      <c r="A65" s="29"/>
      <c r="B65" s="12" t="s">
        <v>1775</v>
      </c>
      <c r="C65" s="55" t="s">
        <v>136</v>
      </c>
      <c r="D65" s="12" t="s">
        <v>1776</v>
      </c>
      <c r="E65" s="30" t="s">
        <v>243</v>
      </c>
      <c r="F65" s="19"/>
      <c r="G65" s="19" t="s">
        <v>880</v>
      </c>
      <c r="H65" s="32"/>
      <c r="I65" s="35"/>
      <c r="J65" s="34" t="s">
        <v>431</v>
      </c>
      <c r="K65" s="34" t="s">
        <v>134</v>
      </c>
      <c r="L65" s="34" t="s">
        <v>881</v>
      </c>
    </row>
    <row r="66" spans="1:15" s="2" customFormat="1">
      <c r="A66" s="29"/>
      <c r="B66" s="12" t="s">
        <v>1777</v>
      </c>
      <c r="C66" s="55" t="s">
        <v>136</v>
      </c>
      <c r="D66" s="12" t="s">
        <v>1778</v>
      </c>
      <c r="E66" s="30" t="s">
        <v>243</v>
      </c>
      <c r="F66" s="19"/>
      <c r="G66" s="19" t="s">
        <v>880</v>
      </c>
      <c r="H66" s="32"/>
      <c r="I66" s="35"/>
      <c r="J66" s="34" t="s">
        <v>431</v>
      </c>
      <c r="K66" s="34" t="s">
        <v>134</v>
      </c>
      <c r="L66" s="34" t="s">
        <v>881</v>
      </c>
    </row>
    <row r="67" spans="1:15" s="2" customFormat="1">
      <c r="A67" s="29"/>
      <c r="B67" s="12" t="s">
        <v>1779</v>
      </c>
      <c r="C67" s="55" t="s">
        <v>136</v>
      </c>
      <c r="D67" s="12" t="s">
        <v>1780</v>
      </c>
      <c r="E67" s="30" t="s">
        <v>243</v>
      </c>
      <c r="F67" s="19"/>
      <c r="G67" s="19" t="s">
        <v>880</v>
      </c>
      <c r="H67" s="32"/>
      <c r="I67" s="35"/>
      <c r="J67" s="34" t="s">
        <v>431</v>
      </c>
      <c r="K67" s="34" t="s">
        <v>134</v>
      </c>
      <c r="L67" s="34" t="s">
        <v>881</v>
      </c>
    </row>
    <row r="68" spans="1:15" s="1" customFormat="1">
      <c r="A68" s="25"/>
      <c r="B68" s="12" t="s">
        <v>1781</v>
      </c>
      <c r="C68" s="26" t="s">
        <v>136</v>
      </c>
      <c r="D68" s="12" t="s">
        <v>1782</v>
      </c>
      <c r="E68" s="30" t="s">
        <v>243</v>
      </c>
      <c r="F68" s="19"/>
      <c r="G68" s="19" t="s">
        <v>880</v>
      </c>
      <c r="H68" s="32"/>
      <c r="I68" s="35"/>
      <c r="J68" s="34" t="s">
        <v>431</v>
      </c>
      <c r="K68" s="34" t="s">
        <v>134</v>
      </c>
      <c r="L68" s="34" t="s">
        <v>881</v>
      </c>
      <c r="O68" s="2"/>
    </row>
    <row r="69" spans="1:15" s="1" customFormat="1">
      <c r="A69" s="25"/>
      <c r="B69" s="72" t="s">
        <v>1783</v>
      </c>
      <c r="C69" s="26" t="s">
        <v>136</v>
      </c>
      <c r="D69" s="12" t="s">
        <v>1784</v>
      </c>
      <c r="E69" s="30" t="s">
        <v>243</v>
      </c>
      <c r="F69" s="19"/>
      <c r="G69" s="19" t="s">
        <v>880</v>
      </c>
      <c r="H69" s="32"/>
      <c r="I69" s="35"/>
      <c r="J69" s="34" t="s">
        <v>431</v>
      </c>
      <c r="K69" s="34" t="s">
        <v>134</v>
      </c>
      <c r="L69" s="34" t="s">
        <v>881</v>
      </c>
      <c r="O69" s="2"/>
    </row>
    <row r="70" spans="1:15" s="1" customFormat="1">
      <c r="A70" s="25"/>
      <c r="B70" s="72" t="s">
        <v>1785</v>
      </c>
      <c r="C70" s="26" t="s">
        <v>136</v>
      </c>
      <c r="D70" s="12" t="s">
        <v>1786</v>
      </c>
      <c r="E70" s="30" t="s">
        <v>243</v>
      </c>
      <c r="F70" s="19"/>
      <c r="G70" s="19" t="s">
        <v>880</v>
      </c>
      <c r="H70" s="32"/>
      <c r="I70" s="35"/>
      <c r="J70" s="34" t="s">
        <v>431</v>
      </c>
      <c r="K70" s="34" t="s">
        <v>134</v>
      </c>
      <c r="L70" s="34" t="s">
        <v>881</v>
      </c>
      <c r="O70" s="2"/>
    </row>
    <row r="71" spans="1:15" s="1" customFormat="1">
      <c r="A71" s="25"/>
      <c r="B71" s="72" t="s">
        <v>1787</v>
      </c>
      <c r="C71" s="26" t="s">
        <v>136</v>
      </c>
      <c r="D71" s="12" t="s">
        <v>1788</v>
      </c>
      <c r="E71" s="30" t="s">
        <v>243</v>
      </c>
      <c r="F71" s="19"/>
      <c r="G71" s="19" t="s">
        <v>880</v>
      </c>
      <c r="H71" s="32"/>
      <c r="I71" s="35"/>
      <c r="J71" s="34" t="s">
        <v>431</v>
      </c>
      <c r="K71" s="34" t="s">
        <v>134</v>
      </c>
      <c r="L71" s="34" t="s">
        <v>881</v>
      </c>
      <c r="O71" s="2"/>
    </row>
    <row r="72" spans="1:15" s="1" customFormat="1">
      <c r="A72" s="25"/>
      <c r="B72" s="72" t="s">
        <v>1789</v>
      </c>
      <c r="C72" s="26" t="s">
        <v>136</v>
      </c>
      <c r="D72" s="12" t="s">
        <v>1790</v>
      </c>
      <c r="E72" s="30" t="s">
        <v>243</v>
      </c>
      <c r="F72" s="19"/>
      <c r="G72" s="19" t="s">
        <v>880</v>
      </c>
      <c r="H72" s="32"/>
      <c r="I72" s="35"/>
      <c r="J72" s="34" t="s">
        <v>431</v>
      </c>
      <c r="K72" s="34" t="s">
        <v>134</v>
      </c>
      <c r="L72" s="34" t="s">
        <v>881</v>
      </c>
      <c r="O72" s="2"/>
    </row>
    <row r="73" spans="1:15" s="1" customFormat="1">
      <c r="A73" s="25"/>
      <c r="B73" s="72" t="s">
        <v>1791</v>
      </c>
      <c r="C73" s="26" t="s">
        <v>136</v>
      </c>
      <c r="D73" s="12" t="s">
        <v>1792</v>
      </c>
      <c r="E73" s="30" t="s">
        <v>243</v>
      </c>
      <c r="F73" s="19"/>
      <c r="G73" s="19" t="s">
        <v>880</v>
      </c>
      <c r="H73" s="32"/>
      <c r="I73" s="35"/>
      <c r="J73" s="34" t="s">
        <v>431</v>
      </c>
      <c r="K73" s="34" t="s">
        <v>134</v>
      </c>
      <c r="L73" s="34" t="s">
        <v>881</v>
      </c>
      <c r="O73" s="2"/>
    </row>
    <row r="74" spans="1:15" s="1" customFormat="1">
      <c r="A74" s="25"/>
      <c r="B74" s="72" t="s">
        <v>1793</v>
      </c>
      <c r="C74" s="26" t="s">
        <v>136</v>
      </c>
      <c r="D74" s="12" t="s">
        <v>1794</v>
      </c>
      <c r="E74" s="30" t="s">
        <v>243</v>
      </c>
      <c r="F74" s="19"/>
      <c r="G74" s="19" t="s">
        <v>880</v>
      </c>
      <c r="H74" s="32"/>
      <c r="I74" s="35"/>
      <c r="J74" s="34" t="s">
        <v>431</v>
      </c>
      <c r="K74" s="34" t="s">
        <v>134</v>
      </c>
      <c r="L74" s="34" t="s">
        <v>881</v>
      </c>
      <c r="O74" s="2"/>
    </row>
    <row r="75" spans="1:15" s="1" customFormat="1">
      <c r="A75" s="25"/>
      <c r="B75" s="72" t="s">
        <v>1795</v>
      </c>
      <c r="C75" s="26" t="s">
        <v>136</v>
      </c>
      <c r="D75" s="12" t="s">
        <v>1796</v>
      </c>
      <c r="E75" s="30" t="s">
        <v>243</v>
      </c>
      <c r="F75" s="19"/>
      <c r="G75" s="19" t="s">
        <v>880</v>
      </c>
      <c r="H75" s="32"/>
      <c r="I75" s="35"/>
      <c r="J75" s="34" t="s">
        <v>431</v>
      </c>
      <c r="K75" s="34" t="s">
        <v>134</v>
      </c>
      <c r="L75" s="34" t="s">
        <v>881</v>
      </c>
      <c r="O75" s="2"/>
    </row>
    <row r="76" spans="1:15" s="1" customFormat="1">
      <c r="A76" s="25"/>
      <c r="B76" s="72" t="s">
        <v>1797</v>
      </c>
      <c r="C76" s="26" t="s">
        <v>136</v>
      </c>
      <c r="D76" s="12" t="s">
        <v>1798</v>
      </c>
      <c r="E76" s="30" t="s">
        <v>243</v>
      </c>
      <c r="F76" s="19"/>
      <c r="G76" s="19" t="s">
        <v>880</v>
      </c>
      <c r="H76" s="32"/>
      <c r="I76" s="35"/>
      <c r="J76" s="34" t="s">
        <v>431</v>
      </c>
      <c r="K76" s="34" t="s">
        <v>134</v>
      </c>
      <c r="L76" s="34" t="s">
        <v>881</v>
      </c>
      <c r="O76" s="2"/>
    </row>
    <row r="77" spans="1:15" s="1" customFormat="1">
      <c r="A77" s="25"/>
      <c r="B77" s="72" t="s">
        <v>1799</v>
      </c>
      <c r="C77" s="26" t="s">
        <v>136</v>
      </c>
      <c r="D77" s="12" t="s">
        <v>1800</v>
      </c>
      <c r="E77" s="30" t="s">
        <v>243</v>
      </c>
      <c r="F77" s="19"/>
      <c r="G77" s="19" t="s">
        <v>880</v>
      </c>
      <c r="H77" s="32"/>
      <c r="I77" s="35"/>
      <c r="J77" s="34" t="s">
        <v>431</v>
      </c>
      <c r="K77" s="34" t="s">
        <v>134</v>
      </c>
      <c r="L77" s="34" t="s">
        <v>881</v>
      </c>
      <c r="O77" s="2"/>
    </row>
    <row r="78" spans="1:15" s="1" customFormat="1">
      <c r="A78" s="25"/>
      <c r="B78" s="72" t="s">
        <v>1801</v>
      </c>
      <c r="C78" s="26" t="s">
        <v>136</v>
      </c>
      <c r="D78" s="12" t="s">
        <v>1802</v>
      </c>
      <c r="E78" s="30" t="s">
        <v>243</v>
      </c>
      <c r="F78" s="19"/>
      <c r="G78" s="19" t="s">
        <v>880</v>
      </c>
      <c r="H78" s="32"/>
      <c r="I78" s="35"/>
      <c r="J78" s="34" t="s">
        <v>431</v>
      </c>
      <c r="K78" s="34" t="s">
        <v>134</v>
      </c>
      <c r="L78" s="34" t="s">
        <v>881</v>
      </c>
      <c r="O78" s="2"/>
    </row>
    <row r="79" spans="1:15" s="1" customFormat="1">
      <c r="A79" s="25"/>
      <c r="B79" s="72" t="s">
        <v>1803</v>
      </c>
      <c r="C79" s="26" t="s">
        <v>136</v>
      </c>
      <c r="D79" s="12" t="s">
        <v>1804</v>
      </c>
      <c r="E79" s="30" t="s">
        <v>243</v>
      </c>
      <c r="F79" s="19"/>
      <c r="G79" s="19" t="s">
        <v>880</v>
      </c>
      <c r="H79" s="32"/>
      <c r="I79" s="35"/>
      <c r="J79" s="34" t="s">
        <v>431</v>
      </c>
      <c r="K79" s="34" t="s">
        <v>134</v>
      </c>
      <c r="L79" s="34" t="s">
        <v>881</v>
      </c>
      <c r="O79" s="2"/>
    </row>
    <row r="80" spans="1:15" s="1" customFormat="1">
      <c r="A80" s="25"/>
      <c r="B80" s="72" t="s">
        <v>1805</v>
      </c>
      <c r="C80" s="26" t="s">
        <v>136</v>
      </c>
      <c r="D80" s="12" t="s">
        <v>1806</v>
      </c>
      <c r="E80" s="30" t="s">
        <v>243</v>
      </c>
      <c r="F80" s="19"/>
      <c r="G80" s="19" t="s">
        <v>880</v>
      </c>
      <c r="H80" s="32"/>
      <c r="I80" s="35"/>
      <c r="J80" s="34" t="s">
        <v>431</v>
      </c>
      <c r="K80" s="34" t="s">
        <v>134</v>
      </c>
      <c r="L80" s="34" t="s">
        <v>881</v>
      </c>
      <c r="O80" s="2"/>
    </row>
    <row r="81" spans="1:15" s="1" customFormat="1">
      <c r="A81" s="25"/>
      <c r="B81" s="72" t="s">
        <v>1807</v>
      </c>
      <c r="C81" s="26" t="s">
        <v>136</v>
      </c>
      <c r="D81" s="12" t="s">
        <v>1808</v>
      </c>
      <c r="E81" s="30" t="s">
        <v>243</v>
      </c>
      <c r="F81" s="19"/>
      <c r="G81" s="19" t="s">
        <v>880</v>
      </c>
      <c r="H81" s="32"/>
      <c r="I81" s="35"/>
      <c r="J81" s="34" t="s">
        <v>431</v>
      </c>
      <c r="K81" s="34" t="s">
        <v>134</v>
      </c>
      <c r="L81" s="34" t="s">
        <v>881</v>
      </c>
      <c r="O81" s="2"/>
    </row>
    <row r="82" spans="1:15" s="1" customFormat="1">
      <c r="A82" s="25"/>
      <c r="B82" s="72" t="s">
        <v>1809</v>
      </c>
      <c r="C82" s="26" t="s">
        <v>136</v>
      </c>
      <c r="D82" s="12" t="s">
        <v>1810</v>
      </c>
      <c r="E82" s="30" t="s">
        <v>243</v>
      </c>
      <c r="F82" s="19"/>
      <c r="G82" s="19" t="s">
        <v>880</v>
      </c>
      <c r="H82" s="32"/>
      <c r="I82" s="35"/>
      <c r="J82" s="34" t="s">
        <v>431</v>
      </c>
      <c r="K82" s="34" t="s">
        <v>134</v>
      </c>
      <c r="L82" s="34" t="s">
        <v>881</v>
      </c>
      <c r="O82" s="2"/>
    </row>
    <row r="83" spans="1:15" s="1" customFormat="1">
      <c r="A83" s="25"/>
      <c r="B83" s="72" t="s">
        <v>1811</v>
      </c>
      <c r="C83" s="26" t="s">
        <v>136</v>
      </c>
      <c r="D83" s="12" t="s">
        <v>1812</v>
      </c>
      <c r="E83" s="30" t="s">
        <v>243</v>
      </c>
      <c r="F83" s="19"/>
      <c r="G83" s="19" t="s">
        <v>880</v>
      </c>
      <c r="H83" s="32"/>
      <c r="I83" s="35"/>
      <c r="J83" s="34" t="s">
        <v>431</v>
      </c>
      <c r="K83" s="34" t="s">
        <v>134</v>
      </c>
      <c r="L83" s="34" t="s">
        <v>881</v>
      </c>
      <c r="O83" s="2"/>
    </row>
    <row r="84" spans="1:15" s="1" customFormat="1">
      <c r="A84" s="25"/>
      <c r="B84" s="72" t="s">
        <v>1813</v>
      </c>
      <c r="C84" s="26" t="s">
        <v>136</v>
      </c>
      <c r="D84" s="12" t="s">
        <v>1814</v>
      </c>
      <c r="E84" s="30" t="s">
        <v>243</v>
      </c>
      <c r="F84" s="19"/>
      <c r="G84" s="19" t="s">
        <v>880</v>
      </c>
      <c r="H84" s="32"/>
      <c r="I84" s="35"/>
      <c r="J84" s="34" t="s">
        <v>431</v>
      </c>
      <c r="K84" s="34" t="s">
        <v>134</v>
      </c>
      <c r="L84" s="34" t="s">
        <v>881</v>
      </c>
      <c r="O84" s="2"/>
    </row>
    <row r="85" spans="1:15" s="1" customFormat="1">
      <c r="A85" s="25"/>
      <c r="B85" s="72" t="s">
        <v>1815</v>
      </c>
      <c r="C85" s="26" t="s">
        <v>136</v>
      </c>
      <c r="D85" s="12" t="s">
        <v>1816</v>
      </c>
      <c r="E85" s="30" t="s">
        <v>243</v>
      </c>
      <c r="F85" s="19"/>
      <c r="G85" s="19" t="s">
        <v>880</v>
      </c>
      <c r="H85" s="32"/>
      <c r="I85" s="35"/>
      <c r="J85" s="34" t="s">
        <v>431</v>
      </c>
      <c r="K85" s="34" t="s">
        <v>134</v>
      </c>
      <c r="L85" s="34" t="s">
        <v>881</v>
      </c>
      <c r="O85" s="2"/>
    </row>
    <row r="86" spans="1:15" s="1" customFormat="1">
      <c r="A86" s="25"/>
      <c r="B86" s="72" t="s">
        <v>1817</v>
      </c>
      <c r="C86" s="26" t="s">
        <v>136</v>
      </c>
      <c r="D86" s="12" t="s">
        <v>1818</v>
      </c>
      <c r="E86" s="30" t="s">
        <v>243</v>
      </c>
      <c r="F86" s="19"/>
      <c r="G86" s="19" t="s">
        <v>880</v>
      </c>
      <c r="H86" s="32"/>
      <c r="I86" s="35"/>
      <c r="J86" s="34" t="s">
        <v>431</v>
      </c>
      <c r="K86" s="34" t="s">
        <v>134</v>
      </c>
      <c r="L86" s="34" t="s">
        <v>881</v>
      </c>
      <c r="O86" s="2"/>
    </row>
    <row r="87" spans="1:15" s="1" customFormat="1">
      <c r="A87" s="25"/>
      <c r="B87" s="72" t="s">
        <v>1819</v>
      </c>
      <c r="C87" s="26" t="s">
        <v>136</v>
      </c>
      <c r="D87" s="12" t="s">
        <v>1820</v>
      </c>
      <c r="E87" s="30" t="s">
        <v>243</v>
      </c>
      <c r="F87" s="19"/>
      <c r="G87" s="19" t="s">
        <v>880</v>
      </c>
      <c r="H87" s="32"/>
      <c r="I87" s="35"/>
      <c r="J87" s="34" t="s">
        <v>431</v>
      </c>
      <c r="K87" s="34" t="s">
        <v>134</v>
      </c>
      <c r="L87" s="34" t="s">
        <v>881</v>
      </c>
      <c r="O87" s="2"/>
    </row>
    <row r="88" spans="1:15" s="1" customFormat="1">
      <c r="A88" s="25"/>
      <c r="B88" s="72" t="s">
        <v>1821</v>
      </c>
      <c r="C88" s="26" t="s">
        <v>136</v>
      </c>
      <c r="D88" s="12" t="s">
        <v>1822</v>
      </c>
      <c r="E88" s="30" t="s">
        <v>243</v>
      </c>
      <c r="F88" s="19"/>
      <c r="G88" s="19" t="s">
        <v>880</v>
      </c>
      <c r="H88" s="32"/>
      <c r="I88" s="35"/>
      <c r="J88" s="34" t="s">
        <v>431</v>
      </c>
      <c r="K88" s="34" t="s">
        <v>134</v>
      </c>
      <c r="L88" s="34" t="s">
        <v>881</v>
      </c>
      <c r="O88" s="2"/>
    </row>
    <row r="89" spans="1:15" s="1" customFormat="1">
      <c r="A89" s="25"/>
      <c r="B89" s="72" t="s">
        <v>1823</v>
      </c>
      <c r="C89" s="26" t="s">
        <v>136</v>
      </c>
      <c r="D89" s="12" t="s">
        <v>1824</v>
      </c>
      <c r="E89" s="30" t="s">
        <v>243</v>
      </c>
      <c r="F89" s="19"/>
      <c r="G89" s="19" t="s">
        <v>880</v>
      </c>
      <c r="H89" s="30"/>
      <c r="I89" s="33"/>
      <c r="J89" s="34" t="s">
        <v>431</v>
      </c>
      <c r="K89" s="34" t="s">
        <v>134</v>
      </c>
      <c r="L89" s="34" t="s">
        <v>881</v>
      </c>
      <c r="O89" s="2"/>
    </row>
    <row r="90" spans="1:15" s="1" customFormat="1">
      <c r="A90" s="25"/>
      <c r="B90" s="72" t="s">
        <v>1825</v>
      </c>
      <c r="C90" s="26" t="s">
        <v>136</v>
      </c>
      <c r="D90" s="12" t="s">
        <v>1826</v>
      </c>
      <c r="E90" s="30" t="s">
        <v>243</v>
      </c>
      <c r="F90" s="19"/>
      <c r="G90" s="19" t="s">
        <v>880</v>
      </c>
      <c r="H90" s="30"/>
      <c r="I90" s="33"/>
      <c r="J90" s="34" t="s">
        <v>431</v>
      </c>
      <c r="K90" s="34" t="s">
        <v>134</v>
      </c>
      <c r="L90" s="34" t="s">
        <v>881</v>
      </c>
      <c r="O90" s="2"/>
    </row>
    <row r="91" spans="1:15" s="1" customFormat="1">
      <c r="A91" s="25"/>
      <c r="B91" s="72" t="s">
        <v>1827</v>
      </c>
      <c r="C91" s="26" t="s">
        <v>136</v>
      </c>
      <c r="D91" s="12" t="s">
        <v>1828</v>
      </c>
      <c r="E91" s="30" t="s">
        <v>243</v>
      </c>
      <c r="F91" s="19"/>
      <c r="G91" s="19" t="s">
        <v>880</v>
      </c>
      <c r="H91" s="32"/>
      <c r="I91" s="35"/>
      <c r="J91" s="34" t="s">
        <v>431</v>
      </c>
      <c r="K91" s="34" t="s">
        <v>134</v>
      </c>
      <c r="L91" s="34" t="s">
        <v>881</v>
      </c>
      <c r="O91" s="2"/>
    </row>
    <row r="92" spans="1:15" s="1" customFormat="1">
      <c r="A92" s="25"/>
      <c r="B92" s="72" t="s">
        <v>1829</v>
      </c>
      <c r="C92" s="26" t="s">
        <v>136</v>
      </c>
      <c r="D92" s="12" t="s">
        <v>1830</v>
      </c>
      <c r="E92" s="30" t="s">
        <v>243</v>
      </c>
      <c r="F92" s="19"/>
      <c r="G92" s="19" t="s">
        <v>880</v>
      </c>
      <c r="H92" s="32"/>
      <c r="I92" s="35"/>
      <c r="J92" s="34" t="s">
        <v>431</v>
      </c>
      <c r="K92" s="34" t="s">
        <v>134</v>
      </c>
      <c r="L92" s="34" t="s">
        <v>881</v>
      </c>
      <c r="O92" s="2"/>
    </row>
    <row r="93" spans="1:15" s="1" customFormat="1">
      <c r="A93" s="25"/>
      <c r="B93" s="72" t="s">
        <v>1831</v>
      </c>
      <c r="C93" s="26" t="s">
        <v>136</v>
      </c>
      <c r="D93" s="12" t="s">
        <v>1832</v>
      </c>
      <c r="E93" s="30" t="s">
        <v>243</v>
      </c>
      <c r="F93" s="19"/>
      <c r="G93" s="19" t="s">
        <v>880</v>
      </c>
      <c r="H93" s="30"/>
      <c r="I93" s="33"/>
      <c r="J93" s="34" t="s">
        <v>431</v>
      </c>
      <c r="K93" s="34" t="s">
        <v>134</v>
      </c>
      <c r="L93" s="34" t="s">
        <v>881</v>
      </c>
      <c r="O93" s="2"/>
    </row>
    <row r="94" spans="1:15" s="1" customFormat="1">
      <c r="A94" s="25"/>
      <c r="B94" s="72" t="s">
        <v>1833</v>
      </c>
      <c r="C94" s="26" t="s">
        <v>136</v>
      </c>
      <c r="D94" s="12" t="s">
        <v>1834</v>
      </c>
      <c r="E94" s="30" t="s">
        <v>243</v>
      </c>
      <c r="F94" s="19"/>
      <c r="G94" s="19" t="s">
        <v>880</v>
      </c>
      <c r="H94" s="30"/>
      <c r="I94" s="33"/>
      <c r="J94" s="34" t="s">
        <v>431</v>
      </c>
      <c r="K94" s="34" t="s">
        <v>134</v>
      </c>
      <c r="L94" s="34" t="s">
        <v>881</v>
      </c>
      <c r="O94" s="2"/>
    </row>
    <row r="95" spans="1:15" s="1" customFormat="1">
      <c r="A95" s="25"/>
      <c r="B95" s="72" t="s">
        <v>1835</v>
      </c>
      <c r="C95" s="26" t="s">
        <v>136</v>
      </c>
      <c r="D95" s="12" t="s">
        <v>1836</v>
      </c>
      <c r="E95" s="30" t="s">
        <v>243</v>
      </c>
      <c r="F95" s="19"/>
      <c r="G95" s="19" t="s">
        <v>880</v>
      </c>
      <c r="H95" s="32"/>
      <c r="I95" s="35"/>
      <c r="J95" s="34" t="s">
        <v>431</v>
      </c>
      <c r="K95" s="34" t="s">
        <v>134</v>
      </c>
      <c r="L95" s="34" t="s">
        <v>881</v>
      </c>
      <c r="O95" s="2"/>
    </row>
    <row r="96" spans="1:15" s="1" customFormat="1">
      <c r="A96" s="25"/>
      <c r="B96" s="72" t="s">
        <v>1837</v>
      </c>
      <c r="C96" s="26" t="s">
        <v>136</v>
      </c>
      <c r="D96" s="12" t="s">
        <v>1838</v>
      </c>
      <c r="E96" s="30" t="s">
        <v>243</v>
      </c>
      <c r="F96" s="19"/>
      <c r="G96" s="19" t="s">
        <v>880</v>
      </c>
      <c r="H96" s="32"/>
      <c r="I96" s="35"/>
      <c r="J96" s="34" t="s">
        <v>431</v>
      </c>
      <c r="K96" s="34" t="s">
        <v>134</v>
      </c>
      <c r="L96" s="34" t="s">
        <v>881</v>
      </c>
      <c r="O96" s="2"/>
    </row>
    <row r="97" spans="1:15" s="1" customFormat="1">
      <c r="A97" s="25"/>
      <c r="B97" s="72" t="s">
        <v>1839</v>
      </c>
      <c r="C97" s="26" t="s">
        <v>136</v>
      </c>
      <c r="D97" s="12" t="s">
        <v>1840</v>
      </c>
      <c r="E97" s="30" t="s">
        <v>243</v>
      </c>
      <c r="F97" s="19"/>
      <c r="G97" s="19" t="s">
        <v>880</v>
      </c>
      <c r="H97" s="32"/>
      <c r="I97" s="35"/>
      <c r="J97" s="34" t="s">
        <v>431</v>
      </c>
      <c r="K97" s="34" t="s">
        <v>134</v>
      </c>
      <c r="L97" s="34" t="s">
        <v>881</v>
      </c>
      <c r="O97" s="2"/>
    </row>
    <row r="98" spans="1:15" s="1" customFormat="1">
      <c r="A98" s="25"/>
      <c r="B98" s="72" t="s">
        <v>1841</v>
      </c>
      <c r="C98" s="26" t="s">
        <v>136</v>
      </c>
      <c r="D98" s="12" t="s">
        <v>1842</v>
      </c>
      <c r="E98" s="30" t="s">
        <v>243</v>
      </c>
      <c r="F98" s="19"/>
      <c r="G98" s="19" t="s">
        <v>880</v>
      </c>
      <c r="H98" s="32"/>
      <c r="I98" s="35"/>
      <c r="J98" s="34" t="s">
        <v>431</v>
      </c>
      <c r="K98" s="34" t="s">
        <v>134</v>
      </c>
      <c r="L98" s="34" t="s">
        <v>881</v>
      </c>
      <c r="O98" s="2"/>
    </row>
    <row r="99" spans="1:15" s="1" customFormat="1">
      <c r="A99" s="25"/>
      <c r="B99" s="72" t="s">
        <v>1843</v>
      </c>
      <c r="C99" s="26" t="s">
        <v>136</v>
      </c>
      <c r="D99" s="12" t="s">
        <v>1844</v>
      </c>
      <c r="E99" s="30" t="s">
        <v>243</v>
      </c>
      <c r="F99" s="19"/>
      <c r="G99" s="19" t="s">
        <v>880</v>
      </c>
      <c r="H99" s="32"/>
      <c r="I99" s="35"/>
      <c r="J99" s="34" t="s">
        <v>431</v>
      </c>
      <c r="K99" s="34" t="s">
        <v>134</v>
      </c>
      <c r="L99" s="34" t="s">
        <v>881</v>
      </c>
      <c r="O99" s="2"/>
    </row>
    <row r="100" spans="1:15" s="1" customFormat="1">
      <c r="A100" s="25"/>
      <c r="B100" s="72" t="s">
        <v>1845</v>
      </c>
      <c r="C100" s="26" t="s">
        <v>136</v>
      </c>
      <c r="D100" s="12" t="s">
        <v>1846</v>
      </c>
      <c r="E100" s="30" t="s">
        <v>243</v>
      </c>
      <c r="F100" s="19"/>
      <c r="G100" s="19" t="s">
        <v>880</v>
      </c>
      <c r="H100" s="32"/>
      <c r="I100" s="35"/>
      <c r="J100" s="34" t="s">
        <v>431</v>
      </c>
      <c r="K100" s="34" t="s">
        <v>134</v>
      </c>
      <c r="L100" s="34" t="s">
        <v>881</v>
      </c>
      <c r="O100" s="2"/>
    </row>
    <row r="101" spans="1:15" s="1" customFormat="1">
      <c r="A101" s="25"/>
      <c r="B101" s="72" t="s">
        <v>1847</v>
      </c>
      <c r="C101" s="26" t="s">
        <v>136</v>
      </c>
      <c r="D101" s="12" t="s">
        <v>1848</v>
      </c>
      <c r="E101" s="30" t="s">
        <v>243</v>
      </c>
      <c r="F101" s="19"/>
      <c r="G101" s="19" t="s">
        <v>880</v>
      </c>
      <c r="H101" s="32"/>
      <c r="I101" s="35"/>
      <c r="J101" s="34" t="s">
        <v>431</v>
      </c>
      <c r="K101" s="34" t="s">
        <v>134</v>
      </c>
      <c r="L101" s="34" t="s">
        <v>881</v>
      </c>
      <c r="O101" s="2"/>
    </row>
    <row r="102" spans="1:15" s="1" customFormat="1">
      <c r="A102" s="25"/>
      <c r="B102" s="72" t="s">
        <v>1849</v>
      </c>
      <c r="C102" s="26" t="s">
        <v>136</v>
      </c>
      <c r="D102" s="12" t="s">
        <v>1850</v>
      </c>
      <c r="E102" s="30" t="s">
        <v>243</v>
      </c>
      <c r="F102" s="19"/>
      <c r="G102" s="19" t="s">
        <v>880</v>
      </c>
      <c r="H102" s="32"/>
      <c r="I102" s="35"/>
      <c r="J102" s="34" t="s">
        <v>431</v>
      </c>
      <c r="K102" s="34" t="s">
        <v>134</v>
      </c>
      <c r="L102" s="34" t="s">
        <v>881</v>
      </c>
      <c r="O102" s="2"/>
    </row>
    <row r="103" spans="1:15" s="1" customFormat="1">
      <c r="A103" s="25"/>
      <c r="B103" s="72" t="s">
        <v>1851</v>
      </c>
      <c r="C103" s="26" t="s">
        <v>136</v>
      </c>
      <c r="D103" s="12" t="s">
        <v>1852</v>
      </c>
      <c r="E103" s="30" t="s">
        <v>243</v>
      </c>
      <c r="F103" s="19"/>
      <c r="G103" s="19" t="s">
        <v>880</v>
      </c>
      <c r="H103" s="32"/>
      <c r="I103" s="35"/>
      <c r="J103" s="34" t="s">
        <v>431</v>
      </c>
      <c r="K103" s="34" t="s">
        <v>134</v>
      </c>
      <c r="L103" s="34" t="s">
        <v>881</v>
      </c>
      <c r="O103" s="2"/>
    </row>
    <row r="104" spans="1:15" s="1" customFormat="1">
      <c r="A104" s="25"/>
      <c r="B104" s="72" t="s">
        <v>1853</v>
      </c>
      <c r="C104" s="26" t="s">
        <v>136</v>
      </c>
      <c r="D104" s="12" t="s">
        <v>1854</v>
      </c>
      <c r="E104" s="30" t="s">
        <v>243</v>
      </c>
      <c r="F104" s="19"/>
      <c r="G104" s="19" t="s">
        <v>880</v>
      </c>
      <c r="H104" s="32"/>
      <c r="I104" s="35"/>
      <c r="J104" s="34" t="s">
        <v>431</v>
      </c>
      <c r="K104" s="34" t="s">
        <v>134</v>
      </c>
      <c r="L104" s="34" t="s">
        <v>881</v>
      </c>
      <c r="O104" s="2"/>
    </row>
    <row r="105" spans="1:15" s="1" customFormat="1">
      <c r="A105" s="25"/>
      <c r="B105" s="72" t="s">
        <v>1855</v>
      </c>
      <c r="C105" s="26" t="s">
        <v>136</v>
      </c>
      <c r="D105" s="12" t="s">
        <v>1856</v>
      </c>
      <c r="E105" s="30" t="s">
        <v>243</v>
      </c>
      <c r="F105" s="19"/>
      <c r="G105" s="19" t="s">
        <v>880</v>
      </c>
      <c r="H105" s="32"/>
      <c r="I105" s="35"/>
      <c r="J105" s="34" t="s">
        <v>431</v>
      </c>
      <c r="K105" s="34" t="s">
        <v>134</v>
      </c>
      <c r="L105" s="34" t="s">
        <v>881</v>
      </c>
      <c r="O105" s="2"/>
    </row>
    <row r="106" spans="1:15" s="1" customFormat="1">
      <c r="A106" s="25"/>
      <c r="B106" s="72" t="s">
        <v>1857</v>
      </c>
      <c r="C106" s="26" t="s">
        <v>136</v>
      </c>
      <c r="D106" s="12" t="s">
        <v>1858</v>
      </c>
      <c r="E106" s="30" t="s">
        <v>243</v>
      </c>
      <c r="F106" s="19"/>
      <c r="G106" s="19" t="s">
        <v>880</v>
      </c>
      <c r="H106" s="32"/>
      <c r="I106" s="35"/>
      <c r="J106" s="34" t="s">
        <v>431</v>
      </c>
      <c r="K106" s="34" t="s">
        <v>134</v>
      </c>
      <c r="L106" s="34" t="s">
        <v>881</v>
      </c>
      <c r="O106" s="2"/>
    </row>
    <row r="107" spans="1:15" s="1" customFormat="1">
      <c r="A107" s="25"/>
      <c r="B107" s="72" t="s">
        <v>1859</v>
      </c>
      <c r="C107" s="26" t="s">
        <v>136</v>
      </c>
      <c r="D107" s="12" t="s">
        <v>1860</v>
      </c>
      <c r="E107" s="30" t="s">
        <v>243</v>
      </c>
      <c r="F107" s="19"/>
      <c r="G107" s="19" t="s">
        <v>880</v>
      </c>
      <c r="H107" s="32"/>
      <c r="I107" s="35"/>
      <c r="J107" s="34" t="s">
        <v>431</v>
      </c>
      <c r="K107" s="34" t="s">
        <v>134</v>
      </c>
      <c r="L107" s="34" t="s">
        <v>881</v>
      </c>
      <c r="O107" s="2"/>
    </row>
    <row r="108" spans="1:15" s="1" customFormat="1">
      <c r="A108" s="25"/>
      <c r="B108" s="72" t="s">
        <v>1861</v>
      </c>
      <c r="C108" s="26" t="s">
        <v>136</v>
      </c>
      <c r="D108" s="12" t="s">
        <v>1862</v>
      </c>
      <c r="E108" s="30" t="s">
        <v>243</v>
      </c>
      <c r="F108" s="19"/>
      <c r="G108" s="19" t="s">
        <v>880</v>
      </c>
      <c r="H108" s="32"/>
      <c r="I108" s="35"/>
      <c r="J108" s="34" t="s">
        <v>431</v>
      </c>
      <c r="K108" s="34" t="s">
        <v>134</v>
      </c>
      <c r="L108" s="34" t="s">
        <v>881</v>
      </c>
      <c r="O108" s="2"/>
    </row>
    <row r="109" spans="1:15" s="1" customFormat="1">
      <c r="A109" s="25"/>
      <c r="B109" s="72" t="s">
        <v>1863</v>
      </c>
      <c r="C109" s="26" t="s">
        <v>136</v>
      </c>
      <c r="D109" s="12" t="s">
        <v>1864</v>
      </c>
      <c r="E109" s="30" t="s">
        <v>243</v>
      </c>
      <c r="F109" s="19"/>
      <c r="G109" s="19" t="s">
        <v>880</v>
      </c>
      <c r="H109" s="32"/>
      <c r="I109" s="35"/>
      <c r="J109" s="34" t="s">
        <v>431</v>
      </c>
      <c r="K109" s="34" t="s">
        <v>134</v>
      </c>
      <c r="L109" s="34" t="s">
        <v>881</v>
      </c>
      <c r="O109" s="2"/>
    </row>
    <row r="110" spans="1:15" s="1" customFormat="1">
      <c r="A110" s="25"/>
      <c r="B110" s="72" t="s">
        <v>1865</v>
      </c>
      <c r="C110" s="26" t="s">
        <v>136</v>
      </c>
      <c r="D110" s="12" t="s">
        <v>1866</v>
      </c>
      <c r="E110" s="30" t="s">
        <v>243</v>
      </c>
      <c r="F110" s="19"/>
      <c r="G110" s="19" t="s">
        <v>880</v>
      </c>
      <c r="H110" s="32"/>
      <c r="I110" s="35"/>
      <c r="J110" s="34" t="s">
        <v>431</v>
      </c>
      <c r="K110" s="34" t="s">
        <v>134</v>
      </c>
      <c r="L110" s="34" t="s">
        <v>881</v>
      </c>
      <c r="O110" s="2"/>
    </row>
    <row r="111" spans="1:15" s="1" customFormat="1">
      <c r="A111" s="25"/>
      <c r="B111" s="72" t="s">
        <v>1247</v>
      </c>
      <c r="C111" s="26" t="s">
        <v>136</v>
      </c>
      <c r="D111" s="12" t="s">
        <v>780</v>
      </c>
      <c r="E111" s="30" t="s">
        <v>243</v>
      </c>
      <c r="F111" s="19"/>
      <c r="G111" s="19" t="s">
        <v>1440</v>
      </c>
      <c r="H111" s="32"/>
      <c r="I111" s="35"/>
      <c r="J111" s="34" t="s">
        <v>431</v>
      </c>
      <c r="K111" s="34" t="s">
        <v>134</v>
      </c>
      <c r="L111" s="34" t="s">
        <v>439</v>
      </c>
      <c r="O111" s="2"/>
    </row>
    <row r="112" spans="1:15" s="1" customFormat="1">
      <c r="A112" s="25"/>
      <c r="B112" s="72" t="s">
        <v>1251</v>
      </c>
      <c r="C112" s="26" t="s">
        <v>136</v>
      </c>
      <c r="D112" s="12" t="s">
        <v>784</v>
      </c>
      <c r="E112" s="30" t="s">
        <v>243</v>
      </c>
      <c r="F112" s="19"/>
      <c r="G112" s="19" t="s">
        <v>1442</v>
      </c>
      <c r="H112" s="32"/>
      <c r="I112" s="35"/>
      <c r="J112" s="34" t="s">
        <v>431</v>
      </c>
      <c r="K112" s="34" t="s">
        <v>134</v>
      </c>
      <c r="L112" s="34" t="s">
        <v>439</v>
      </c>
      <c r="O112" s="2"/>
    </row>
    <row r="113" spans="1:15" s="1" customFormat="1">
      <c r="A113" s="25"/>
      <c r="B113" s="72" t="s">
        <v>1261</v>
      </c>
      <c r="C113" s="26" t="s">
        <v>136</v>
      </c>
      <c r="D113" s="12" t="s">
        <v>794</v>
      </c>
      <c r="E113" s="30" t="s">
        <v>243</v>
      </c>
      <c r="F113" s="19"/>
      <c r="G113" s="19" t="s">
        <v>1447</v>
      </c>
      <c r="H113" s="32"/>
      <c r="I113" s="35"/>
      <c r="J113" s="34" t="s">
        <v>431</v>
      </c>
      <c r="K113" s="34" t="s">
        <v>134</v>
      </c>
      <c r="L113" s="34" t="s">
        <v>439</v>
      </c>
      <c r="O113" s="2"/>
    </row>
    <row r="114" spans="1:15" s="1" customFormat="1">
      <c r="A114" s="25"/>
      <c r="B114" s="72" t="s">
        <v>1265</v>
      </c>
      <c r="C114" s="26" t="s">
        <v>136</v>
      </c>
      <c r="D114" s="12" t="s">
        <v>798</v>
      </c>
      <c r="E114" s="30" t="s">
        <v>243</v>
      </c>
      <c r="F114" s="19"/>
      <c r="G114" s="19" t="s">
        <v>1449</v>
      </c>
      <c r="H114" s="32"/>
      <c r="I114" s="35"/>
      <c r="J114" s="34" t="s">
        <v>431</v>
      </c>
      <c r="K114" s="34" t="s">
        <v>134</v>
      </c>
      <c r="L114" s="34" t="s">
        <v>439</v>
      </c>
      <c r="O114" s="2"/>
    </row>
    <row r="115" spans="1:15" s="1" customFormat="1">
      <c r="A115" s="25"/>
      <c r="B115" s="72" t="s">
        <v>1253</v>
      </c>
      <c r="C115" s="26" t="s">
        <v>136</v>
      </c>
      <c r="D115" s="12" t="s">
        <v>786</v>
      </c>
      <c r="E115" s="30" t="s">
        <v>243</v>
      </c>
      <c r="F115" s="19"/>
      <c r="G115" s="19" t="s">
        <v>1443</v>
      </c>
      <c r="H115" s="32"/>
      <c r="I115" s="35"/>
      <c r="J115" s="34" t="s">
        <v>431</v>
      </c>
      <c r="K115" s="34" t="s">
        <v>134</v>
      </c>
      <c r="L115" s="34" t="s">
        <v>439</v>
      </c>
      <c r="O115" s="2"/>
    </row>
    <row r="116" spans="1:15" s="1" customFormat="1">
      <c r="A116" s="25"/>
      <c r="B116" s="72" t="s">
        <v>1259</v>
      </c>
      <c r="C116" s="26" t="s">
        <v>136</v>
      </c>
      <c r="D116" s="12" t="s">
        <v>792</v>
      </c>
      <c r="E116" s="30" t="s">
        <v>243</v>
      </c>
      <c r="F116" s="19"/>
      <c r="G116" s="19" t="s">
        <v>1446</v>
      </c>
      <c r="H116" s="32"/>
      <c r="I116" s="35"/>
      <c r="J116" s="34" t="s">
        <v>431</v>
      </c>
      <c r="K116" s="34" t="s">
        <v>134</v>
      </c>
      <c r="L116" s="34" t="s">
        <v>439</v>
      </c>
      <c r="O116" s="2"/>
    </row>
    <row r="117" spans="1:15" s="1" customFormat="1">
      <c r="A117" s="25"/>
      <c r="B117" s="72" t="s">
        <v>1263</v>
      </c>
      <c r="C117" s="26" t="s">
        <v>136</v>
      </c>
      <c r="D117" s="12" t="s">
        <v>796</v>
      </c>
      <c r="E117" s="30" t="s">
        <v>243</v>
      </c>
      <c r="F117" s="19"/>
      <c r="G117" s="19" t="s">
        <v>1448</v>
      </c>
      <c r="H117" s="32"/>
      <c r="I117" s="35"/>
      <c r="J117" s="34" t="s">
        <v>431</v>
      </c>
      <c r="K117" s="34" t="s">
        <v>134</v>
      </c>
      <c r="L117" s="34" t="s">
        <v>439</v>
      </c>
      <c r="O117" s="2"/>
    </row>
    <row r="118" spans="1:15" s="1" customFormat="1">
      <c r="A118" s="25"/>
      <c r="B118" s="72" t="s">
        <v>1267</v>
      </c>
      <c r="C118" s="26" t="s">
        <v>136</v>
      </c>
      <c r="D118" s="12" t="s">
        <v>800</v>
      </c>
      <c r="E118" s="30" t="s">
        <v>243</v>
      </c>
      <c r="F118" s="19"/>
      <c r="G118" s="19" t="s">
        <v>1450</v>
      </c>
      <c r="H118" s="32"/>
      <c r="I118" s="35"/>
      <c r="J118" s="34" t="s">
        <v>431</v>
      </c>
      <c r="K118" s="34" t="s">
        <v>134</v>
      </c>
      <c r="L118" s="34" t="s">
        <v>439</v>
      </c>
      <c r="O118" s="2"/>
    </row>
    <row r="119" spans="1:15" s="1" customFormat="1">
      <c r="A119" s="25"/>
      <c r="B119" s="72" t="s">
        <v>1272</v>
      </c>
      <c r="C119" s="26" t="s">
        <v>136</v>
      </c>
      <c r="D119" s="12" t="s">
        <v>1273</v>
      </c>
      <c r="E119" s="30" t="s">
        <v>243</v>
      </c>
      <c r="F119" s="19"/>
      <c r="G119" s="19" t="s">
        <v>1453</v>
      </c>
      <c r="H119" s="32"/>
      <c r="I119" s="35"/>
      <c r="J119" s="34" t="s">
        <v>431</v>
      </c>
      <c r="K119" s="34" t="s">
        <v>134</v>
      </c>
      <c r="L119" s="34" t="s">
        <v>439</v>
      </c>
      <c r="O119" s="2"/>
    </row>
    <row r="120" spans="1:15" s="4" customFormat="1">
      <c r="B120" s="50" t="s">
        <v>233</v>
      </c>
      <c r="C120" s="51" t="s">
        <v>139</v>
      </c>
      <c r="D120" s="50"/>
      <c r="E120" s="50"/>
      <c r="F120" s="50"/>
      <c r="G120" s="50"/>
      <c r="H120" s="50"/>
      <c r="I120" s="50"/>
      <c r="J120" s="50"/>
      <c r="K120" s="50"/>
      <c r="L120" s="50"/>
    </row>
    <row r="121" spans="1:15" s="4" customFormat="1">
      <c r="B121" s="50" t="s">
        <v>235</v>
      </c>
      <c r="C121" s="51" t="s">
        <v>132</v>
      </c>
      <c r="D121" s="50"/>
      <c r="E121" s="50"/>
      <c r="F121" s="50"/>
      <c r="G121" s="50"/>
      <c r="H121" s="50"/>
      <c r="I121" s="50"/>
      <c r="J121" s="50"/>
      <c r="K121" s="50"/>
      <c r="L121" s="50"/>
    </row>
  </sheetData>
  <autoFilter ref="A14:L121" xr:uid="{00000000-0009-0000-0000-00001D000000}"/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42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5" customWidth="1"/>
    <col min="2" max="2" width="23.6640625" style="5" customWidth="1"/>
    <col min="3" max="3" width="30.21875" style="5" customWidth="1"/>
    <col min="4" max="4" width="32.21875" style="5" customWidth="1"/>
    <col min="5" max="5" width="16.21875" style="5" customWidth="1"/>
    <col min="6" max="6" width="17.109375" style="5" customWidth="1"/>
    <col min="7" max="7" width="39.5546875" style="5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2:12">
      <c r="B1" s="7" t="str">
        <f>HYPERLINK("#导航!a2","返回")</f>
        <v>返回</v>
      </c>
    </row>
    <row r="2" spans="2:12">
      <c r="B2" s="156"/>
      <c r="C2" s="156"/>
      <c r="D2" s="156"/>
      <c r="E2" s="156"/>
      <c r="F2" s="156"/>
      <c r="G2" s="156"/>
      <c r="H2" s="156"/>
    </row>
    <row r="3" spans="2:12">
      <c r="B3" s="157" t="s">
        <v>106</v>
      </c>
      <c r="C3" s="157"/>
      <c r="D3" s="157"/>
      <c r="E3" s="157"/>
      <c r="F3" s="157"/>
      <c r="G3" s="157"/>
      <c r="H3" s="157"/>
    </row>
    <row r="4" spans="2:12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2:12">
      <c r="B5" s="11" t="s">
        <v>55</v>
      </c>
      <c r="C5" s="12" t="s">
        <v>2314</v>
      </c>
      <c r="D5" s="13" t="s">
        <v>100</v>
      </c>
      <c r="E5" s="14" t="s">
        <v>383</v>
      </c>
      <c r="F5" s="15"/>
      <c r="G5" s="14"/>
      <c r="H5" s="14"/>
    </row>
    <row r="6" spans="2:12">
      <c r="B6" s="8"/>
      <c r="C6" s="8"/>
      <c r="D6" s="8"/>
      <c r="E6" s="8"/>
      <c r="F6" s="8"/>
      <c r="G6" s="8"/>
      <c r="H6" s="8"/>
    </row>
    <row r="7" spans="2:12">
      <c r="B7" s="157" t="s">
        <v>113</v>
      </c>
      <c r="C7" s="157"/>
      <c r="D7" s="157"/>
      <c r="E7" s="157"/>
      <c r="F7" s="157"/>
      <c r="G7" s="157"/>
      <c r="H7" s="157"/>
    </row>
    <row r="8" spans="2:12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2:12">
      <c r="B9" s="14"/>
      <c r="C9" s="12" t="s">
        <v>2316</v>
      </c>
      <c r="D9" s="13" t="s">
        <v>96</v>
      </c>
      <c r="E9" s="14" t="s">
        <v>243</v>
      </c>
      <c r="F9" s="19"/>
      <c r="G9" s="19"/>
      <c r="H9" s="21" t="s">
        <v>38</v>
      </c>
    </row>
    <row r="10" spans="2:12">
      <c r="B10" s="14"/>
      <c r="C10" s="12"/>
      <c r="D10" s="12"/>
      <c r="E10" s="14"/>
      <c r="F10" s="19"/>
      <c r="G10" s="19"/>
      <c r="H10" s="14"/>
    </row>
    <row r="11" spans="2:12">
      <c r="G11" s="48"/>
    </row>
    <row r="12" spans="2:12">
      <c r="B12" s="5" t="s">
        <v>120</v>
      </c>
    </row>
    <row r="13" spans="2:12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2:12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2:12" s="2" customFormat="1">
      <c r="B15" s="49" t="s">
        <v>383</v>
      </c>
      <c r="C15" s="49" t="s">
        <v>132</v>
      </c>
      <c r="D15" s="12" t="str">
        <f>VLOOKUP(B15,'27'!B:L,3,0)</f>
        <v>日期</v>
      </c>
      <c r="E15" s="30"/>
      <c r="F15" s="19" t="s">
        <v>235</v>
      </c>
      <c r="G15" s="19" t="s">
        <v>250</v>
      </c>
      <c r="H15" s="32"/>
      <c r="I15" s="34"/>
      <c r="J15" s="34" t="s">
        <v>384</v>
      </c>
      <c r="K15" s="34" t="s">
        <v>134</v>
      </c>
      <c r="L15" s="34" t="s">
        <v>134</v>
      </c>
    </row>
    <row r="16" spans="2:12" s="2" customFormat="1">
      <c r="B16" s="49" t="s">
        <v>284</v>
      </c>
      <c r="C16" s="49" t="s">
        <v>132</v>
      </c>
      <c r="D16" s="12" t="str">
        <f>VLOOKUP(B16,'27'!B:L,3,0)</f>
        <v>小区唯一标识</v>
      </c>
      <c r="E16" s="30"/>
      <c r="F16" s="31" t="s">
        <v>284</v>
      </c>
      <c r="G16" s="19" t="s">
        <v>250</v>
      </c>
      <c r="H16" s="32"/>
      <c r="I16" s="34"/>
      <c r="J16" s="34" t="s">
        <v>384</v>
      </c>
      <c r="K16" s="34" t="s">
        <v>134</v>
      </c>
      <c r="L16" s="34" t="s">
        <v>134</v>
      </c>
    </row>
    <row r="17" spans="1:15" s="2" customFormat="1">
      <c r="A17" s="29"/>
      <c r="B17" s="49" t="s">
        <v>287</v>
      </c>
      <c r="C17" s="49" t="s">
        <v>136</v>
      </c>
      <c r="D17" s="12" t="str">
        <f>VLOOKUP(B17,'27'!B:L,3,0)</f>
        <v>频点</v>
      </c>
      <c r="E17" s="30"/>
      <c r="F17" s="31" t="s">
        <v>287</v>
      </c>
      <c r="G17" s="19" t="s">
        <v>250</v>
      </c>
      <c r="H17" s="32"/>
      <c r="I17" s="35"/>
      <c r="J17" s="34" t="s">
        <v>384</v>
      </c>
      <c r="K17" s="34" t="s">
        <v>134</v>
      </c>
      <c r="L17" s="34" t="s">
        <v>134</v>
      </c>
    </row>
    <row r="18" spans="1:15" s="2" customFormat="1">
      <c r="A18" s="29"/>
      <c r="B18" s="49" t="s">
        <v>273</v>
      </c>
      <c r="C18" s="49" t="s">
        <v>139</v>
      </c>
      <c r="D18" s="12" t="str">
        <f>VLOOKUP(B18,'27'!B:L,3,0)</f>
        <v>省编码</v>
      </c>
      <c r="E18" s="30"/>
      <c r="F18" s="31" t="s">
        <v>273</v>
      </c>
      <c r="G18" s="19" t="s">
        <v>250</v>
      </c>
      <c r="H18" s="32"/>
      <c r="I18" s="35"/>
      <c r="J18" s="34" t="s">
        <v>384</v>
      </c>
      <c r="K18" s="34" t="s">
        <v>134</v>
      </c>
      <c r="L18" s="34" t="s">
        <v>134</v>
      </c>
    </row>
    <row r="19" spans="1:15" s="2" customFormat="1">
      <c r="A19" s="29"/>
      <c r="B19" s="14" t="s">
        <v>385</v>
      </c>
      <c r="C19" s="14" t="s">
        <v>139</v>
      </c>
      <c r="D19" s="12" t="str">
        <f>VLOOKUP(B19,'27'!B:L,3,0)</f>
        <v>城市编码</v>
      </c>
      <c r="E19" s="30"/>
      <c r="F19" s="31" t="s">
        <v>385</v>
      </c>
      <c r="G19" s="19" t="s">
        <v>250</v>
      </c>
      <c r="H19" s="32"/>
      <c r="I19" s="35"/>
      <c r="J19" s="34" t="s">
        <v>384</v>
      </c>
      <c r="K19" s="34" t="s">
        <v>134</v>
      </c>
      <c r="L19" s="34" t="s">
        <v>134</v>
      </c>
    </row>
    <row r="20" spans="1:15" s="2" customFormat="1">
      <c r="A20" s="29"/>
      <c r="B20" s="14" t="s">
        <v>388</v>
      </c>
      <c r="C20" s="14" t="s">
        <v>139</v>
      </c>
      <c r="D20" s="12" t="str">
        <f>VLOOKUP(B20,'27'!B:L,3,0)</f>
        <v>区县编码</v>
      </c>
      <c r="E20" s="30"/>
      <c r="F20" s="31" t="s">
        <v>388</v>
      </c>
      <c r="G20" s="19" t="s">
        <v>250</v>
      </c>
      <c r="H20" s="32"/>
      <c r="I20" s="35"/>
      <c r="J20" s="34" t="s">
        <v>384</v>
      </c>
      <c r="K20" s="34" t="s">
        <v>134</v>
      </c>
      <c r="L20" s="34" t="s">
        <v>134</v>
      </c>
    </row>
    <row r="21" spans="1:15" s="2" customFormat="1">
      <c r="A21" s="29"/>
      <c r="B21" s="14" t="s">
        <v>141</v>
      </c>
      <c r="C21" s="14" t="s">
        <v>132</v>
      </c>
      <c r="D21" s="12" t="s">
        <v>143</v>
      </c>
      <c r="E21" s="30"/>
      <c r="F21" s="31" t="s">
        <v>141</v>
      </c>
      <c r="G21" s="19" t="s">
        <v>250</v>
      </c>
      <c r="H21" s="32"/>
      <c r="I21" s="35"/>
      <c r="J21" s="34" t="s">
        <v>384</v>
      </c>
      <c r="K21" s="34" t="s">
        <v>134</v>
      </c>
      <c r="L21" s="34" t="s">
        <v>134</v>
      </c>
    </row>
    <row r="22" spans="1:15" s="2" customFormat="1">
      <c r="A22" s="29"/>
      <c r="B22" s="14" t="s">
        <v>491</v>
      </c>
      <c r="C22" s="14" t="s">
        <v>139</v>
      </c>
      <c r="D22" s="12" t="str">
        <f>VLOOKUP(B22,'27'!B:L,3,0)</f>
        <v>频点所属制式</v>
      </c>
      <c r="E22" s="30"/>
      <c r="F22" s="31" t="s">
        <v>491</v>
      </c>
      <c r="G22" s="19" t="s">
        <v>250</v>
      </c>
      <c r="H22" s="32"/>
      <c r="I22" s="35"/>
      <c r="J22" s="34" t="s">
        <v>384</v>
      </c>
      <c r="K22" s="34" t="s">
        <v>134</v>
      </c>
      <c r="L22" s="34" t="s">
        <v>134</v>
      </c>
    </row>
    <row r="23" spans="1:15" s="2" customFormat="1">
      <c r="A23" s="29"/>
      <c r="B23" s="14" t="s">
        <v>227</v>
      </c>
      <c r="C23" s="14" t="s">
        <v>139</v>
      </c>
      <c r="D23" s="12" t="str">
        <f>VLOOKUP(B23,'27'!B:L,3,0)</f>
        <v>数据源类型
0：电信独享_电信用户
1：电信共享_电信用户
2：电信共享_联通用户
3：联通共享_电信用户
4：联通共享_联通用户</v>
      </c>
      <c r="E23" s="30"/>
      <c r="F23" s="31" t="s">
        <v>227</v>
      </c>
      <c r="G23" s="19" t="s">
        <v>250</v>
      </c>
      <c r="H23" s="32"/>
      <c r="I23" s="35"/>
      <c r="J23" s="34" t="s">
        <v>384</v>
      </c>
      <c r="K23" s="34" t="s">
        <v>134</v>
      </c>
      <c r="L23" s="34" t="s">
        <v>134</v>
      </c>
    </row>
    <row r="24" spans="1:15" s="2" customFormat="1" ht="26.4">
      <c r="A24" s="29"/>
      <c r="B24" s="49" t="s">
        <v>1867</v>
      </c>
      <c r="C24" s="49" t="s">
        <v>132</v>
      </c>
      <c r="D24" s="12" t="s">
        <v>1868</v>
      </c>
      <c r="E24" s="30"/>
      <c r="F24" s="31"/>
      <c r="G24" s="19" t="s">
        <v>1869</v>
      </c>
      <c r="H24" s="32"/>
      <c r="I24" s="35"/>
      <c r="J24" s="34" t="s">
        <v>384</v>
      </c>
      <c r="K24" s="34" t="s">
        <v>134</v>
      </c>
      <c r="L24" s="34" t="s">
        <v>134</v>
      </c>
    </row>
    <row r="25" spans="1:15" s="2" customFormat="1" ht="26.4">
      <c r="A25" s="29"/>
      <c r="B25" s="14" t="s">
        <v>1870</v>
      </c>
      <c r="C25" s="14" t="s">
        <v>132</v>
      </c>
      <c r="D25" s="12" t="s">
        <v>1871</v>
      </c>
      <c r="E25" s="30"/>
      <c r="F25" s="31"/>
      <c r="G25" s="19" t="s">
        <v>1872</v>
      </c>
      <c r="H25" s="32"/>
      <c r="I25" s="35"/>
      <c r="J25" s="34" t="s">
        <v>384</v>
      </c>
      <c r="K25" s="34" t="s">
        <v>134</v>
      </c>
      <c r="L25" s="34" t="s">
        <v>134</v>
      </c>
    </row>
    <row r="26" spans="1:15" s="2" customFormat="1">
      <c r="A26" s="29"/>
      <c r="B26" s="14" t="s">
        <v>820</v>
      </c>
      <c r="C26" s="14" t="s">
        <v>136</v>
      </c>
      <c r="D26" s="12" t="str">
        <f>VLOOKUP(B26,'27'!B:L,3,0)</f>
        <v>SS-RSRP计数</v>
      </c>
      <c r="E26" s="30"/>
      <c r="F26" s="31" t="s">
        <v>820</v>
      </c>
      <c r="G26" s="19" t="s">
        <v>1309</v>
      </c>
      <c r="H26" s="32"/>
      <c r="I26" s="35"/>
      <c r="J26" s="34" t="s">
        <v>431</v>
      </c>
      <c r="K26" s="34" t="s">
        <v>134</v>
      </c>
      <c r="L26" s="34" t="s">
        <v>439</v>
      </c>
    </row>
    <row r="27" spans="1:15" s="2" customFormat="1">
      <c r="A27" s="29"/>
      <c r="B27" s="14" t="s">
        <v>814</v>
      </c>
      <c r="C27" s="14" t="s">
        <v>136</v>
      </c>
      <c r="D27" s="12" t="str">
        <f>VLOOKUP(B27,'27'!B:L,3,0)</f>
        <v>总SS-RSRP值</v>
      </c>
      <c r="E27" s="30"/>
      <c r="F27" s="31" t="s">
        <v>814</v>
      </c>
      <c r="G27" s="19" t="s">
        <v>1307</v>
      </c>
      <c r="H27" s="32"/>
      <c r="I27" s="35"/>
      <c r="J27" s="34" t="s">
        <v>431</v>
      </c>
      <c r="K27" s="34" t="s">
        <v>134</v>
      </c>
      <c r="L27" s="34" t="s">
        <v>533</v>
      </c>
    </row>
    <row r="28" spans="1:15" s="2" customFormat="1">
      <c r="A28" s="29"/>
      <c r="B28" s="14" t="s">
        <v>817</v>
      </c>
      <c r="C28" s="14" t="s">
        <v>245</v>
      </c>
      <c r="D28" s="12" t="str">
        <f>VLOOKUP(B28,'27'!B:L,3,0)</f>
        <v>平均SS-RSRP值</v>
      </c>
      <c r="E28" s="30"/>
      <c r="F28" s="31" t="s">
        <v>817</v>
      </c>
      <c r="G28" s="19" t="s">
        <v>1308</v>
      </c>
      <c r="H28" s="32"/>
      <c r="I28" s="35"/>
      <c r="J28" s="34" t="s">
        <v>431</v>
      </c>
      <c r="K28" s="34" t="s">
        <v>134</v>
      </c>
      <c r="L28" s="34" t="s">
        <v>432</v>
      </c>
    </row>
    <row r="29" spans="1:15" s="2" customFormat="1">
      <c r="A29" s="29"/>
      <c r="B29" s="49" t="s">
        <v>948</v>
      </c>
      <c r="C29" s="49" t="s">
        <v>136</v>
      </c>
      <c r="D29" s="12" t="str">
        <f>VLOOKUP(B29,'27'!B:L,3,0)</f>
        <v>SS-RSRQ计数</v>
      </c>
      <c r="E29" s="30"/>
      <c r="F29" s="31" t="s">
        <v>948</v>
      </c>
      <c r="G29" s="19" t="s">
        <v>1344</v>
      </c>
      <c r="H29" s="32"/>
      <c r="I29" s="35"/>
      <c r="J29" s="34" t="s">
        <v>431</v>
      </c>
      <c r="K29" s="34" t="s">
        <v>134</v>
      </c>
      <c r="L29" s="34" t="s">
        <v>439</v>
      </c>
    </row>
    <row r="30" spans="1:15" s="2" customFormat="1">
      <c r="B30" s="49" t="s">
        <v>1103</v>
      </c>
      <c r="C30" s="49" t="s">
        <v>245</v>
      </c>
      <c r="D30" s="12" t="str">
        <f>VLOOKUP(B30,'27'!B:L,3,0)</f>
        <v>总SS-RSRQ值</v>
      </c>
      <c r="E30" s="30"/>
      <c r="F30" s="31" t="s">
        <v>1103</v>
      </c>
      <c r="G30" s="19" t="s">
        <v>1383</v>
      </c>
      <c r="H30" s="32"/>
      <c r="I30" s="35"/>
      <c r="J30" s="34" t="s">
        <v>431</v>
      </c>
      <c r="K30" s="34" t="s">
        <v>134</v>
      </c>
      <c r="L30" s="34" t="s">
        <v>610</v>
      </c>
    </row>
    <row r="31" spans="1:15" s="2" customFormat="1">
      <c r="B31" s="49" t="s">
        <v>1106</v>
      </c>
      <c r="C31" s="49" t="s">
        <v>245</v>
      </c>
      <c r="D31" s="12" t="str">
        <f>VLOOKUP(B31,'27'!B:L,3,0)</f>
        <v>平均SS-RSRQ值</v>
      </c>
      <c r="E31" s="30"/>
      <c r="F31" s="31" t="s">
        <v>1106</v>
      </c>
      <c r="G31" s="19" t="s">
        <v>1384</v>
      </c>
      <c r="H31" s="32"/>
      <c r="I31" s="35"/>
      <c r="J31" s="34" t="s">
        <v>431</v>
      </c>
      <c r="K31" s="34" t="s">
        <v>134</v>
      </c>
      <c r="L31" s="34" t="s">
        <v>579</v>
      </c>
    </row>
    <row r="32" spans="1:15" s="29" customFormat="1">
      <c r="B32" s="49" t="s">
        <v>1145</v>
      </c>
      <c r="C32" s="49" t="s">
        <v>136</v>
      </c>
      <c r="D32" s="12" t="str">
        <f>VLOOKUP(B32,'27'!B:L,3,0)</f>
        <v>SS-SINR计数</v>
      </c>
      <c r="E32" s="30"/>
      <c r="F32" s="31" t="s">
        <v>1145</v>
      </c>
      <c r="G32" s="19" t="s">
        <v>1399</v>
      </c>
      <c r="H32" s="32"/>
      <c r="I32" s="35"/>
      <c r="J32" s="34" t="s">
        <v>431</v>
      </c>
      <c r="K32" s="34" t="s">
        <v>134</v>
      </c>
      <c r="L32" s="34" t="s">
        <v>439</v>
      </c>
      <c r="O32" s="2"/>
    </row>
    <row r="33" spans="1:15" s="29" customFormat="1">
      <c r="B33" s="49" t="s">
        <v>1147</v>
      </c>
      <c r="C33" s="49" t="s">
        <v>245</v>
      </c>
      <c r="D33" s="12" t="str">
        <f>VLOOKUP(B33,'27'!B:L,3,0)</f>
        <v>总SS-SINR值</v>
      </c>
      <c r="E33" s="30"/>
      <c r="F33" s="31" t="s">
        <v>1147</v>
      </c>
      <c r="G33" s="19" t="s">
        <v>1400</v>
      </c>
      <c r="H33" s="32"/>
      <c r="I33" s="35"/>
      <c r="J33" s="34" t="s">
        <v>431</v>
      </c>
      <c r="K33" s="34" t="s">
        <v>134</v>
      </c>
      <c r="L33" s="34" t="s">
        <v>610</v>
      </c>
      <c r="O33" s="2"/>
    </row>
    <row r="34" spans="1:15" s="1" customFormat="1">
      <c r="A34" s="25"/>
      <c r="B34" s="26" t="s">
        <v>1149</v>
      </c>
      <c r="C34" s="26" t="s">
        <v>245</v>
      </c>
      <c r="D34" s="12" t="str">
        <f>VLOOKUP(B34,'27'!B:L,3,0)</f>
        <v>平均SS-SINR值</v>
      </c>
      <c r="E34" s="30"/>
      <c r="F34" s="31" t="s">
        <v>1149</v>
      </c>
      <c r="G34" s="19" t="s">
        <v>1401</v>
      </c>
      <c r="H34" s="32"/>
      <c r="I34" s="35"/>
      <c r="J34" s="34" t="s">
        <v>431</v>
      </c>
      <c r="K34" s="34" t="s">
        <v>134</v>
      </c>
      <c r="L34" s="34" t="s">
        <v>615</v>
      </c>
      <c r="O34" s="2"/>
    </row>
    <row r="35" spans="1:15" s="2" customFormat="1">
      <c r="A35" s="29"/>
      <c r="B35" s="14" t="s">
        <v>904</v>
      </c>
      <c r="C35" s="14" t="s">
        <v>136</v>
      </c>
      <c r="D35" s="12" t="str">
        <f>VLOOKUP(B35,'27'!B:L,3,0)</f>
        <v>弱覆盖MR总数</v>
      </c>
      <c r="E35" s="30"/>
      <c r="F35" s="31" t="s">
        <v>904</v>
      </c>
      <c r="G35" s="19" t="s">
        <v>1332</v>
      </c>
      <c r="H35" s="32"/>
      <c r="I35" s="35"/>
      <c r="J35" s="34" t="s">
        <v>431</v>
      </c>
      <c r="K35" s="34" t="s">
        <v>134</v>
      </c>
      <c r="L35" s="34" t="s">
        <v>439</v>
      </c>
    </row>
    <row r="36" spans="1:15" s="29" customFormat="1">
      <c r="B36" s="49" t="s">
        <v>910</v>
      </c>
      <c r="C36" s="49" t="s">
        <v>900</v>
      </c>
      <c r="D36" s="12" t="str">
        <f>VLOOKUP(B36,'27'!B:L,3,0)</f>
        <v>弱覆盖MR比例</v>
      </c>
      <c r="E36" s="30"/>
      <c r="F36" s="31" t="s">
        <v>910</v>
      </c>
      <c r="G36" s="19" t="s">
        <v>1334</v>
      </c>
      <c r="H36" s="32"/>
      <c r="I36" s="35"/>
      <c r="J36" s="34" t="s">
        <v>431</v>
      </c>
      <c r="K36" s="34" t="s">
        <v>134</v>
      </c>
      <c r="L36" s="34" t="s">
        <v>568</v>
      </c>
      <c r="O36" s="2"/>
    </row>
    <row r="37" spans="1:15" s="29" customFormat="1">
      <c r="B37" s="49" t="s">
        <v>915</v>
      </c>
      <c r="C37" s="49" t="s">
        <v>136</v>
      </c>
      <c r="D37" s="12" t="str">
        <f>VLOOKUP(B37,'27'!B:L,3,0)</f>
        <v>重叠覆盖MR总数</v>
      </c>
      <c r="E37" s="30"/>
      <c r="F37" s="31" t="s">
        <v>915</v>
      </c>
      <c r="G37" s="19" t="s">
        <v>1335</v>
      </c>
      <c r="H37" s="32"/>
      <c r="I37" s="35"/>
      <c r="J37" s="34" t="s">
        <v>431</v>
      </c>
      <c r="K37" s="34" t="s">
        <v>134</v>
      </c>
      <c r="L37" s="34" t="s">
        <v>439</v>
      </c>
      <c r="O37" s="2"/>
    </row>
    <row r="38" spans="1:15" s="29" customFormat="1">
      <c r="B38" s="49" t="s">
        <v>921</v>
      </c>
      <c r="C38" s="49" t="s">
        <v>900</v>
      </c>
      <c r="D38" s="12" t="str">
        <f>VLOOKUP(B38,'27'!B:L,3,0)</f>
        <v>重叠覆盖MR比例</v>
      </c>
      <c r="E38" s="30"/>
      <c r="F38" s="31" t="s">
        <v>921</v>
      </c>
      <c r="G38" s="19" t="s">
        <v>1337</v>
      </c>
      <c r="H38" s="32"/>
      <c r="I38" s="35"/>
      <c r="J38" s="34" t="s">
        <v>431</v>
      </c>
      <c r="K38" s="34" t="s">
        <v>134</v>
      </c>
      <c r="L38" s="34" t="s">
        <v>568</v>
      </c>
      <c r="O38" s="2"/>
    </row>
    <row r="39" spans="1:15" s="29" customFormat="1">
      <c r="B39" s="49" t="s">
        <v>927</v>
      </c>
      <c r="C39" s="55" t="s">
        <v>136</v>
      </c>
      <c r="D39" s="12" t="str">
        <f>VLOOKUP(B39,'27'!B:L,3,0)</f>
        <v>过覆盖MR总数</v>
      </c>
      <c r="E39" s="30"/>
      <c r="F39" s="31" t="s">
        <v>927</v>
      </c>
      <c r="G39" s="19" t="s">
        <v>1338</v>
      </c>
      <c r="H39" s="32"/>
      <c r="I39" s="35"/>
      <c r="J39" s="34" t="s">
        <v>431</v>
      </c>
      <c r="K39" s="34" t="s">
        <v>134</v>
      </c>
      <c r="L39" s="34" t="s">
        <v>439</v>
      </c>
      <c r="O39" s="2"/>
    </row>
    <row r="40" spans="1:15" s="5" customFormat="1">
      <c r="B40" s="49" t="s">
        <v>933</v>
      </c>
      <c r="C40" s="55" t="s">
        <v>900</v>
      </c>
      <c r="D40" s="12" t="str">
        <f>VLOOKUP(B40,'27'!B:L,3,0)</f>
        <v>过覆盖MR比例</v>
      </c>
      <c r="E40" s="30"/>
      <c r="F40" s="31" t="s">
        <v>933</v>
      </c>
      <c r="G40" s="19" t="s">
        <v>1619</v>
      </c>
      <c r="H40" s="32"/>
      <c r="I40" s="35"/>
      <c r="J40" s="34" t="s">
        <v>431</v>
      </c>
      <c r="K40" s="34" t="s">
        <v>134</v>
      </c>
      <c r="L40" s="34" t="s">
        <v>568</v>
      </c>
      <c r="O40" s="2"/>
    </row>
    <row r="41" spans="1:15" s="4" customFormat="1">
      <c r="B41" s="50" t="s">
        <v>233</v>
      </c>
      <c r="C41" s="51" t="s">
        <v>139</v>
      </c>
      <c r="D41" s="50" t="str">
        <f>VLOOKUP(B41,'27'!B:L,3,0)</f>
        <v>省分区</v>
      </c>
      <c r="E41" s="50"/>
      <c r="F41" s="50"/>
      <c r="G41" s="50"/>
      <c r="H41" s="50"/>
      <c r="I41" s="50"/>
      <c r="J41" s="50"/>
      <c r="K41" s="50"/>
      <c r="L41" s="50"/>
    </row>
    <row r="42" spans="1:15" s="4" customFormat="1">
      <c r="B42" s="50" t="s">
        <v>235</v>
      </c>
      <c r="C42" s="51" t="s">
        <v>132</v>
      </c>
      <c r="D42" s="50" t="str">
        <f>VLOOKUP(B42,'27'!B:L,3,0)</f>
        <v>天分区</v>
      </c>
      <c r="E42" s="50"/>
      <c r="F42" s="50"/>
      <c r="G42" s="50"/>
      <c r="H42" s="50"/>
      <c r="I42" s="50"/>
      <c r="J42" s="50"/>
      <c r="K42" s="50"/>
      <c r="L42" s="50"/>
    </row>
  </sheetData>
  <autoFilter ref="A14:L42" xr:uid="{00000000-0009-0000-0000-00001E000000}"/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1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5" customWidth="1"/>
    <col min="2" max="2" width="23.6640625" style="5" customWidth="1"/>
    <col min="3" max="3" width="30.21875" style="5" customWidth="1"/>
    <col min="4" max="4" width="32.21875" style="5" customWidth="1"/>
    <col min="5" max="5" width="16.21875" style="5" customWidth="1"/>
    <col min="6" max="6" width="17.109375" style="5" customWidth="1"/>
    <col min="7" max="7" width="39.5546875" style="5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2:12">
      <c r="B1" s="7" t="str">
        <f>HYPERLINK("#导航!a2","返回")</f>
        <v>返回</v>
      </c>
    </row>
    <row r="2" spans="2:12">
      <c r="B2" s="156"/>
      <c r="C2" s="156"/>
      <c r="D2" s="156"/>
      <c r="E2" s="156"/>
      <c r="F2" s="156"/>
      <c r="G2" s="156"/>
      <c r="H2" s="156"/>
    </row>
    <row r="3" spans="2:12">
      <c r="B3" s="157" t="s">
        <v>106</v>
      </c>
      <c r="C3" s="157"/>
      <c r="D3" s="157"/>
      <c r="E3" s="157"/>
      <c r="F3" s="157"/>
      <c r="G3" s="157"/>
      <c r="H3" s="157"/>
    </row>
    <row r="4" spans="2:12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2:12">
      <c r="B5" s="11" t="s">
        <v>55</v>
      </c>
      <c r="C5" s="12" t="s">
        <v>2326</v>
      </c>
      <c r="D5" s="13" t="s">
        <v>101</v>
      </c>
      <c r="E5" s="14" t="s">
        <v>383</v>
      </c>
      <c r="F5" s="15"/>
      <c r="G5" s="14"/>
      <c r="H5" s="14"/>
    </row>
    <row r="6" spans="2:12">
      <c r="B6" s="8"/>
      <c r="C6" s="8"/>
      <c r="D6" s="8"/>
      <c r="E6" s="8"/>
      <c r="F6" s="8"/>
      <c r="G6" s="8"/>
      <c r="H6" s="8"/>
    </row>
    <row r="7" spans="2:12">
      <c r="B7" s="157" t="s">
        <v>113</v>
      </c>
      <c r="C7" s="157"/>
      <c r="D7" s="157"/>
      <c r="E7" s="157"/>
      <c r="F7" s="157"/>
      <c r="G7" s="157"/>
      <c r="H7" s="157"/>
    </row>
    <row r="8" spans="2:12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2:12">
      <c r="B9" s="14"/>
      <c r="C9" s="12" t="s">
        <v>2317</v>
      </c>
      <c r="D9" s="12" t="s">
        <v>96</v>
      </c>
      <c r="E9" s="14" t="s">
        <v>243</v>
      </c>
      <c r="F9" s="19"/>
      <c r="G9" s="19"/>
      <c r="H9" s="21" t="s">
        <v>38</v>
      </c>
    </row>
    <row r="10" spans="2:12">
      <c r="B10" s="14"/>
      <c r="C10" s="12"/>
      <c r="D10" s="12"/>
      <c r="E10" s="14"/>
      <c r="F10" s="19"/>
      <c r="G10" s="19"/>
      <c r="H10" s="14"/>
    </row>
    <row r="11" spans="2:12">
      <c r="G11" s="48"/>
    </row>
    <row r="12" spans="2:12">
      <c r="B12" s="5" t="s">
        <v>120</v>
      </c>
    </row>
    <row r="13" spans="2:12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2:12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2:12" s="2" customFormat="1">
      <c r="B15" s="49" t="s">
        <v>383</v>
      </c>
      <c r="C15" s="49" t="s">
        <v>132</v>
      </c>
      <c r="D15" s="12" t="s">
        <v>480</v>
      </c>
      <c r="E15" s="30" t="s">
        <v>243</v>
      </c>
      <c r="F15" s="19" t="s">
        <v>235</v>
      </c>
      <c r="G15" s="19" t="s">
        <v>250</v>
      </c>
      <c r="H15" s="32"/>
      <c r="I15" s="34"/>
      <c r="J15" s="34" t="s">
        <v>384</v>
      </c>
      <c r="K15" s="34" t="s">
        <v>134</v>
      </c>
      <c r="L15" s="34" t="s">
        <v>134</v>
      </c>
    </row>
    <row r="16" spans="2:12" s="2" customFormat="1">
      <c r="B16" s="49" t="s">
        <v>141</v>
      </c>
      <c r="C16" s="49" t="s">
        <v>132</v>
      </c>
      <c r="D16" s="12" t="s">
        <v>143</v>
      </c>
      <c r="E16" s="30" t="s">
        <v>243</v>
      </c>
      <c r="F16" s="19" t="s">
        <v>141</v>
      </c>
      <c r="G16" s="19" t="s">
        <v>250</v>
      </c>
      <c r="H16" s="32"/>
      <c r="I16" s="34"/>
      <c r="J16" s="34" t="s">
        <v>384</v>
      </c>
      <c r="K16" s="34" t="s">
        <v>134</v>
      </c>
      <c r="L16" s="34" t="s">
        <v>134</v>
      </c>
    </row>
    <row r="17" spans="1:15" s="2" customFormat="1">
      <c r="A17" s="29"/>
      <c r="B17" s="49" t="s">
        <v>211</v>
      </c>
      <c r="C17" s="49" t="s">
        <v>139</v>
      </c>
      <c r="D17" s="12" t="s">
        <v>810</v>
      </c>
      <c r="E17" s="30" t="s">
        <v>243</v>
      </c>
      <c r="F17" s="19" t="s">
        <v>211</v>
      </c>
      <c r="G17" s="19" t="s">
        <v>250</v>
      </c>
      <c r="H17" s="32"/>
      <c r="I17" s="35"/>
      <c r="J17" s="34" t="s">
        <v>384</v>
      </c>
      <c r="K17" s="34" t="s">
        <v>134</v>
      </c>
      <c r="L17" s="34" t="s">
        <v>134</v>
      </c>
    </row>
    <row r="18" spans="1:15" s="2" customFormat="1">
      <c r="A18" s="29"/>
      <c r="B18" s="49" t="s">
        <v>371</v>
      </c>
      <c r="C18" s="49" t="s">
        <v>139</v>
      </c>
      <c r="D18" s="12" t="s">
        <v>497</v>
      </c>
      <c r="E18" s="30" t="s">
        <v>243</v>
      </c>
      <c r="F18" s="19" t="s">
        <v>371</v>
      </c>
      <c r="G18" s="19" t="s">
        <v>250</v>
      </c>
      <c r="H18" s="32"/>
      <c r="I18" s="35"/>
      <c r="J18" s="34" t="s">
        <v>384</v>
      </c>
      <c r="K18" s="34" t="s">
        <v>134</v>
      </c>
      <c r="L18" s="34" t="s">
        <v>134</v>
      </c>
    </row>
    <row r="19" spans="1:15" s="2" customFormat="1">
      <c r="A19" s="29"/>
      <c r="B19" s="14" t="s">
        <v>373</v>
      </c>
      <c r="C19" s="14" t="s">
        <v>139</v>
      </c>
      <c r="D19" s="12" t="s">
        <v>498</v>
      </c>
      <c r="E19" s="30" t="s">
        <v>243</v>
      </c>
      <c r="F19" s="19" t="s">
        <v>373</v>
      </c>
      <c r="G19" s="19" t="s">
        <v>250</v>
      </c>
      <c r="H19" s="32"/>
      <c r="I19" s="35"/>
      <c r="J19" s="34" t="s">
        <v>384</v>
      </c>
      <c r="K19" s="34" t="s">
        <v>134</v>
      </c>
      <c r="L19" s="34" t="s">
        <v>134</v>
      </c>
    </row>
    <row r="20" spans="1:15" s="2" customFormat="1">
      <c r="A20" s="29"/>
      <c r="B20" s="14" t="s">
        <v>273</v>
      </c>
      <c r="C20" s="14" t="s">
        <v>139</v>
      </c>
      <c r="D20" s="12" t="s">
        <v>274</v>
      </c>
      <c r="E20" s="30" t="s">
        <v>243</v>
      </c>
      <c r="F20" s="19" t="s">
        <v>273</v>
      </c>
      <c r="G20" s="19" t="s">
        <v>250</v>
      </c>
      <c r="H20" s="32"/>
      <c r="I20" s="35"/>
      <c r="J20" s="34" t="s">
        <v>384</v>
      </c>
      <c r="K20" s="34" t="s">
        <v>134</v>
      </c>
      <c r="L20" s="34" t="s">
        <v>134</v>
      </c>
    </row>
    <row r="21" spans="1:15" s="2" customFormat="1">
      <c r="A21" s="29"/>
      <c r="B21" s="14" t="s">
        <v>385</v>
      </c>
      <c r="C21" s="14" t="s">
        <v>139</v>
      </c>
      <c r="D21" s="12" t="s">
        <v>487</v>
      </c>
      <c r="E21" s="30" t="s">
        <v>243</v>
      </c>
      <c r="F21" s="19" t="s">
        <v>385</v>
      </c>
      <c r="G21" s="19" t="s">
        <v>250</v>
      </c>
      <c r="H21" s="32"/>
      <c r="I21" s="35"/>
      <c r="J21" s="34" t="s">
        <v>384</v>
      </c>
      <c r="K21" s="34" t="s">
        <v>134</v>
      </c>
      <c r="L21" s="34" t="s">
        <v>134</v>
      </c>
    </row>
    <row r="22" spans="1:15" s="2" customFormat="1">
      <c r="A22" s="29"/>
      <c r="B22" s="14" t="s">
        <v>388</v>
      </c>
      <c r="C22" s="14" t="s">
        <v>139</v>
      </c>
      <c r="D22" s="12" t="s">
        <v>488</v>
      </c>
      <c r="E22" s="30" t="s">
        <v>243</v>
      </c>
      <c r="F22" s="19" t="s">
        <v>388</v>
      </c>
      <c r="G22" s="19" t="s">
        <v>250</v>
      </c>
      <c r="H22" s="32"/>
      <c r="I22" s="35"/>
      <c r="J22" s="34" t="s">
        <v>384</v>
      </c>
      <c r="K22" s="34" t="s">
        <v>134</v>
      </c>
      <c r="L22" s="34" t="s">
        <v>134</v>
      </c>
    </row>
    <row r="23" spans="1:15" s="2" customFormat="1">
      <c r="A23" s="29"/>
      <c r="B23" s="14" t="s">
        <v>1058</v>
      </c>
      <c r="C23" s="14" t="s">
        <v>245</v>
      </c>
      <c r="D23" s="12" t="s">
        <v>513</v>
      </c>
      <c r="E23" s="30" t="s">
        <v>243</v>
      </c>
      <c r="F23" s="19"/>
      <c r="G23" s="19" t="s">
        <v>1368</v>
      </c>
      <c r="H23" s="32"/>
      <c r="I23" s="35"/>
      <c r="J23" s="34" t="s">
        <v>431</v>
      </c>
      <c r="K23" s="34" t="s">
        <v>134</v>
      </c>
      <c r="L23" s="34" t="s">
        <v>439</v>
      </c>
    </row>
    <row r="24" spans="1:15" s="2" customFormat="1">
      <c r="A24" s="29"/>
      <c r="B24" s="49" t="s">
        <v>1060</v>
      </c>
      <c r="C24" s="49" t="s">
        <v>245</v>
      </c>
      <c r="D24" s="12" t="s">
        <v>516</v>
      </c>
      <c r="E24" s="30" t="s">
        <v>243</v>
      </c>
      <c r="F24" s="19"/>
      <c r="G24" s="19" t="s">
        <v>1369</v>
      </c>
      <c r="H24" s="32"/>
      <c r="I24" s="35"/>
      <c r="J24" s="34" t="s">
        <v>431</v>
      </c>
      <c r="K24" s="34" t="s">
        <v>134</v>
      </c>
      <c r="L24" s="34" t="s">
        <v>439</v>
      </c>
    </row>
    <row r="25" spans="1:15" s="2" customFormat="1">
      <c r="A25" s="29"/>
      <c r="B25" s="14" t="s">
        <v>499</v>
      </c>
      <c r="C25" s="14" t="s">
        <v>245</v>
      </c>
      <c r="D25" s="12" t="s">
        <v>500</v>
      </c>
      <c r="E25" s="30" t="s">
        <v>243</v>
      </c>
      <c r="F25" s="19" t="s">
        <v>499</v>
      </c>
      <c r="G25" s="19" t="s">
        <v>250</v>
      </c>
      <c r="H25" s="32"/>
      <c r="I25" s="35"/>
      <c r="J25" s="34" t="s">
        <v>384</v>
      </c>
      <c r="K25" s="34" t="s">
        <v>134</v>
      </c>
      <c r="L25" s="34" t="s">
        <v>134</v>
      </c>
    </row>
    <row r="26" spans="1:15" s="2" customFormat="1">
      <c r="A26" s="29"/>
      <c r="B26" s="14" t="s">
        <v>502</v>
      </c>
      <c r="C26" s="14" t="s">
        <v>245</v>
      </c>
      <c r="D26" s="12" t="s">
        <v>503</v>
      </c>
      <c r="E26" s="30" t="s">
        <v>243</v>
      </c>
      <c r="F26" s="19" t="s">
        <v>502</v>
      </c>
      <c r="G26" s="19" t="s">
        <v>250</v>
      </c>
      <c r="H26" s="32"/>
      <c r="I26" s="35"/>
      <c r="J26" s="34" t="s">
        <v>384</v>
      </c>
      <c r="K26" s="34" t="s">
        <v>134</v>
      </c>
      <c r="L26" s="34" t="s">
        <v>134</v>
      </c>
    </row>
    <row r="27" spans="1:15" s="2" customFormat="1">
      <c r="A27" s="29"/>
      <c r="B27" s="14" t="s">
        <v>1062</v>
      </c>
      <c r="C27" s="14" t="s">
        <v>136</v>
      </c>
      <c r="D27" s="12" t="s">
        <v>519</v>
      </c>
      <c r="E27" s="30"/>
      <c r="F27" s="31"/>
      <c r="G27" s="19" t="s">
        <v>1370</v>
      </c>
      <c r="H27" s="32"/>
      <c r="I27" s="35"/>
      <c r="J27" s="34" t="s">
        <v>431</v>
      </c>
      <c r="K27" s="34" t="s">
        <v>134</v>
      </c>
      <c r="L27" s="34" t="s">
        <v>439</v>
      </c>
    </row>
    <row r="28" spans="1:15" s="2" customFormat="1">
      <c r="A28" s="29"/>
      <c r="B28" s="14" t="s">
        <v>936</v>
      </c>
      <c r="C28" s="14" t="s">
        <v>136</v>
      </c>
      <c r="D28" s="12" t="s">
        <v>1586</v>
      </c>
      <c r="E28" s="30"/>
      <c r="F28" s="31"/>
      <c r="G28" s="19" t="s">
        <v>1340</v>
      </c>
      <c r="H28" s="32"/>
      <c r="I28" s="35"/>
      <c r="J28" s="34" t="s">
        <v>431</v>
      </c>
      <c r="K28" s="34" t="s">
        <v>134</v>
      </c>
      <c r="L28" s="34" t="s">
        <v>439</v>
      </c>
    </row>
    <row r="29" spans="1:15" s="2" customFormat="1">
      <c r="A29" s="29"/>
      <c r="B29" s="49" t="s">
        <v>939</v>
      </c>
      <c r="C29" s="49" t="s">
        <v>136</v>
      </c>
      <c r="D29" s="12" t="s">
        <v>1587</v>
      </c>
      <c r="E29" s="30"/>
      <c r="F29" s="31"/>
      <c r="G29" s="19" t="s">
        <v>1341</v>
      </c>
      <c r="H29" s="32"/>
      <c r="I29" s="35"/>
      <c r="J29" s="34" t="s">
        <v>431</v>
      </c>
      <c r="K29" s="34" t="s">
        <v>134</v>
      </c>
      <c r="L29" s="34" t="s">
        <v>439</v>
      </c>
    </row>
    <row r="30" spans="1:15" s="2" customFormat="1">
      <c r="B30" s="49" t="s">
        <v>942</v>
      </c>
      <c r="C30" s="49" t="s">
        <v>245</v>
      </c>
      <c r="D30" s="12" t="s">
        <v>1588</v>
      </c>
      <c r="E30" s="30"/>
      <c r="F30" s="31"/>
      <c r="G30" s="19" t="s">
        <v>1342</v>
      </c>
      <c r="H30" s="32"/>
      <c r="I30" s="35"/>
      <c r="J30" s="34" t="s">
        <v>431</v>
      </c>
      <c r="K30" s="34" t="s">
        <v>134</v>
      </c>
      <c r="L30" s="34" t="s">
        <v>439</v>
      </c>
    </row>
    <row r="31" spans="1:15" s="2" customFormat="1">
      <c r="B31" s="49" t="s">
        <v>811</v>
      </c>
      <c r="C31" s="49" t="s">
        <v>136</v>
      </c>
      <c r="D31" s="12" t="s">
        <v>1589</v>
      </c>
      <c r="E31" s="30"/>
      <c r="F31" s="31"/>
      <c r="G31" s="19" t="s">
        <v>1306</v>
      </c>
      <c r="H31" s="32"/>
      <c r="I31" s="35"/>
      <c r="J31" s="34" t="s">
        <v>431</v>
      </c>
      <c r="K31" s="34" t="s">
        <v>134</v>
      </c>
      <c r="L31" s="34" t="s">
        <v>439</v>
      </c>
    </row>
    <row r="32" spans="1:15" s="29" customFormat="1">
      <c r="B32" s="49" t="s">
        <v>1064</v>
      </c>
      <c r="C32" s="49" t="s">
        <v>136</v>
      </c>
      <c r="D32" s="12" t="s">
        <v>1590</v>
      </c>
      <c r="E32" s="30"/>
      <c r="F32" s="31"/>
      <c r="G32" s="19" t="s">
        <v>1066</v>
      </c>
      <c r="H32" s="32"/>
      <c r="I32" s="35"/>
      <c r="J32" s="34" t="s">
        <v>431</v>
      </c>
      <c r="K32" s="34" t="s">
        <v>134</v>
      </c>
      <c r="L32" s="40">
        <v>0</v>
      </c>
      <c r="O32" s="2"/>
    </row>
    <row r="33" spans="1:15" s="29" customFormat="1">
      <c r="B33" s="49" t="s">
        <v>1067</v>
      </c>
      <c r="C33" s="49" t="s">
        <v>136</v>
      </c>
      <c r="D33" s="12" t="s">
        <v>1591</v>
      </c>
      <c r="E33" s="30"/>
      <c r="F33" s="31"/>
      <c r="G33" s="19" t="s">
        <v>1066</v>
      </c>
      <c r="H33" s="32"/>
      <c r="I33" s="35"/>
      <c r="J33" s="34" t="s">
        <v>431</v>
      </c>
      <c r="K33" s="34" t="s">
        <v>134</v>
      </c>
      <c r="L33" s="40">
        <v>0</v>
      </c>
      <c r="O33" s="2"/>
    </row>
    <row r="34" spans="1:15" s="1" customFormat="1">
      <c r="A34" s="25"/>
      <c r="B34" s="26" t="s">
        <v>820</v>
      </c>
      <c r="C34" s="26" t="s">
        <v>136</v>
      </c>
      <c r="D34" s="12" t="s">
        <v>821</v>
      </c>
      <c r="E34" s="30"/>
      <c r="F34" s="31"/>
      <c r="G34" s="19" t="s">
        <v>1309</v>
      </c>
      <c r="H34" s="32"/>
      <c r="I34" s="35"/>
      <c r="J34" s="34" t="s">
        <v>431</v>
      </c>
      <c r="K34" s="34" t="s">
        <v>134</v>
      </c>
      <c r="L34" s="34" t="s">
        <v>439</v>
      </c>
      <c r="O34" s="2"/>
    </row>
    <row r="35" spans="1:15" s="2" customFormat="1">
      <c r="A35" s="29"/>
      <c r="B35" s="14" t="s">
        <v>814</v>
      </c>
      <c r="C35" s="14" t="s">
        <v>136</v>
      </c>
      <c r="D35" s="12" t="s">
        <v>815</v>
      </c>
      <c r="E35" s="30"/>
      <c r="F35" s="31"/>
      <c r="G35" s="19" t="s">
        <v>1307</v>
      </c>
      <c r="H35" s="32"/>
      <c r="I35" s="35"/>
      <c r="J35" s="34" t="s">
        <v>431</v>
      </c>
      <c r="K35" s="34" t="s">
        <v>134</v>
      </c>
      <c r="L35" s="34" t="s">
        <v>533</v>
      </c>
    </row>
    <row r="36" spans="1:15" s="29" customFormat="1">
      <c r="B36" s="49" t="s">
        <v>817</v>
      </c>
      <c r="C36" s="49" t="s">
        <v>245</v>
      </c>
      <c r="D36" s="12" t="s">
        <v>818</v>
      </c>
      <c r="E36" s="30"/>
      <c r="F36" s="31"/>
      <c r="G36" s="19" t="s">
        <v>1308</v>
      </c>
      <c r="H36" s="30"/>
      <c r="I36" s="35"/>
      <c r="J36" s="34" t="s">
        <v>431</v>
      </c>
      <c r="K36" s="34" t="s">
        <v>134</v>
      </c>
      <c r="L36" s="34" t="s">
        <v>432</v>
      </c>
      <c r="O36" s="2"/>
    </row>
    <row r="37" spans="1:15" s="29" customFormat="1">
      <c r="B37" s="49" t="s">
        <v>823</v>
      </c>
      <c r="C37" s="49" t="s">
        <v>136</v>
      </c>
      <c r="D37" s="12" t="s">
        <v>1070</v>
      </c>
      <c r="E37" s="30"/>
      <c r="F37" s="31"/>
      <c r="G37" s="19" t="s">
        <v>1310</v>
      </c>
      <c r="H37" s="32"/>
      <c r="I37" s="35"/>
      <c r="J37" s="34" t="s">
        <v>431</v>
      </c>
      <c r="K37" s="34" t="s">
        <v>134</v>
      </c>
      <c r="L37" s="34" t="s">
        <v>439</v>
      </c>
      <c r="O37" s="2"/>
    </row>
    <row r="38" spans="1:15" s="29" customFormat="1">
      <c r="B38" s="49" t="s">
        <v>826</v>
      </c>
      <c r="C38" s="49" t="s">
        <v>136</v>
      </c>
      <c r="D38" s="12" t="s">
        <v>1073</v>
      </c>
      <c r="E38" s="30"/>
      <c r="F38" s="31"/>
      <c r="G38" s="19" t="s">
        <v>1311</v>
      </c>
      <c r="H38" s="32"/>
      <c r="I38" s="35"/>
      <c r="J38" s="34" t="s">
        <v>431</v>
      </c>
      <c r="K38" s="34" t="s">
        <v>134</v>
      </c>
      <c r="L38" s="34" t="s">
        <v>439</v>
      </c>
      <c r="O38" s="2"/>
    </row>
    <row r="39" spans="1:15" s="29" customFormat="1">
      <c r="B39" s="49" t="s">
        <v>829</v>
      </c>
      <c r="C39" s="55" t="s">
        <v>136</v>
      </c>
      <c r="D39" s="12" t="s">
        <v>1076</v>
      </c>
      <c r="E39" s="30"/>
      <c r="F39" s="31"/>
      <c r="G39" s="19" t="s">
        <v>1312</v>
      </c>
      <c r="H39" s="32"/>
      <c r="I39" s="35"/>
      <c r="J39" s="34" t="s">
        <v>431</v>
      </c>
      <c r="K39" s="34" t="s">
        <v>134</v>
      </c>
      <c r="L39" s="34" t="s">
        <v>439</v>
      </c>
      <c r="O39" s="2"/>
    </row>
    <row r="40" spans="1:15" s="5" customFormat="1">
      <c r="B40" s="49" t="s">
        <v>832</v>
      </c>
      <c r="C40" s="55" t="s">
        <v>136</v>
      </c>
      <c r="D40" s="12" t="s">
        <v>1079</v>
      </c>
      <c r="E40" s="30"/>
      <c r="F40" s="31"/>
      <c r="G40" s="19" t="s">
        <v>1313</v>
      </c>
      <c r="H40" s="32"/>
      <c r="I40" s="35"/>
      <c r="J40" s="34" t="s">
        <v>431</v>
      </c>
      <c r="K40" s="34" t="s">
        <v>134</v>
      </c>
      <c r="L40" s="34" t="s">
        <v>439</v>
      </c>
      <c r="O40" s="2"/>
    </row>
    <row r="41" spans="1:15" s="5" customFormat="1">
      <c r="B41" s="49" t="s">
        <v>835</v>
      </c>
      <c r="C41" s="55" t="s">
        <v>136</v>
      </c>
      <c r="D41" s="12" t="s">
        <v>1081</v>
      </c>
      <c r="E41" s="30"/>
      <c r="F41" s="31"/>
      <c r="G41" s="19" t="s">
        <v>1314</v>
      </c>
      <c r="H41" s="32"/>
      <c r="I41" s="35"/>
      <c r="J41" s="34" t="s">
        <v>431</v>
      </c>
      <c r="K41" s="34" t="s">
        <v>134</v>
      </c>
      <c r="L41" s="34" t="s">
        <v>439</v>
      </c>
      <c r="O41" s="2"/>
    </row>
    <row r="42" spans="1:15" s="5" customFormat="1">
      <c r="B42" s="49" t="s">
        <v>838</v>
      </c>
      <c r="C42" s="55" t="s">
        <v>136</v>
      </c>
      <c r="D42" s="12" t="s">
        <v>1083</v>
      </c>
      <c r="E42" s="30"/>
      <c r="F42" s="31"/>
      <c r="G42" s="19" t="s">
        <v>1315</v>
      </c>
      <c r="H42" s="32"/>
      <c r="I42" s="35"/>
      <c r="J42" s="34" t="s">
        <v>431</v>
      </c>
      <c r="K42" s="34" t="s">
        <v>134</v>
      </c>
      <c r="L42" s="34" t="s">
        <v>439</v>
      </c>
      <c r="O42" s="2"/>
    </row>
    <row r="43" spans="1:15" s="5" customFormat="1">
      <c r="B43" s="49" t="s">
        <v>841</v>
      </c>
      <c r="C43" s="55" t="s">
        <v>136</v>
      </c>
      <c r="D43" s="12" t="s">
        <v>1086</v>
      </c>
      <c r="E43" s="30"/>
      <c r="F43" s="31"/>
      <c r="G43" s="19" t="s">
        <v>1316</v>
      </c>
      <c r="H43" s="32"/>
      <c r="I43" s="35"/>
      <c r="J43" s="34" t="s">
        <v>431</v>
      </c>
      <c r="K43" s="34" t="s">
        <v>134</v>
      </c>
      <c r="L43" s="34" t="s">
        <v>439</v>
      </c>
      <c r="O43" s="2"/>
    </row>
    <row r="44" spans="1:15" s="5" customFormat="1">
      <c r="B44" s="49" t="s">
        <v>1488</v>
      </c>
      <c r="C44" s="55" t="s">
        <v>136</v>
      </c>
      <c r="D44" s="12" t="s">
        <v>1089</v>
      </c>
      <c r="E44" s="30"/>
      <c r="F44" s="31"/>
      <c r="G44" s="19" t="s">
        <v>1592</v>
      </c>
      <c r="H44" s="32"/>
      <c r="I44" s="35"/>
      <c r="J44" s="34" t="s">
        <v>431</v>
      </c>
      <c r="K44" s="34" t="s">
        <v>134</v>
      </c>
      <c r="L44" s="34" t="s">
        <v>439</v>
      </c>
      <c r="O44" s="2"/>
    </row>
    <row r="45" spans="1:15" s="1" customFormat="1">
      <c r="A45" s="25"/>
      <c r="B45" s="26" t="s">
        <v>1489</v>
      </c>
      <c r="C45" s="26" t="s">
        <v>136</v>
      </c>
      <c r="D45" s="12" t="s">
        <v>1092</v>
      </c>
      <c r="E45" s="30"/>
      <c r="F45" s="31"/>
      <c r="G45" s="19" t="s">
        <v>1593</v>
      </c>
      <c r="H45" s="32"/>
      <c r="I45" s="35"/>
      <c r="J45" s="34" t="s">
        <v>431</v>
      </c>
      <c r="K45" s="34" t="s">
        <v>134</v>
      </c>
      <c r="L45" s="34" t="s">
        <v>439</v>
      </c>
      <c r="O45" s="2"/>
    </row>
    <row r="46" spans="1:15" s="1" customFormat="1">
      <c r="A46" s="25"/>
      <c r="B46" s="26" t="s">
        <v>1490</v>
      </c>
      <c r="C46" s="26" t="s">
        <v>136</v>
      </c>
      <c r="D46" s="12" t="s">
        <v>1095</v>
      </c>
      <c r="E46" s="30"/>
      <c r="F46" s="31"/>
      <c r="G46" s="19" t="s">
        <v>1594</v>
      </c>
      <c r="H46" s="32"/>
      <c r="I46" s="35"/>
      <c r="J46" s="34" t="s">
        <v>431</v>
      </c>
      <c r="K46" s="34" t="s">
        <v>134</v>
      </c>
      <c r="L46" s="34" t="s">
        <v>439</v>
      </c>
      <c r="O46" s="2"/>
    </row>
    <row r="47" spans="1:15" s="1" customFormat="1">
      <c r="A47" s="25"/>
      <c r="B47" s="26" t="s">
        <v>1491</v>
      </c>
      <c r="C47" s="26" t="s">
        <v>136</v>
      </c>
      <c r="D47" s="12" t="s">
        <v>1098</v>
      </c>
      <c r="E47" s="30"/>
      <c r="F47" s="31"/>
      <c r="G47" s="19" t="s">
        <v>1595</v>
      </c>
      <c r="H47" s="32"/>
      <c r="I47" s="35"/>
      <c r="J47" s="34" t="s">
        <v>431</v>
      </c>
      <c r="K47" s="34" t="s">
        <v>134</v>
      </c>
      <c r="L47" s="34" t="s">
        <v>439</v>
      </c>
      <c r="O47" s="2"/>
    </row>
    <row r="48" spans="1:15" s="1" customFormat="1">
      <c r="A48" s="25"/>
      <c r="B48" s="26" t="s">
        <v>1492</v>
      </c>
      <c r="C48" s="26" t="s">
        <v>136</v>
      </c>
      <c r="D48" s="12" t="s">
        <v>1101</v>
      </c>
      <c r="E48" s="30"/>
      <c r="F48" s="31"/>
      <c r="G48" s="19" t="s">
        <v>1596</v>
      </c>
      <c r="H48" s="32"/>
      <c r="I48" s="35"/>
      <c r="J48" s="34" t="s">
        <v>431</v>
      </c>
      <c r="K48" s="34" t="s">
        <v>134</v>
      </c>
      <c r="L48" s="34" t="s">
        <v>439</v>
      </c>
      <c r="O48" s="2"/>
    </row>
    <row r="49" spans="1:15" s="1" customFormat="1">
      <c r="A49" s="25"/>
      <c r="B49" s="26" t="s">
        <v>844</v>
      </c>
      <c r="C49" s="26" t="s">
        <v>136</v>
      </c>
      <c r="D49" s="12" t="s">
        <v>1597</v>
      </c>
      <c r="E49" s="30"/>
      <c r="F49" s="31"/>
      <c r="G49" s="19" t="s">
        <v>1317</v>
      </c>
      <c r="H49" s="32"/>
      <c r="I49" s="35"/>
      <c r="J49" s="34" t="s">
        <v>431</v>
      </c>
      <c r="K49" s="34" t="s">
        <v>134</v>
      </c>
      <c r="L49" s="34" t="s">
        <v>439</v>
      </c>
      <c r="O49" s="2"/>
    </row>
    <row r="50" spans="1:15" s="1" customFormat="1">
      <c r="A50" s="25"/>
      <c r="B50" s="26" t="s">
        <v>846</v>
      </c>
      <c r="C50" s="26" t="s">
        <v>245</v>
      </c>
      <c r="D50" s="12" t="s">
        <v>1598</v>
      </c>
      <c r="E50" s="30"/>
      <c r="F50" s="31"/>
      <c r="G50" s="19" t="s">
        <v>1318</v>
      </c>
      <c r="H50" s="32"/>
      <c r="I50" s="35"/>
      <c r="J50" s="34" t="s">
        <v>431</v>
      </c>
      <c r="K50" s="34" t="s">
        <v>134</v>
      </c>
      <c r="L50" s="34" t="s">
        <v>568</v>
      </c>
      <c r="O50" s="2"/>
    </row>
    <row r="51" spans="1:15" s="1" customFormat="1">
      <c r="A51" s="25"/>
      <c r="B51" s="26" t="s">
        <v>948</v>
      </c>
      <c r="C51" s="26" t="s">
        <v>136</v>
      </c>
      <c r="D51" s="12" t="s">
        <v>949</v>
      </c>
      <c r="E51" s="30"/>
      <c r="F51" s="31"/>
      <c r="G51" s="19" t="s">
        <v>1344</v>
      </c>
      <c r="H51" s="32"/>
      <c r="I51" s="35"/>
      <c r="J51" s="34" t="s">
        <v>431</v>
      </c>
      <c r="K51" s="34" t="s">
        <v>134</v>
      </c>
      <c r="L51" s="34" t="s">
        <v>439</v>
      </c>
      <c r="O51" s="2"/>
    </row>
    <row r="52" spans="1:15" s="1" customFormat="1">
      <c r="A52" s="25"/>
      <c r="B52" s="26" t="s">
        <v>1103</v>
      </c>
      <c r="C52" s="26" t="s">
        <v>245</v>
      </c>
      <c r="D52" s="12" t="s">
        <v>1104</v>
      </c>
      <c r="E52" s="30"/>
      <c r="F52" s="31"/>
      <c r="G52" s="19" t="s">
        <v>1383</v>
      </c>
      <c r="H52" s="32"/>
      <c r="I52" s="35"/>
      <c r="J52" s="34" t="s">
        <v>431</v>
      </c>
      <c r="K52" s="34" t="s">
        <v>134</v>
      </c>
      <c r="L52" s="34" t="s">
        <v>610</v>
      </c>
      <c r="O52" s="2"/>
    </row>
    <row r="53" spans="1:15" s="1" customFormat="1">
      <c r="A53" s="25"/>
      <c r="B53" s="26" t="s">
        <v>1106</v>
      </c>
      <c r="C53" s="26" t="s">
        <v>245</v>
      </c>
      <c r="D53" s="12" t="s">
        <v>1107</v>
      </c>
      <c r="E53" s="30"/>
      <c r="F53" s="31"/>
      <c r="G53" s="19" t="s">
        <v>1384</v>
      </c>
      <c r="H53" s="30"/>
      <c r="I53" s="33"/>
      <c r="J53" s="34" t="s">
        <v>431</v>
      </c>
      <c r="K53" s="34" t="s">
        <v>134</v>
      </c>
      <c r="L53" s="34" t="s">
        <v>579</v>
      </c>
      <c r="O53" s="2"/>
    </row>
    <row r="54" spans="1:15" s="1" customFormat="1">
      <c r="A54" s="25"/>
      <c r="B54" s="26" t="s">
        <v>951</v>
      </c>
      <c r="C54" s="26" t="s">
        <v>136</v>
      </c>
      <c r="D54" s="12" t="s">
        <v>1551</v>
      </c>
      <c r="E54" s="30"/>
      <c r="F54" s="31"/>
      <c r="G54" s="19" t="s">
        <v>1345</v>
      </c>
      <c r="H54" s="32"/>
      <c r="I54" s="35"/>
      <c r="J54" s="34" t="s">
        <v>431</v>
      </c>
      <c r="K54" s="34" t="s">
        <v>134</v>
      </c>
      <c r="L54" s="34" t="s">
        <v>439</v>
      </c>
      <c r="O54" s="2"/>
    </row>
    <row r="55" spans="1:15" s="1" customFormat="1">
      <c r="A55" s="25"/>
      <c r="B55" s="26" t="s">
        <v>954</v>
      </c>
      <c r="C55" s="26" t="s">
        <v>136</v>
      </c>
      <c r="D55" s="12" t="s">
        <v>1552</v>
      </c>
      <c r="E55" s="30"/>
      <c r="F55" s="31"/>
      <c r="G55" s="19" t="s">
        <v>1346</v>
      </c>
      <c r="H55" s="32"/>
      <c r="I55" s="35"/>
      <c r="J55" s="34" t="s">
        <v>431</v>
      </c>
      <c r="K55" s="34" t="s">
        <v>134</v>
      </c>
      <c r="L55" s="34" t="s">
        <v>439</v>
      </c>
      <c r="O55" s="2"/>
    </row>
    <row r="56" spans="1:15" s="1" customFormat="1">
      <c r="A56" s="25"/>
      <c r="B56" s="26" t="s">
        <v>956</v>
      </c>
      <c r="C56" s="26" t="s">
        <v>136</v>
      </c>
      <c r="D56" s="12" t="s">
        <v>1553</v>
      </c>
      <c r="E56" s="30"/>
      <c r="F56" s="31"/>
      <c r="G56" s="19" t="s">
        <v>1347</v>
      </c>
      <c r="H56" s="32"/>
      <c r="I56" s="35"/>
      <c r="J56" s="34" t="s">
        <v>431</v>
      </c>
      <c r="K56" s="34" t="s">
        <v>134</v>
      </c>
      <c r="L56" s="34" t="s">
        <v>439</v>
      </c>
      <c r="O56" s="2"/>
    </row>
    <row r="57" spans="1:15" s="5" customFormat="1">
      <c r="B57" s="49" t="s">
        <v>958</v>
      </c>
      <c r="C57" s="55" t="s">
        <v>136</v>
      </c>
      <c r="D57" s="12" t="s">
        <v>1554</v>
      </c>
      <c r="E57" s="30"/>
      <c r="F57" s="31"/>
      <c r="G57" s="19" t="s">
        <v>1348</v>
      </c>
      <c r="H57" s="32"/>
      <c r="I57" s="35"/>
      <c r="J57" s="34" t="s">
        <v>431</v>
      </c>
      <c r="K57" s="34" t="s">
        <v>134</v>
      </c>
      <c r="L57" s="34" t="s">
        <v>439</v>
      </c>
      <c r="O57" s="2"/>
    </row>
    <row r="58" spans="1:15">
      <c r="A58" s="3"/>
      <c r="B58" s="49" t="s">
        <v>960</v>
      </c>
      <c r="C58" s="55" t="s">
        <v>136</v>
      </c>
      <c r="D58" s="12" t="s">
        <v>1499</v>
      </c>
      <c r="E58" s="30"/>
      <c r="F58" s="31"/>
      <c r="G58" s="19" t="s">
        <v>1349</v>
      </c>
      <c r="H58" s="32"/>
      <c r="I58" s="35"/>
      <c r="J58" s="34" t="s">
        <v>431</v>
      </c>
      <c r="K58" s="34" t="s">
        <v>134</v>
      </c>
      <c r="L58" s="34" t="s">
        <v>439</v>
      </c>
      <c r="O58" s="2"/>
    </row>
    <row r="59" spans="1:15">
      <c r="A59" s="3"/>
      <c r="B59" s="49" t="s">
        <v>962</v>
      </c>
      <c r="C59" s="55" t="s">
        <v>136</v>
      </c>
      <c r="D59" s="12" t="s">
        <v>1500</v>
      </c>
      <c r="E59" s="30"/>
      <c r="F59" s="31"/>
      <c r="G59" s="19" t="s">
        <v>1350</v>
      </c>
      <c r="H59" s="32"/>
      <c r="I59" s="35"/>
      <c r="J59" s="34" t="s">
        <v>431</v>
      </c>
      <c r="K59" s="34" t="s">
        <v>134</v>
      </c>
      <c r="L59" s="34" t="s">
        <v>439</v>
      </c>
      <c r="O59" s="2"/>
    </row>
    <row r="60" spans="1:15" s="2" customFormat="1">
      <c r="A60" s="29"/>
      <c r="B60" s="49" t="s">
        <v>964</v>
      </c>
      <c r="C60" s="55" t="s">
        <v>136</v>
      </c>
      <c r="D60" s="12" t="s">
        <v>1501</v>
      </c>
      <c r="E60" s="30"/>
      <c r="F60" s="31"/>
      <c r="G60" s="19" t="s">
        <v>1351</v>
      </c>
      <c r="H60" s="32"/>
      <c r="I60" s="35"/>
      <c r="J60" s="34" t="s">
        <v>431</v>
      </c>
      <c r="K60" s="34" t="s">
        <v>134</v>
      </c>
      <c r="L60" s="34" t="s">
        <v>439</v>
      </c>
    </row>
    <row r="61" spans="1:15">
      <c r="A61" s="3"/>
      <c r="B61" s="49" t="s">
        <v>1502</v>
      </c>
      <c r="C61" s="55" t="s">
        <v>136</v>
      </c>
      <c r="D61" s="12" t="s">
        <v>1503</v>
      </c>
      <c r="E61" s="30"/>
      <c r="F61" s="31"/>
      <c r="G61" s="19" t="s">
        <v>1599</v>
      </c>
      <c r="H61" s="32"/>
      <c r="I61" s="35"/>
      <c r="J61" s="34" t="s">
        <v>431</v>
      </c>
      <c r="K61" s="34" t="s">
        <v>134</v>
      </c>
      <c r="L61" s="34" t="s">
        <v>439</v>
      </c>
      <c r="O61" s="2"/>
    </row>
    <row r="62" spans="1:15" s="2" customFormat="1">
      <c r="A62" s="29"/>
      <c r="B62" s="49" t="s">
        <v>1504</v>
      </c>
      <c r="C62" s="55" t="s">
        <v>136</v>
      </c>
      <c r="D62" s="12" t="s">
        <v>1505</v>
      </c>
      <c r="E62" s="30"/>
      <c r="F62" s="31"/>
      <c r="G62" s="19" t="s">
        <v>1600</v>
      </c>
      <c r="H62" s="32"/>
      <c r="I62" s="35"/>
      <c r="J62" s="34" t="s">
        <v>431</v>
      </c>
      <c r="K62" s="34" t="s">
        <v>134</v>
      </c>
      <c r="L62" s="34" t="s">
        <v>439</v>
      </c>
    </row>
    <row r="63" spans="1:15" s="2" customFormat="1">
      <c r="A63" s="29"/>
      <c r="B63" s="49" t="s">
        <v>1506</v>
      </c>
      <c r="C63" s="55" t="s">
        <v>136</v>
      </c>
      <c r="D63" s="12" t="s">
        <v>1507</v>
      </c>
      <c r="E63" s="30"/>
      <c r="F63" s="31"/>
      <c r="G63" s="19" t="s">
        <v>1601</v>
      </c>
      <c r="H63" s="32"/>
      <c r="I63" s="35"/>
      <c r="J63" s="34" t="s">
        <v>431</v>
      </c>
      <c r="K63" s="34" t="s">
        <v>134</v>
      </c>
      <c r="L63" s="34" t="s">
        <v>439</v>
      </c>
    </row>
    <row r="64" spans="1:15" s="2" customFormat="1">
      <c r="A64" s="29"/>
      <c r="B64" s="49" t="s">
        <v>1508</v>
      </c>
      <c r="C64" s="55" t="s">
        <v>136</v>
      </c>
      <c r="D64" s="12" t="s">
        <v>1509</v>
      </c>
      <c r="E64" s="30"/>
      <c r="F64" s="31"/>
      <c r="G64" s="19" t="s">
        <v>1602</v>
      </c>
      <c r="H64" s="32"/>
      <c r="I64" s="35"/>
      <c r="J64" s="34" t="s">
        <v>431</v>
      </c>
      <c r="K64" s="34" t="s">
        <v>134</v>
      </c>
      <c r="L64" s="34" t="s">
        <v>439</v>
      </c>
    </row>
    <row r="65" spans="1:15" s="2" customFormat="1">
      <c r="A65" s="29"/>
      <c r="B65" s="49" t="s">
        <v>1510</v>
      </c>
      <c r="C65" s="55" t="s">
        <v>136</v>
      </c>
      <c r="D65" s="12" t="s">
        <v>1511</v>
      </c>
      <c r="E65" s="30"/>
      <c r="F65" s="31"/>
      <c r="G65" s="19" t="s">
        <v>1603</v>
      </c>
      <c r="H65" s="32"/>
      <c r="I65" s="35"/>
      <c r="J65" s="34" t="s">
        <v>431</v>
      </c>
      <c r="K65" s="34" t="s">
        <v>134</v>
      </c>
      <c r="L65" s="34" t="s">
        <v>439</v>
      </c>
    </row>
    <row r="66" spans="1:15" s="2" customFormat="1">
      <c r="A66" s="29"/>
      <c r="B66" s="49" t="s">
        <v>1139</v>
      </c>
      <c r="C66" s="55" t="s">
        <v>136</v>
      </c>
      <c r="D66" s="12" t="s">
        <v>1140</v>
      </c>
      <c r="E66" s="30"/>
      <c r="F66" s="31"/>
      <c r="G66" s="19" t="s">
        <v>1397</v>
      </c>
      <c r="H66" s="32"/>
      <c r="I66" s="35"/>
      <c r="J66" s="34" t="s">
        <v>431</v>
      </c>
      <c r="K66" s="34" t="s">
        <v>134</v>
      </c>
      <c r="L66" s="34" t="s">
        <v>439</v>
      </c>
    </row>
    <row r="67" spans="1:15" s="2" customFormat="1">
      <c r="A67" s="29"/>
      <c r="B67" s="49" t="s">
        <v>1142</v>
      </c>
      <c r="C67" s="55" t="s">
        <v>245</v>
      </c>
      <c r="D67" s="12" t="s">
        <v>1512</v>
      </c>
      <c r="E67" s="30"/>
      <c r="F67" s="31"/>
      <c r="G67" s="19" t="s">
        <v>1398</v>
      </c>
      <c r="H67" s="32"/>
      <c r="I67" s="35"/>
      <c r="J67" s="34" t="s">
        <v>431</v>
      </c>
      <c r="K67" s="34" t="s">
        <v>134</v>
      </c>
      <c r="L67" s="34" t="s">
        <v>568</v>
      </c>
    </row>
    <row r="68" spans="1:15" s="1" customFormat="1">
      <c r="A68" s="25"/>
      <c r="B68" s="49" t="s">
        <v>1145</v>
      </c>
      <c r="C68" s="26" t="s">
        <v>136</v>
      </c>
      <c r="D68" s="12" t="s">
        <v>1146</v>
      </c>
      <c r="E68" s="30"/>
      <c r="F68" s="31"/>
      <c r="G68" s="19" t="s">
        <v>1399</v>
      </c>
      <c r="H68" s="32"/>
      <c r="I68" s="35"/>
      <c r="J68" s="34" t="s">
        <v>431</v>
      </c>
      <c r="K68" s="34" t="s">
        <v>134</v>
      </c>
      <c r="L68" s="34" t="s">
        <v>439</v>
      </c>
      <c r="O68" s="2"/>
    </row>
    <row r="69" spans="1:15" s="1" customFormat="1">
      <c r="A69" s="25"/>
      <c r="B69" s="26" t="s">
        <v>1147</v>
      </c>
      <c r="C69" s="26" t="s">
        <v>245</v>
      </c>
      <c r="D69" s="12" t="s">
        <v>1148</v>
      </c>
      <c r="E69" s="30"/>
      <c r="F69" s="31"/>
      <c r="G69" s="19" t="s">
        <v>1400</v>
      </c>
      <c r="H69" s="32"/>
      <c r="I69" s="35"/>
      <c r="J69" s="34" t="s">
        <v>431</v>
      </c>
      <c r="K69" s="34" t="s">
        <v>134</v>
      </c>
      <c r="L69" s="34" t="s">
        <v>610</v>
      </c>
      <c r="O69" s="2"/>
    </row>
    <row r="70" spans="1:15" s="1" customFormat="1">
      <c r="A70" s="25"/>
      <c r="B70" s="26" t="s">
        <v>1149</v>
      </c>
      <c r="C70" s="26" t="s">
        <v>245</v>
      </c>
      <c r="D70" s="12" t="s">
        <v>1150</v>
      </c>
      <c r="E70" s="30"/>
      <c r="F70" s="31"/>
      <c r="G70" s="19" t="s">
        <v>1401</v>
      </c>
      <c r="H70" s="32"/>
      <c r="I70" s="35"/>
      <c r="J70" s="34" t="s">
        <v>431</v>
      </c>
      <c r="K70" s="34" t="s">
        <v>134</v>
      </c>
      <c r="L70" s="34" t="s">
        <v>615</v>
      </c>
      <c r="O70" s="2"/>
    </row>
    <row r="71" spans="1:15" s="1" customFormat="1">
      <c r="A71" s="25"/>
      <c r="B71" s="26" t="s">
        <v>1513</v>
      </c>
      <c r="C71" s="26" t="s">
        <v>136</v>
      </c>
      <c r="D71" s="12" t="s">
        <v>1514</v>
      </c>
      <c r="E71" s="30"/>
      <c r="F71" s="31"/>
      <c r="G71" s="19" t="s">
        <v>1605</v>
      </c>
      <c r="H71" s="32"/>
      <c r="I71" s="35"/>
      <c r="J71" s="34" t="s">
        <v>431</v>
      </c>
      <c r="K71" s="34" t="s">
        <v>134</v>
      </c>
      <c r="L71" s="34" t="s">
        <v>439</v>
      </c>
      <c r="O71" s="2"/>
    </row>
    <row r="72" spans="1:15" s="1" customFormat="1">
      <c r="A72" s="25"/>
      <c r="B72" s="26" t="s">
        <v>1515</v>
      </c>
      <c r="C72" s="26" t="s">
        <v>136</v>
      </c>
      <c r="D72" s="12" t="s">
        <v>1516</v>
      </c>
      <c r="E72" s="30"/>
      <c r="F72" s="31"/>
      <c r="G72" s="19" t="s">
        <v>1606</v>
      </c>
      <c r="H72" s="32"/>
      <c r="I72" s="35"/>
      <c r="J72" s="34" t="s">
        <v>431</v>
      </c>
      <c r="K72" s="34" t="s">
        <v>134</v>
      </c>
      <c r="L72" s="34" t="s">
        <v>439</v>
      </c>
      <c r="O72" s="2"/>
    </row>
    <row r="73" spans="1:15" s="1" customFormat="1">
      <c r="A73" s="25"/>
      <c r="B73" s="26" t="s">
        <v>1517</v>
      </c>
      <c r="C73" s="26" t="s">
        <v>136</v>
      </c>
      <c r="D73" s="12" t="s">
        <v>1518</v>
      </c>
      <c r="E73" s="30"/>
      <c r="F73" s="31"/>
      <c r="G73" s="19" t="s">
        <v>1607</v>
      </c>
      <c r="H73" s="32"/>
      <c r="I73" s="35"/>
      <c r="J73" s="34" t="s">
        <v>431</v>
      </c>
      <c r="K73" s="34" t="s">
        <v>134</v>
      </c>
      <c r="L73" s="34" t="s">
        <v>439</v>
      </c>
      <c r="O73" s="2"/>
    </row>
    <row r="74" spans="1:15" s="1" customFormat="1">
      <c r="A74" s="25"/>
      <c r="B74" s="26" t="s">
        <v>1519</v>
      </c>
      <c r="C74" s="26" t="s">
        <v>136</v>
      </c>
      <c r="D74" s="12" t="s">
        <v>1520</v>
      </c>
      <c r="E74" s="30"/>
      <c r="F74" s="31"/>
      <c r="G74" s="19" t="s">
        <v>1608</v>
      </c>
      <c r="H74" s="32"/>
      <c r="I74" s="35"/>
      <c r="J74" s="34" t="s">
        <v>431</v>
      </c>
      <c r="K74" s="34" t="s">
        <v>134</v>
      </c>
      <c r="L74" s="34" t="s">
        <v>439</v>
      </c>
      <c r="O74" s="2"/>
    </row>
    <row r="75" spans="1:15" s="1" customFormat="1">
      <c r="A75" s="25"/>
      <c r="B75" s="26" t="s">
        <v>1521</v>
      </c>
      <c r="C75" s="26" t="s">
        <v>136</v>
      </c>
      <c r="D75" s="12" t="s">
        <v>1522</v>
      </c>
      <c r="E75" s="30"/>
      <c r="F75" s="31"/>
      <c r="G75" s="19" t="s">
        <v>1609</v>
      </c>
      <c r="H75" s="32"/>
      <c r="I75" s="35"/>
      <c r="J75" s="34" t="s">
        <v>431</v>
      </c>
      <c r="K75" s="34" t="s">
        <v>134</v>
      </c>
      <c r="L75" s="34" t="s">
        <v>439</v>
      </c>
      <c r="O75" s="2"/>
    </row>
    <row r="76" spans="1:15" s="1" customFormat="1">
      <c r="A76" s="25"/>
      <c r="B76" s="26" t="s">
        <v>1523</v>
      </c>
      <c r="C76" s="26" t="s">
        <v>136</v>
      </c>
      <c r="D76" s="12" t="s">
        <v>1524</v>
      </c>
      <c r="E76" s="30"/>
      <c r="F76" s="31"/>
      <c r="G76" s="19" t="s">
        <v>1610</v>
      </c>
      <c r="H76" s="32"/>
      <c r="I76" s="35"/>
      <c r="J76" s="34" t="s">
        <v>431</v>
      </c>
      <c r="K76" s="34" t="s">
        <v>134</v>
      </c>
      <c r="L76" s="34" t="s">
        <v>439</v>
      </c>
      <c r="O76" s="2"/>
    </row>
    <row r="77" spans="1:15" s="1" customFormat="1">
      <c r="A77" s="25"/>
      <c r="B77" s="26" t="s">
        <v>1525</v>
      </c>
      <c r="C77" s="26" t="s">
        <v>136</v>
      </c>
      <c r="D77" s="12" t="s">
        <v>1526</v>
      </c>
      <c r="E77" s="30"/>
      <c r="F77" s="31"/>
      <c r="G77" s="19" t="s">
        <v>1611</v>
      </c>
      <c r="H77" s="32"/>
      <c r="I77" s="35"/>
      <c r="J77" s="34" t="s">
        <v>431</v>
      </c>
      <c r="K77" s="34" t="s">
        <v>134</v>
      </c>
      <c r="L77" s="34" t="s">
        <v>439</v>
      </c>
      <c r="O77" s="2"/>
    </row>
    <row r="78" spans="1:15" s="1" customFormat="1">
      <c r="A78" s="25"/>
      <c r="B78" s="26" t="s">
        <v>1527</v>
      </c>
      <c r="C78" s="26" t="s">
        <v>136</v>
      </c>
      <c r="D78" s="12" t="s">
        <v>1528</v>
      </c>
      <c r="E78" s="30"/>
      <c r="F78" s="31"/>
      <c r="G78" s="19" t="s">
        <v>1612</v>
      </c>
      <c r="H78" s="32"/>
      <c r="I78" s="35"/>
      <c r="J78" s="34" t="s">
        <v>431</v>
      </c>
      <c r="K78" s="34" t="s">
        <v>134</v>
      </c>
      <c r="L78" s="34" t="s">
        <v>439</v>
      </c>
      <c r="O78" s="2"/>
    </row>
    <row r="79" spans="1:15" s="1" customFormat="1">
      <c r="A79" s="25"/>
      <c r="B79" s="26" t="s">
        <v>1529</v>
      </c>
      <c r="C79" s="26" t="s">
        <v>136</v>
      </c>
      <c r="D79" s="12" t="s">
        <v>1530</v>
      </c>
      <c r="E79" s="30"/>
      <c r="F79" s="31"/>
      <c r="G79" s="19" t="s">
        <v>1613</v>
      </c>
      <c r="H79" s="32"/>
      <c r="I79" s="35"/>
      <c r="J79" s="34" t="s">
        <v>431</v>
      </c>
      <c r="K79" s="34" t="s">
        <v>134</v>
      </c>
      <c r="L79" s="34" t="s">
        <v>439</v>
      </c>
      <c r="O79" s="2"/>
    </row>
    <row r="80" spans="1:15" s="1" customFormat="1">
      <c r="A80" s="25"/>
      <c r="B80" s="26" t="s">
        <v>1531</v>
      </c>
      <c r="C80" s="26" t="s">
        <v>136</v>
      </c>
      <c r="D80" s="12" t="s">
        <v>1532</v>
      </c>
      <c r="E80" s="30"/>
      <c r="F80" s="31"/>
      <c r="G80" s="19" t="s">
        <v>1614</v>
      </c>
      <c r="H80" s="32"/>
      <c r="I80" s="35"/>
      <c r="J80" s="34" t="s">
        <v>431</v>
      </c>
      <c r="K80" s="34" t="s">
        <v>134</v>
      </c>
      <c r="L80" s="34" t="s">
        <v>439</v>
      </c>
      <c r="O80" s="2"/>
    </row>
    <row r="81" spans="1:15" s="1" customFormat="1">
      <c r="A81" s="25"/>
      <c r="B81" s="26" t="s">
        <v>1533</v>
      </c>
      <c r="C81" s="26" t="s">
        <v>136</v>
      </c>
      <c r="D81" s="12" t="s">
        <v>1534</v>
      </c>
      <c r="E81" s="30"/>
      <c r="F81" s="31"/>
      <c r="G81" s="19" t="s">
        <v>1615</v>
      </c>
      <c r="H81" s="32"/>
      <c r="I81" s="35"/>
      <c r="J81" s="34" t="s">
        <v>431</v>
      </c>
      <c r="K81" s="34" t="s">
        <v>134</v>
      </c>
      <c r="L81" s="34" t="s">
        <v>439</v>
      </c>
      <c r="O81" s="2"/>
    </row>
    <row r="82" spans="1:15" s="1" customFormat="1">
      <c r="A82" s="25"/>
      <c r="B82" s="26" t="s">
        <v>1535</v>
      </c>
      <c r="C82" s="26" t="s">
        <v>136</v>
      </c>
      <c r="D82" s="12" t="s">
        <v>1536</v>
      </c>
      <c r="E82" s="30"/>
      <c r="F82" s="31"/>
      <c r="G82" s="19" t="s">
        <v>1616</v>
      </c>
      <c r="H82" s="32"/>
      <c r="I82" s="35"/>
      <c r="J82" s="34" t="s">
        <v>431</v>
      </c>
      <c r="K82" s="34" t="s">
        <v>134</v>
      </c>
      <c r="L82" s="34" t="s">
        <v>439</v>
      </c>
      <c r="O82" s="2"/>
    </row>
    <row r="83" spans="1:15" s="1" customFormat="1">
      <c r="A83" s="25"/>
      <c r="B83" s="26" t="s">
        <v>1187</v>
      </c>
      <c r="C83" s="26" t="s">
        <v>136</v>
      </c>
      <c r="D83" s="12" t="s">
        <v>1188</v>
      </c>
      <c r="E83" s="30"/>
      <c r="F83" s="31"/>
      <c r="G83" s="19" t="s">
        <v>1414</v>
      </c>
      <c r="H83" s="32"/>
      <c r="I83" s="35"/>
      <c r="J83" s="34" t="s">
        <v>431</v>
      </c>
      <c r="K83" s="34" t="s">
        <v>134</v>
      </c>
      <c r="L83" s="34" t="s">
        <v>439</v>
      </c>
      <c r="O83" s="2"/>
    </row>
    <row r="84" spans="1:15" s="1" customFormat="1">
      <c r="A84" s="25"/>
      <c r="B84" s="26" t="s">
        <v>1189</v>
      </c>
      <c r="C84" s="26" t="s">
        <v>245</v>
      </c>
      <c r="D84" s="12" t="s">
        <v>1190</v>
      </c>
      <c r="E84" s="30"/>
      <c r="F84" s="31"/>
      <c r="G84" s="19" t="s">
        <v>1415</v>
      </c>
      <c r="H84" s="32"/>
      <c r="I84" s="35"/>
      <c r="J84" s="34" t="s">
        <v>431</v>
      </c>
      <c r="K84" s="34" t="s">
        <v>134</v>
      </c>
      <c r="L84" s="34" t="s">
        <v>568</v>
      </c>
      <c r="O84" s="2"/>
    </row>
    <row r="85" spans="1:15" s="1" customFormat="1">
      <c r="A85" s="25"/>
      <c r="B85" s="26" t="s">
        <v>1221</v>
      </c>
      <c r="C85" s="26" t="s">
        <v>136</v>
      </c>
      <c r="D85" s="12" t="s">
        <v>1222</v>
      </c>
      <c r="E85" s="30"/>
      <c r="F85" s="31"/>
      <c r="G85" s="19" t="s">
        <v>1430</v>
      </c>
      <c r="H85" s="32"/>
      <c r="I85" s="35"/>
      <c r="J85" s="34" t="s">
        <v>431</v>
      </c>
      <c r="K85" s="34" t="s">
        <v>134</v>
      </c>
      <c r="L85" s="34" t="s">
        <v>533</v>
      </c>
      <c r="O85" s="2"/>
    </row>
    <row r="86" spans="1:15" s="1" customFormat="1">
      <c r="A86" s="25"/>
      <c r="B86" s="26" t="s">
        <v>904</v>
      </c>
      <c r="C86" s="26" t="s">
        <v>136</v>
      </c>
      <c r="D86" s="12" t="s">
        <v>1537</v>
      </c>
      <c r="E86" s="30"/>
      <c r="F86" s="31"/>
      <c r="G86" s="19" t="s">
        <v>1332</v>
      </c>
      <c r="H86" s="32"/>
      <c r="I86" s="35"/>
      <c r="J86" s="34" t="s">
        <v>431</v>
      </c>
      <c r="K86" s="34" t="s">
        <v>134</v>
      </c>
      <c r="L86" s="34" t="s">
        <v>439</v>
      </c>
      <c r="O86" s="2"/>
    </row>
    <row r="87" spans="1:15" s="1" customFormat="1" ht="26.4">
      <c r="A87" s="25"/>
      <c r="B87" s="26" t="s">
        <v>1223</v>
      </c>
      <c r="C87" s="26" t="s">
        <v>245</v>
      </c>
      <c r="D87" s="12" t="s">
        <v>1224</v>
      </c>
      <c r="E87" s="30"/>
      <c r="F87" s="31"/>
      <c r="G87" s="19" t="s">
        <v>1431</v>
      </c>
      <c r="H87" s="32"/>
      <c r="I87" s="35"/>
      <c r="J87" s="34" t="s">
        <v>431</v>
      </c>
      <c r="K87" s="34" t="s">
        <v>134</v>
      </c>
      <c r="L87" s="34" t="s">
        <v>432</v>
      </c>
      <c r="O87" s="2"/>
    </row>
    <row r="88" spans="1:15" s="1" customFormat="1">
      <c r="A88" s="25"/>
      <c r="B88" s="26" t="s">
        <v>910</v>
      </c>
      <c r="C88" s="26" t="s">
        <v>900</v>
      </c>
      <c r="D88" s="12" t="s">
        <v>1538</v>
      </c>
      <c r="E88" s="30"/>
      <c r="F88" s="31"/>
      <c r="G88" s="31" t="s">
        <v>1334</v>
      </c>
      <c r="H88" s="32"/>
      <c r="I88" s="35"/>
      <c r="J88" s="34" t="s">
        <v>431</v>
      </c>
      <c r="K88" s="34" t="s">
        <v>134</v>
      </c>
      <c r="L88" s="34" t="s">
        <v>568</v>
      </c>
      <c r="O88" s="2"/>
    </row>
    <row r="89" spans="1:15" s="1" customFormat="1">
      <c r="A89" s="25"/>
      <c r="B89" s="26" t="s">
        <v>1225</v>
      </c>
      <c r="C89" s="26" t="s">
        <v>136</v>
      </c>
      <c r="D89" s="12" t="s">
        <v>1226</v>
      </c>
      <c r="E89" s="30"/>
      <c r="F89" s="31"/>
      <c r="G89" s="19" t="s">
        <v>1432</v>
      </c>
      <c r="H89" s="32"/>
      <c r="I89" s="35"/>
      <c r="J89" s="34" t="s">
        <v>431</v>
      </c>
      <c r="K89" s="34" t="s">
        <v>134</v>
      </c>
      <c r="L89" s="34" t="s">
        <v>533</v>
      </c>
      <c r="O89" s="2"/>
    </row>
    <row r="90" spans="1:15" s="1" customFormat="1">
      <c r="A90" s="25"/>
      <c r="B90" s="26" t="s">
        <v>915</v>
      </c>
      <c r="C90" s="26" t="s">
        <v>136</v>
      </c>
      <c r="D90" s="12" t="s">
        <v>1539</v>
      </c>
      <c r="E90" s="30"/>
      <c r="F90" s="31"/>
      <c r="G90" s="19" t="s">
        <v>1335</v>
      </c>
      <c r="H90" s="32"/>
      <c r="I90" s="35"/>
      <c r="J90" s="34" t="s">
        <v>431</v>
      </c>
      <c r="K90" s="34" t="s">
        <v>134</v>
      </c>
      <c r="L90" s="34" t="s">
        <v>439</v>
      </c>
      <c r="O90" s="2"/>
    </row>
    <row r="91" spans="1:15" s="1" customFormat="1">
      <c r="A91" s="25"/>
      <c r="B91" s="26" t="s">
        <v>1227</v>
      </c>
      <c r="C91" s="26" t="s">
        <v>245</v>
      </c>
      <c r="D91" s="12" t="s">
        <v>1228</v>
      </c>
      <c r="E91" s="30"/>
      <c r="F91" s="31"/>
      <c r="G91" s="19" t="s">
        <v>1433</v>
      </c>
      <c r="H91" s="30"/>
      <c r="I91" s="33"/>
      <c r="J91" s="34" t="s">
        <v>431</v>
      </c>
      <c r="K91" s="34" t="s">
        <v>134</v>
      </c>
      <c r="L91" s="34" t="s">
        <v>432</v>
      </c>
      <c r="O91" s="2"/>
    </row>
    <row r="92" spans="1:15" s="1" customFormat="1">
      <c r="A92" s="25"/>
      <c r="B92" s="26" t="s">
        <v>921</v>
      </c>
      <c r="C92" s="26" t="s">
        <v>900</v>
      </c>
      <c r="D92" s="12" t="s">
        <v>1540</v>
      </c>
      <c r="E92" s="30"/>
      <c r="F92" s="31"/>
      <c r="G92" s="19" t="s">
        <v>1337</v>
      </c>
      <c r="H92" s="30"/>
      <c r="I92" s="33"/>
      <c r="J92" s="34" t="s">
        <v>431</v>
      </c>
      <c r="K92" s="34" t="s">
        <v>134</v>
      </c>
      <c r="L92" s="34" t="s">
        <v>568</v>
      </c>
      <c r="O92" s="2"/>
    </row>
    <row r="93" spans="1:15" s="1" customFormat="1">
      <c r="A93" s="25"/>
      <c r="B93" s="26" t="s">
        <v>1229</v>
      </c>
      <c r="C93" s="26" t="s">
        <v>136</v>
      </c>
      <c r="D93" s="12" t="s">
        <v>1230</v>
      </c>
      <c r="E93" s="30"/>
      <c r="F93" s="31"/>
      <c r="G93" s="19" t="s">
        <v>1434</v>
      </c>
      <c r="H93" s="32"/>
      <c r="I93" s="35"/>
      <c r="J93" s="34" t="s">
        <v>431</v>
      </c>
      <c r="K93" s="34" t="s">
        <v>134</v>
      </c>
      <c r="L93" s="34" t="s">
        <v>533</v>
      </c>
      <c r="O93" s="2"/>
    </row>
    <row r="94" spans="1:15" s="1" customFormat="1">
      <c r="A94" s="25"/>
      <c r="B94" s="26" t="s">
        <v>927</v>
      </c>
      <c r="C94" s="26" t="s">
        <v>136</v>
      </c>
      <c r="D94" s="12" t="s">
        <v>1541</v>
      </c>
      <c r="E94" s="30"/>
      <c r="F94" s="31"/>
      <c r="G94" s="19" t="s">
        <v>1338</v>
      </c>
      <c r="H94" s="32"/>
      <c r="I94" s="35"/>
      <c r="J94" s="34" t="s">
        <v>431</v>
      </c>
      <c r="K94" s="34" t="s">
        <v>134</v>
      </c>
      <c r="L94" s="34" t="s">
        <v>439</v>
      </c>
      <c r="O94" s="2"/>
    </row>
    <row r="95" spans="1:15" s="1" customFormat="1" ht="26.4">
      <c r="A95" s="25"/>
      <c r="B95" s="26" t="s">
        <v>1231</v>
      </c>
      <c r="C95" s="26" t="s">
        <v>245</v>
      </c>
      <c r="D95" s="12" t="s">
        <v>1232</v>
      </c>
      <c r="E95" s="30"/>
      <c r="F95" s="31"/>
      <c r="G95" s="19" t="s">
        <v>1435</v>
      </c>
      <c r="H95" s="30"/>
      <c r="I95" s="33"/>
      <c r="J95" s="34" t="s">
        <v>431</v>
      </c>
      <c r="K95" s="34" t="s">
        <v>134</v>
      </c>
      <c r="L95" s="34" t="s">
        <v>432</v>
      </c>
      <c r="O95" s="2"/>
    </row>
    <row r="96" spans="1:15" s="1" customFormat="1">
      <c r="A96" s="25"/>
      <c r="B96" s="26" t="s">
        <v>933</v>
      </c>
      <c r="C96" s="26" t="s">
        <v>900</v>
      </c>
      <c r="D96" s="12" t="s">
        <v>1542</v>
      </c>
      <c r="E96" s="30"/>
      <c r="F96" s="31"/>
      <c r="G96" s="31" t="s">
        <v>1619</v>
      </c>
      <c r="H96" s="30"/>
      <c r="I96" s="33"/>
      <c r="J96" s="34" t="s">
        <v>431</v>
      </c>
      <c r="K96" s="34" t="s">
        <v>134</v>
      </c>
      <c r="L96" s="34" t="s">
        <v>568</v>
      </c>
      <c r="O96" s="2"/>
    </row>
    <row r="97" spans="1:15" s="1" customFormat="1">
      <c r="A97" s="25"/>
      <c r="B97" s="26" t="s">
        <v>1244</v>
      </c>
      <c r="C97" s="26" t="s">
        <v>136</v>
      </c>
      <c r="D97" s="12" t="s">
        <v>1245</v>
      </c>
      <c r="E97" s="30"/>
      <c r="F97" s="31"/>
      <c r="G97" s="19" t="s">
        <v>1439</v>
      </c>
      <c r="H97" s="32"/>
      <c r="I97" s="35"/>
      <c r="J97" s="34" t="s">
        <v>431</v>
      </c>
      <c r="K97" s="34" t="s">
        <v>134</v>
      </c>
      <c r="L97" s="34" t="s">
        <v>439</v>
      </c>
      <c r="O97" s="2"/>
    </row>
    <row r="98" spans="1:15" s="1" customFormat="1">
      <c r="A98" s="25"/>
      <c r="B98" s="26" t="s">
        <v>1873</v>
      </c>
      <c r="C98" s="26" t="s">
        <v>132</v>
      </c>
      <c r="D98" s="12" t="s">
        <v>1874</v>
      </c>
      <c r="E98" s="30"/>
      <c r="F98" s="31"/>
      <c r="G98" s="12" t="s">
        <v>1874</v>
      </c>
      <c r="H98" s="32"/>
      <c r="I98" s="35"/>
      <c r="J98" s="34" t="s">
        <v>431</v>
      </c>
      <c r="K98" s="34" t="s">
        <v>134</v>
      </c>
      <c r="L98" s="34" t="s">
        <v>134</v>
      </c>
      <c r="O98" s="2"/>
    </row>
    <row r="99" spans="1:15" s="1" customFormat="1">
      <c r="A99" s="25"/>
      <c r="B99" s="26" t="s">
        <v>1875</v>
      </c>
      <c r="C99" s="26" t="s">
        <v>136</v>
      </c>
      <c r="D99" s="12" t="s">
        <v>1876</v>
      </c>
      <c r="E99" s="30"/>
      <c r="F99" s="31"/>
      <c r="G99" s="12" t="s">
        <v>1876</v>
      </c>
      <c r="H99" s="32"/>
      <c r="I99" s="35"/>
      <c r="J99" s="34" t="s">
        <v>431</v>
      </c>
      <c r="K99" s="34" t="s">
        <v>134</v>
      </c>
      <c r="L99" s="34" t="s">
        <v>439</v>
      </c>
      <c r="O99" s="2"/>
    </row>
    <row r="100" spans="1:15" s="1" customFormat="1">
      <c r="A100" s="25"/>
      <c r="B100" s="26" t="s">
        <v>1877</v>
      </c>
      <c r="C100" s="26" t="s">
        <v>132</v>
      </c>
      <c r="D100" s="12" t="s">
        <v>1878</v>
      </c>
      <c r="E100" s="30"/>
      <c r="F100" s="31"/>
      <c r="G100" s="12" t="s">
        <v>1878</v>
      </c>
      <c r="H100" s="32"/>
      <c r="I100" s="35"/>
      <c r="J100" s="34" t="s">
        <v>431</v>
      </c>
      <c r="K100" s="34" t="s">
        <v>134</v>
      </c>
      <c r="L100" s="34" t="s">
        <v>134</v>
      </c>
      <c r="O100" s="2"/>
    </row>
    <row r="101" spans="1:15" s="1" customFormat="1">
      <c r="A101" s="25"/>
      <c r="B101" s="26" t="s">
        <v>1879</v>
      </c>
      <c r="C101" s="26" t="s">
        <v>136</v>
      </c>
      <c r="D101" s="12" t="s">
        <v>1880</v>
      </c>
      <c r="E101" s="30"/>
      <c r="F101" s="31"/>
      <c r="G101" s="12" t="s">
        <v>1880</v>
      </c>
      <c r="H101" s="32"/>
      <c r="I101" s="35"/>
      <c r="J101" s="34" t="s">
        <v>431</v>
      </c>
      <c r="K101" s="34" t="s">
        <v>134</v>
      </c>
      <c r="L101" s="34" t="s">
        <v>439</v>
      </c>
      <c r="O101" s="2"/>
    </row>
    <row r="102" spans="1:15" s="1" customFormat="1">
      <c r="A102" s="25"/>
      <c r="B102" s="26" t="s">
        <v>1881</v>
      </c>
      <c r="C102" s="26" t="s">
        <v>132</v>
      </c>
      <c r="D102" s="12" t="s">
        <v>1882</v>
      </c>
      <c r="E102" s="30"/>
      <c r="F102" s="31"/>
      <c r="G102" s="12" t="s">
        <v>1882</v>
      </c>
      <c r="H102" s="32"/>
      <c r="I102" s="35"/>
      <c r="J102" s="34" t="s">
        <v>431</v>
      </c>
      <c r="K102" s="34" t="s">
        <v>134</v>
      </c>
      <c r="L102" s="34" t="s">
        <v>134</v>
      </c>
      <c r="O102" s="2"/>
    </row>
    <row r="103" spans="1:15" s="1" customFormat="1">
      <c r="A103" s="25"/>
      <c r="B103" s="26" t="s">
        <v>1883</v>
      </c>
      <c r="C103" s="26" t="s">
        <v>136</v>
      </c>
      <c r="D103" s="12" t="s">
        <v>1884</v>
      </c>
      <c r="E103" s="30"/>
      <c r="F103" s="31"/>
      <c r="G103" s="12" t="s">
        <v>1884</v>
      </c>
      <c r="H103" s="32"/>
      <c r="I103" s="35"/>
      <c r="J103" s="34" t="s">
        <v>431</v>
      </c>
      <c r="K103" s="34" t="s">
        <v>134</v>
      </c>
      <c r="L103" s="34" t="s">
        <v>439</v>
      </c>
      <c r="O103" s="2"/>
    </row>
    <row r="104" spans="1:15" s="1" customFormat="1">
      <c r="A104" s="25"/>
      <c r="B104" s="26" t="s">
        <v>1885</v>
      </c>
      <c r="C104" s="26" t="s">
        <v>132</v>
      </c>
      <c r="D104" s="12" t="s">
        <v>1886</v>
      </c>
      <c r="E104" s="30"/>
      <c r="F104" s="31"/>
      <c r="G104" s="65" t="s">
        <v>880</v>
      </c>
      <c r="H104" s="32"/>
      <c r="I104" s="35"/>
      <c r="J104" s="34" t="s">
        <v>431</v>
      </c>
      <c r="K104" s="34" t="s">
        <v>134</v>
      </c>
      <c r="L104" s="34" t="s">
        <v>134</v>
      </c>
      <c r="O104" s="2"/>
    </row>
    <row r="105" spans="1:15" s="1" customFormat="1" ht="26.4">
      <c r="A105" s="25"/>
      <c r="B105" s="26" t="s">
        <v>1887</v>
      </c>
      <c r="C105" s="26" t="s">
        <v>136</v>
      </c>
      <c r="D105" s="12" t="s">
        <v>1888</v>
      </c>
      <c r="E105" s="30"/>
      <c r="F105" s="31"/>
      <c r="G105" s="65" t="s">
        <v>880</v>
      </c>
      <c r="H105" s="30"/>
      <c r="I105" s="33"/>
      <c r="J105" s="34" t="s">
        <v>431</v>
      </c>
      <c r="K105" s="34" t="s">
        <v>134</v>
      </c>
      <c r="L105" s="34" t="s">
        <v>439</v>
      </c>
      <c r="O105" s="2"/>
    </row>
    <row r="106" spans="1:15" s="1" customFormat="1">
      <c r="A106" s="25"/>
      <c r="B106" s="26" t="s">
        <v>504</v>
      </c>
      <c r="C106" s="26" t="s">
        <v>245</v>
      </c>
      <c r="D106" s="12" t="s">
        <v>505</v>
      </c>
      <c r="E106" s="30"/>
      <c r="F106" s="31"/>
      <c r="G106" s="19" t="s">
        <v>250</v>
      </c>
      <c r="H106" s="30"/>
      <c r="I106" s="33"/>
      <c r="J106" s="34" t="s">
        <v>384</v>
      </c>
      <c r="K106" s="34" t="s">
        <v>134</v>
      </c>
      <c r="L106" s="34" t="s">
        <v>134</v>
      </c>
      <c r="O106" s="2"/>
    </row>
    <row r="107" spans="1:15" s="1" customFormat="1">
      <c r="A107" s="25"/>
      <c r="B107" s="26" t="s">
        <v>506</v>
      </c>
      <c r="C107" s="26" t="s">
        <v>245</v>
      </c>
      <c r="D107" s="12" t="s">
        <v>1053</v>
      </c>
      <c r="E107" s="30"/>
      <c r="F107" s="31"/>
      <c r="G107" s="19" t="s">
        <v>250</v>
      </c>
      <c r="H107" s="30"/>
      <c r="I107" s="33"/>
      <c r="J107" s="34" t="s">
        <v>384</v>
      </c>
      <c r="K107" s="34" t="s">
        <v>134</v>
      </c>
      <c r="L107" s="34" t="s">
        <v>134</v>
      </c>
      <c r="O107" s="2"/>
    </row>
    <row r="108" spans="1:15" s="1" customFormat="1">
      <c r="A108" s="25"/>
      <c r="B108" s="26" t="s">
        <v>508</v>
      </c>
      <c r="C108" s="26" t="s">
        <v>245</v>
      </c>
      <c r="D108" s="12" t="s">
        <v>509</v>
      </c>
      <c r="E108" s="30"/>
      <c r="F108" s="31"/>
      <c r="G108" s="19" t="s">
        <v>250</v>
      </c>
      <c r="H108" s="30"/>
      <c r="I108" s="33"/>
      <c r="J108" s="34" t="s">
        <v>384</v>
      </c>
      <c r="K108" s="34" t="s">
        <v>134</v>
      </c>
      <c r="L108" s="34" t="s">
        <v>134</v>
      </c>
      <c r="O108" s="2"/>
    </row>
    <row r="109" spans="1:15" s="1" customFormat="1">
      <c r="A109" s="25"/>
      <c r="B109" s="26" t="s">
        <v>510</v>
      </c>
      <c r="C109" s="26" t="s">
        <v>245</v>
      </c>
      <c r="D109" s="12" t="s">
        <v>1054</v>
      </c>
      <c r="E109" s="30"/>
      <c r="F109" s="31"/>
      <c r="G109" s="19" t="s">
        <v>250</v>
      </c>
      <c r="H109" s="63"/>
      <c r="I109" s="33"/>
      <c r="J109" s="34" t="s">
        <v>384</v>
      </c>
      <c r="K109" s="34" t="s">
        <v>134</v>
      </c>
      <c r="L109" s="34" t="s">
        <v>134</v>
      </c>
      <c r="O109" s="2"/>
    </row>
    <row r="110" spans="1:15" s="1" customFormat="1" ht="26.4">
      <c r="A110" s="25"/>
      <c r="B110" s="26" t="s">
        <v>1238</v>
      </c>
      <c r="C110" s="26" t="s">
        <v>245</v>
      </c>
      <c r="D110" s="12" t="s">
        <v>1545</v>
      </c>
      <c r="E110" s="30"/>
      <c r="F110" s="31"/>
      <c r="G110" s="19" t="s">
        <v>1437</v>
      </c>
      <c r="H110" s="32"/>
      <c r="I110" s="35"/>
      <c r="J110" s="34" t="s">
        <v>431</v>
      </c>
      <c r="K110" s="34" t="s">
        <v>134</v>
      </c>
      <c r="L110" s="34" t="s">
        <v>432</v>
      </c>
      <c r="O110" s="2"/>
    </row>
    <row r="111" spans="1:15" s="1" customFormat="1">
      <c r="A111" s="25"/>
      <c r="B111" s="26" t="s">
        <v>1235</v>
      </c>
      <c r="C111" s="26" t="s">
        <v>136</v>
      </c>
      <c r="D111" s="12" t="s">
        <v>1544</v>
      </c>
      <c r="E111" s="30"/>
      <c r="F111" s="31"/>
      <c r="G111" s="19" t="s">
        <v>1436</v>
      </c>
      <c r="H111" s="32"/>
      <c r="I111" s="35"/>
      <c r="J111" s="34" t="s">
        <v>431</v>
      </c>
      <c r="K111" s="34" t="s">
        <v>134</v>
      </c>
      <c r="L111" s="34" t="s">
        <v>439</v>
      </c>
      <c r="O111" s="2"/>
    </row>
    <row r="112" spans="1:15" s="1" customFormat="1">
      <c r="A112" s="25"/>
      <c r="B112" s="26" t="s">
        <v>1241</v>
      </c>
      <c r="C112" s="26" t="s">
        <v>900</v>
      </c>
      <c r="D112" s="12" t="s">
        <v>1546</v>
      </c>
      <c r="E112" s="30"/>
      <c r="F112" s="31"/>
      <c r="G112" s="19" t="s">
        <v>1438</v>
      </c>
      <c r="H112" s="63"/>
      <c r="I112" s="33"/>
      <c r="J112" s="34" t="s">
        <v>431</v>
      </c>
      <c r="K112" s="34" t="s">
        <v>134</v>
      </c>
      <c r="L112" s="34" t="s">
        <v>568</v>
      </c>
      <c r="O112" s="2"/>
    </row>
    <row r="113" spans="1:15" s="1" customFormat="1">
      <c r="A113" s="25"/>
      <c r="B113" s="26" t="s">
        <v>474</v>
      </c>
      <c r="C113" s="26" t="s">
        <v>136</v>
      </c>
      <c r="D113" s="12" t="s">
        <v>1543</v>
      </c>
      <c r="E113" s="30"/>
      <c r="F113" s="31"/>
      <c r="G113" s="19" t="s">
        <v>1234</v>
      </c>
      <c r="H113" s="32"/>
      <c r="I113" s="35"/>
      <c r="J113" s="34" t="s">
        <v>431</v>
      </c>
      <c r="K113" s="34" t="s">
        <v>134</v>
      </c>
      <c r="L113" s="34" t="s">
        <v>533</v>
      </c>
      <c r="O113" s="2"/>
    </row>
    <row r="114" spans="1:15" s="1" customFormat="1">
      <c r="A114" s="25"/>
      <c r="B114" s="26" t="s">
        <v>1247</v>
      </c>
      <c r="C114" s="26" t="s">
        <v>136</v>
      </c>
      <c r="D114" s="12" t="s">
        <v>780</v>
      </c>
      <c r="E114" s="30"/>
      <c r="F114" s="31"/>
      <c r="G114" s="19" t="s">
        <v>1440</v>
      </c>
      <c r="H114" s="32"/>
      <c r="I114" s="35"/>
      <c r="J114" s="34" t="s">
        <v>431</v>
      </c>
      <c r="K114" s="34" t="s">
        <v>134</v>
      </c>
      <c r="L114" s="34" t="s">
        <v>439</v>
      </c>
      <c r="O114" s="2"/>
    </row>
    <row r="115" spans="1:15" s="1" customFormat="1">
      <c r="A115" s="25"/>
      <c r="B115" s="26" t="s">
        <v>1249</v>
      </c>
      <c r="C115" s="26" t="s">
        <v>136</v>
      </c>
      <c r="D115" s="12" t="s">
        <v>782</v>
      </c>
      <c r="E115" s="30"/>
      <c r="F115" s="31"/>
      <c r="G115" s="19" t="s">
        <v>1441</v>
      </c>
      <c r="H115" s="32"/>
      <c r="I115" s="35"/>
      <c r="J115" s="34" t="s">
        <v>431</v>
      </c>
      <c r="K115" s="34" t="s">
        <v>134</v>
      </c>
      <c r="L115" s="34" t="s">
        <v>439</v>
      </c>
      <c r="O115" s="2"/>
    </row>
    <row r="116" spans="1:15" s="1" customFormat="1">
      <c r="A116" s="25"/>
      <c r="B116" s="26" t="s">
        <v>1251</v>
      </c>
      <c r="C116" s="26" t="s">
        <v>136</v>
      </c>
      <c r="D116" s="12" t="s">
        <v>784</v>
      </c>
      <c r="E116" s="30"/>
      <c r="F116" s="31"/>
      <c r="G116" s="19" t="s">
        <v>1442</v>
      </c>
      <c r="H116" s="32"/>
      <c r="I116" s="35"/>
      <c r="J116" s="34" t="s">
        <v>431</v>
      </c>
      <c r="K116" s="34" t="s">
        <v>134</v>
      </c>
      <c r="L116" s="34" t="s">
        <v>439</v>
      </c>
      <c r="O116" s="2"/>
    </row>
    <row r="117" spans="1:15" s="1" customFormat="1">
      <c r="A117" s="25"/>
      <c r="B117" s="26" t="s">
        <v>1253</v>
      </c>
      <c r="C117" s="26" t="s">
        <v>136</v>
      </c>
      <c r="D117" s="12" t="s">
        <v>786</v>
      </c>
      <c r="E117" s="30"/>
      <c r="F117" s="31"/>
      <c r="G117" s="19" t="s">
        <v>1443</v>
      </c>
      <c r="H117" s="32"/>
      <c r="I117" s="35"/>
      <c r="J117" s="34" t="s">
        <v>431</v>
      </c>
      <c r="K117" s="34" t="s">
        <v>134</v>
      </c>
      <c r="L117" s="34" t="s">
        <v>439</v>
      </c>
      <c r="O117" s="2"/>
    </row>
    <row r="118" spans="1:15" s="1" customFormat="1">
      <c r="A118" s="25"/>
      <c r="B118" s="26" t="s">
        <v>1255</v>
      </c>
      <c r="C118" s="26" t="s">
        <v>136</v>
      </c>
      <c r="D118" s="12" t="s">
        <v>788</v>
      </c>
      <c r="E118" s="30"/>
      <c r="F118" s="31"/>
      <c r="G118" s="19" t="s">
        <v>1444</v>
      </c>
      <c r="H118" s="32"/>
      <c r="I118" s="35"/>
      <c r="J118" s="34" t="s">
        <v>431</v>
      </c>
      <c r="K118" s="34" t="s">
        <v>134</v>
      </c>
      <c r="L118" s="34" t="s">
        <v>439</v>
      </c>
      <c r="O118" s="2"/>
    </row>
    <row r="119" spans="1:15" s="1" customFormat="1">
      <c r="A119" s="25"/>
      <c r="B119" s="26" t="s">
        <v>1257</v>
      </c>
      <c r="C119" s="26" t="s">
        <v>136</v>
      </c>
      <c r="D119" s="12" t="s">
        <v>790</v>
      </c>
      <c r="E119" s="30"/>
      <c r="F119" s="31"/>
      <c r="G119" s="19" t="s">
        <v>1445</v>
      </c>
      <c r="H119" s="32"/>
      <c r="I119" s="35"/>
      <c r="J119" s="34" t="s">
        <v>431</v>
      </c>
      <c r="K119" s="34" t="s">
        <v>134</v>
      </c>
      <c r="L119" s="34" t="s">
        <v>439</v>
      </c>
      <c r="O119" s="2"/>
    </row>
    <row r="120" spans="1:15" s="1" customFormat="1">
      <c r="A120" s="25"/>
      <c r="B120" s="26" t="s">
        <v>1259</v>
      </c>
      <c r="C120" s="26" t="s">
        <v>136</v>
      </c>
      <c r="D120" s="12" t="s">
        <v>792</v>
      </c>
      <c r="E120" s="30"/>
      <c r="F120" s="31"/>
      <c r="G120" s="19" t="s">
        <v>1446</v>
      </c>
      <c r="H120" s="32"/>
      <c r="I120" s="35"/>
      <c r="J120" s="34" t="s">
        <v>431</v>
      </c>
      <c r="K120" s="34" t="s">
        <v>134</v>
      </c>
      <c r="L120" s="34" t="s">
        <v>439</v>
      </c>
      <c r="O120" s="2"/>
    </row>
    <row r="121" spans="1:15" s="1" customFormat="1">
      <c r="A121" s="25"/>
      <c r="B121" s="26" t="s">
        <v>1261</v>
      </c>
      <c r="C121" s="26" t="s">
        <v>136</v>
      </c>
      <c r="D121" s="12" t="s">
        <v>794</v>
      </c>
      <c r="E121" s="30"/>
      <c r="F121" s="31"/>
      <c r="G121" s="19" t="s">
        <v>1447</v>
      </c>
      <c r="H121" s="32"/>
      <c r="I121" s="35"/>
      <c r="J121" s="34" t="s">
        <v>431</v>
      </c>
      <c r="K121" s="34" t="s">
        <v>134</v>
      </c>
      <c r="L121" s="34" t="s">
        <v>439</v>
      </c>
      <c r="O121" s="2"/>
    </row>
    <row r="122" spans="1:15" s="1" customFormat="1">
      <c r="A122" s="25"/>
      <c r="B122" s="26" t="s">
        <v>1263</v>
      </c>
      <c r="C122" s="26" t="s">
        <v>136</v>
      </c>
      <c r="D122" s="12" t="s">
        <v>796</v>
      </c>
      <c r="E122" s="30"/>
      <c r="F122" s="31"/>
      <c r="G122" s="19" t="s">
        <v>1448</v>
      </c>
      <c r="H122" s="32"/>
      <c r="I122" s="35"/>
      <c r="J122" s="34" t="s">
        <v>431</v>
      </c>
      <c r="K122" s="34" t="s">
        <v>134</v>
      </c>
      <c r="L122" s="34" t="s">
        <v>439</v>
      </c>
      <c r="O122" s="2"/>
    </row>
    <row r="123" spans="1:15" s="1" customFormat="1">
      <c r="A123" s="25"/>
      <c r="B123" s="26" t="s">
        <v>1265</v>
      </c>
      <c r="C123" s="26" t="s">
        <v>136</v>
      </c>
      <c r="D123" s="12" t="s">
        <v>798</v>
      </c>
      <c r="E123" s="30"/>
      <c r="F123" s="31"/>
      <c r="G123" s="19" t="s">
        <v>1449</v>
      </c>
      <c r="H123" s="32"/>
      <c r="I123" s="35"/>
      <c r="J123" s="34" t="s">
        <v>431</v>
      </c>
      <c r="K123" s="34" t="s">
        <v>134</v>
      </c>
      <c r="L123" s="34" t="s">
        <v>439</v>
      </c>
      <c r="O123" s="2"/>
    </row>
    <row r="124" spans="1:15" s="1" customFormat="1">
      <c r="A124" s="25"/>
      <c r="B124" s="26" t="s">
        <v>1267</v>
      </c>
      <c r="C124" s="26" t="s">
        <v>136</v>
      </c>
      <c r="D124" s="12" t="s">
        <v>800</v>
      </c>
      <c r="E124" s="30"/>
      <c r="F124" s="31"/>
      <c r="G124" s="19" t="s">
        <v>1450</v>
      </c>
      <c r="H124" s="32"/>
      <c r="I124" s="35"/>
      <c r="J124" s="34" t="s">
        <v>431</v>
      </c>
      <c r="K124" s="34" t="s">
        <v>134</v>
      </c>
      <c r="L124" s="34" t="s">
        <v>439</v>
      </c>
      <c r="O124" s="2"/>
    </row>
    <row r="125" spans="1:15" s="1" customFormat="1">
      <c r="A125" s="25"/>
      <c r="B125" s="26" t="s">
        <v>1268</v>
      </c>
      <c r="C125" s="26" t="s">
        <v>136</v>
      </c>
      <c r="D125" s="12" t="s">
        <v>802</v>
      </c>
      <c r="E125" s="30"/>
      <c r="F125" s="31"/>
      <c r="G125" s="19" t="s">
        <v>1451</v>
      </c>
      <c r="H125" s="32"/>
      <c r="I125" s="35"/>
      <c r="J125" s="34" t="s">
        <v>431</v>
      </c>
      <c r="K125" s="34" t="s">
        <v>134</v>
      </c>
      <c r="L125" s="34" t="s">
        <v>439</v>
      </c>
      <c r="O125" s="2"/>
    </row>
    <row r="126" spans="1:15" s="1" customFormat="1">
      <c r="A126" s="25"/>
      <c r="B126" s="26" t="s">
        <v>1270</v>
      </c>
      <c r="C126" s="26" t="s">
        <v>136</v>
      </c>
      <c r="D126" s="12" t="s">
        <v>804</v>
      </c>
      <c r="E126" s="30"/>
      <c r="F126" s="31"/>
      <c r="G126" s="19" t="s">
        <v>1452</v>
      </c>
      <c r="H126" s="32"/>
      <c r="I126" s="35"/>
      <c r="J126" s="34" t="s">
        <v>431</v>
      </c>
      <c r="K126" s="34" t="s">
        <v>134</v>
      </c>
      <c r="L126" s="34" t="s">
        <v>439</v>
      </c>
      <c r="O126" s="2"/>
    </row>
    <row r="127" spans="1:15" s="1" customFormat="1">
      <c r="A127" s="25"/>
      <c r="B127" s="26" t="s">
        <v>1272</v>
      </c>
      <c r="C127" s="26" t="s">
        <v>136</v>
      </c>
      <c r="D127" s="12" t="s">
        <v>1624</v>
      </c>
      <c r="E127" s="30"/>
      <c r="F127" s="31"/>
      <c r="G127" s="19" t="s">
        <v>1453</v>
      </c>
      <c r="H127" s="32"/>
      <c r="I127" s="35"/>
      <c r="J127" s="34" t="s">
        <v>431</v>
      </c>
      <c r="K127" s="34" t="s">
        <v>134</v>
      </c>
      <c r="L127" s="34" t="s">
        <v>439</v>
      </c>
      <c r="O127" s="2"/>
    </row>
    <row r="128" spans="1:15" s="39" customFormat="1" ht="79.2">
      <c r="A128" s="41"/>
      <c r="B128" s="41" t="s">
        <v>227</v>
      </c>
      <c r="C128" s="41" t="s">
        <v>139</v>
      </c>
      <c r="D128" s="43" t="s">
        <v>228</v>
      </c>
      <c r="E128" s="41" t="s">
        <v>243</v>
      </c>
      <c r="F128" s="41" t="s">
        <v>227</v>
      </c>
      <c r="G128" s="42" t="s">
        <v>250</v>
      </c>
      <c r="H128" s="41"/>
      <c r="I128" s="66" t="s">
        <v>662</v>
      </c>
      <c r="J128" s="41" t="s">
        <v>384</v>
      </c>
      <c r="K128" s="41" t="s">
        <v>134</v>
      </c>
      <c r="L128" s="46" t="s">
        <v>134</v>
      </c>
    </row>
    <row r="129" spans="1:12" s="39" customFormat="1">
      <c r="A129" s="41"/>
      <c r="B129" s="41" t="s">
        <v>392</v>
      </c>
      <c r="C129" s="41" t="s">
        <v>132</v>
      </c>
      <c r="D129" s="42" t="s">
        <v>391</v>
      </c>
      <c r="E129" s="41" t="s">
        <v>243</v>
      </c>
      <c r="F129" s="41" t="s">
        <v>392</v>
      </c>
      <c r="G129" s="42" t="s">
        <v>250</v>
      </c>
      <c r="H129" s="41"/>
      <c r="I129" s="66" t="s">
        <v>662</v>
      </c>
      <c r="J129" s="41" t="s">
        <v>384</v>
      </c>
      <c r="K129" s="41" t="s">
        <v>134</v>
      </c>
      <c r="L129" s="46" t="s">
        <v>134</v>
      </c>
    </row>
    <row r="130" spans="1:12" s="39" customFormat="1">
      <c r="A130" s="41"/>
      <c r="B130" s="41" t="s">
        <v>395</v>
      </c>
      <c r="C130" s="41" t="s">
        <v>132</v>
      </c>
      <c r="D130" s="42" t="s">
        <v>489</v>
      </c>
      <c r="E130" s="41" t="s">
        <v>243</v>
      </c>
      <c r="F130" s="41" t="s">
        <v>395</v>
      </c>
      <c r="G130" s="42" t="s">
        <v>250</v>
      </c>
      <c r="H130" s="41"/>
      <c r="I130" s="66" t="s">
        <v>662</v>
      </c>
      <c r="J130" s="41" t="s">
        <v>384</v>
      </c>
      <c r="K130" s="41" t="s">
        <v>134</v>
      </c>
      <c r="L130" s="46" t="s">
        <v>134</v>
      </c>
    </row>
    <row r="131" spans="1:12" s="39" customFormat="1">
      <c r="A131" s="41"/>
      <c r="B131" s="41" t="s">
        <v>398</v>
      </c>
      <c r="C131" s="41" t="s">
        <v>132</v>
      </c>
      <c r="D131" s="42" t="s">
        <v>490</v>
      </c>
      <c r="E131" s="41" t="s">
        <v>243</v>
      </c>
      <c r="F131" s="41" t="s">
        <v>398</v>
      </c>
      <c r="G131" s="42" t="s">
        <v>250</v>
      </c>
      <c r="H131" s="41"/>
      <c r="I131" s="66" t="s">
        <v>662</v>
      </c>
      <c r="J131" s="41" t="s">
        <v>384</v>
      </c>
      <c r="K131" s="41" t="s">
        <v>134</v>
      </c>
      <c r="L131" s="46" t="s">
        <v>134</v>
      </c>
    </row>
    <row r="132" spans="1:12" s="64" customFormat="1">
      <c r="A132" s="67"/>
      <c r="B132" s="68" t="s">
        <v>462</v>
      </c>
      <c r="C132" s="69" t="s">
        <v>136</v>
      </c>
      <c r="D132" s="43" t="s">
        <v>463</v>
      </c>
      <c r="E132" s="44" t="s">
        <v>243</v>
      </c>
      <c r="F132" s="70"/>
      <c r="G132" s="70" t="s">
        <v>1456</v>
      </c>
      <c r="H132" s="44"/>
      <c r="I132" s="66" t="s">
        <v>662</v>
      </c>
      <c r="J132" s="66" t="s">
        <v>431</v>
      </c>
      <c r="K132" s="47" t="s">
        <v>134</v>
      </c>
      <c r="L132" s="47" t="s">
        <v>439</v>
      </c>
    </row>
    <row r="133" spans="1:12" s="64" customFormat="1">
      <c r="A133" s="67"/>
      <c r="B133" s="68" t="s">
        <v>616</v>
      </c>
      <c r="C133" s="69" t="s">
        <v>136</v>
      </c>
      <c r="D133" s="43" t="s">
        <v>855</v>
      </c>
      <c r="E133" s="44" t="s">
        <v>243</v>
      </c>
      <c r="F133" s="70"/>
      <c r="G133" s="70" t="s">
        <v>1353</v>
      </c>
      <c r="H133" s="44"/>
      <c r="I133" s="66" t="s">
        <v>662</v>
      </c>
      <c r="J133" s="66" t="s">
        <v>431</v>
      </c>
      <c r="K133" s="47" t="s">
        <v>134</v>
      </c>
      <c r="L133" s="47" t="s">
        <v>439</v>
      </c>
    </row>
    <row r="134" spans="1:12" s="64" customFormat="1">
      <c r="A134" s="67"/>
      <c r="B134" s="68" t="s">
        <v>618</v>
      </c>
      <c r="C134" s="69" t="s">
        <v>136</v>
      </c>
      <c r="D134" s="43" t="s">
        <v>858</v>
      </c>
      <c r="E134" s="44" t="s">
        <v>243</v>
      </c>
      <c r="F134" s="70"/>
      <c r="G134" s="70" t="s">
        <v>1354</v>
      </c>
      <c r="H134" s="44"/>
      <c r="I134" s="66" t="s">
        <v>662</v>
      </c>
      <c r="J134" s="66" t="s">
        <v>431</v>
      </c>
      <c r="K134" s="47" t="s">
        <v>134</v>
      </c>
      <c r="L134" s="47" t="s">
        <v>439</v>
      </c>
    </row>
    <row r="135" spans="1:12" s="64" customFormat="1">
      <c r="A135" s="67"/>
      <c r="B135" s="68" t="s">
        <v>620</v>
      </c>
      <c r="C135" s="69" t="s">
        <v>136</v>
      </c>
      <c r="D135" s="43" t="s">
        <v>861</v>
      </c>
      <c r="E135" s="44" t="s">
        <v>243</v>
      </c>
      <c r="F135" s="70"/>
      <c r="G135" s="70" t="s">
        <v>1355</v>
      </c>
      <c r="H135" s="44"/>
      <c r="I135" s="66" t="s">
        <v>662</v>
      </c>
      <c r="J135" s="66" t="s">
        <v>431</v>
      </c>
      <c r="K135" s="47" t="s">
        <v>134</v>
      </c>
      <c r="L135" s="47" t="s">
        <v>439</v>
      </c>
    </row>
    <row r="136" spans="1:12" s="64" customFormat="1">
      <c r="A136" s="67"/>
      <c r="B136" s="68" t="s">
        <v>622</v>
      </c>
      <c r="C136" s="69" t="s">
        <v>136</v>
      </c>
      <c r="D136" s="43" t="s">
        <v>864</v>
      </c>
      <c r="E136" s="44" t="s">
        <v>243</v>
      </c>
      <c r="F136" s="70"/>
      <c r="G136" s="70" t="s">
        <v>1356</v>
      </c>
      <c r="H136" s="44"/>
      <c r="I136" s="66" t="s">
        <v>662</v>
      </c>
      <c r="J136" s="66" t="s">
        <v>431</v>
      </c>
      <c r="K136" s="47" t="s">
        <v>134</v>
      </c>
      <c r="L136" s="47" t="s">
        <v>439</v>
      </c>
    </row>
    <row r="137" spans="1:12" s="64" customFormat="1">
      <c r="A137" s="67"/>
      <c r="B137" s="68" t="s">
        <v>624</v>
      </c>
      <c r="C137" s="69" t="s">
        <v>136</v>
      </c>
      <c r="D137" s="43" t="s">
        <v>867</v>
      </c>
      <c r="E137" s="44" t="s">
        <v>243</v>
      </c>
      <c r="F137" s="70"/>
      <c r="G137" s="70" t="s">
        <v>1357</v>
      </c>
      <c r="H137" s="44"/>
      <c r="I137" s="66" t="s">
        <v>662</v>
      </c>
      <c r="J137" s="66" t="s">
        <v>431</v>
      </c>
      <c r="K137" s="47" t="s">
        <v>134</v>
      </c>
      <c r="L137" s="47" t="s">
        <v>439</v>
      </c>
    </row>
    <row r="138" spans="1:12" s="64" customFormat="1">
      <c r="A138" s="67"/>
      <c r="B138" s="68" t="s">
        <v>626</v>
      </c>
      <c r="C138" s="69" t="s">
        <v>136</v>
      </c>
      <c r="D138" s="43" t="s">
        <v>870</v>
      </c>
      <c r="E138" s="44" t="s">
        <v>243</v>
      </c>
      <c r="F138" s="70"/>
      <c r="G138" s="70" t="s">
        <v>1358</v>
      </c>
      <c r="H138" s="44"/>
      <c r="I138" s="66" t="s">
        <v>662</v>
      </c>
      <c r="J138" s="66" t="s">
        <v>431</v>
      </c>
      <c r="K138" s="47" t="s">
        <v>134</v>
      </c>
      <c r="L138" s="47" t="s">
        <v>439</v>
      </c>
    </row>
    <row r="139" spans="1:12" s="64" customFormat="1">
      <c r="A139" s="67"/>
      <c r="B139" s="68" t="s">
        <v>628</v>
      </c>
      <c r="C139" s="69" t="s">
        <v>136</v>
      </c>
      <c r="D139" s="43" t="s">
        <v>873</v>
      </c>
      <c r="E139" s="44" t="s">
        <v>243</v>
      </c>
      <c r="F139" s="70"/>
      <c r="G139" s="70" t="s">
        <v>1359</v>
      </c>
      <c r="H139" s="44"/>
      <c r="I139" s="66" t="s">
        <v>662</v>
      </c>
      <c r="J139" s="66" t="s">
        <v>431</v>
      </c>
      <c r="K139" s="47" t="s">
        <v>134</v>
      </c>
      <c r="L139" s="47" t="s">
        <v>439</v>
      </c>
    </row>
    <row r="140" spans="1:12" s="64" customFormat="1">
      <c r="A140" s="67"/>
      <c r="B140" s="68" t="s">
        <v>658</v>
      </c>
      <c r="C140" s="69" t="s">
        <v>136</v>
      </c>
      <c r="D140" s="43" t="s">
        <v>659</v>
      </c>
      <c r="E140" s="44" t="s">
        <v>243</v>
      </c>
      <c r="F140" s="70"/>
      <c r="G140" s="70" t="s">
        <v>1193</v>
      </c>
      <c r="H140" s="44"/>
      <c r="I140" s="66" t="s">
        <v>662</v>
      </c>
      <c r="J140" s="47" t="s">
        <v>431</v>
      </c>
      <c r="K140" s="47" t="s">
        <v>134</v>
      </c>
      <c r="L140" s="47" t="s">
        <v>439</v>
      </c>
    </row>
    <row r="141" spans="1:12" s="64" customFormat="1">
      <c r="A141" s="67"/>
      <c r="B141" s="68" t="s">
        <v>665</v>
      </c>
      <c r="C141" s="69" t="s">
        <v>136</v>
      </c>
      <c r="D141" s="43" t="s">
        <v>1024</v>
      </c>
      <c r="E141" s="44" t="s">
        <v>243</v>
      </c>
      <c r="F141" s="70"/>
      <c r="G141" s="70" t="s">
        <v>1360</v>
      </c>
      <c r="H141" s="44"/>
      <c r="I141" s="66" t="s">
        <v>662</v>
      </c>
      <c r="J141" s="47" t="s">
        <v>431</v>
      </c>
      <c r="K141" s="47" t="s">
        <v>134</v>
      </c>
      <c r="L141" s="47" t="s">
        <v>439</v>
      </c>
    </row>
    <row r="142" spans="1:12" s="64" customFormat="1">
      <c r="A142" s="67"/>
      <c r="B142" s="68" t="s">
        <v>669</v>
      </c>
      <c r="C142" s="69" t="s">
        <v>245</v>
      </c>
      <c r="D142" s="43" t="s">
        <v>670</v>
      </c>
      <c r="E142" s="44" t="s">
        <v>243</v>
      </c>
      <c r="F142" s="70"/>
      <c r="G142" s="70" t="s">
        <v>1620</v>
      </c>
      <c r="H142" s="44"/>
      <c r="I142" s="66" t="s">
        <v>662</v>
      </c>
      <c r="J142" s="47" t="s">
        <v>431</v>
      </c>
      <c r="K142" s="47" t="s">
        <v>134</v>
      </c>
      <c r="L142" s="47" t="s">
        <v>439</v>
      </c>
    </row>
    <row r="143" spans="1:12" s="64" customFormat="1">
      <c r="A143" s="67"/>
      <c r="B143" s="68" t="s">
        <v>743</v>
      </c>
      <c r="C143" s="68" t="s">
        <v>136</v>
      </c>
      <c r="D143" s="42" t="s">
        <v>1027</v>
      </c>
      <c r="E143" s="44" t="s">
        <v>243</v>
      </c>
      <c r="F143" s="70"/>
      <c r="G143" s="70" t="s">
        <v>1361</v>
      </c>
      <c r="H143" s="71"/>
      <c r="I143" s="66" t="s">
        <v>662</v>
      </c>
      <c r="J143" s="47" t="s">
        <v>431</v>
      </c>
      <c r="K143" s="47" t="s">
        <v>134</v>
      </c>
      <c r="L143" s="47" t="s">
        <v>439</v>
      </c>
    </row>
    <row r="144" spans="1:12" s="64" customFormat="1">
      <c r="A144" s="67"/>
      <c r="B144" s="68" t="s">
        <v>746</v>
      </c>
      <c r="C144" s="68" t="s">
        <v>136</v>
      </c>
      <c r="D144" s="42" t="s">
        <v>1030</v>
      </c>
      <c r="E144" s="44" t="s">
        <v>243</v>
      </c>
      <c r="F144" s="70"/>
      <c r="G144" s="70" t="s">
        <v>1362</v>
      </c>
      <c r="H144" s="71"/>
      <c r="I144" s="66" t="s">
        <v>662</v>
      </c>
      <c r="J144" s="47" t="s">
        <v>431</v>
      </c>
      <c r="K144" s="47" t="s">
        <v>134</v>
      </c>
      <c r="L144" s="47" t="s">
        <v>439</v>
      </c>
    </row>
    <row r="145" spans="1:12" s="64" customFormat="1">
      <c r="A145" s="67"/>
      <c r="B145" s="68" t="s">
        <v>749</v>
      </c>
      <c r="C145" s="68" t="s">
        <v>136</v>
      </c>
      <c r="D145" s="42" t="s">
        <v>1033</v>
      </c>
      <c r="E145" s="44" t="s">
        <v>243</v>
      </c>
      <c r="F145" s="70"/>
      <c r="G145" s="70" t="s">
        <v>1363</v>
      </c>
      <c r="H145" s="71"/>
      <c r="I145" s="66" t="s">
        <v>662</v>
      </c>
      <c r="J145" s="47" t="s">
        <v>431</v>
      </c>
      <c r="K145" s="47" t="s">
        <v>134</v>
      </c>
      <c r="L145" s="47" t="s">
        <v>439</v>
      </c>
    </row>
    <row r="146" spans="1:12" s="64" customFormat="1">
      <c r="A146" s="67"/>
      <c r="B146" s="68" t="s">
        <v>752</v>
      </c>
      <c r="C146" s="68" t="s">
        <v>136</v>
      </c>
      <c r="D146" s="42" t="s">
        <v>1036</v>
      </c>
      <c r="E146" s="44" t="s">
        <v>243</v>
      </c>
      <c r="F146" s="70"/>
      <c r="G146" s="70" t="s">
        <v>1364</v>
      </c>
      <c r="H146" s="71"/>
      <c r="I146" s="66" t="s">
        <v>662</v>
      </c>
      <c r="J146" s="47" t="s">
        <v>431</v>
      </c>
      <c r="K146" s="47" t="s">
        <v>134</v>
      </c>
      <c r="L146" s="47" t="s">
        <v>439</v>
      </c>
    </row>
    <row r="147" spans="1:12" s="64" customFormat="1">
      <c r="A147" s="67"/>
      <c r="B147" s="68" t="s">
        <v>755</v>
      </c>
      <c r="C147" s="68" t="s">
        <v>136</v>
      </c>
      <c r="D147" s="42" t="s">
        <v>1039</v>
      </c>
      <c r="E147" s="44" t="s">
        <v>243</v>
      </c>
      <c r="F147" s="70"/>
      <c r="G147" s="70" t="s">
        <v>1365</v>
      </c>
      <c r="H147" s="71"/>
      <c r="I147" s="66" t="s">
        <v>662</v>
      </c>
      <c r="J147" s="47" t="s">
        <v>431</v>
      </c>
      <c r="K147" s="47" t="s">
        <v>134</v>
      </c>
      <c r="L147" s="47" t="s">
        <v>439</v>
      </c>
    </row>
    <row r="148" spans="1:12" s="64" customFormat="1">
      <c r="A148" s="67"/>
      <c r="B148" s="68" t="s">
        <v>758</v>
      </c>
      <c r="C148" s="68" t="s">
        <v>136</v>
      </c>
      <c r="D148" s="42" t="s">
        <v>1042</v>
      </c>
      <c r="E148" s="44" t="s">
        <v>243</v>
      </c>
      <c r="F148" s="70"/>
      <c r="G148" s="70" t="s">
        <v>1366</v>
      </c>
      <c r="H148" s="71"/>
      <c r="I148" s="66" t="s">
        <v>662</v>
      </c>
      <c r="J148" s="47" t="s">
        <v>431</v>
      </c>
      <c r="K148" s="47" t="s">
        <v>134</v>
      </c>
      <c r="L148" s="47" t="s">
        <v>439</v>
      </c>
    </row>
    <row r="149" spans="1:12" s="64" customFormat="1">
      <c r="A149" s="67"/>
      <c r="B149" s="68" t="s">
        <v>1547</v>
      </c>
      <c r="C149" s="68" t="s">
        <v>136</v>
      </c>
      <c r="D149" s="42" t="s">
        <v>1045</v>
      </c>
      <c r="E149" s="44" t="s">
        <v>243</v>
      </c>
      <c r="F149" s="70"/>
      <c r="G149" s="70" t="s">
        <v>1367</v>
      </c>
      <c r="H149" s="71"/>
      <c r="I149" s="66" t="s">
        <v>662</v>
      </c>
      <c r="J149" s="47" t="s">
        <v>431</v>
      </c>
      <c r="K149" s="47" t="s">
        <v>134</v>
      </c>
      <c r="L149" s="47" t="s">
        <v>439</v>
      </c>
    </row>
    <row r="150" spans="1:12" s="4" customFormat="1">
      <c r="B150" s="50" t="s">
        <v>233</v>
      </c>
      <c r="C150" s="51" t="s">
        <v>139</v>
      </c>
      <c r="D150" s="37" t="s">
        <v>234</v>
      </c>
      <c r="E150" s="52"/>
      <c r="F150" s="52"/>
      <c r="G150" s="52"/>
      <c r="H150" s="50"/>
      <c r="I150" s="50"/>
      <c r="J150" s="50"/>
      <c r="K150" s="50"/>
      <c r="L150" s="50"/>
    </row>
    <row r="151" spans="1:12" s="4" customFormat="1">
      <c r="B151" s="50" t="s">
        <v>235</v>
      </c>
      <c r="C151" s="51" t="s">
        <v>132</v>
      </c>
      <c r="D151" s="37" t="s">
        <v>236</v>
      </c>
      <c r="E151" s="52"/>
      <c r="F151" s="52"/>
      <c r="G151" s="52"/>
      <c r="H151" s="50"/>
      <c r="I151" s="50"/>
      <c r="J151" s="50"/>
      <c r="K151" s="50"/>
      <c r="L151" s="50"/>
    </row>
  </sheetData>
  <autoFilter ref="A14:L151" xr:uid="{00000000-0009-0000-0000-00001F000000}"/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30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5" customWidth="1"/>
    <col min="2" max="2" width="24.88671875" style="5" customWidth="1"/>
    <col min="3" max="3" width="30.21875" style="5" customWidth="1"/>
    <col min="4" max="4" width="32.21875" style="5" customWidth="1"/>
    <col min="5" max="5" width="16.21875" style="5" customWidth="1"/>
    <col min="6" max="6" width="17.109375" style="5" customWidth="1"/>
    <col min="7" max="7" width="39.5546875" style="5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2:12">
      <c r="B1" s="7" t="str">
        <f>HYPERLINK("#导航!a2","返回")</f>
        <v>返回</v>
      </c>
    </row>
    <row r="2" spans="2:12">
      <c r="B2" s="156"/>
      <c r="C2" s="156"/>
      <c r="D2" s="156"/>
      <c r="E2" s="156"/>
      <c r="F2" s="156"/>
      <c r="G2" s="156"/>
      <c r="H2" s="156"/>
    </row>
    <row r="3" spans="2:12">
      <c r="B3" s="157" t="s">
        <v>106</v>
      </c>
      <c r="C3" s="157"/>
      <c r="D3" s="157"/>
      <c r="E3" s="157"/>
      <c r="F3" s="157"/>
      <c r="G3" s="157"/>
      <c r="H3" s="157"/>
    </row>
    <row r="4" spans="2:12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2:12">
      <c r="B5" s="11" t="s">
        <v>55</v>
      </c>
      <c r="C5" s="12" t="s">
        <v>2549</v>
      </c>
      <c r="D5" s="13" t="s">
        <v>2547</v>
      </c>
      <c r="E5" s="14" t="s">
        <v>383</v>
      </c>
      <c r="F5" s="15"/>
      <c r="G5" s="14"/>
      <c r="H5" s="14"/>
    </row>
    <row r="6" spans="2:12">
      <c r="B6" s="8"/>
      <c r="C6" s="8"/>
      <c r="D6" s="8"/>
      <c r="E6" s="8"/>
      <c r="F6" s="8"/>
      <c r="G6" s="8"/>
      <c r="H6" s="8"/>
    </row>
    <row r="7" spans="2:12">
      <c r="B7" s="157" t="s">
        <v>113</v>
      </c>
      <c r="C7" s="157"/>
      <c r="D7" s="157"/>
      <c r="E7" s="157"/>
      <c r="F7" s="157"/>
      <c r="G7" s="157"/>
      <c r="H7" s="157"/>
    </row>
    <row r="8" spans="2:12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2:12">
      <c r="B9" s="14"/>
      <c r="C9" s="12" t="s">
        <v>2326</v>
      </c>
      <c r="D9" s="12" t="s">
        <v>101</v>
      </c>
      <c r="E9" s="14" t="s">
        <v>243</v>
      </c>
      <c r="F9" s="19"/>
      <c r="G9" s="19"/>
      <c r="H9" s="21" t="s">
        <v>38</v>
      </c>
    </row>
    <row r="10" spans="2:12">
      <c r="B10" s="14"/>
      <c r="C10" s="12"/>
      <c r="D10" s="12"/>
      <c r="E10" s="14"/>
      <c r="F10" s="19"/>
      <c r="G10" s="19"/>
      <c r="H10" s="14"/>
    </row>
    <row r="11" spans="2:12">
      <c r="G11" s="48"/>
    </row>
    <row r="12" spans="2:12">
      <c r="B12" s="5" t="s">
        <v>120</v>
      </c>
    </row>
    <row r="13" spans="2:12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2:12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2:12" s="2" customFormat="1">
      <c r="B15" s="49" t="s">
        <v>383</v>
      </c>
      <c r="C15" s="49" t="s">
        <v>132</v>
      </c>
      <c r="D15" s="12" t="s">
        <v>1548</v>
      </c>
      <c r="E15" s="30" t="s">
        <v>243</v>
      </c>
      <c r="F15" s="19" t="s">
        <v>235</v>
      </c>
      <c r="G15" s="19" t="s">
        <v>250</v>
      </c>
      <c r="H15" s="32"/>
      <c r="I15" s="34"/>
      <c r="J15" s="34" t="s">
        <v>384</v>
      </c>
      <c r="K15" s="34" t="s">
        <v>134</v>
      </c>
      <c r="L15" s="34" t="s">
        <v>134</v>
      </c>
    </row>
    <row r="16" spans="2:12" s="2" customFormat="1">
      <c r="B16" s="49" t="s">
        <v>141</v>
      </c>
      <c r="C16" s="49" t="s">
        <v>132</v>
      </c>
      <c r="D16" s="12" t="s">
        <v>143</v>
      </c>
      <c r="E16" s="30" t="s">
        <v>243</v>
      </c>
      <c r="F16" s="19" t="s">
        <v>141</v>
      </c>
      <c r="G16" s="19" t="s">
        <v>250</v>
      </c>
      <c r="H16" s="32"/>
      <c r="I16" s="34"/>
      <c r="J16" s="34" t="s">
        <v>384</v>
      </c>
      <c r="K16" s="34" t="s">
        <v>134</v>
      </c>
      <c r="L16" s="34" t="s">
        <v>134</v>
      </c>
    </row>
    <row r="17" spans="1:15" s="2" customFormat="1">
      <c r="A17" s="29"/>
      <c r="B17" s="49" t="s">
        <v>211</v>
      </c>
      <c r="C17" s="49" t="s">
        <v>139</v>
      </c>
      <c r="D17" s="12" t="s">
        <v>810</v>
      </c>
      <c r="E17" s="30" t="s">
        <v>243</v>
      </c>
      <c r="F17" s="19" t="s">
        <v>211</v>
      </c>
      <c r="G17" s="19" t="s">
        <v>250</v>
      </c>
      <c r="H17" s="32"/>
      <c r="I17" s="35"/>
      <c r="J17" s="34" t="s">
        <v>384</v>
      </c>
      <c r="K17" s="34" t="s">
        <v>134</v>
      </c>
      <c r="L17" s="34" t="s">
        <v>134</v>
      </c>
    </row>
    <row r="18" spans="1:15" s="2" customFormat="1">
      <c r="A18" s="29"/>
      <c r="B18" s="49" t="s">
        <v>371</v>
      </c>
      <c r="C18" s="49" t="s">
        <v>139</v>
      </c>
      <c r="D18" s="12" t="s">
        <v>497</v>
      </c>
      <c r="E18" s="30" t="s">
        <v>243</v>
      </c>
      <c r="F18" s="19" t="s">
        <v>371</v>
      </c>
      <c r="G18" s="19" t="s">
        <v>250</v>
      </c>
      <c r="H18" s="32"/>
      <c r="I18" s="35"/>
      <c r="J18" s="34" t="s">
        <v>384</v>
      </c>
      <c r="K18" s="34" t="s">
        <v>134</v>
      </c>
      <c r="L18" s="34" t="s">
        <v>134</v>
      </c>
    </row>
    <row r="19" spans="1:15" s="2" customFormat="1">
      <c r="A19" s="29"/>
      <c r="B19" s="14" t="s">
        <v>373</v>
      </c>
      <c r="C19" s="14" t="s">
        <v>139</v>
      </c>
      <c r="D19" s="12" t="s">
        <v>498</v>
      </c>
      <c r="E19" s="30" t="s">
        <v>243</v>
      </c>
      <c r="F19" s="19" t="s">
        <v>373</v>
      </c>
      <c r="G19" s="19" t="s">
        <v>250</v>
      </c>
      <c r="H19" s="32"/>
      <c r="I19" s="35"/>
      <c r="J19" s="34" t="s">
        <v>384</v>
      </c>
      <c r="K19" s="34" t="s">
        <v>134</v>
      </c>
      <c r="L19" s="34" t="s">
        <v>134</v>
      </c>
    </row>
    <row r="20" spans="1:15" s="2" customFormat="1">
      <c r="A20" s="29"/>
      <c r="B20" s="14" t="s">
        <v>273</v>
      </c>
      <c r="C20" s="14" t="s">
        <v>139</v>
      </c>
      <c r="D20" s="12" t="s">
        <v>274</v>
      </c>
      <c r="E20" s="30" t="s">
        <v>243</v>
      </c>
      <c r="F20" s="19" t="s">
        <v>273</v>
      </c>
      <c r="G20" s="19" t="s">
        <v>250</v>
      </c>
      <c r="H20" s="32"/>
      <c r="I20" s="35"/>
      <c r="J20" s="34" t="s">
        <v>384</v>
      </c>
      <c r="K20" s="34" t="s">
        <v>134</v>
      </c>
      <c r="L20" s="34" t="s">
        <v>134</v>
      </c>
    </row>
    <row r="21" spans="1:15" s="2" customFormat="1">
      <c r="A21" s="29"/>
      <c r="B21" s="14" t="s">
        <v>385</v>
      </c>
      <c r="C21" s="14" t="s">
        <v>139</v>
      </c>
      <c r="D21" s="12" t="s">
        <v>487</v>
      </c>
      <c r="E21" s="30" t="s">
        <v>243</v>
      </c>
      <c r="F21" s="19" t="s">
        <v>385</v>
      </c>
      <c r="G21" s="19" t="s">
        <v>250</v>
      </c>
      <c r="H21" s="32"/>
      <c r="I21" s="35"/>
      <c r="J21" s="34" t="s">
        <v>384</v>
      </c>
      <c r="K21" s="34" t="s">
        <v>134</v>
      </c>
      <c r="L21" s="34" t="s">
        <v>134</v>
      </c>
    </row>
    <row r="22" spans="1:15" s="2" customFormat="1">
      <c r="A22" s="29"/>
      <c r="B22" s="14" t="s">
        <v>388</v>
      </c>
      <c r="C22" s="14" t="s">
        <v>139</v>
      </c>
      <c r="D22" s="12" t="s">
        <v>488</v>
      </c>
      <c r="E22" s="30" t="s">
        <v>243</v>
      </c>
      <c r="F22" s="19" t="s">
        <v>388</v>
      </c>
      <c r="G22" s="19" t="s">
        <v>250</v>
      </c>
      <c r="H22" s="32"/>
      <c r="I22" s="35"/>
      <c r="J22" s="34" t="s">
        <v>384</v>
      </c>
      <c r="K22" s="34" t="s">
        <v>134</v>
      </c>
      <c r="L22" s="34" t="s">
        <v>134</v>
      </c>
    </row>
    <row r="23" spans="1:15" s="2" customFormat="1">
      <c r="A23" s="29"/>
      <c r="B23" s="14" t="s">
        <v>1058</v>
      </c>
      <c r="C23" s="14" t="s">
        <v>245</v>
      </c>
      <c r="D23" s="12" t="s">
        <v>513</v>
      </c>
      <c r="E23" s="30"/>
      <c r="F23" s="19"/>
      <c r="G23" s="19" t="s">
        <v>880</v>
      </c>
      <c r="H23" s="32"/>
      <c r="I23" s="35"/>
      <c r="J23" s="34" t="s">
        <v>431</v>
      </c>
      <c r="K23" s="34" t="s">
        <v>134</v>
      </c>
      <c r="L23" s="34" t="s">
        <v>134</v>
      </c>
    </row>
    <row r="24" spans="1:15" s="2" customFormat="1">
      <c r="A24" s="29"/>
      <c r="B24" s="49" t="s">
        <v>1060</v>
      </c>
      <c r="C24" s="49" t="s">
        <v>245</v>
      </c>
      <c r="D24" s="12" t="s">
        <v>516</v>
      </c>
      <c r="E24" s="30"/>
      <c r="F24" s="19"/>
      <c r="G24" s="19" t="s">
        <v>880</v>
      </c>
      <c r="H24" s="32"/>
      <c r="I24" s="35"/>
      <c r="J24" s="34" t="s">
        <v>431</v>
      </c>
      <c r="K24" s="34" t="s">
        <v>134</v>
      </c>
      <c r="L24" s="34" t="s">
        <v>134</v>
      </c>
    </row>
    <row r="25" spans="1:15" s="2" customFormat="1">
      <c r="A25" s="29"/>
      <c r="B25" s="14" t="s">
        <v>499</v>
      </c>
      <c r="C25" s="14" t="s">
        <v>245</v>
      </c>
      <c r="D25" s="12" t="s">
        <v>500</v>
      </c>
      <c r="E25" s="30"/>
      <c r="F25" s="19"/>
      <c r="G25" s="19" t="s">
        <v>880</v>
      </c>
      <c r="H25" s="32"/>
      <c r="I25" s="35"/>
      <c r="J25" s="34" t="s">
        <v>431</v>
      </c>
      <c r="K25" s="34" t="s">
        <v>134</v>
      </c>
      <c r="L25" s="34" t="s">
        <v>134</v>
      </c>
    </row>
    <row r="26" spans="1:15" s="2" customFormat="1">
      <c r="A26" s="29"/>
      <c r="B26" s="14" t="s">
        <v>502</v>
      </c>
      <c r="C26" s="14" t="s">
        <v>245</v>
      </c>
      <c r="D26" s="12" t="s">
        <v>503</v>
      </c>
      <c r="E26" s="30"/>
      <c r="F26" s="19"/>
      <c r="G26" s="19" t="s">
        <v>880</v>
      </c>
      <c r="H26" s="32"/>
      <c r="I26" s="35"/>
      <c r="J26" s="34" t="s">
        <v>431</v>
      </c>
      <c r="K26" s="34" t="s">
        <v>134</v>
      </c>
      <c r="L26" s="34" t="s">
        <v>134</v>
      </c>
    </row>
    <row r="27" spans="1:15" s="2" customFormat="1">
      <c r="A27" s="29"/>
      <c r="B27" s="14" t="s">
        <v>1062</v>
      </c>
      <c r="C27" s="14" t="s">
        <v>136</v>
      </c>
      <c r="D27" s="12" t="s">
        <v>519</v>
      </c>
      <c r="E27" s="30"/>
      <c r="F27" s="31"/>
      <c r="G27" s="19" t="s">
        <v>880</v>
      </c>
      <c r="H27" s="32"/>
      <c r="I27" s="35"/>
      <c r="J27" s="34" t="s">
        <v>431</v>
      </c>
      <c r="K27" s="34" t="s">
        <v>134</v>
      </c>
      <c r="L27" s="34" t="s">
        <v>134</v>
      </c>
    </row>
    <row r="28" spans="1:15" s="2" customFormat="1">
      <c r="A28" s="29"/>
      <c r="B28" s="14" t="s">
        <v>1691</v>
      </c>
      <c r="C28" s="14" t="s">
        <v>136</v>
      </c>
      <c r="D28" s="12" t="s">
        <v>1692</v>
      </c>
      <c r="E28" s="30"/>
      <c r="F28" s="31"/>
      <c r="G28" s="19" t="s">
        <v>880</v>
      </c>
      <c r="H28" s="32"/>
      <c r="I28" s="35"/>
      <c r="J28" s="34" t="s">
        <v>431</v>
      </c>
      <c r="K28" s="34" t="s">
        <v>134</v>
      </c>
      <c r="L28" s="34" t="s">
        <v>134</v>
      </c>
    </row>
    <row r="29" spans="1:15" s="2" customFormat="1">
      <c r="A29" s="29"/>
      <c r="B29" s="49" t="s">
        <v>1693</v>
      </c>
      <c r="C29" s="49" t="s">
        <v>136</v>
      </c>
      <c r="D29" s="12" t="s">
        <v>1694</v>
      </c>
      <c r="E29" s="30"/>
      <c r="F29" s="31"/>
      <c r="G29" s="19" t="s">
        <v>880</v>
      </c>
      <c r="H29" s="32"/>
      <c r="I29" s="35"/>
      <c r="J29" s="34" t="s">
        <v>431</v>
      </c>
      <c r="K29" s="34" t="s">
        <v>134</v>
      </c>
      <c r="L29" s="34" t="s">
        <v>134</v>
      </c>
    </row>
    <row r="30" spans="1:15" s="2" customFormat="1">
      <c r="B30" s="49" t="s">
        <v>1695</v>
      </c>
      <c r="C30" s="49" t="s">
        <v>136</v>
      </c>
      <c r="D30" s="12" t="s">
        <v>1696</v>
      </c>
      <c r="E30" s="30"/>
      <c r="F30" s="31"/>
      <c r="G30" s="19" t="s">
        <v>880</v>
      </c>
      <c r="H30" s="32"/>
      <c r="I30" s="35"/>
      <c r="J30" s="34" t="s">
        <v>431</v>
      </c>
      <c r="K30" s="34" t="s">
        <v>134</v>
      </c>
      <c r="L30" s="34" t="s">
        <v>134</v>
      </c>
    </row>
    <row r="31" spans="1:15" s="2" customFormat="1">
      <c r="B31" s="49" t="s">
        <v>1697</v>
      </c>
      <c r="C31" s="49" t="s">
        <v>136</v>
      </c>
      <c r="D31" s="12" t="s">
        <v>1698</v>
      </c>
      <c r="E31" s="30"/>
      <c r="F31" s="31"/>
      <c r="G31" s="19" t="s">
        <v>880</v>
      </c>
      <c r="H31" s="32"/>
      <c r="I31" s="35"/>
      <c r="J31" s="34" t="s">
        <v>431</v>
      </c>
      <c r="K31" s="34" t="s">
        <v>134</v>
      </c>
      <c r="L31" s="34" t="s">
        <v>134</v>
      </c>
    </row>
    <row r="32" spans="1:15" s="29" customFormat="1">
      <c r="B32" s="49" t="s">
        <v>1699</v>
      </c>
      <c r="C32" s="49" t="s">
        <v>136</v>
      </c>
      <c r="D32" s="12" t="s">
        <v>1700</v>
      </c>
      <c r="E32" s="30"/>
      <c r="F32" s="31"/>
      <c r="G32" s="19" t="s">
        <v>880</v>
      </c>
      <c r="H32" s="32"/>
      <c r="I32" s="35"/>
      <c r="J32" s="34" t="s">
        <v>431</v>
      </c>
      <c r="K32" s="34" t="s">
        <v>134</v>
      </c>
      <c r="L32" s="34" t="s">
        <v>134</v>
      </c>
      <c r="O32" s="2"/>
    </row>
    <row r="33" spans="1:15" s="29" customFormat="1">
      <c r="B33" s="49" t="s">
        <v>1701</v>
      </c>
      <c r="C33" s="49" t="s">
        <v>136</v>
      </c>
      <c r="D33" s="12" t="s">
        <v>1702</v>
      </c>
      <c r="E33" s="30"/>
      <c r="F33" s="31"/>
      <c r="G33" s="19" t="s">
        <v>880</v>
      </c>
      <c r="H33" s="32"/>
      <c r="I33" s="35"/>
      <c r="J33" s="34" t="s">
        <v>431</v>
      </c>
      <c r="K33" s="34" t="s">
        <v>134</v>
      </c>
      <c r="L33" s="34" t="s">
        <v>134</v>
      </c>
      <c r="O33" s="2"/>
    </row>
    <row r="34" spans="1:15" s="1" customFormat="1">
      <c r="A34" s="25"/>
      <c r="B34" s="26" t="s">
        <v>1703</v>
      </c>
      <c r="C34" s="26" t="s">
        <v>136</v>
      </c>
      <c r="D34" s="12" t="s">
        <v>1704</v>
      </c>
      <c r="E34" s="30"/>
      <c r="F34" s="31"/>
      <c r="G34" s="19" t="s">
        <v>880</v>
      </c>
      <c r="H34" s="32"/>
      <c r="I34" s="35"/>
      <c r="J34" s="34" t="s">
        <v>431</v>
      </c>
      <c r="K34" s="34" t="s">
        <v>134</v>
      </c>
      <c r="L34" s="34" t="s">
        <v>134</v>
      </c>
      <c r="O34" s="2"/>
    </row>
    <row r="35" spans="1:15" s="2" customFormat="1">
      <c r="A35" s="29"/>
      <c r="B35" s="14" t="s">
        <v>1705</v>
      </c>
      <c r="C35" s="14" t="s">
        <v>136</v>
      </c>
      <c r="D35" s="12" t="s">
        <v>1706</v>
      </c>
      <c r="E35" s="30"/>
      <c r="F35" s="31"/>
      <c r="G35" s="19" t="s">
        <v>880</v>
      </c>
      <c r="H35" s="32"/>
      <c r="I35" s="35"/>
      <c r="J35" s="34" t="s">
        <v>431</v>
      </c>
      <c r="K35" s="34" t="s">
        <v>134</v>
      </c>
      <c r="L35" s="34" t="s">
        <v>134</v>
      </c>
    </row>
    <row r="36" spans="1:15" s="29" customFormat="1">
      <c r="B36" s="49" t="s">
        <v>1707</v>
      </c>
      <c r="C36" s="49" t="s">
        <v>136</v>
      </c>
      <c r="D36" s="12" t="s">
        <v>1708</v>
      </c>
      <c r="E36" s="30"/>
      <c r="F36" s="31"/>
      <c r="G36" s="19" t="s">
        <v>880</v>
      </c>
      <c r="H36" s="30"/>
      <c r="I36" s="35"/>
      <c r="J36" s="34" t="s">
        <v>431</v>
      </c>
      <c r="K36" s="34" t="s">
        <v>134</v>
      </c>
      <c r="L36" s="34" t="s">
        <v>134</v>
      </c>
      <c r="O36" s="2"/>
    </row>
    <row r="37" spans="1:15" s="29" customFormat="1">
      <c r="B37" s="49" t="s">
        <v>1709</v>
      </c>
      <c r="C37" s="49" t="s">
        <v>136</v>
      </c>
      <c r="D37" s="12" t="s">
        <v>1710</v>
      </c>
      <c r="E37" s="30"/>
      <c r="F37" s="31"/>
      <c r="G37" s="19" t="s">
        <v>880</v>
      </c>
      <c r="H37" s="32"/>
      <c r="I37" s="35"/>
      <c r="J37" s="34" t="s">
        <v>431</v>
      </c>
      <c r="K37" s="34" t="s">
        <v>134</v>
      </c>
      <c r="L37" s="34" t="s">
        <v>134</v>
      </c>
      <c r="O37" s="2"/>
    </row>
    <row r="38" spans="1:15" s="29" customFormat="1">
      <c r="B38" s="49" t="s">
        <v>1711</v>
      </c>
      <c r="C38" s="49" t="s">
        <v>136</v>
      </c>
      <c r="D38" s="12" t="s">
        <v>1712</v>
      </c>
      <c r="E38" s="30"/>
      <c r="F38" s="31"/>
      <c r="G38" s="19" t="s">
        <v>880</v>
      </c>
      <c r="H38" s="32"/>
      <c r="I38" s="35"/>
      <c r="J38" s="34" t="s">
        <v>431</v>
      </c>
      <c r="K38" s="34" t="s">
        <v>134</v>
      </c>
      <c r="L38" s="34" t="s">
        <v>134</v>
      </c>
      <c r="O38" s="2"/>
    </row>
    <row r="39" spans="1:15" s="29" customFormat="1">
      <c r="B39" s="49" t="s">
        <v>1713</v>
      </c>
      <c r="C39" s="55" t="s">
        <v>136</v>
      </c>
      <c r="D39" s="12" t="s">
        <v>1714</v>
      </c>
      <c r="E39" s="30"/>
      <c r="F39" s="31"/>
      <c r="G39" s="19" t="s">
        <v>880</v>
      </c>
      <c r="H39" s="32"/>
      <c r="I39" s="35"/>
      <c r="J39" s="34" t="s">
        <v>431</v>
      </c>
      <c r="K39" s="34" t="s">
        <v>134</v>
      </c>
      <c r="L39" s="34" t="s">
        <v>134</v>
      </c>
      <c r="O39" s="2"/>
    </row>
    <row r="40" spans="1:15" s="5" customFormat="1">
      <c r="B40" s="49" t="s">
        <v>1715</v>
      </c>
      <c r="C40" s="55" t="s">
        <v>136</v>
      </c>
      <c r="D40" s="12" t="s">
        <v>1716</v>
      </c>
      <c r="E40" s="30"/>
      <c r="F40" s="31"/>
      <c r="G40" s="19" t="s">
        <v>880</v>
      </c>
      <c r="H40" s="32"/>
      <c r="I40" s="35"/>
      <c r="J40" s="34" t="s">
        <v>431</v>
      </c>
      <c r="K40" s="34" t="s">
        <v>134</v>
      </c>
      <c r="L40" s="34" t="s">
        <v>134</v>
      </c>
      <c r="O40" s="2"/>
    </row>
    <row r="41" spans="1:15" s="5" customFormat="1">
      <c r="B41" s="49" t="s">
        <v>1717</v>
      </c>
      <c r="C41" s="55" t="s">
        <v>136</v>
      </c>
      <c r="D41" s="12" t="s">
        <v>1718</v>
      </c>
      <c r="E41" s="30"/>
      <c r="F41" s="31"/>
      <c r="G41" s="19" t="s">
        <v>880</v>
      </c>
      <c r="H41" s="32"/>
      <c r="I41" s="35"/>
      <c r="J41" s="34" t="s">
        <v>431</v>
      </c>
      <c r="K41" s="34" t="s">
        <v>134</v>
      </c>
      <c r="L41" s="34" t="s">
        <v>134</v>
      </c>
      <c r="O41" s="2"/>
    </row>
    <row r="42" spans="1:15" s="5" customFormat="1">
      <c r="B42" s="49" t="s">
        <v>1719</v>
      </c>
      <c r="C42" s="55" t="s">
        <v>136</v>
      </c>
      <c r="D42" s="12" t="s">
        <v>1720</v>
      </c>
      <c r="E42" s="30"/>
      <c r="F42" s="31"/>
      <c r="G42" s="19" t="s">
        <v>880</v>
      </c>
      <c r="H42" s="32"/>
      <c r="I42" s="35"/>
      <c r="J42" s="34" t="s">
        <v>431</v>
      </c>
      <c r="K42" s="34" t="s">
        <v>134</v>
      </c>
      <c r="L42" s="34" t="s">
        <v>134</v>
      </c>
      <c r="O42" s="2"/>
    </row>
    <row r="43" spans="1:15" s="5" customFormat="1">
      <c r="B43" s="49" t="s">
        <v>1721</v>
      </c>
      <c r="C43" s="55" t="s">
        <v>136</v>
      </c>
      <c r="D43" s="12" t="s">
        <v>1722</v>
      </c>
      <c r="E43" s="30"/>
      <c r="F43" s="31"/>
      <c r="G43" s="19" t="s">
        <v>880</v>
      </c>
      <c r="H43" s="32"/>
      <c r="I43" s="35"/>
      <c r="J43" s="34" t="s">
        <v>431</v>
      </c>
      <c r="K43" s="34" t="s">
        <v>134</v>
      </c>
      <c r="L43" s="34" t="s">
        <v>134</v>
      </c>
      <c r="O43" s="2"/>
    </row>
    <row r="44" spans="1:15" s="5" customFormat="1">
      <c r="B44" s="49" t="s">
        <v>1723</v>
      </c>
      <c r="C44" s="55" t="s">
        <v>136</v>
      </c>
      <c r="D44" s="12" t="s">
        <v>1724</v>
      </c>
      <c r="E44" s="30"/>
      <c r="F44" s="31"/>
      <c r="G44" s="19" t="s">
        <v>880</v>
      </c>
      <c r="H44" s="32"/>
      <c r="I44" s="35"/>
      <c r="J44" s="34" t="s">
        <v>431</v>
      </c>
      <c r="K44" s="34" t="s">
        <v>134</v>
      </c>
      <c r="L44" s="34" t="s">
        <v>134</v>
      </c>
      <c r="O44" s="2"/>
    </row>
    <row r="45" spans="1:15" s="1" customFormat="1">
      <c r="A45" s="25"/>
      <c r="B45" s="26" t="s">
        <v>1725</v>
      </c>
      <c r="C45" s="26" t="s">
        <v>136</v>
      </c>
      <c r="D45" s="12" t="s">
        <v>1726</v>
      </c>
      <c r="E45" s="30"/>
      <c r="F45" s="31"/>
      <c r="G45" s="19" t="s">
        <v>880</v>
      </c>
      <c r="H45" s="32"/>
      <c r="I45" s="35"/>
      <c r="J45" s="34" t="s">
        <v>431</v>
      </c>
      <c r="K45" s="34" t="s">
        <v>134</v>
      </c>
      <c r="L45" s="34" t="s">
        <v>134</v>
      </c>
      <c r="O45" s="2"/>
    </row>
    <row r="46" spans="1:15" s="1" customFormat="1">
      <c r="A46" s="25"/>
      <c r="B46" s="26" t="s">
        <v>1727</v>
      </c>
      <c r="C46" s="26" t="s">
        <v>136</v>
      </c>
      <c r="D46" s="12" t="s">
        <v>1728</v>
      </c>
      <c r="E46" s="30"/>
      <c r="F46" s="31"/>
      <c r="G46" s="19" t="s">
        <v>880</v>
      </c>
      <c r="H46" s="32"/>
      <c r="I46" s="35"/>
      <c r="J46" s="34" t="s">
        <v>431</v>
      </c>
      <c r="K46" s="34" t="s">
        <v>134</v>
      </c>
      <c r="L46" s="34" t="s">
        <v>134</v>
      </c>
      <c r="O46" s="2"/>
    </row>
    <row r="47" spans="1:15" s="1" customFormat="1">
      <c r="A47" s="25"/>
      <c r="B47" s="26" t="s">
        <v>1729</v>
      </c>
      <c r="C47" s="26" t="s">
        <v>136</v>
      </c>
      <c r="D47" s="12" t="s">
        <v>1730</v>
      </c>
      <c r="E47" s="30"/>
      <c r="F47" s="31"/>
      <c r="G47" s="19" t="s">
        <v>880</v>
      </c>
      <c r="H47" s="32"/>
      <c r="I47" s="35"/>
      <c r="J47" s="34" t="s">
        <v>431</v>
      </c>
      <c r="K47" s="34" t="s">
        <v>134</v>
      </c>
      <c r="L47" s="34" t="s">
        <v>134</v>
      </c>
      <c r="O47" s="2"/>
    </row>
    <row r="48" spans="1:15" s="1" customFormat="1">
      <c r="A48" s="25"/>
      <c r="B48" s="26" t="s">
        <v>1731</v>
      </c>
      <c r="C48" s="26" t="s">
        <v>136</v>
      </c>
      <c r="D48" s="12" t="s">
        <v>1732</v>
      </c>
      <c r="E48" s="30"/>
      <c r="F48" s="31"/>
      <c r="G48" s="19" t="s">
        <v>880</v>
      </c>
      <c r="H48" s="32"/>
      <c r="I48" s="35"/>
      <c r="J48" s="34" t="s">
        <v>431</v>
      </c>
      <c r="K48" s="34" t="s">
        <v>134</v>
      </c>
      <c r="L48" s="34" t="s">
        <v>134</v>
      </c>
      <c r="O48" s="2"/>
    </row>
    <row r="49" spans="1:15" s="1" customFormat="1">
      <c r="A49" s="25"/>
      <c r="B49" s="26" t="s">
        <v>1733</v>
      </c>
      <c r="C49" s="26" t="s">
        <v>136</v>
      </c>
      <c r="D49" s="12" t="s">
        <v>1734</v>
      </c>
      <c r="E49" s="30"/>
      <c r="F49" s="31"/>
      <c r="G49" s="19" t="s">
        <v>880</v>
      </c>
      <c r="H49" s="32"/>
      <c r="I49" s="35"/>
      <c r="J49" s="34" t="s">
        <v>431</v>
      </c>
      <c r="K49" s="34" t="s">
        <v>134</v>
      </c>
      <c r="L49" s="34" t="s">
        <v>134</v>
      </c>
      <c r="O49" s="2"/>
    </row>
    <row r="50" spans="1:15" s="1" customFormat="1">
      <c r="A50" s="25"/>
      <c r="B50" s="26" t="s">
        <v>1735</v>
      </c>
      <c r="C50" s="26" t="s">
        <v>136</v>
      </c>
      <c r="D50" s="12" t="s">
        <v>1736</v>
      </c>
      <c r="E50" s="30"/>
      <c r="F50" s="31"/>
      <c r="G50" s="19" t="s">
        <v>880</v>
      </c>
      <c r="H50" s="32"/>
      <c r="I50" s="35"/>
      <c r="J50" s="34" t="s">
        <v>431</v>
      </c>
      <c r="K50" s="34" t="s">
        <v>134</v>
      </c>
      <c r="L50" s="34" t="s">
        <v>134</v>
      </c>
      <c r="O50" s="2"/>
    </row>
    <row r="51" spans="1:15" s="1" customFormat="1">
      <c r="A51" s="25"/>
      <c r="B51" s="26" t="s">
        <v>1737</v>
      </c>
      <c r="C51" s="26" t="s">
        <v>136</v>
      </c>
      <c r="D51" s="12" t="s">
        <v>1738</v>
      </c>
      <c r="E51" s="30"/>
      <c r="F51" s="31"/>
      <c r="G51" s="19" t="s">
        <v>880</v>
      </c>
      <c r="H51" s="32"/>
      <c r="I51" s="35"/>
      <c r="J51" s="34" t="s">
        <v>431</v>
      </c>
      <c r="K51" s="34" t="s">
        <v>134</v>
      </c>
      <c r="L51" s="34" t="s">
        <v>134</v>
      </c>
      <c r="O51" s="2"/>
    </row>
    <row r="52" spans="1:15" s="1" customFormat="1">
      <c r="A52" s="25"/>
      <c r="B52" s="26" t="s">
        <v>1739</v>
      </c>
      <c r="C52" s="26" t="s">
        <v>136</v>
      </c>
      <c r="D52" s="12" t="s">
        <v>1740</v>
      </c>
      <c r="E52" s="30"/>
      <c r="F52" s="31"/>
      <c r="G52" s="19" t="s">
        <v>880</v>
      </c>
      <c r="H52" s="32"/>
      <c r="I52" s="35"/>
      <c r="J52" s="34" t="s">
        <v>431</v>
      </c>
      <c r="K52" s="34" t="s">
        <v>134</v>
      </c>
      <c r="L52" s="34" t="s">
        <v>134</v>
      </c>
      <c r="O52" s="2"/>
    </row>
    <row r="53" spans="1:15" s="1" customFormat="1">
      <c r="A53" s="25"/>
      <c r="B53" s="26" t="s">
        <v>1741</v>
      </c>
      <c r="C53" s="26" t="s">
        <v>136</v>
      </c>
      <c r="D53" s="12" t="s">
        <v>1742</v>
      </c>
      <c r="E53" s="30"/>
      <c r="F53" s="31"/>
      <c r="G53" s="19" t="s">
        <v>880</v>
      </c>
      <c r="H53" s="30"/>
      <c r="I53" s="33"/>
      <c r="J53" s="34" t="s">
        <v>431</v>
      </c>
      <c r="K53" s="34" t="s">
        <v>134</v>
      </c>
      <c r="L53" s="34" t="s">
        <v>134</v>
      </c>
      <c r="O53" s="2"/>
    </row>
    <row r="54" spans="1:15" s="1" customFormat="1">
      <c r="A54" s="25"/>
      <c r="B54" s="26" t="s">
        <v>1743</v>
      </c>
      <c r="C54" s="26" t="s">
        <v>136</v>
      </c>
      <c r="D54" s="12" t="s">
        <v>1744</v>
      </c>
      <c r="E54" s="30"/>
      <c r="F54" s="31"/>
      <c r="G54" s="19" t="s">
        <v>880</v>
      </c>
      <c r="H54" s="32"/>
      <c r="I54" s="35"/>
      <c r="J54" s="34" t="s">
        <v>431</v>
      </c>
      <c r="K54" s="34" t="s">
        <v>134</v>
      </c>
      <c r="L54" s="34" t="s">
        <v>134</v>
      </c>
      <c r="O54" s="2"/>
    </row>
    <row r="55" spans="1:15" s="1" customFormat="1">
      <c r="A55" s="25"/>
      <c r="B55" s="26" t="s">
        <v>1745</v>
      </c>
      <c r="C55" s="26" t="s">
        <v>136</v>
      </c>
      <c r="D55" s="12" t="s">
        <v>1746</v>
      </c>
      <c r="E55" s="30"/>
      <c r="F55" s="31"/>
      <c r="G55" s="19" t="s">
        <v>880</v>
      </c>
      <c r="H55" s="32"/>
      <c r="I55" s="35"/>
      <c r="J55" s="34" t="s">
        <v>431</v>
      </c>
      <c r="K55" s="34" t="s">
        <v>134</v>
      </c>
      <c r="L55" s="34" t="s">
        <v>134</v>
      </c>
      <c r="O55" s="2"/>
    </row>
    <row r="56" spans="1:15" s="1" customFormat="1">
      <c r="A56" s="25"/>
      <c r="B56" s="26" t="s">
        <v>1747</v>
      </c>
      <c r="C56" s="26" t="s">
        <v>136</v>
      </c>
      <c r="D56" s="12" t="s">
        <v>1748</v>
      </c>
      <c r="E56" s="30"/>
      <c r="F56" s="31"/>
      <c r="G56" s="19" t="s">
        <v>880</v>
      </c>
      <c r="H56" s="32"/>
      <c r="I56" s="35"/>
      <c r="J56" s="34" t="s">
        <v>431</v>
      </c>
      <c r="K56" s="34" t="s">
        <v>134</v>
      </c>
      <c r="L56" s="34" t="s">
        <v>134</v>
      </c>
      <c r="O56" s="2"/>
    </row>
    <row r="57" spans="1:15" s="5" customFormat="1">
      <c r="B57" s="49" t="s">
        <v>1749</v>
      </c>
      <c r="C57" s="55" t="s">
        <v>136</v>
      </c>
      <c r="D57" s="12" t="s">
        <v>1750</v>
      </c>
      <c r="E57" s="30"/>
      <c r="F57" s="31"/>
      <c r="G57" s="19" t="s">
        <v>880</v>
      </c>
      <c r="H57" s="32"/>
      <c r="I57" s="35"/>
      <c r="J57" s="34" t="s">
        <v>431</v>
      </c>
      <c r="K57" s="34" t="s">
        <v>134</v>
      </c>
      <c r="L57" s="34" t="s">
        <v>134</v>
      </c>
      <c r="O57" s="2"/>
    </row>
    <row r="58" spans="1:15">
      <c r="A58" s="3"/>
      <c r="B58" s="49" t="s">
        <v>1751</v>
      </c>
      <c r="C58" s="55" t="s">
        <v>136</v>
      </c>
      <c r="D58" s="12" t="s">
        <v>1752</v>
      </c>
      <c r="E58" s="30"/>
      <c r="F58" s="31"/>
      <c r="G58" s="19" t="s">
        <v>880</v>
      </c>
      <c r="H58" s="32"/>
      <c r="I58" s="35"/>
      <c r="J58" s="34" t="s">
        <v>431</v>
      </c>
      <c r="K58" s="34" t="s">
        <v>134</v>
      </c>
      <c r="L58" s="34" t="s">
        <v>134</v>
      </c>
      <c r="O58" s="2"/>
    </row>
    <row r="59" spans="1:15">
      <c r="A59" s="3"/>
      <c r="B59" s="49" t="s">
        <v>1753</v>
      </c>
      <c r="C59" s="55" t="s">
        <v>136</v>
      </c>
      <c r="D59" s="12" t="s">
        <v>1754</v>
      </c>
      <c r="E59" s="30"/>
      <c r="F59" s="31"/>
      <c r="G59" s="19" t="s">
        <v>880</v>
      </c>
      <c r="H59" s="32"/>
      <c r="I59" s="35"/>
      <c r="J59" s="34" t="s">
        <v>431</v>
      </c>
      <c r="K59" s="34" t="s">
        <v>134</v>
      </c>
      <c r="L59" s="34" t="s">
        <v>134</v>
      </c>
      <c r="O59" s="2"/>
    </row>
    <row r="60" spans="1:15" s="2" customFormat="1">
      <c r="A60" s="29"/>
      <c r="B60" s="49" t="s">
        <v>1755</v>
      </c>
      <c r="C60" s="55" t="s">
        <v>136</v>
      </c>
      <c r="D60" s="12" t="s">
        <v>1756</v>
      </c>
      <c r="E60" s="30"/>
      <c r="F60" s="31"/>
      <c r="G60" s="19" t="s">
        <v>880</v>
      </c>
      <c r="H60" s="32"/>
      <c r="I60" s="35"/>
      <c r="J60" s="34" t="s">
        <v>431</v>
      </c>
      <c r="K60" s="34" t="s">
        <v>134</v>
      </c>
      <c r="L60" s="34" t="s">
        <v>134</v>
      </c>
    </row>
    <row r="61" spans="1:15">
      <c r="A61" s="3"/>
      <c r="B61" s="49" t="s">
        <v>1757</v>
      </c>
      <c r="C61" s="55" t="s">
        <v>136</v>
      </c>
      <c r="D61" s="12" t="s">
        <v>1758</v>
      </c>
      <c r="E61" s="30"/>
      <c r="F61" s="31"/>
      <c r="G61" s="19" t="s">
        <v>880</v>
      </c>
      <c r="H61" s="32"/>
      <c r="I61" s="35"/>
      <c r="J61" s="34" t="s">
        <v>431</v>
      </c>
      <c r="K61" s="34" t="s">
        <v>134</v>
      </c>
      <c r="L61" s="34" t="s">
        <v>134</v>
      </c>
      <c r="O61" s="2"/>
    </row>
    <row r="62" spans="1:15" s="2" customFormat="1">
      <c r="A62" s="29"/>
      <c r="B62" s="49" t="s">
        <v>1759</v>
      </c>
      <c r="C62" s="55" t="s">
        <v>136</v>
      </c>
      <c r="D62" s="12" t="s">
        <v>1760</v>
      </c>
      <c r="E62" s="30"/>
      <c r="F62" s="31"/>
      <c r="G62" s="19" t="s">
        <v>880</v>
      </c>
      <c r="H62" s="32"/>
      <c r="I62" s="35"/>
      <c r="J62" s="34" t="s">
        <v>431</v>
      </c>
      <c r="K62" s="34" t="s">
        <v>134</v>
      </c>
      <c r="L62" s="34" t="s">
        <v>134</v>
      </c>
    </row>
    <row r="63" spans="1:15" s="2" customFormat="1">
      <c r="A63" s="29"/>
      <c r="B63" s="49" t="s">
        <v>1761</v>
      </c>
      <c r="C63" s="55" t="s">
        <v>136</v>
      </c>
      <c r="D63" s="12" t="s">
        <v>1762</v>
      </c>
      <c r="E63" s="30"/>
      <c r="F63" s="31"/>
      <c r="G63" s="19" t="s">
        <v>880</v>
      </c>
      <c r="H63" s="32"/>
      <c r="I63" s="35"/>
      <c r="J63" s="34" t="s">
        <v>431</v>
      </c>
      <c r="K63" s="34" t="s">
        <v>134</v>
      </c>
      <c r="L63" s="34" t="s">
        <v>134</v>
      </c>
    </row>
    <row r="64" spans="1:15" s="2" customFormat="1">
      <c r="A64" s="29"/>
      <c r="B64" s="49" t="s">
        <v>1763</v>
      </c>
      <c r="C64" s="55" t="s">
        <v>136</v>
      </c>
      <c r="D64" s="12" t="s">
        <v>1764</v>
      </c>
      <c r="E64" s="30"/>
      <c r="F64" s="31"/>
      <c r="G64" s="19" t="s">
        <v>880</v>
      </c>
      <c r="H64" s="32"/>
      <c r="I64" s="35"/>
      <c r="J64" s="34" t="s">
        <v>431</v>
      </c>
      <c r="K64" s="34" t="s">
        <v>134</v>
      </c>
      <c r="L64" s="34" t="s">
        <v>134</v>
      </c>
    </row>
    <row r="65" spans="1:15" s="2" customFormat="1">
      <c r="A65" s="29"/>
      <c r="B65" s="49" t="s">
        <v>1765</v>
      </c>
      <c r="C65" s="55" t="s">
        <v>136</v>
      </c>
      <c r="D65" s="12" t="s">
        <v>1766</v>
      </c>
      <c r="E65" s="30"/>
      <c r="F65" s="31"/>
      <c r="G65" s="19" t="s">
        <v>880</v>
      </c>
      <c r="H65" s="32"/>
      <c r="I65" s="35"/>
      <c r="J65" s="34" t="s">
        <v>431</v>
      </c>
      <c r="K65" s="34" t="s">
        <v>134</v>
      </c>
      <c r="L65" s="34" t="s">
        <v>134</v>
      </c>
    </row>
    <row r="66" spans="1:15" s="2" customFormat="1">
      <c r="A66" s="29"/>
      <c r="B66" s="49" t="s">
        <v>1767</v>
      </c>
      <c r="C66" s="55" t="s">
        <v>136</v>
      </c>
      <c r="D66" s="12" t="s">
        <v>1768</v>
      </c>
      <c r="E66" s="30"/>
      <c r="F66" s="31"/>
      <c r="G66" s="19" t="s">
        <v>880</v>
      </c>
      <c r="H66" s="32"/>
      <c r="I66" s="35"/>
      <c r="J66" s="34" t="s">
        <v>431</v>
      </c>
      <c r="K66" s="34" t="s">
        <v>134</v>
      </c>
      <c r="L66" s="34" t="s">
        <v>134</v>
      </c>
    </row>
    <row r="67" spans="1:15" s="2" customFormat="1">
      <c r="A67" s="29"/>
      <c r="B67" s="49" t="s">
        <v>1769</v>
      </c>
      <c r="C67" s="55" t="s">
        <v>136</v>
      </c>
      <c r="D67" s="12" t="s">
        <v>1770</v>
      </c>
      <c r="E67" s="30"/>
      <c r="F67" s="31"/>
      <c r="G67" s="19" t="s">
        <v>880</v>
      </c>
      <c r="H67" s="32"/>
      <c r="I67" s="35"/>
      <c r="J67" s="34" t="s">
        <v>431</v>
      </c>
      <c r="K67" s="34" t="s">
        <v>134</v>
      </c>
      <c r="L67" s="34" t="s">
        <v>134</v>
      </c>
    </row>
    <row r="68" spans="1:15" s="1" customFormat="1">
      <c r="A68" s="25"/>
      <c r="B68" s="49" t="s">
        <v>1771</v>
      </c>
      <c r="C68" s="26" t="s">
        <v>136</v>
      </c>
      <c r="D68" s="12" t="s">
        <v>1772</v>
      </c>
      <c r="E68" s="30"/>
      <c r="F68" s="31"/>
      <c r="G68" s="19" t="s">
        <v>880</v>
      </c>
      <c r="H68" s="32"/>
      <c r="I68" s="35"/>
      <c r="J68" s="34" t="s">
        <v>431</v>
      </c>
      <c r="K68" s="34" t="s">
        <v>134</v>
      </c>
      <c r="L68" s="34" t="s">
        <v>134</v>
      </c>
      <c r="O68" s="2"/>
    </row>
    <row r="69" spans="1:15" s="1" customFormat="1">
      <c r="A69" s="25"/>
      <c r="B69" s="26" t="s">
        <v>1773</v>
      </c>
      <c r="C69" s="26" t="s">
        <v>136</v>
      </c>
      <c r="D69" s="12" t="s">
        <v>1774</v>
      </c>
      <c r="E69" s="30"/>
      <c r="F69" s="31"/>
      <c r="G69" s="19" t="s">
        <v>880</v>
      </c>
      <c r="H69" s="32"/>
      <c r="I69" s="35"/>
      <c r="J69" s="34" t="s">
        <v>431</v>
      </c>
      <c r="K69" s="34" t="s">
        <v>134</v>
      </c>
      <c r="L69" s="34" t="s">
        <v>134</v>
      </c>
      <c r="O69" s="2"/>
    </row>
    <row r="70" spans="1:15" s="1" customFormat="1">
      <c r="A70" s="25"/>
      <c r="B70" s="26" t="s">
        <v>1775</v>
      </c>
      <c r="C70" s="26" t="s">
        <v>136</v>
      </c>
      <c r="D70" s="12" t="s">
        <v>1776</v>
      </c>
      <c r="E70" s="30"/>
      <c r="F70" s="31"/>
      <c r="G70" s="19" t="s">
        <v>880</v>
      </c>
      <c r="H70" s="32"/>
      <c r="I70" s="35"/>
      <c r="J70" s="34" t="s">
        <v>431</v>
      </c>
      <c r="K70" s="34" t="s">
        <v>134</v>
      </c>
      <c r="L70" s="34" t="s">
        <v>134</v>
      </c>
      <c r="O70" s="2"/>
    </row>
    <row r="71" spans="1:15" s="1" customFormat="1">
      <c r="A71" s="25"/>
      <c r="B71" s="26" t="s">
        <v>1777</v>
      </c>
      <c r="C71" s="26" t="s">
        <v>136</v>
      </c>
      <c r="D71" s="12" t="s">
        <v>1778</v>
      </c>
      <c r="E71" s="30"/>
      <c r="F71" s="31"/>
      <c r="G71" s="19" t="s">
        <v>880</v>
      </c>
      <c r="H71" s="32"/>
      <c r="I71" s="35"/>
      <c r="J71" s="34" t="s">
        <v>431</v>
      </c>
      <c r="K71" s="34" t="s">
        <v>134</v>
      </c>
      <c r="L71" s="34" t="s">
        <v>134</v>
      </c>
      <c r="O71" s="2"/>
    </row>
    <row r="72" spans="1:15" s="1" customFormat="1">
      <c r="A72" s="25"/>
      <c r="B72" s="26" t="s">
        <v>1779</v>
      </c>
      <c r="C72" s="26" t="s">
        <v>136</v>
      </c>
      <c r="D72" s="12" t="s">
        <v>1780</v>
      </c>
      <c r="E72" s="30"/>
      <c r="F72" s="31"/>
      <c r="G72" s="19" t="s">
        <v>880</v>
      </c>
      <c r="H72" s="32"/>
      <c r="I72" s="35"/>
      <c r="J72" s="34" t="s">
        <v>431</v>
      </c>
      <c r="K72" s="34" t="s">
        <v>134</v>
      </c>
      <c r="L72" s="34" t="s">
        <v>134</v>
      </c>
      <c r="O72" s="2"/>
    </row>
    <row r="73" spans="1:15" s="1" customFormat="1">
      <c r="A73" s="25"/>
      <c r="B73" s="26" t="s">
        <v>1781</v>
      </c>
      <c r="C73" s="26" t="s">
        <v>136</v>
      </c>
      <c r="D73" s="12" t="s">
        <v>1782</v>
      </c>
      <c r="E73" s="30"/>
      <c r="F73" s="31"/>
      <c r="G73" s="19" t="s">
        <v>880</v>
      </c>
      <c r="H73" s="32"/>
      <c r="I73" s="35"/>
      <c r="J73" s="34" t="s">
        <v>431</v>
      </c>
      <c r="K73" s="34" t="s">
        <v>134</v>
      </c>
      <c r="L73" s="34" t="s">
        <v>134</v>
      </c>
      <c r="O73" s="2"/>
    </row>
    <row r="74" spans="1:15" s="1" customFormat="1">
      <c r="A74" s="25"/>
      <c r="B74" s="26" t="s">
        <v>1783</v>
      </c>
      <c r="C74" s="26" t="s">
        <v>136</v>
      </c>
      <c r="D74" s="12" t="s">
        <v>1784</v>
      </c>
      <c r="E74" s="30"/>
      <c r="F74" s="31"/>
      <c r="G74" s="19" t="s">
        <v>880</v>
      </c>
      <c r="H74" s="32"/>
      <c r="I74" s="35"/>
      <c r="J74" s="34" t="s">
        <v>431</v>
      </c>
      <c r="K74" s="34" t="s">
        <v>134</v>
      </c>
      <c r="L74" s="34" t="s">
        <v>134</v>
      </c>
      <c r="O74" s="2"/>
    </row>
    <row r="75" spans="1:15" s="1" customFormat="1">
      <c r="A75" s="25"/>
      <c r="B75" s="26" t="s">
        <v>1785</v>
      </c>
      <c r="C75" s="26" t="s">
        <v>136</v>
      </c>
      <c r="D75" s="12" t="s">
        <v>1786</v>
      </c>
      <c r="E75" s="30"/>
      <c r="F75" s="31"/>
      <c r="G75" s="19" t="s">
        <v>880</v>
      </c>
      <c r="H75" s="32"/>
      <c r="I75" s="35"/>
      <c r="J75" s="34" t="s">
        <v>431</v>
      </c>
      <c r="K75" s="34" t="s">
        <v>134</v>
      </c>
      <c r="L75" s="34" t="s">
        <v>134</v>
      </c>
      <c r="O75" s="2"/>
    </row>
    <row r="76" spans="1:15" s="1" customFormat="1">
      <c r="A76" s="25"/>
      <c r="B76" s="26" t="s">
        <v>1787</v>
      </c>
      <c r="C76" s="26" t="s">
        <v>136</v>
      </c>
      <c r="D76" s="12" t="s">
        <v>1788</v>
      </c>
      <c r="E76" s="30"/>
      <c r="F76" s="31"/>
      <c r="G76" s="19" t="s">
        <v>880</v>
      </c>
      <c r="H76" s="32"/>
      <c r="I76" s="35"/>
      <c r="J76" s="34" t="s">
        <v>431</v>
      </c>
      <c r="K76" s="34" t="s">
        <v>134</v>
      </c>
      <c r="L76" s="34" t="s">
        <v>134</v>
      </c>
      <c r="O76" s="2"/>
    </row>
    <row r="77" spans="1:15" s="1" customFormat="1">
      <c r="A77" s="25"/>
      <c r="B77" s="26" t="s">
        <v>1789</v>
      </c>
      <c r="C77" s="26" t="s">
        <v>136</v>
      </c>
      <c r="D77" s="12" t="s">
        <v>1790</v>
      </c>
      <c r="E77" s="30"/>
      <c r="F77" s="31"/>
      <c r="G77" s="19" t="s">
        <v>880</v>
      </c>
      <c r="H77" s="32"/>
      <c r="I77" s="35"/>
      <c r="J77" s="34" t="s">
        <v>431</v>
      </c>
      <c r="K77" s="34" t="s">
        <v>134</v>
      </c>
      <c r="L77" s="34" t="s">
        <v>134</v>
      </c>
      <c r="O77" s="2"/>
    </row>
    <row r="78" spans="1:15" s="1" customFormat="1" ht="26.4">
      <c r="A78" s="25"/>
      <c r="B78" s="26" t="s">
        <v>1791</v>
      </c>
      <c r="C78" s="26" t="s">
        <v>136</v>
      </c>
      <c r="D78" s="12" t="s">
        <v>1792</v>
      </c>
      <c r="E78" s="30"/>
      <c r="F78" s="31"/>
      <c r="G78" s="19" t="s">
        <v>880</v>
      </c>
      <c r="H78" s="32"/>
      <c r="I78" s="35"/>
      <c r="J78" s="34" t="s">
        <v>431</v>
      </c>
      <c r="K78" s="34" t="s">
        <v>134</v>
      </c>
      <c r="L78" s="34" t="s">
        <v>134</v>
      </c>
      <c r="O78" s="2"/>
    </row>
    <row r="79" spans="1:15" s="1" customFormat="1">
      <c r="A79" s="25"/>
      <c r="B79" s="26" t="s">
        <v>1793</v>
      </c>
      <c r="C79" s="26" t="s">
        <v>136</v>
      </c>
      <c r="D79" s="12" t="s">
        <v>1794</v>
      </c>
      <c r="E79" s="30"/>
      <c r="F79" s="31"/>
      <c r="G79" s="19" t="s">
        <v>880</v>
      </c>
      <c r="H79" s="32"/>
      <c r="I79" s="35"/>
      <c r="J79" s="34" t="s">
        <v>431</v>
      </c>
      <c r="K79" s="34" t="s">
        <v>134</v>
      </c>
      <c r="L79" s="34" t="s">
        <v>134</v>
      </c>
      <c r="O79" s="2"/>
    </row>
    <row r="80" spans="1:15" s="1" customFormat="1" ht="26.4">
      <c r="A80" s="25"/>
      <c r="B80" s="26" t="s">
        <v>1795</v>
      </c>
      <c r="C80" s="26" t="s">
        <v>136</v>
      </c>
      <c r="D80" s="12" t="s">
        <v>1796</v>
      </c>
      <c r="E80" s="30"/>
      <c r="F80" s="31"/>
      <c r="G80" s="19" t="s">
        <v>880</v>
      </c>
      <c r="H80" s="32"/>
      <c r="I80" s="35"/>
      <c r="J80" s="34" t="s">
        <v>431</v>
      </c>
      <c r="K80" s="34" t="s">
        <v>134</v>
      </c>
      <c r="L80" s="34" t="s">
        <v>134</v>
      </c>
      <c r="O80" s="2"/>
    </row>
    <row r="81" spans="1:15" s="1" customFormat="1">
      <c r="A81" s="25"/>
      <c r="B81" s="26" t="s">
        <v>1797</v>
      </c>
      <c r="C81" s="26" t="s">
        <v>136</v>
      </c>
      <c r="D81" s="12" t="s">
        <v>1798</v>
      </c>
      <c r="E81" s="30"/>
      <c r="F81" s="31"/>
      <c r="G81" s="19" t="s">
        <v>880</v>
      </c>
      <c r="H81" s="32"/>
      <c r="I81" s="35"/>
      <c r="J81" s="34" t="s">
        <v>431</v>
      </c>
      <c r="K81" s="34" t="s">
        <v>134</v>
      </c>
      <c r="L81" s="34" t="s">
        <v>134</v>
      </c>
      <c r="O81" s="2"/>
    </row>
    <row r="82" spans="1:15" s="1" customFormat="1" ht="26.4">
      <c r="A82" s="25"/>
      <c r="B82" s="26" t="s">
        <v>1799</v>
      </c>
      <c r="C82" s="26" t="s">
        <v>136</v>
      </c>
      <c r="D82" s="12" t="s">
        <v>1800</v>
      </c>
      <c r="E82" s="30"/>
      <c r="F82" s="31"/>
      <c r="G82" s="19" t="s">
        <v>880</v>
      </c>
      <c r="H82" s="32"/>
      <c r="I82" s="35"/>
      <c r="J82" s="34" t="s">
        <v>431</v>
      </c>
      <c r="K82" s="34" t="s">
        <v>134</v>
      </c>
      <c r="L82" s="34" t="s">
        <v>134</v>
      </c>
      <c r="O82" s="2"/>
    </row>
    <row r="83" spans="1:15" s="1" customFormat="1" ht="26.4">
      <c r="A83" s="25"/>
      <c r="B83" s="26" t="s">
        <v>1801</v>
      </c>
      <c r="C83" s="26" t="s">
        <v>136</v>
      </c>
      <c r="D83" s="12" t="s">
        <v>1802</v>
      </c>
      <c r="E83" s="30"/>
      <c r="F83" s="31"/>
      <c r="G83" s="19" t="s">
        <v>880</v>
      </c>
      <c r="H83" s="32"/>
      <c r="I83" s="35"/>
      <c r="J83" s="34" t="s">
        <v>431</v>
      </c>
      <c r="K83" s="34" t="s">
        <v>134</v>
      </c>
      <c r="L83" s="34" t="s">
        <v>134</v>
      </c>
      <c r="O83" s="2"/>
    </row>
    <row r="84" spans="1:15" s="1" customFormat="1" ht="26.4">
      <c r="A84" s="25"/>
      <c r="B84" s="26" t="s">
        <v>1803</v>
      </c>
      <c r="C84" s="26" t="s">
        <v>136</v>
      </c>
      <c r="D84" s="12" t="s">
        <v>1804</v>
      </c>
      <c r="E84" s="30"/>
      <c r="F84" s="31"/>
      <c r="G84" s="19" t="s">
        <v>880</v>
      </c>
      <c r="H84" s="32"/>
      <c r="I84" s="35"/>
      <c r="J84" s="34" t="s">
        <v>431</v>
      </c>
      <c r="K84" s="34" t="s">
        <v>134</v>
      </c>
      <c r="L84" s="34" t="s">
        <v>134</v>
      </c>
      <c r="O84" s="2"/>
    </row>
    <row r="85" spans="1:15" s="1" customFormat="1" ht="26.4">
      <c r="A85" s="25"/>
      <c r="B85" s="26" t="s">
        <v>1805</v>
      </c>
      <c r="C85" s="26" t="s">
        <v>136</v>
      </c>
      <c r="D85" s="12" t="s">
        <v>1806</v>
      </c>
      <c r="E85" s="30"/>
      <c r="F85" s="31"/>
      <c r="G85" s="19" t="s">
        <v>880</v>
      </c>
      <c r="H85" s="32"/>
      <c r="I85" s="35"/>
      <c r="J85" s="34" t="s">
        <v>431</v>
      </c>
      <c r="K85" s="34" t="s">
        <v>134</v>
      </c>
      <c r="L85" s="34" t="s">
        <v>134</v>
      </c>
      <c r="O85" s="2"/>
    </row>
    <row r="86" spans="1:15" s="1" customFormat="1" ht="26.4">
      <c r="A86" s="25"/>
      <c r="B86" s="26" t="s">
        <v>1807</v>
      </c>
      <c r="C86" s="26" t="s">
        <v>136</v>
      </c>
      <c r="D86" s="12" t="s">
        <v>1808</v>
      </c>
      <c r="E86" s="30"/>
      <c r="F86" s="31"/>
      <c r="G86" s="19" t="s">
        <v>880</v>
      </c>
      <c r="H86" s="32"/>
      <c r="I86" s="35"/>
      <c r="J86" s="34" t="s">
        <v>431</v>
      </c>
      <c r="K86" s="34" t="s">
        <v>134</v>
      </c>
      <c r="L86" s="34" t="s">
        <v>134</v>
      </c>
      <c r="O86" s="2"/>
    </row>
    <row r="87" spans="1:15" s="1" customFormat="1" ht="26.4">
      <c r="A87" s="25"/>
      <c r="B87" s="26" t="s">
        <v>1809</v>
      </c>
      <c r="C87" s="26" t="s">
        <v>136</v>
      </c>
      <c r="D87" s="12" t="s">
        <v>1810</v>
      </c>
      <c r="E87" s="30"/>
      <c r="F87" s="31"/>
      <c r="G87" s="19" t="s">
        <v>880</v>
      </c>
      <c r="H87" s="32"/>
      <c r="I87" s="35"/>
      <c r="J87" s="34" t="s">
        <v>431</v>
      </c>
      <c r="K87" s="34" t="s">
        <v>134</v>
      </c>
      <c r="L87" s="34" t="s">
        <v>134</v>
      </c>
      <c r="O87" s="2"/>
    </row>
    <row r="88" spans="1:15" s="1" customFormat="1" ht="26.4">
      <c r="A88" s="25"/>
      <c r="B88" s="26" t="s">
        <v>1811</v>
      </c>
      <c r="C88" s="26" t="s">
        <v>136</v>
      </c>
      <c r="D88" s="12" t="s">
        <v>1812</v>
      </c>
      <c r="E88" s="30"/>
      <c r="F88" s="31"/>
      <c r="G88" s="31" t="s">
        <v>880</v>
      </c>
      <c r="H88" s="32"/>
      <c r="I88" s="35"/>
      <c r="J88" s="34" t="s">
        <v>431</v>
      </c>
      <c r="K88" s="34" t="s">
        <v>134</v>
      </c>
      <c r="L88" s="34" t="s">
        <v>134</v>
      </c>
      <c r="O88" s="2"/>
    </row>
    <row r="89" spans="1:15" s="1" customFormat="1">
      <c r="A89" s="25"/>
      <c r="B89" s="26" t="s">
        <v>1813</v>
      </c>
      <c r="C89" s="26" t="s">
        <v>136</v>
      </c>
      <c r="D89" s="12" t="s">
        <v>1814</v>
      </c>
      <c r="E89" s="30"/>
      <c r="F89" s="31"/>
      <c r="G89" s="19" t="s">
        <v>880</v>
      </c>
      <c r="H89" s="32"/>
      <c r="I89" s="35"/>
      <c r="J89" s="34" t="s">
        <v>431</v>
      </c>
      <c r="K89" s="34" t="s">
        <v>134</v>
      </c>
      <c r="L89" s="34" t="s">
        <v>134</v>
      </c>
      <c r="O89" s="2"/>
    </row>
    <row r="90" spans="1:15" s="1" customFormat="1" ht="26.4">
      <c r="A90" s="25"/>
      <c r="B90" s="26" t="s">
        <v>1815</v>
      </c>
      <c r="C90" s="26" t="s">
        <v>136</v>
      </c>
      <c r="D90" s="12" t="s">
        <v>1816</v>
      </c>
      <c r="E90" s="30"/>
      <c r="F90" s="31"/>
      <c r="G90" s="19" t="s">
        <v>880</v>
      </c>
      <c r="H90" s="32"/>
      <c r="I90" s="35"/>
      <c r="J90" s="34" t="s">
        <v>431</v>
      </c>
      <c r="K90" s="34" t="s">
        <v>134</v>
      </c>
      <c r="L90" s="34" t="s">
        <v>134</v>
      </c>
      <c r="O90" s="2"/>
    </row>
    <row r="91" spans="1:15" s="1" customFormat="1" ht="26.4">
      <c r="A91" s="25"/>
      <c r="B91" s="26" t="s">
        <v>1817</v>
      </c>
      <c r="C91" s="26" t="s">
        <v>136</v>
      </c>
      <c r="D91" s="12" t="s">
        <v>1818</v>
      </c>
      <c r="E91" s="30"/>
      <c r="F91" s="31"/>
      <c r="G91" s="19" t="s">
        <v>880</v>
      </c>
      <c r="H91" s="30"/>
      <c r="I91" s="33"/>
      <c r="J91" s="34" t="s">
        <v>431</v>
      </c>
      <c r="K91" s="34" t="s">
        <v>134</v>
      </c>
      <c r="L91" s="34" t="s">
        <v>134</v>
      </c>
      <c r="O91" s="2"/>
    </row>
    <row r="92" spans="1:15" s="1" customFormat="1" ht="26.4">
      <c r="A92" s="25"/>
      <c r="B92" s="26" t="s">
        <v>1819</v>
      </c>
      <c r="C92" s="26" t="s">
        <v>136</v>
      </c>
      <c r="D92" s="12" t="s">
        <v>1820</v>
      </c>
      <c r="E92" s="30"/>
      <c r="F92" s="31"/>
      <c r="G92" s="19" t="s">
        <v>880</v>
      </c>
      <c r="H92" s="30"/>
      <c r="I92" s="33"/>
      <c r="J92" s="34" t="s">
        <v>431</v>
      </c>
      <c r="K92" s="34" t="s">
        <v>134</v>
      </c>
      <c r="L92" s="34" t="s">
        <v>134</v>
      </c>
      <c r="O92" s="2"/>
    </row>
    <row r="93" spans="1:15" s="1" customFormat="1">
      <c r="A93" s="25"/>
      <c r="B93" s="26" t="s">
        <v>1821</v>
      </c>
      <c r="C93" s="26" t="s">
        <v>136</v>
      </c>
      <c r="D93" s="12" t="s">
        <v>1822</v>
      </c>
      <c r="E93" s="30"/>
      <c r="F93" s="31"/>
      <c r="G93" s="19" t="s">
        <v>880</v>
      </c>
      <c r="H93" s="32"/>
      <c r="I93" s="35"/>
      <c r="J93" s="34" t="s">
        <v>431</v>
      </c>
      <c r="K93" s="34" t="s">
        <v>134</v>
      </c>
      <c r="L93" s="34" t="s">
        <v>134</v>
      </c>
      <c r="O93" s="2"/>
    </row>
    <row r="94" spans="1:15" s="1" customFormat="1" ht="26.4">
      <c r="A94" s="25"/>
      <c r="B94" s="26" t="s">
        <v>1823</v>
      </c>
      <c r="C94" s="26" t="s">
        <v>136</v>
      </c>
      <c r="D94" s="12" t="s">
        <v>1824</v>
      </c>
      <c r="E94" s="30"/>
      <c r="F94" s="31"/>
      <c r="G94" s="19" t="s">
        <v>880</v>
      </c>
      <c r="H94" s="32"/>
      <c r="I94" s="35"/>
      <c r="J94" s="34" t="s">
        <v>431</v>
      </c>
      <c r="K94" s="34" t="s">
        <v>134</v>
      </c>
      <c r="L94" s="34" t="s">
        <v>134</v>
      </c>
      <c r="O94" s="2"/>
    </row>
    <row r="95" spans="1:15" s="1" customFormat="1" ht="26.4">
      <c r="A95" s="25"/>
      <c r="B95" s="26" t="s">
        <v>1825</v>
      </c>
      <c r="C95" s="26" t="s">
        <v>136</v>
      </c>
      <c r="D95" s="12" t="s">
        <v>1826</v>
      </c>
      <c r="E95" s="30"/>
      <c r="F95" s="31"/>
      <c r="G95" s="19" t="s">
        <v>880</v>
      </c>
      <c r="H95" s="30"/>
      <c r="I95" s="33"/>
      <c r="J95" s="34" t="s">
        <v>431</v>
      </c>
      <c r="K95" s="34" t="s">
        <v>134</v>
      </c>
      <c r="L95" s="34" t="s">
        <v>134</v>
      </c>
      <c r="O95" s="2"/>
    </row>
    <row r="96" spans="1:15" s="1" customFormat="1" ht="26.4">
      <c r="A96" s="25"/>
      <c r="B96" s="26" t="s">
        <v>1827</v>
      </c>
      <c r="C96" s="26" t="s">
        <v>136</v>
      </c>
      <c r="D96" s="12" t="s">
        <v>1828</v>
      </c>
      <c r="E96" s="30"/>
      <c r="F96" s="31"/>
      <c r="G96" s="31" t="s">
        <v>880</v>
      </c>
      <c r="H96" s="30"/>
      <c r="I96" s="33"/>
      <c r="J96" s="34" t="s">
        <v>431</v>
      </c>
      <c r="K96" s="34" t="s">
        <v>134</v>
      </c>
      <c r="L96" s="34" t="s">
        <v>134</v>
      </c>
      <c r="O96" s="2"/>
    </row>
    <row r="97" spans="1:15" s="1" customFormat="1">
      <c r="A97" s="25"/>
      <c r="B97" s="26" t="s">
        <v>1829</v>
      </c>
      <c r="C97" s="26" t="s">
        <v>136</v>
      </c>
      <c r="D97" s="12" t="s">
        <v>1830</v>
      </c>
      <c r="E97" s="30"/>
      <c r="F97" s="31"/>
      <c r="G97" s="19" t="s">
        <v>880</v>
      </c>
      <c r="H97" s="32"/>
      <c r="I97" s="35"/>
      <c r="J97" s="34" t="s">
        <v>431</v>
      </c>
      <c r="K97" s="34" t="s">
        <v>134</v>
      </c>
      <c r="L97" s="34" t="s">
        <v>134</v>
      </c>
      <c r="O97" s="2"/>
    </row>
    <row r="98" spans="1:15" s="1" customFormat="1" ht="26.4">
      <c r="A98" s="25"/>
      <c r="B98" s="26" t="s">
        <v>1831</v>
      </c>
      <c r="C98" s="26" t="s">
        <v>136</v>
      </c>
      <c r="D98" s="12" t="s">
        <v>1832</v>
      </c>
      <c r="E98" s="30"/>
      <c r="F98" s="31"/>
      <c r="G98" s="12" t="s">
        <v>880</v>
      </c>
      <c r="H98" s="32"/>
      <c r="I98" s="35"/>
      <c r="J98" s="34" t="s">
        <v>431</v>
      </c>
      <c r="K98" s="34" t="s">
        <v>134</v>
      </c>
      <c r="L98" s="34" t="s">
        <v>134</v>
      </c>
      <c r="O98" s="2"/>
    </row>
    <row r="99" spans="1:15" s="1" customFormat="1" ht="26.4">
      <c r="A99" s="25"/>
      <c r="B99" s="26" t="s">
        <v>1833</v>
      </c>
      <c r="C99" s="26" t="s">
        <v>136</v>
      </c>
      <c r="D99" s="12" t="s">
        <v>1834</v>
      </c>
      <c r="E99" s="30"/>
      <c r="F99" s="31"/>
      <c r="G99" s="12" t="s">
        <v>880</v>
      </c>
      <c r="H99" s="32"/>
      <c r="I99" s="35"/>
      <c r="J99" s="34" t="s">
        <v>431</v>
      </c>
      <c r="K99" s="34" t="s">
        <v>134</v>
      </c>
      <c r="L99" s="34" t="s">
        <v>134</v>
      </c>
      <c r="O99" s="2"/>
    </row>
    <row r="100" spans="1:15" s="1" customFormat="1" ht="26.4">
      <c r="A100" s="25"/>
      <c r="B100" s="26" t="s">
        <v>1835</v>
      </c>
      <c r="C100" s="26" t="s">
        <v>136</v>
      </c>
      <c r="D100" s="12" t="s">
        <v>1836</v>
      </c>
      <c r="E100" s="30"/>
      <c r="F100" s="31"/>
      <c r="G100" s="12" t="s">
        <v>880</v>
      </c>
      <c r="H100" s="32"/>
      <c r="I100" s="35"/>
      <c r="J100" s="34" t="s">
        <v>431</v>
      </c>
      <c r="K100" s="34" t="s">
        <v>134</v>
      </c>
      <c r="L100" s="34" t="s">
        <v>134</v>
      </c>
      <c r="O100" s="2"/>
    </row>
    <row r="101" spans="1:15" s="1" customFormat="1">
      <c r="A101" s="25"/>
      <c r="B101" s="26" t="s">
        <v>1837</v>
      </c>
      <c r="C101" s="26" t="s">
        <v>136</v>
      </c>
      <c r="D101" s="12" t="s">
        <v>1838</v>
      </c>
      <c r="E101" s="30"/>
      <c r="F101" s="31"/>
      <c r="G101" s="12" t="s">
        <v>880</v>
      </c>
      <c r="H101" s="32"/>
      <c r="I101" s="35"/>
      <c r="J101" s="34" t="s">
        <v>431</v>
      </c>
      <c r="K101" s="34" t="s">
        <v>134</v>
      </c>
      <c r="L101" s="34" t="s">
        <v>134</v>
      </c>
      <c r="O101" s="2"/>
    </row>
    <row r="102" spans="1:15" s="1" customFormat="1" ht="26.4">
      <c r="A102" s="25"/>
      <c r="B102" s="26" t="s">
        <v>1839</v>
      </c>
      <c r="C102" s="26" t="s">
        <v>136</v>
      </c>
      <c r="D102" s="12" t="s">
        <v>1840</v>
      </c>
      <c r="E102" s="30"/>
      <c r="F102" s="31"/>
      <c r="G102" s="12" t="s">
        <v>880</v>
      </c>
      <c r="H102" s="32"/>
      <c r="I102" s="35"/>
      <c r="J102" s="34" t="s">
        <v>431</v>
      </c>
      <c r="K102" s="34" t="s">
        <v>134</v>
      </c>
      <c r="L102" s="34" t="s">
        <v>134</v>
      </c>
      <c r="O102" s="2"/>
    </row>
    <row r="103" spans="1:15" s="1" customFormat="1" ht="26.4">
      <c r="A103" s="25"/>
      <c r="B103" s="26" t="s">
        <v>1841</v>
      </c>
      <c r="C103" s="26" t="s">
        <v>136</v>
      </c>
      <c r="D103" s="12" t="s">
        <v>1842</v>
      </c>
      <c r="E103" s="30"/>
      <c r="F103" s="31"/>
      <c r="G103" s="12" t="s">
        <v>880</v>
      </c>
      <c r="H103" s="32"/>
      <c r="I103" s="35"/>
      <c r="J103" s="34" t="s">
        <v>431</v>
      </c>
      <c r="K103" s="34" t="s">
        <v>134</v>
      </c>
      <c r="L103" s="34" t="s">
        <v>134</v>
      </c>
      <c r="O103" s="2"/>
    </row>
    <row r="104" spans="1:15" s="1" customFormat="1" ht="26.4">
      <c r="A104" s="25"/>
      <c r="B104" s="26" t="s">
        <v>1843</v>
      </c>
      <c r="C104" s="26" t="s">
        <v>136</v>
      </c>
      <c r="D104" s="12" t="s">
        <v>1844</v>
      </c>
      <c r="E104" s="30"/>
      <c r="F104" s="31"/>
      <c r="G104" s="12" t="s">
        <v>880</v>
      </c>
      <c r="H104" s="32"/>
      <c r="I104" s="35"/>
      <c r="J104" s="34" t="s">
        <v>431</v>
      </c>
      <c r="K104" s="34" t="s">
        <v>134</v>
      </c>
      <c r="L104" s="34" t="s">
        <v>134</v>
      </c>
      <c r="O104" s="2"/>
    </row>
    <row r="105" spans="1:15" s="1" customFormat="1">
      <c r="A105" s="25"/>
      <c r="B105" s="26" t="s">
        <v>1845</v>
      </c>
      <c r="C105" s="26" t="s">
        <v>136</v>
      </c>
      <c r="D105" s="12" t="s">
        <v>1846</v>
      </c>
      <c r="E105" s="30"/>
      <c r="F105" s="31"/>
      <c r="G105" s="12" t="s">
        <v>880</v>
      </c>
      <c r="H105" s="30"/>
      <c r="I105" s="33"/>
      <c r="J105" s="34" t="s">
        <v>431</v>
      </c>
      <c r="K105" s="34" t="s">
        <v>134</v>
      </c>
      <c r="L105" s="34" t="s">
        <v>134</v>
      </c>
      <c r="O105" s="2"/>
    </row>
    <row r="106" spans="1:15" s="1" customFormat="1" ht="26.4">
      <c r="A106" s="25"/>
      <c r="B106" s="26" t="s">
        <v>1847</v>
      </c>
      <c r="C106" s="26" t="s">
        <v>136</v>
      </c>
      <c r="D106" s="12" t="s">
        <v>1848</v>
      </c>
      <c r="E106" s="30"/>
      <c r="F106" s="31"/>
      <c r="G106" s="19" t="s">
        <v>880</v>
      </c>
      <c r="H106" s="30"/>
      <c r="I106" s="33"/>
      <c r="J106" s="34" t="s">
        <v>431</v>
      </c>
      <c r="K106" s="34" t="s">
        <v>134</v>
      </c>
      <c r="L106" s="34" t="s">
        <v>134</v>
      </c>
      <c r="O106" s="2"/>
    </row>
    <row r="107" spans="1:15" s="1" customFormat="1" ht="26.4">
      <c r="A107" s="25"/>
      <c r="B107" s="26" t="s">
        <v>1849</v>
      </c>
      <c r="C107" s="26" t="s">
        <v>136</v>
      </c>
      <c r="D107" s="12" t="s">
        <v>1850</v>
      </c>
      <c r="E107" s="30"/>
      <c r="F107" s="31"/>
      <c r="G107" s="19" t="s">
        <v>880</v>
      </c>
      <c r="H107" s="30"/>
      <c r="I107" s="33"/>
      <c r="J107" s="34" t="s">
        <v>431</v>
      </c>
      <c r="K107" s="34" t="s">
        <v>134</v>
      </c>
      <c r="L107" s="34" t="s">
        <v>134</v>
      </c>
      <c r="O107" s="2"/>
    </row>
    <row r="108" spans="1:15" s="1" customFormat="1" ht="26.4">
      <c r="A108" s="25"/>
      <c r="B108" s="26" t="s">
        <v>1851</v>
      </c>
      <c r="C108" s="26" t="s">
        <v>136</v>
      </c>
      <c r="D108" s="12" t="s">
        <v>1852</v>
      </c>
      <c r="E108" s="30"/>
      <c r="F108" s="31"/>
      <c r="G108" s="19" t="s">
        <v>880</v>
      </c>
      <c r="H108" s="30"/>
      <c r="I108" s="33"/>
      <c r="J108" s="34" t="s">
        <v>431</v>
      </c>
      <c r="K108" s="34" t="s">
        <v>134</v>
      </c>
      <c r="L108" s="34" t="s">
        <v>134</v>
      </c>
      <c r="O108" s="2"/>
    </row>
    <row r="109" spans="1:15" s="1" customFormat="1">
      <c r="A109" s="25"/>
      <c r="B109" s="26" t="s">
        <v>1853</v>
      </c>
      <c r="C109" s="26" t="s">
        <v>136</v>
      </c>
      <c r="D109" s="12" t="s">
        <v>1854</v>
      </c>
      <c r="E109" s="30"/>
      <c r="F109" s="31"/>
      <c r="G109" s="19" t="s">
        <v>880</v>
      </c>
      <c r="H109" s="63"/>
      <c r="I109" s="33"/>
      <c r="J109" s="34" t="s">
        <v>431</v>
      </c>
      <c r="K109" s="34" t="s">
        <v>134</v>
      </c>
      <c r="L109" s="34" t="s">
        <v>134</v>
      </c>
      <c r="O109" s="2"/>
    </row>
    <row r="110" spans="1:15" s="1" customFormat="1" ht="26.4">
      <c r="A110" s="25"/>
      <c r="B110" s="26" t="s">
        <v>1855</v>
      </c>
      <c r="C110" s="26" t="s">
        <v>136</v>
      </c>
      <c r="D110" s="12" t="s">
        <v>1856</v>
      </c>
      <c r="E110" s="30"/>
      <c r="F110" s="31"/>
      <c r="G110" s="19" t="s">
        <v>880</v>
      </c>
      <c r="H110" s="32"/>
      <c r="I110" s="35"/>
      <c r="J110" s="34" t="s">
        <v>431</v>
      </c>
      <c r="K110" s="34" t="s">
        <v>134</v>
      </c>
      <c r="L110" s="34" t="s">
        <v>134</v>
      </c>
      <c r="O110" s="2"/>
    </row>
    <row r="111" spans="1:15" s="1" customFormat="1" ht="26.4">
      <c r="A111" s="25"/>
      <c r="B111" s="26" t="s">
        <v>1857</v>
      </c>
      <c r="C111" s="26" t="s">
        <v>136</v>
      </c>
      <c r="D111" s="12" t="s">
        <v>1858</v>
      </c>
      <c r="E111" s="30"/>
      <c r="F111" s="31"/>
      <c r="G111" s="19" t="s">
        <v>880</v>
      </c>
      <c r="H111" s="32"/>
      <c r="I111" s="35"/>
      <c r="J111" s="34" t="s">
        <v>431</v>
      </c>
      <c r="K111" s="34" t="s">
        <v>134</v>
      </c>
      <c r="L111" s="34" t="s">
        <v>134</v>
      </c>
      <c r="O111" s="2"/>
    </row>
    <row r="112" spans="1:15" s="1" customFormat="1">
      <c r="A112" s="25"/>
      <c r="B112" s="26" t="s">
        <v>1859</v>
      </c>
      <c r="C112" s="26" t="s">
        <v>136</v>
      </c>
      <c r="D112" s="12" t="s">
        <v>1860</v>
      </c>
      <c r="E112" s="30"/>
      <c r="F112" s="31"/>
      <c r="G112" s="19" t="s">
        <v>880</v>
      </c>
      <c r="H112" s="63"/>
      <c r="I112" s="33"/>
      <c r="J112" s="34" t="s">
        <v>431</v>
      </c>
      <c r="K112" s="34" t="s">
        <v>134</v>
      </c>
      <c r="L112" s="34" t="s">
        <v>134</v>
      </c>
      <c r="O112" s="2"/>
    </row>
    <row r="113" spans="1:15" s="1" customFormat="1">
      <c r="A113" s="25"/>
      <c r="B113" s="26" t="s">
        <v>1861</v>
      </c>
      <c r="C113" s="26" t="s">
        <v>136</v>
      </c>
      <c r="D113" s="12" t="s">
        <v>1862</v>
      </c>
      <c r="E113" s="30"/>
      <c r="F113" s="31"/>
      <c r="G113" s="19" t="s">
        <v>880</v>
      </c>
      <c r="H113" s="32"/>
      <c r="I113" s="35"/>
      <c r="J113" s="34" t="s">
        <v>431</v>
      </c>
      <c r="K113" s="34" t="s">
        <v>134</v>
      </c>
      <c r="L113" s="34" t="s">
        <v>134</v>
      </c>
      <c r="O113" s="2"/>
    </row>
    <row r="114" spans="1:15" s="1" customFormat="1">
      <c r="A114" s="25"/>
      <c r="B114" s="26" t="s">
        <v>1863</v>
      </c>
      <c r="C114" s="26" t="s">
        <v>136</v>
      </c>
      <c r="D114" s="12" t="s">
        <v>1864</v>
      </c>
      <c r="E114" s="30"/>
      <c r="F114" s="31"/>
      <c r="G114" s="19" t="s">
        <v>880</v>
      </c>
      <c r="H114" s="32"/>
      <c r="I114" s="35"/>
      <c r="J114" s="34" t="s">
        <v>431</v>
      </c>
      <c r="K114" s="34" t="s">
        <v>134</v>
      </c>
      <c r="L114" s="34" t="s">
        <v>134</v>
      </c>
      <c r="O114" s="2"/>
    </row>
    <row r="115" spans="1:15" s="1" customFormat="1">
      <c r="A115" s="25"/>
      <c r="B115" s="26" t="s">
        <v>1865</v>
      </c>
      <c r="C115" s="26" t="s">
        <v>136</v>
      </c>
      <c r="D115" s="12" t="s">
        <v>1866</v>
      </c>
      <c r="E115" s="30"/>
      <c r="F115" s="31"/>
      <c r="G115" s="19" t="s">
        <v>880</v>
      </c>
      <c r="H115" s="32"/>
      <c r="I115" s="35"/>
      <c r="J115" s="34" t="s">
        <v>431</v>
      </c>
      <c r="K115" s="34" t="s">
        <v>134</v>
      </c>
      <c r="L115" s="34" t="s">
        <v>134</v>
      </c>
      <c r="O115" s="2"/>
    </row>
    <row r="116" spans="1:15" s="1" customFormat="1">
      <c r="A116" s="25"/>
      <c r="B116" s="26" t="s">
        <v>1247</v>
      </c>
      <c r="C116" s="26" t="s">
        <v>136</v>
      </c>
      <c r="D116" s="12" t="s">
        <v>780</v>
      </c>
      <c r="E116" s="30" t="s">
        <v>243</v>
      </c>
      <c r="F116" s="31"/>
      <c r="G116" s="19" t="s">
        <v>1440</v>
      </c>
      <c r="H116" s="32"/>
      <c r="I116" s="35"/>
      <c r="J116" s="34" t="s">
        <v>431</v>
      </c>
      <c r="K116" s="34" t="s">
        <v>134</v>
      </c>
      <c r="L116" s="34" t="s">
        <v>439</v>
      </c>
      <c r="O116" s="2"/>
    </row>
    <row r="117" spans="1:15" s="1" customFormat="1">
      <c r="A117" s="25"/>
      <c r="B117" s="26" t="s">
        <v>1251</v>
      </c>
      <c r="C117" s="26" t="s">
        <v>136</v>
      </c>
      <c r="D117" s="12" t="s">
        <v>784</v>
      </c>
      <c r="E117" s="30" t="s">
        <v>243</v>
      </c>
      <c r="F117" s="31"/>
      <c r="G117" s="19" t="s">
        <v>1442</v>
      </c>
      <c r="H117" s="32"/>
      <c r="I117" s="35"/>
      <c r="J117" s="34" t="s">
        <v>431</v>
      </c>
      <c r="K117" s="34" t="s">
        <v>134</v>
      </c>
      <c r="L117" s="34" t="s">
        <v>439</v>
      </c>
      <c r="O117" s="2"/>
    </row>
    <row r="118" spans="1:15" s="1" customFormat="1">
      <c r="A118" s="25"/>
      <c r="B118" s="26" t="s">
        <v>1261</v>
      </c>
      <c r="C118" s="26" t="s">
        <v>136</v>
      </c>
      <c r="D118" s="12" t="s">
        <v>794</v>
      </c>
      <c r="E118" s="30" t="s">
        <v>243</v>
      </c>
      <c r="F118" s="31"/>
      <c r="G118" s="19" t="s">
        <v>1447</v>
      </c>
      <c r="H118" s="32"/>
      <c r="I118" s="35"/>
      <c r="J118" s="34" t="s">
        <v>431</v>
      </c>
      <c r="K118" s="34" t="s">
        <v>134</v>
      </c>
      <c r="L118" s="34" t="s">
        <v>439</v>
      </c>
      <c r="O118" s="2"/>
    </row>
    <row r="119" spans="1:15" s="1" customFormat="1">
      <c r="A119" s="25"/>
      <c r="B119" s="26" t="s">
        <v>1265</v>
      </c>
      <c r="C119" s="26" t="s">
        <v>136</v>
      </c>
      <c r="D119" s="12" t="s">
        <v>798</v>
      </c>
      <c r="E119" s="30" t="s">
        <v>243</v>
      </c>
      <c r="F119" s="31"/>
      <c r="G119" s="19" t="s">
        <v>1449</v>
      </c>
      <c r="H119" s="32"/>
      <c r="I119" s="35"/>
      <c r="J119" s="34" t="s">
        <v>431</v>
      </c>
      <c r="K119" s="34" t="s">
        <v>134</v>
      </c>
      <c r="L119" s="34" t="s">
        <v>439</v>
      </c>
      <c r="O119" s="2"/>
    </row>
    <row r="120" spans="1:15" s="1" customFormat="1">
      <c r="A120" s="25"/>
      <c r="B120" s="26" t="s">
        <v>1253</v>
      </c>
      <c r="C120" s="26" t="s">
        <v>136</v>
      </c>
      <c r="D120" s="12" t="s">
        <v>786</v>
      </c>
      <c r="E120" s="30" t="s">
        <v>243</v>
      </c>
      <c r="F120" s="31"/>
      <c r="G120" s="19" t="s">
        <v>1443</v>
      </c>
      <c r="H120" s="32"/>
      <c r="I120" s="35"/>
      <c r="J120" s="34" t="s">
        <v>431</v>
      </c>
      <c r="K120" s="34" t="s">
        <v>134</v>
      </c>
      <c r="L120" s="34" t="s">
        <v>439</v>
      </c>
      <c r="O120" s="2"/>
    </row>
    <row r="121" spans="1:15" s="1" customFormat="1">
      <c r="A121" s="25"/>
      <c r="B121" s="26" t="s">
        <v>1259</v>
      </c>
      <c r="C121" s="26" t="s">
        <v>136</v>
      </c>
      <c r="D121" s="12" t="s">
        <v>792</v>
      </c>
      <c r="E121" s="30" t="s">
        <v>243</v>
      </c>
      <c r="F121" s="31"/>
      <c r="G121" s="19" t="s">
        <v>1446</v>
      </c>
      <c r="H121" s="32"/>
      <c r="I121" s="35"/>
      <c r="J121" s="34" t="s">
        <v>431</v>
      </c>
      <c r="K121" s="34" t="s">
        <v>134</v>
      </c>
      <c r="L121" s="34" t="s">
        <v>439</v>
      </c>
      <c r="O121" s="2"/>
    </row>
    <row r="122" spans="1:15" s="1" customFormat="1">
      <c r="A122" s="25"/>
      <c r="B122" s="26" t="s">
        <v>1263</v>
      </c>
      <c r="C122" s="26" t="s">
        <v>136</v>
      </c>
      <c r="D122" s="12" t="s">
        <v>796</v>
      </c>
      <c r="E122" s="30" t="s">
        <v>243</v>
      </c>
      <c r="F122" s="31"/>
      <c r="G122" s="19" t="s">
        <v>1448</v>
      </c>
      <c r="H122" s="32"/>
      <c r="I122" s="35"/>
      <c r="J122" s="34" t="s">
        <v>431</v>
      </c>
      <c r="K122" s="34" t="s">
        <v>134</v>
      </c>
      <c r="L122" s="34" t="s">
        <v>439</v>
      </c>
      <c r="O122" s="2"/>
    </row>
    <row r="123" spans="1:15" s="1" customFormat="1">
      <c r="A123" s="25"/>
      <c r="B123" s="26" t="s">
        <v>1267</v>
      </c>
      <c r="C123" s="26" t="s">
        <v>136</v>
      </c>
      <c r="D123" s="12" t="s">
        <v>800</v>
      </c>
      <c r="E123" s="30" t="s">
        <v>243</v>
      </c>
      <c r="F123" s="31"/>
      <c r="G123" s="19" t="s">
        <v>1450</v>
      </c>
      <c r="H123" s="32"/>
      <c r="I123" s="35"/>
      <c r="J123" s="34" t="s">
        <v>431</v>
      </c>
      <c r="K123" s="34" t="s">
        <v>134</v>
      </c>
      <c r="L123" s="34" t="s">
        <v>439</v>
      </c>
      <c r="O123" s="2"/>
    </row>
    <row r="124" spans="1:15" s="1" customFormat="1">
      <c r="A124" s="25"/>
      <c r="B124" s="26" t="s">
        <v>1272</v>
      </c>
      <c r="C124" s="26" t="s">
        <v>136</v>
      </c>
      <c r="D124" s="12" t="s">
        <v>1273</v>
      </c>
      <c r="E124" s="30" t="s">
        <v>243</v>
      </c>
      <c r="F124" s="31"/>
      <c r="G124" s="19" t="s">
        <v>1453</v>
      </c>
      <c r="H124" s="32"/>
      <c r="I124" s="35"/>
      <c r="J124" s="34" t="s">
        <v>431</v>
      </c>
      <c r="K124" s="34" t="s">
        <v>134</v>
      </c>
      <c r="L124" s="34" t="s">
        <v>439</v>
      </c>
      <c r="O124" s="2"/>
    </row>
    <row r="125" spans="1:15" s="1" customFormat="1">
      <c r="A125" s="25"/>
      <c r="B125" s="26" t="s">
        <v>504</v>
      </c>
      <c r="C125" s="26" t="s">
        <v>245</v>
      </c>
      <c r="D125" s="12" t="s">
        <v>505</v>
      </c>
      <c r="E125" s="30"/>
      <c r="F125" s="31"/>
      <c r="G125" s="19" t="s">
        <v>880</v>
      </c>
      <c r="H125" s="32"/>
      <c r="I125" s="35"/>
      <c r="J125" s="34" t="s">
        <v>384</v>
      </c>
      <c r="K125" s="34" t="s">
        <v>134</v>
      </c>
      <c r="L125" s="34" t="s">
        <v>134</v>
      </c>
      <c r="O125" s="2"/>
    </row>
    <row r="126" spans="1:15" s="1" customFormat="1">
      <c r="A126" s="25"/>
      <c r="B126" s="26" t="s">
        <v>506</v>
      </c>
      <c r="C126" s="26" t="s">
        <v>245</v>
      </c>
      <c r="D126" s="12" t="s">
        <v>1053</v>
      </c>
      <c r="E126" s="30"/>
      <c r="F126" s="31"/>
      <c r="G126" s="19" t="s">
        <v>880</v>
      </c>
      <c r="H126" s="32"/>
      <c r="I126" s="35"/>
      <c r="J126" s="34" t="s">
        <v>384</v>
      </c>
      <c r="K126" s="34" t="s">
        <v>134</v>
      </c>
      <c r="L126" s="34" t="s">
        <v>134</v>
      </c>
      <c r="O126" s="2"/>
    </row>
    <row r="127" spans="1:15" s="1" customFormat="1">
      <c r="A127" s="25"/>
      <c r="B127" s="26" t="s">
        <v>508</v>
      </c>
      <c r="C127" s="26" t="s">
        <v>245</v>
      </c>
      <c r="D127" s="12" t="s">
        <v>509</v>
      </c>
      <c r="E127" s="30"/>
      <c r="F127" s="31"/>
      <c r="G127" s="19" t="s">
        <v>880</v>
      </c>
      <c r="H127" s="32"/>
      <c r="I127" s="35"/>
      <c r="J127" s="34" t="s">
        <v>384</v>
      </c>
      <c r="K127" s="34" t="s">
        <v>134</v>
      </c>
      <c r="L127" s="34" t="s">
        <v>134</v>
      </c>
      <c r="O127" s="2"/>
    </row>
    <row r="128" spans="1:15" s="1" customFormat="1">
      <c r="A128" s="25"/>
      <c r="B128" s="26" t="s">
        <v>510</v>
      </c>
      <c r="C128" s="26" t="s">
        <v>245</v>
      </c>
      <c r="D128" s="12" t="s">
        <v>1054</v>
      </c>
      <c r="E128" s="30"/>
      <c r="F128" s="31"/>
      <c r="G128" s="19" t="s">
        <v>880</v>
      </c>
      <c r="H128" s="32"/>
      <c r="I128" s="35"/>
      <c r="J128" s="34" t="s">
        <v>384</v>
      </c>
      <c r="K128" s="34" t="s">
        <v>134</v>
      </c>
      <c r="L128" s="34" t="s">
        <v>134</v>
      </c>
      <c r="O128" s="2"/>
    </row>
    <row r="129" spans="2:12" s="4" customFormat="1">
      <c r="B129" s="50" t="s">
        <v>233</v>
      </c>
      <c r="C129" s="51" t="s">
        <v>139</v>
      </c>
      <c r="D129" s="37" t="s">
        <v>234</v>
      </c>
      <c r="E129" s="52"/>
      <c r="F129" s="52"/>
      <c r="G129" s="52"/>
      <c r="H129" s="50"/>
      <c r="I129" s="50"/>
      <c r="J129" s="50"/>
      <c r="K129" s="50"/>
      <c r="L129" s="50"/>
    </row>
    <row r="130" spans="2:12" s="4" customFormat="1">
      <c r="B130" s="50" t="s">
        <v>235</v>
      </c>
      <c r="C130" s="51" t="s">
        <v>132</v>
      </c>
      <c r="D130" s="37" t="s">
        <v>236</v>
      </c>
      <c r="E130" s="52"/>
      <c r="F130" s="52"/>
      <c r="G130" s="52"/>
      <c r="H130" s="50"/>
      <c r="I130" s="50"/>
      <c r="J130" s="50"/>
      <c r="K130" s="50"/>
      <c r="L130" s="50"/>
    </row>
  </sheetData>
  <autoFilter ref="A14:L130" xr:uid="{00000000-0009-0000-0000-000020000000}"/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04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5" customWidth="1"/>
    <col min="2" max="2" width="23.6640625" style="5" customWidth="1"/>
    <col min="3" max="3" width="35.5546875" style="5" bestFit="1" customWidth="1"/>
    <col min="4" max="4" width="32.21875" style="5" customWidth="1"/>
    <col min="5" max="5" width="16.21875" style="5" customWidth="1"/>
    <col min="6" max="6" width="17.109375" style="5" customWidth="1"/>
    <col min="7" max="7" width="39.5546875" style="5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2:12">
      <c r="B1" s="7" t="str">
        <f>HYPERLINK("#导航!a2","返回")</f>
        <v>返回</v>
      </c>
    </row>
    <row r="2" spans="2:12">
      <c r="B2" s="156"/>
      <c r="C2" s="156"/>
      <c r="D2" s="156"/>
      <c r="E2" s="156"/>
      <c r="F2" s="156"/>
      <c r="G2" s="156"/>
      <c r="H2" s="156"/>
    </row>
    <row r="3" spans="2:12">
      <c r="B3" s="157" t="s">
        <v>106</v>
      </c>
      <c r="C3" s="157"/>
      <c r="D3" s="157"/>
      <c r="E3" s="157"/>
      <c r="F3" s="157"/>
      <c r="G3" s="157"/>
      <c r="H3" s="157"/>
    </row>
    <row r="4" spans="2:12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2:12">
      <c r="B5" s="11" t="s">
        <v>55</v>
      </c>
      <c r="C5" s="12" t="s">
        <v>2541</v>
      </c>
      <c r="D5" s="13" t="s">
        <v>2550</v>
      </c>
      <c r="E5" s="14" t="s">
        <v>383</v>
      </c>
      <c r="F5" s="15"/>
      <c r="G5" s="14"/>
      <c r="H5" s="14"/>
    </row>
    <row r="6" spans="2:12">
      <c r="B6" s="8"/>
      <c r="C6" s="8"/>
      <c r="D6" s="8"/>
      <c r="E6" s="8"/>
      <c r="F6" s="8"/>
      <c r="G6" s="8"/>
      <c r="H6" s="8"/>
    </row>
    <row r="7" spans="2:12">
      <c r="B7" s="157" t="s">
        <v>113</v>
      </c>
      <c r="C7" s="157"/>
      <c r="D7" s="157"/>
      <c r="E7" s="157"/>
      <c r="F7" s="157"/>
      <c r="G7" s="157"/>
      <c r="H7" s="157"/>
    </row>
    <row r="8" spans="2:12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2:12">
      <c r="B9" s="14"/>
      <c r="C9" s="12" t="s">
        <v>2326</v>
      </c>
      <c r="D9" s="12" t="s">
        <v>101</v>
      </c>
      <c r="E9" s="14" t="s">
        <v>243</v>
      </c>
      <c r="F9" s="19"/>
      <c r="G9" s="19"/>
      <c r="H9" s="21" t="s">
        <v>38</v>
      </c>
    </row>
    <row r="10" spans="2:12">
      <c r="B10" s="14"/>
      <c r="C10" s="12"/>
      <c r="D10" s="12"/>
      <c r="E10" s="14"/>
      <c r="F10" s="19"/>
      <c r="G10" s="19"/>
      <c r="H10" s="14"/>
    </row>
    <row r="11" spans="2:12">
      <c r="G11" s="48"/>
    </row>
    <row r="12" spans="2:12">
      <c r="B12" s="5" t="s">
        <v>120</v>
      </c>
    </row>
    <row r="13" spans="2:12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2:12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2:12" s="2" customFormat="1">
      <c r="B15" s="49" t="s">
        <v>383</v>
      </c>
      <c r="C15" s="49" t="s">
        <v>132</v>
      </c>
      <c r="D15" s="12" t="s">
        <v>480</v>
      </c>
      <c r="E15" s="30" t="s">
        <v>243</v>
      </c>
      <c r="F15" s="19" t="s">
        <v>235</v>
      </c>
      <c r="G15" s="19" t="s">
        <v>250</v>
      </c>
      <c r="H15" s="32"/>
      <c r="I15" s="34"/>
      <c r="J15" s="34" t="s">
        <v>384</v>
      </c>
      <c r="K15" s="34" t="s">
        <v>134</v>
      </c>
      <c r="L15" s="34" t="s">
        <v>134</v>
      </c>
    </row>
    <row r="16" spans="2:12" s="2" customFormat="1">
      <c r="B16" s="49" t="s">
        <v>141</v>
      </c>
      <c r="C16" s="49" t="s">
        <v>132</v>
      </c>
      <c r="D16" s="12" t="s">
        <v>143</v>
      </c>
      <c r="E16" s="30" t="s">
        <v>243</v>
      </c>
      <c r="F16" s="19" t="s">
        <v>141</v>
      </c>
      <c r="G16" s="19" t="s">
        <v>250</v>
      </c>
      <c r="H16" s="32"/>
      <c r="I16" s="34"/>
      <c r="J16" s="34" t="s">
        <v>384</v>
      </c>
      <c r="K16" s="34" t="s">
        <v>134</v>
      </c>
      <c r="L16" s="34" t="s">
        <v>134</v>
      </c>
    </row>
    <row r="17" spans="1:15" s="2" customFormat="1">
      <c r="A17" s="29"/>
      <c r="B17" s="49" t="s">
        <v>211</v>
      </c>
      <c r="C17" s="49" t="s">
        <v>139</v>
      </c>
      <c r="D17" s="12" t="s">
        <v>810</v>
      </c>
      <c r="E17" s="30" t="s">
        <v>243</v>
      </c>
      <c r="F17" s="19" t="s">
        <v>211</v>
      </c>
      <c r="G17" s="19" t="s">
        <v>250</v>
      </c>
      <c r="H17" s="32"/>
      <c r="I17" s="35"/>
      <c r="J17" s="34" t="s">
        <v>384</v>
      </c>
      <c r="K17" s="34" t="s">
        <v>134</v>
      </c>
      <c r="L17" s="34" t="s">
        <v>134</v>
      </c>
    </row>
    <row r="18" spans="1:15" s="2" customFormat="1">
      <c r="A18" s="29"/>
      <c r="B18" s="49" t="s">
        <v>371</v>
      </c>
      <c r="C18" s="49" t="s">
        <v>139</v>
      </c>
      <c r="D18" s="12" t="s">
        <v>497</v>
      </c>
      <c r="E18" s="30" t="s">
        <v>243</v>
      </c>
      <c r="F18" s="19" t="s">
        <v>371</v>
      </c>
      <c r="G18" s="19" t="s">
        <v>250</v>
      </c>
      <c r="H18" s="32"/>
      <c r="I18" s="35"/>
      <c r="J18" s="34" t="s">
        <v>384</v>
      </c>
      <c r="K18" s="34" t="s">
        <v>134</v>
      </c>
      <c r="L18" s="34" t="s">
        <v>134</v>
      </c>
    </row>
    <row r="19" spans="1:15" s="2" customFormat="1">
      <c r="A19" s="29"/>
      <c r="B19" s="14" t="s">
        <v>373</v>
      </c>
      <c r="C19" s="14" t="s">
        <v>139</v>
      </c>
      <c r="D19" s="12" t="s">
        <v>498</v>
      </c>
      <c r="E19" s="30" t="s">
        <v>243</v>
      </c>
      <c r="F19" s="19" t="s">
        <v>373</v>
      </c>
      <c r="G19" s="19" t="s">
        <v>250</v>
      </c>
      <c r="H19" s="32"/>
      <c r="I19" s="35"/>
      <c r="J19" s="34" t="s">
        <v>384</v>
      </c>
      <c r="K19" s="34" t="s">
        <v>134</v>
      </c>
      <c r="L19" s="34" t="s">
        <v>134</v>
      </c>
    </row>
    <row r="20" spans="1:15" s="2" customFormat="1">
      <c r="A20" s="29"/>
      <c r="B20" s="14" t="s">
        <v>273</v>
      </c>
      <c r="C20" s="14" t="s">
        <v>139</v>
      </c>
      <c r="D20" s="12" t="s">
        <v>274</v>
      </c>
      <c r="E20" s="30" t="s">
        <v>243</v>
      </c>
      <c r="F20" s="19" t="s">
        <v>273</v>
      </c>
      <c r="G20" s="19" t="s">
        <v>250</v>
      </c>
      <c r="H20" s="32"/>
      <c r="I20" s="35"/>
      <c r="J20" s="34" t="s">
        <v>384</v>
      </c>
      <c r="K20" s="34" t="s">
        <v>134</v>
      </c>
      <c r="L20" s="34" t="s">
        <v>134</v>
      </c>
    </row>
    <row r="21" spans="1:15" s="2" customFormat="1">
      <c r="A21" s="29"/>
      <c r="B21" s="14" t="s">
        <v>385</v>
      </c>
      <c r="C21" s="14" t="s">
        <v>139</v>
      </c>
      <c r="D21" s="12" t="s">
        <v>487</v>
      </c>
      <c r="E21" s="30" t="s">
        <v>243</v>
      </c>
      <c r="F21" s="19" t="s">
        <v>385</v>
      </c>
      <c r="G21" s="19" t="s">
        <v>250</v>
      </c>
      <c r="H21" s="32"/>
      <c r="I21" s="35"/>
      <c r="J21" s="34" t="s">
        <v>384</v>
      </c>
      <c r="K21" s="34" t="s">
        <v>134</v>
      </c>
      <c r="L21" s="34" t="s">
        <v>134</v>
      </c>
    </row>
    <row r="22" spans="1:15" s="2" customFormat="1">
      <c r="A22" s="29"/>
      <c r="B22" s="14" t="s">
        <v>388</v>
      </c>
      <c r="C22" s="14" t="s">
        <v>139</v>
      </c>
      <c r="D22" s="12" t="s">
        <v>488</v>
      </c>
      <c r="E22" s="30" t="s">
        <v>243</v>
      </c>
      <c r="F22" s="19" t="s">
        <v>388</v>
      </c>
      <c r="G22" s="19" t="s">
        <v>250</v>
      </c>
      <c r="H22" s="32"/>
      <c r="I22" s="35"/>
      <c r="J22" s="34" t="s">
        <v>384</v>
      </c>
      <c r="K22" s="34" t="s">
        <v>134</v>
      </c>
      <c r="L22" s="34" t="s">
        <v>134</v>
      </c>
    </row>
    <row r="23" spans="1:15" s="2" customFormat="1">
      <c r="A23" s="29"/>
      <c r="B23" s="14" t="s">
        <v>1058</v>
      </c>
      <c r="C23" s="14" t="s">
        <v>245</v>
      </c>
      <c r="D23" s="12" t="s">
        <v>513</v>
      </c>
      <c r="E23" s="30" t="s">
        <v>243</v>
      </c>
      <c r="F23" s="19"/>
      <c r="G23" s="19" t="s">
        <v>1368</v>
      </c>
      <c r="H23" s="32"/>
      <c r="I23" s="35"/>
      <c r="J23" s="34" t="str">
        <f>VLOOKUP(B23,'30'!B:M,9,0)</f>
        <v>指标</v>
      </c>
      <c r="K23" s="34" t="str">
        <f>VLOOKUP(B23,'30'!B:M,10,0)</f>
        <v>无</v>
      </c>
      <c r="L23" s="34" t="str">
        <f>VLOOKUP(B23,'30'!B:M,11,0)</f>
        <v>&gt;=0</v>
      </c>
    </row>
    <row r="24" spans="1:15" s="2" customFormat="1">
      <c r="A24" s="29"/>
      <c r="B24" s="49" t="s">
        <v>1060</v>
      </c>
      <c r="C24" s="49" t="s">
        <v>245</v>
      </c>
      <c r="D24" s="12" t="s">
        <v>516</v>
      </c>
      <c r="E24" s="30" t="s">
        <v>243</v>
      </c>
      <c r="F24" s="19"/>
      <c r="G24" s="19" t="s">
        <v>1369</v>
      </c>
      <c r="H24" s="32"/>
      <c r="I24" s="35"/>
      <c r="J24" s="34" t="s">
        <v>431</v>
      </c>
      <c r="K24" s="34" t="s">
        <v>134</v>
      </c>
      <c r="L24" s="34" t="str">
        <f>VLOOKUP(B24,'30'!B:M,11,0)</f>
        <v>&gt;=0</v>
      </c>
    </row>
    <row r="25" spans="1:15" s="2" customFormat="1">
      <c r="A25" s="29"/>
      <c r="B25" s="14" t="s">
        <v>499</v>
      </c>
      <c r="C25" s="14" t="s">
        <v>245</v>
      </c>
      <c r="D25" s="12" t="s">
        <v>500</v>
      </c>
      <c r="E25" s="30" t="s">
        <v>243</v>
      </c>
      <c r="F25" s="19" t="s">
        <v>499</v>
      </c>
      <c r="G25" s="19" t="s">
        <v>250</v>
      </c>
      <c r="H25" s="32"/>
      <c r="I25" s="35"/>
      <c r="J25" s="34" t="s">
        <v>384</v>
      </c>
      <c r="K25" s="34" t="s">
        <v>134</v>
      </c>
      <c r="L25" s="34" t="s">
        <v>134</v>
      </c>
    </row>
    <row r="26" spans="1:15" s="2" customFormat="1">
      <c r="A26" s="29"/>
      <c r="B26" s="14" t="s">
        <v>502</v>
      </c>
      <c r="C26" s="14" t="s">
        <v>245</v>
      </c>
      <c r="D26" s="12" t="s">
        <v>503</v>
      </c>
      <c r="E26" s="30" t="s">
        <v>243</v>
      </c>
      <c r="F26" s="19" t="s">
        <v>502</v>
      </c>
      <c r="G26" s="19" t="s">
        <v>250</v>
      </c>
      <c r="H26" s="32"/>
      <c r="I26" s="35"/>
      <c r="J26" s="34" t="s">
        <v>384</v>
      </c>
      <c r="K26" s="34" t="s">
        <v>134</v>
      </c>
      <c r="L26" s="34" t="s">
        <v>134</v>
      </c>
    </row>
    <row r="27" spans="1:15" s="2" customFormat="1">
      <c r="A27" s="29"/>
      <c r="B27" s="14" t="s">
        <v>1062</v>
      </c>
      <c r="C27" s="14" t="s">
        <v>136</v>
      </c>
      <c r="D27" s="12" t="s">
        <v>519</v>
      </c>
      <c r="E27" s="30" t="s">
        <v>243</v>
      </c>
      <c r="F27" s="19"/>
      <c r="G27" s="19" t="s">
        <v>1370</v>
      </c>
      <c r="H27" s="32"/>
      <c r="I27" s="35"/>
      <c r="J27" s="34" t="s">
        <v>431</v>
      </c>
      <c r="K27" s="34" t="s">
        <v>134</v>
      </c>
      <c r="L27" s="34" t="s">
        <v>439</v>
      </c>
    </row>
    <row r="28" spans="1:15" s="2" customFormat="1">
      <c r="A28" s="29"/>
      <c r="B28" s="14" t="s">
        <v>936</v>
      </c>
      <c r="C28" s="14" t="s">
        <v>136</v>
      </c>
      <c r="D28" s="12" t="s">
        <v>1586</v>
      </c>
      <c r="E28" s="30" t="s">
        <v>243</v>
      </c>
      <c r="F28" s="19"/>
      <c r="G28" s="19" t="s">
        <v>1340</v>
      </c>
      <c r="H28" s="32"/>
      <c r="I28" s="35"/>
      <c r="J28" s="34" t="s">
        <v>431</v>
      </c>
      <c r="K28" s="34" t="s">
        <v>134</v>
      </c>
      <c r="L28" s="34" t="s">
        <v>439</v>
      </c>
    </row>
    <row r="29" spans="1:15" s="2" customFormat="1">
      <c r="A29" s="29"/>
      <c r="B29" s="49" t="s">
        <v>939</v>
      </c>
      <c r="C29" s="49" t="s">
        <v>136</v>
      </c>
      <c r="D29" s="12" t="s">
        <v>1587</v>
      </c>
      <c r="E29" s="30" t="s">
        <v>243</v>
      </c>
      <c r="F29" s="19"/>
      <c r="G29" s="19" t="s">
        <v>1341</v>
      </c>
      <c r="H29" s="32"/>
      <c r="I29" s="35"/>
      <c r="J29" s="34" t="s">
        <v>431</v>
      </c>
      <c r="K29" s="34" t="s">
        <v>134</v>
      </c>
      <c r="L29" s="34" t="s">
        <v>439</v>
      </c>
    </row>
    <row r="30" spans="1:15" s="2" customFormat="1">
      <c r="B30" s="49" t="s">
        <v>942</v>
      </c>
      <c r="C30" s="49" t="s">
        <v>245</v>
      </c>
      <c r="D30" s="12" t="s">
        <v>1889</v>
      </c>
      <c r="E30" s="30" t="s">
        <v>243</v>
      </c>
      <c r="F30" s="19"/>
      <c r="G30" s="19" t="s">
        <v>1342</v>
      </c>
      <c r="H30" s="32"/>
      <c r="I30" s="35"/>
      <c r="J30" s="34" t="s">
        <v>431</v>
      </c>
      <c r="K30" s="34" t="s">
        <v>134</v>
      </c>
      <c r="L30" s="34" t="s">
        <v>439</v>
      </c>
    </row>
    <row r="31" spans="1:15" s="2" customFormat="1">
      <c r="B31" s="49" t="s">
        <v>811</v>
      </c>
      <c r="C31" s="49" t="s">
        <v>136</v>
      </c>
      <c r="D31" s="12" t="s">
        <v>1589</v>
      </c>
      <c r="E31" s="30" t="s">
        <v>243</v>
      </c>
      <c r="F31" s="19"/>
      <c r="G31" s="19" t="s">
        <v>1306</v>
      </c>
      <c r="H31" s="32"/>
      <c r="I31" s="35"/>
      <c r="J31" s="34" t="s">
        <v>431</v>
      </c>
      <c r="K31" s="34" t="s">
        <v>134</v>
      </c>
      <c r="L31" s="34" t="s">
        <v>439</v>
      </c>
    </row>
    <row r="32" spans="1:15" s="29" customFormat="1">
      <c r="B32" s="49" t="s">
        <v>1064</v>
      </c>
      <c r="C32" s="49" t="s">
        <v>136</v>
      </c>
      <c r="D32" s="12" t="s">
        <v>1590</v>
      </c>
      <c r="E32" s="30" t="s">
        <v>243</v>
      </c>
      <c r="F32" s="19"/>
      <c r="G32" s="19" t="s">
        <v>1890</v>
      </c>
      <c r="H32" s="32"/>
      <c r="I32" s="35"/>
      <c r="J32" s="34" t="s">
        <v>431</v>
      </c>
      <c r="K32" s="34" t="s">
        <v>134</v>
      </c>
      <c r="L32" s="40">
        <v>0</v>
      </c>
      <c r="O32" s="2"/>
    </row>
    <row r="33" spans="1:15" s="29" customFormat="1">
      <c r="B33" s="49" t="s">
        <v>1067</v>
      </c>
      <c r="C33" s="49" t="s">
        <v>136</v>
      </c>
      <c r="D33" s="12" t="s">
        <v>1591</v>
      </c>
      <c r="E33" s="30" t="s">
        <v>243</v>
      </c>
      <c r="F33" s="19"/>
      <c r="G33" s="19" t="s">
        <v>1890</v>
      </c>
      <c r="H33" s="32"/>
      <c r="I33" s="35"/>
      <c r="J33" s="34" t="s">
        <v>431</v>
      </c>
      <c r="K33" s="34" t="s">
        <v>134</v>
      </c>
      <c r="L33" s="40">
        <v>0</v>
      </c>
      <c r="O33" s="2"/>
    </row>
    <row r="34" spans="1:15" s="1" customFormat="1">
      <c r="A34" s="25"/>
      <c r="B34" s="26" t="s">
        <v>820</v>
      </c>
      <c r="C34" s="26" t="s">
        <v>136</v>
      </c>
      <c r="D34" s="12" t="s">
        <v>821</v>
      </c>
      <c r="E34" s="30" t="s">
        <v>243</v>
      </c>
      <c r="F34" s="19"/>
      <c r="G34" s="19" t="s">
        <v>1309</v>
      </c>
      <c r="H34" s="32"/>
      <c r="I34" s="35"/>
      <c r="J34" s="34" t="s">
        <v>431</v>
      </c>
      <c r="K34" s="34" t="s">
        <v>134</v>
      </c>
      <c r="L34" s="34" t="s">
        <v>439</v>
      </c>
      <c r="O34" s="2"/>
    </row>
    <row r="35" spans="1:15" s="2" customFormat="1">
      <c r="A35" s="29"/>
      <c r="B35" s="14" t="s">
        <v>814</v>
      </c>
      <c r="C35" s="14" t="s">
        <v>136</v>
      </c>
      <c r="D35" s="12" t="s">
        <v>815</v>
      </c>
      <c r="E35" s="30" t="s">
        <v>243</v>
      </c>
      <c r="F35" s="19"/>
      <c r="G35" s="19" t="s">
        <v>1307</v>
      </c>
      <c r="H35" s="32"/>
      <c r="I35" s="35"/>
      <c r="J35" s="34" t="s">
        <v>431</v>
      </c>
      <c r="K35" s="34" t="s">
        <v>134</v>
      </c>
      <c r="L35" s="34" t="s">
        <v>533</v>
      </c>
    </row>
    <row r="36" spans="1:15" s="29" customFormat="1">
      <c r="B36" s="49" t="s">
        <v>817</v>
      </c>
      <c r="C36" s="49" t="s">
        <v>245</v>
      </c>
      <c r="D36" s="12" t="s">
        <v>1891</v>
      </c>
      <c r="E36" s="30" t="s">
        <v>243</v>
      </c>
      <c r="F36" s="19"/>
      <c r="G36" s="19" t="s">
        <v>1308</v>
      </c>
      <c r="H36" s="30"/>
      <c r="I36" s="35"/>
      <c r="J36" s="34" t="s">
        <v>431</v>
      </c>
      <c r="K36" s="34" t="s">
        <v>134</v>
      </c>
      <c r="L36" s="34" t="s">
        <v>432</v>
      </c>
      <c r="O36" s="2"/>
    </row>
    <row r="37" spans="1:15" s="29" customFormat="1">
      <c r="B37" s="49" t="s">
        <v>823</v>
      </c>
      <c r="C37" s="49" t="s">
        <v>136</v>
      </c>
      <c r="D37" s="12" t="s">
        <v>1070</v>
      </c>
      <c r="E37" s="30" t="s">
        <v>243</v>
      </c>
      <c r="F37" s="19"/>
      <c r="G37" s="19" t="s">
        <v>1310</v>
      </c>
      <c r="H37" s="32"/>
      <c r="I37" s="35"/>
      <c r="J37" s="34" t="s">
        <v>431</v>
      </c>
      <c r="K37" s="34" t="s">
        <v>134</v>
      </c>
      <c r="L37" s="34" t="s">
        <v>439</v>
      </c>
      <c r="O37" s="2"/>
    </row>
    <row r="38" spans="1:15" s="29" customFormat="1">
      <c r="B38" s="49" t="s">
        <v>826</v>
      </c>
      <c r="C38" s="49" t="s">
        <v>136</v>
      </c>
      <c r="D38" s="12" t="s">
        <v>1073</v>
      </c>
      <c r="E38" s="30" t="s">
        <v>243</v>
      </c>
      <c r="F38" s="19"/>
      <c r="G38" s="19" t="s">
        <v>1311</v>
      </c>
      <c r="H38" s="32"/>
      <c r="I38" s="35"/>
      <c r="J38" s="34" t="s">
        <v>431</v>
      </c>
      <c r="K38" s="34" t="s">
        <v>134</v>
      </c>
      <c r="L38" s="34" t="s">
        <v>439</v>
      </c>
      <c r="O38" s="2"/>
    </row>
    <row r="39" spans="1:15" s="29" customFormat="1">
      <c r="B39" s="49" t="s">
        <v>829</v>
      </c>
      <c r="C39" s="55" t="s">
        <v>136</v>
      </c>
      <c r="D39" s="12" t="s">
        <v>1076</v>
      </c>
      <c r="E39" s="30" t="s">
        <v>243</v>
      </c>
      <c r="F39" s="19"/>
      <c r="G39" s="19" t="s">
        <v>1312</v>
      </c>
      <c r="H39" s="32"/>
      <c r="I39" s="35"/>
      <c r="J39" s="34" t="s">
        <v>431</v>
      </c>
      <c r="K39" s="34" t="s">
        <v>134</v>
      </c>
      <c r="L39" s="34" t="s">
        <v>439</v>
      </c>
      <c r="O39" s="2"/>
    </row>
    <row r="40" spans="1:15" s="5" customFormat="1">
      <c r="B40" s="49" t="s">
        <v>832</v>
      </c>
      <c r="C40" s="55" t="s">
        <v>136</v>
      </c>
      <c r="D40" s="12" t="s">
        <v>1079</v>
      </c>
      <c r="E40" s="30" t="s">
        <v>243</v>
      </c>
      <c r="F40" s="19"/>
      <c r="G40" s="19" t="s">
        <v>1313</v>
      </c>
      <c r="H40" s="32"/>
      <c r="I40" s="35"/>
      <c r="J40" s="34" t="s">
        <v>431</v>
      </c>
      <c r="K40" s="34" t="s">
        <v>134</v>
      </c>
      <c r="L40" s="34" t="s">
        <v>439</v>
      </c>
      <c r="O40" s="2"/>
    </row>
    <row r="41" spans="1:15" s="5" customFormat="1">
      <c r="B41" s="49" t="s">
        <v>835</v>
      </c>
      <c r="C41" s="55" t="s">
        <v>136</v>
      </c>
      <c r="D41" s="12" t="s">
        <v>1081</v>
      </c>
      <c r="E41" s="30" t="s">
        <v>243</v>
      </c>
      <c r="F41" s="19"/>
      <c r="G41" s="19" t="s">
        <v>1314</v>
      </c>
      <c r="H41" s="32"/>
      <c r="I41" s="35"/>
      <c r="J41" s="34" t="s">
        <v>431</v>
      </c>
      <c r="K41" s="34" t="s">
        <v>134</v>
      </c>
      <c r="L41" s="34" t="s">
        <v>439</v>
      </c>
      <c r="O41" s="2"/>
    </row>
    <row r="42" spans="1:15" s="5" customFormat="1">
      <c r="B42" s="49" t="s">
        <v>838</v>
      </c>
      <c r="C42" s="55" t="s">
        <v>136</v>
      </c>
      <c r="D42" s="12" t="s">
        <v>1083</v>
      </c>
      <c r="E42" s="30" t="s">
        <v>243</v>
      </c>
      <c r="F42" s="19"/>
      <c r="G42" s="19" t="s">
        <v>1315</v>
      </c>
      <c r="H42" s="32"/>
      <c r="I42" s="35"/>
      <c r="J42" s="34" t="s">
        <v>431</v>
      </c>
      <c r="K42" s="34" t="s">
        <v>134</v>
      </c>
      <c r="L42" s="34" t="s">
        <v>439</v>
      </c>
      <c r="O42" s="2"/>
    </row>
    <row r="43" spans="1:15" s="5" customFormat="1">
      <c r="B43" s="49" t="s">
        <v>841</v>
      </c>
      <c r="C43" s="55" t="s">
        <v>136</v>
      </c>
      <c r="D43" s="12" t="s">
        <v>1086</v>
      </c>
      <c r="E43" s="30" t="s">
        <v>243</v>
      </c>
      <c r="F43" s="19"/>
      <c r="G43" s="19" t="s">
        <v>1316</v>
      </c>
      <c r="H43" s="32"/>
      <c r="I43" s="35"/>
      <c r="J43" s="34" t="s">
        <v>431</v>
      </c>
      <c r="K43" s="34" t="s">
        <v>134</v>
      </c>
      <c r="L43" s="34" t="s">
        <v>439</v>
      </c>
      <c r="O43" s="2"/>
    </row>
    <row r="44" spans="1:15" s="5" customFormat="1">
      <c r="B44" s="49" t="s">
        <v>1488</v>
      </c>
      <c r="C44" s="55" t="s">
        <v>136</v>
      </c>
      <c r="D44" s="12" t="s">
        <v>1089</v>
      </c>
      <c r="E44" s="30" t="s">
        <v>243</v>
      </c>
      <c r="F44" s="19"/>
      <c r="G44" s="19" t="s">
        <v>1592</v>
      </c>
      <c r="H44" s="32"/>
      <c r="I44" s="35"/>
      <c r="J44" s="34" t="s">
        <v>431</v>
      </c>
      <c r="K44" s="34" t="s">
        <v>134</v>
      </c>
      <c r="L44" s="34" t="s">
        <v>439</v>
      </c>
      <c r="O44" s="2"/>
    </row>
    <row r="45" spans="1:15" s="1" customFormat="1">
      <c r="A45" s="25"/>
      <c r="B45" s="26" t="s">
        <v>1489</v>
      </c>
      <c r="C45" s="26" t="s">
        <v>136</v>
      </c>
      <c r="D45" s="12" t="s">
        <v>1092</v>
      </c>
      <c r="E45" s="30" t="s">
        <v>243</v>
      </c>
      <c r="F45" s="19"/>
      <c r="G45" s="19" t="s">
        <v>1593</v>
      </c>
      <c r="H45" s="32"/>
      <c r="I45" s="35"/>
      <c r="J45" s="34" t="s">
        <v>431</v>
      </c>
      <c r="K45" s="34" t="s">
        <v>134</v>
      </c>
      <c r="L45" s="34" t="s">
        <v>439</v>
      </c>
      <c r="O45" s="2"/>
    </row>
    <row r="46" spans="1:15" s="1" customFormat="1">
      <c r="A46" s="25"/>
      <c r="B46" s="26" t="s">
        <v>1490</v>
      </c>
      <c r="C46" s="26" t="s">
        <v>136</v>
      </c>
      <c r="D46" s="12" t="s">
        <v>1095</v>
      </c>
      <c r="E46" s="30" t="s">
        <v>243</v>
      </c>
      <c r="F46" s="19"/>
      <c r="G46" s="19" t="s">
        <v>1594</v>
      </c>
      <c r="H46" s="32"/>
      <c r="I46" s="35"/>
      <c r="J46" s="34" t="s">
        <v>431</v>
      </c>
      <c r="K46" s="34" t="s">
        <v>134</v>
      </c>
      <c r="L46" s="34" t="s">
        <v>439</v>
      </c>
      <c r="O46" s="2"/>
    </row>
    <row r="47" spans="1:15" s="1" customFormat="1">
      <c r="A47" s="25"/>
      <c r="B47" s="26" t="s">
        <v>1491</v>
      </c>
      <c r="C47" s="26" t="s">
        <v>136</v>
      </c>
      <c r="D47" s="12" t="s">
        <v>1098</v>
      </c>
      <c r="E47" s="30" t="s">
        <v>243</v>
      </c>
      <c r="F47" s="19"/>
      <c r="G47" s="19" t="s">
        <v>1595</v>
      </c>
      <c r="H47" s="32"/>
      <c r="I47" s="35"/>
      <c r="J47" s="34" t="s">
        <v>431</v>
      </c>
      <c r="K47" s="34" t="s">
        <v>134</v>
      </c>
      <c r="L47" s="34" t="s">
        <v>439</v>
      </c>
      <c r="O47" s="2"/>
    </row>
    <row r="48" spans="1:15" s="1" customFormat="1">
      <c r="A48" s="25"/>
      <c r="B48" s="26" t="s">
        <v>1492</v>
      </c>
      <c r="C48" s="26" t="s">
        <v>136</v>
      </c>
      <c r="D48" s="12" t="s">
        <v>1101</v>
      </c>
      <c r="E48" s="30" t="s">
        <v>243</v>
      </c>
      <c r="F48" s="19"/>
      <c r="G48" s="19" t="s">
        <v>1596</v>
      </c>
      <c r="H48" s="32"/>
      <c r="I48" s="35"/>
      <c r="J48" s="34" t="s">
        <v>431</v>
      </c>
      <c r="K48" s="34" t="s">
        <v>134</v>
      </c>
      <c r="L48" s="34" t="s">
        <v>439</v>
      </c>
      <c r="O48" s="2"/>
    </row>
    <row r="49" spans="1:15" s="1" customFormat="1">
      <c r="A49" s="25"/>
      <c r="B49" s="26" t="s">
        <v>844</v>
      </c>
      <c r="C49" s="26" t="s">
        <v>136</v>
      </c>
      <c r="D49" s="12" t="s">
        <v>1597</v>
      </c>
      <c r="E49" s="30" t="s">
        <v>243</v>
      </c>
      <c r="F49" s="19"/>
      <c r="G49" s="19" t="s">
        <v>1317</v>
      </c>
      <c r="H49" s="32"/>
      <c r="I49" s="35"/>
      <c r="J49" s="34" t="s">
        <v>431</v>
      </c>
      <c r="K49" s="34" t="s">
        <v>134</v>
      </c>
      <c r="L49" s="34" t="s">
        <v>439</v>
      </c>
      <c r="O49" s="2"/>
    </row>
    <row r="50" spans="1:15" s="1" customFormat="1">
      <c r="A50" s="25"/>
      <c r="B50" s="26" t="s">
        <v>846</v>
      </c>
      <c r="C50" s="26" t="s">
        <v>245</v>
      </c>
      <c r="D50" s="12" t="s">
        <v>1892</v>
      </c>
      <c r="E50" s="30" t="s">
        <v>243</v>
      </c>
      <c r="F50" s="19"/>
      <c r="G50" s="19" t="s">
        <v>1318</v>
      </c>
      <c r="H50" s="32"/>
      <c r="I50" s="35"/>
      <c r="J50" s="34" t="s">
        <v>431</v>
      </c>
      <c r="K50" s="34" t="s">
        <v>134</v>
      </c>
      <c r="L50" s="34" t="s">
        <v>568</v>
      </c>
      <c r="O50" s="2"/>
    </row>
    <row r="51" spans="1:15" s="1" customFormat="1">
      <c r="A51" s="25"/>
      <c r="B51" s="26" t="s">
        <v>948</v>
      </c>
      <c r="C51" s="26" t="s">
        <v>136</v>
      </c>
      <c r="D51" s="12" t="s">
        <v>949</v>
      </c>
      <c r="E51" s="30" t="s">
        <v>243</v>
      </c>
      <c r="F51" s="19"/>
      <c r="G51" s="19" t="s">
        <v>1344</v>
      </c>
      <c r="H51" s="32"/>
      <c r="I51" s="35"/>
      <c r="J51" s="34" t="s">
        <v>431</v>
      </c>
      <c r="K51" s="34" t="s">
        <v>134</v>
      </c>
      <c r="L51" s="34" t="s">
        <v>439</v>
      </c>
      <c r="O51" s="2"/>
    </row>
    <row r="52" spans="1:15" s="1" customFormat="1">
      <c r="A52" s="25"/>
      <c r="B52" s="26" t="s">
        <v>1103</v>
      </c>
      <c r="C52" s="26" t="s">
        <v>245</v>
      </c>
      <c r="D52" s="12" t="s">
        <v>1104</v>
      </c>
      <c r="E52" s="30" t="s">
        <v>243</v>
      </c>
      <c r="F52" s="19"/>
      <c r="G52" s="19" t="s">
        <v>1383</v>
      </c>
      <c r="H52" s="32"/>
      <c r="I52" s="35"/>
      <c r="J52" s="34" t="s">
        <v>431</v>
      </c>
      <c r="K52" s="34" t="s">
        <v>134</v>
      </c>
      <c r="L52" s="34" t="s">
        <v>610</v>
      </c>
      <c r="O52" s="2"/>
    </row>
    <row r="53" spans="1:15" s="1" customFormat="1">
      <c r="A53" s="25"/>
      <c r="B53" s="26" t="s">
        <v>1106</v>
      </c>
      <c r="C53" s="26" t="s">
        <v>245</v>
      </c>
      <c r="D53" s="12" t="s">
        <v>1893</v>
      </c>
      <c r="E53" s="30" t="s">
        <v>243</v>
      </c>
      <c r="F53" s="19"/>
      <c r="G53" s="19" t="s">
        <v>1384</v>
      </c>
      <c r="H53" s="30"/>
      <c r="I53" s="33"/>
      <c r="J53" s="34" t="s">
        <v>431</v>
      </c>
      <c r="K53" s="34" t="s">
        <v>134</v>
      </c>
      <c r="L53" s="34" t="s">
        <v>579</v>
      </c>
      <c r="O53" s="2"/>
    </row>
    <row r="54" spans="1:15" s="1" customFormat="1">
      <c r="A54" s="25"/>
      <c r="B54" s="26" t="s">
        <v>951</v>
      </c>
      <c r="C54" s="26" t="s">
        <v>136</v>
      </c>
      <c r="D54" s="12" t="s">
        <v>1495</v>
      </c>
      <c r="E54" s="30" t="s">
        <v>243</v>
      </c>
      <c r="F54" s="19"/>
      <c r="G54" s="19" t="s">
        <v>1345</v>
      </c>
      <c r="H54" s="32"/>
      <c r="I54" s="35"/>
      <c r="J54" s="34" t="s">
        <v>431</v>
      </c>
      <c r="K54" s="34" t="s">
        <v>134</v>
      </c>
      <c r="L54" s="34" t="s">
        <v>439</v>
      </c>
      <c r="O54" s="2"/>
    </row>
    <row r="55" spans="1:15" s="1" customFormat="1">
      <c r="A55" s="25"/>
      <c r="B55" s="26" t="s">
        <v>954</v>
      </c>
      <c r="C55" s="26" t="s">
        <v>136</v>
      </c>
      <c r="D55" s="12" t="s">
        <v>1496</v>
      </c>
      <c r="E55" s="30" t="s">
        <v>243</v>
      </c>
      <c r="F55" s="19"/>
      <c r="G55" s="19" t="s">
        <v>1346</v>
      </c>
      <c r="H55" s="32"/>
      <c r="I55" s="35"/>
      <c r="J55" s="34" t="s">
        <v>431</v>
      </c>
      <c r="K55" s="34" t="s">
        <v>134</v>
      </c>
      <c r="L55" s="34" t="s">
        <v>439</v>
      </c>
      <c r="O55" s="2"/>
    </row>
    <row r="56" spans="1:15" s="1" customFormat="1">
      <c r="A56" s="25"/>
      <c r="B56" s="26" t="s">
        <v>956</v>
      </c>
      <c r="C56" s="26" t="s">
        <v>136</v>
      </c>
      <c r="D56" s="12" t="s">
        <v>1497</v>
      </c>
      <c r="E56" s="30" t="s">
        <v>243</v>
      </c>
      <c r="F56" s="19"/>
      <c r="G56" s="19" t="s">
        <v>1347</v>
      </c>
      <c r="H56" s="32"/>
      <c r="I56" s="35"/>
      <c r="J56" s="34" t="s">
        <v>431</v>
      </c>
      <c r="K56" s="34" t="s">
        <v>134</v>
      </c>
      <c r="L56" s="34" t="s">
        <v>439</v>
      </c>
      <c r="O56" s="2"/>
    </row>
    <row r="57" spans="1:15" s="5" customFormat="1">
      <c r="B57" s="49" t="s">
        <v>958</v>
      </c>
      <c r="C57" s="55" t="s">
        <v>136</v>
      </c>
      <c r="D57" s="12" t="s">
        <v>1498</v>
      </c>
      <c r="E57" s="30" t="s">
        <v>243</v>
      </c>
      <c r="F57" s="19"/>
      <c r="G57" s="19" t="s">
        <v>1348</v>
      </c>
      <c r="H57" s="32"/>
      <c r="I57" s="35"/>
      <c r="J57" s="34" t="s">
        <v>431</v>
      </c>
      <c r="K57" s="34" t="s">
        <v>134</v>
      </c>
      <c r="L57" s="34" t="s">
        <v>439</v>
      </c>
      <c r="O57" s="2"/>
    </row>
    <row r="58" spans="1:15">
      <c r="A58" s="3"/>
      <c r="B58" s="49" t="s">
        <v>960</v>
      </c>
      <c r="C58" s="55" t="s">
        <v>136</v>
      </c>
      <c r="D58" s="12" t="s">
        <v>1499</v>
      </c>
      <c r="E58" s="30" t="s">
        <v>243</v>
      </c>
      <c r="F58" s="19"/>
      <c r="G58" s="19" t="s">
        <v>1349</v>
      </c>
      <c r="H58" s="32"/>
      <c r="I58" s="35"/>
      <c r="J58" s="34" t="s">
        <v>431</v>
      </c>
      <c r="K58" s="34" t="s">
        <v>134</v>
      </c>
      <c r="L58" s="34" t="s">
        <v>439</v>
      </c>
      <c r="O58" s="2"/>
    </row>
    <row r="59" spans="1:15">
      <c r="A59" s="3"/>
      <c r="B59" s="49" t="s">
        <v>962</v>
      </c>
      <c r="C59" s="55" t="s">
        <v>136</v>
      </c>
      <c r="D59" s="12" t="s">
        <v>1500</v>
      </c>
      <c r="E59" s="30" t="s">
        <v>243</v>
      </c>
      <c r="F59" s="19"/>
      <c r="G59" s="19" t="s">
        <v>1350</v>
      </c>
      <c r="H59" s="32"/>
      <c r="I59" s="35"/>
      <c r="J59" s="34" t="s">
        <v>431</v>
      </c>
      <c r="K59" s="34" t="s">
        <v>134</v>
      </c>
      <c r="L59" s="34" t="s">
        <v>439</v>
      </c>
      <c r="O59" s="2"/>
    </row>
    <row r="60" spans="1:15" s="2" customFormat="1">
      <c r="A60" s="29"/>
      <c r="B60" s="49" t="s">
        <v>964</v>
      </c>
      <c r="C60" s="55" t="s">
        <v>136</v>
      </c>
      <c r="D60" s="12" t="s">
        <v>1501</v>
      </c>
      <c r="E60" s="30" t="s">
        <v>243</v>
      </c>
      <c r="F60" s="19"/>
      <c r="G60" s="19" t="s">
        <v>1351</v>
      </c>
      <c r="H60" s="32"/>
      <c r="I60" s="35"/>
      <c r="J60" s="34" t="s">
        <v>431</v>
      </c>
      <c r="K60" s="34" t="s">
        <v>134</v>
      </c>
      <c r="L60" s="34" t="s">
        <v>439</v>
      </c>
    </row>
    <row r="61" spans="1:15">
      <c r="A61" s="3"/>
      <c r="B61" s="49" t="s">
        <v>1502</v>
      </c>
      <c r="C61" s="55" t="s">
        <v>136</v>
      </c>
      <c r="D61" s="12" t="s">
        <v>1503</v>
      </c>
      <c r="E61" s="30" t="s">
        <v>243</v>
      </c>
      <c r="F61" s="19"/>
      <c r="G61" s="19" t="s">
        <v>1599</v>
      </c>
      <c r="H61" s="32"/>
      <c r="I61" s="35"/>
      <c r="J61" s="34" t="s">
        <v>431</v>
      </c>
      <c r="K61" s="34" t="s">
        <v>134</v>
      </c>
      <c r="L61" s="34" t="s">
        <v>439</v>
      </c>
      <c r="O61" s="2"/>
    </row>
    <row r="62" spans="1:15" s="2" customFormat="1">
      <c r="A62" s="29"/>
      <c r="B62" s="49" t="s">
        <v>1504</v>
      </c>
      <c r="C62" s="55" t="s">
        <v>136</v>
      </c>
      <c r="D62" s="12" t="s">
        <v>1505</v>
      </c>
      <c r="E62" s="30" t="s">
        <v>243</v>
      </c>
      <c r="F62" s="19"/>
      <c r="G62" s="19" t="s">
        <v>1600</v>
      </c>
      <c r="H62" s="32"/>
      <c r="I62" s="35"/>
      <c r="J62" s="34" t="s">
        <v>431</v>
      </c>
      <c r="K62" s="34" t="s">
        <v>134</v>
      </c>
      <c r="L62" s="34" t="s">
        <v>439</v>
      </c>
    </row>
    <row r="63" spans="1:15" s="2" customFormat="1">
      <c r="A63" s="29"/>
      <c r="B63" s="49" t="s">
        <v>1506</v>
      </c>
      <c r="C63" s="55" t="s">
        <v>136</v>
      </c>
      <c r="D63" s="12" t="s">
        <v>1507</v>
      </c>
      <c r="E63" s="30" t="s">
        <v>243</v>
      </c>
      <c r="F63" s="19"/>
      <c r="G63" s="19" t="s">
        <v>1601</v>
      </c>
      <c r="H63" s="32"/>
      <c r="I63" s="35"/>
      <c r="J63" s="34" t="s">
        <v>431</v>
      </c>
      <c r="K63" s="34" t="s">
        <v>134</v>
      </c>
      <c r="L63" s="34" t="s">
        <v>439</v>
      </c>
    </row>
    <row r="64" spans="1:15" s="2" customFormat="1">
      <c r="A64" s="29"/>
      <c r="B64" s="49" t="s">
        <v>1508</v>
      </c>
      <c r="C64" s="55" t="s">
        <v>136</v>
      </c>
      <c r="D64" s="12" t="s">
        <v>1509</v>
      </c>
      <c r="E64" s="30" t="s">
        <v>243</v>
      </c>
      <c r="F64" s="19"/>
      <c r="G64" s="19" t="s">
        <v>1602</v>
      </c>
      <c r="H64" s="32"/>
      <c r="I64" s="35"/>
      <c r="J64" s="34" t="s">
        <v>431</v>
      </c>
      <c r="K64" s="34" t="s">
        <v>134</v>
      </c>
      <c r="L64" s="34" t="s">
        <v>439</v>
      </c>
    </row>
    <row r="65" spans="1:15" s="2" customFormat="1">
      <c r="A65" s="29"/>
      <c r="B65" s="49" t="s">
        <v>1510</v>
      </c>
      <c r="C65" s="55" t="s">
        <v>136</v>
      </c>
      <c r="D65" s="12" t="s">
        <v>1511</v>
      </c>
      <c r="E65" s="30" t="s">
        <v>243</v>
      </c>
      <c r="F65" s="19"/>
      <c r="G65" s="19" t="s">
        <v>1603</v>
      </c>
      <c r="H65" s="32"/>
      <c r="I65" s="35"/>
      <c r="J65" s="34" t="s">
        <v>431</v>
      </c>
      <c r="K65" s="34" t="s">
        <v>134</v>
      </c>
      <c r="L65" s="34" t="s">
        <v>439</v>
      </c>
    </row>
    <row r="66" spans="1:15" s="2" customFormat="1">
      <c r="A66" s="29"/>
      <c r="B66" s="49" t="s">
        <v>1139</v>
      </c>
      <c r="C66" s="55" t="s">
        <v>136</v>
      </c>
      <c r="D66" s="12" t="s">
        <v>1604</v>
      </c>
      <c r="E66" s="30" t="s">
        <v>243</v>
      </c>
      <c r="F66" s="19"/>
      <c r="G66" s="19" t="s">
        <v>1397</v>
      </c>
      <c r="H66" s="32"/>
      <c r="I66" s="35"/>
      <c r="J66" s="34" t="s">
        <v>431</v>
      </c>
      <c r="K66" s="34" t="s">
        <v>134</v>
      </c>
      <c r="L66" s="34" t="s">
        <v>439</v>
      </c>
    </row>
    <row r="67" spans="1:15" s="2" customFormat="1">
      <c r="A67" s="29"/>
      <c r="B67" s="49" t="s">
        <v>1142</v>
      </c>
      <c r="C67" s="55" t="s">
        <v>245</v>
      </c>
      <c r="D67" s="12" t="s">
        <v>1894</v>
      </c>
      <c r="E67" s="30" t="s">
        <v>243</v>
      </c>
      <c r="F67" s="19"/>
      <c r="G67" s="19" t="s">
        <v>1398</v>
      </c>
      <c r="H67" s="32"/>
      <c r="I67" s="35"/>
      <c r="J67" s="34" t="s">
        <v>431</v>
      </c>
      <c r="K67" s="34" t="s">
        <v>134</v>
      </c>
      <c r="L67" s="34" t="s">
        <v>568</v>
      </c>
    </row>
    <row r="68" spans="1:15" s="1" customFormat="1">
      <c r="A68" s="25"/>
      <c r="B68" s="49" t="s">
        <v>1145</v>
      </c>
      <c r="C68" s="26" t="s">
        <v>136</v>
      </c>
      <c r="D68" s="12" t="s">
        <v>1146</v>
      </c>
      <c r="E68" s="30" t="s">
        <v>243</v>
      </c>
      <c r="F68" s="19"/>
      <c r="G68" s="19" t="s">
        <v>1399</v>
      </c>
      <c r="H68" s="32"/>
      <c r="I68" s="35"/>
      <c r="J68" s="34" t="s">
        <v>431</v>
      </c>
      <c r="K68" s="34" t="s">
        <v>134</v>
      </c>
      <c r="L68" s="34" t="s">
        <v>439</v>
      </c>
      <c r="O68" s="2"/>
    </row>
    <row r="69" spans="1:15" s="1" customFormat="1">
      <c r="A69" s="25"/>
      <c r="B69" s="26" t="s">
        <v>1147</v>
      </c>
      <c r="C69" s="26" t="s">
        <v>245</v>
      </c>
      <c r="D69" s="12" t="s">
        <v>1148</v>
      </c>
      <c r="E69" s="30" t="s">
        <v>243</v>
      </c>
      <c r="F69" s="19"/>
      <c r="G69" s="19" t="s">
        <v>1400</v>
      </c>
      <c r="H69" s="32"/>
      <c r="I69" s="35"/>
      <c r="J69" s="34" t="s">
        <v>431</v>
      </c>
      <c r="K69" s="34" t="s">
        <v>134</v>
      </c>
      <c r="L69" s="34" t="s">
        <v>610</v>
      </c>
      <c r="O69" s="2"/>
    </row>
    <row r="70" spans="1:15" s="1" customFormat="1">
      <c r="A70" s="25"/>
      <c r="B70" s="26" t="s">
        <v>1149</v>
      </c>
      <c r="C70" s="26" t="s">
        <v>245</v>
      </c>
      <c r="D70" s="12" t="s">
        <v>1895</v>
      </c>
      <c r="E70" s="30" t="s">
        <v>243</v>
      </c>
      <c r="F70" s="19"/>
      <c r="G70" s="19" t="s">
        <v>1401</v>
      </c>
      <c r="H70" s="32"/>
      <c r="I70" s="35"/>
      <c r="J70" s="34" t="s">
        <v>431</v>
      </c>
      <c r="K70" s="34" t="s">
        <v>134</v>
      </c>
      <c r="L70" s="34" t="s">
        <v>615</v>
      </c>
      <c r="O70" s="2"/>
    </row>
    <row r="71" spans="1:15" s="1" customFormat="1">
      <c r="A71" s="25"/>
      <c r="B71" s="26" t="s">
        <v>1513</v>
      </c>
      <c r="C71" s="26" t="s">
        <v>136</v>
      </c>
      <c r="D71" s="12" t="s">
        <v>1514</v>
      </c>
      <c r="E71" s="30" t="s">
        <v>243</v>
      </c>
      <c r="F71" s="19"/>
      <c r="G71" s="19" t="s">
        <v>1605</v>
      </c>
      <c r="H71" s="32"/>
      <c r="I71" s="35"/>
      <c r="J71" s="34" t="s">
        <v>431</v>
      </c>
      <c r="K71" s="34" t="s">
        <v>134</v>
      </c>
      <c r="L71" s="34" t="s">
        <v>439</v>
      </c>
      <c r="O71" s="2"/>
    </row>
    <row r="72" spans="1:15" s="1" customFormat="1">
      <c r="A72" s="25"/>
      <c r="B72" s="26" t="s">
        <v>1515</v>
      </c>
      <c r="C72" s="26" t="s">
        <v>136</v>
      </c>
      <c r="D72" s="12" t="s">
        <v>1516</v>
      </c>
      <c r="E72" s="30" t="s">
        <v>243</v>
      </c>
      <c r="F72" s="19"/>
      <c r="G72" s="19" t="s">
        <v>1606</v>
      </c>
      <c r="H72" s="32"/>
      <c r="I72" s="35"/>
      <c r="J72" s="34" t="s">
        <v>431</v>
      </c>
      <c r="K72" s="34" t="s">
        <v>134</v>
      </c>
      <c r="L72" s="34" t="s">
        <v>439</v>
      </c>
      <c r="O72" s="2"/>
    </row>
    <row r="73" spans="1:15" s="1" customFormat="1">
      <c r="A73" s="25"/>
      <c r="B73" s="26" t="s">
        <v>1517</v>
      </c>
      <c r="C73" s="26" t="s">
        <v>136</v>
      </c>
      <c r="D73" s="12" t="s">
        <v>1518</v>
      </c>
      <c r="E73" s="30" t="s">
        <v>243</v>
      </c>
      <c r="F73" s="19"/>
      <c r="G73" s="19" t="s">
        <v>1607</v>
      </c>
      <c r="H73" s="32"/>
      <c r="I73" s="35"/>
      <c r="J73" s="34" t="s">
        <v>431</v>
      </c>
      <c r="K73" s="34" t="s">
        <v>134</v>
      </c>
      <c r="L73" s="34" t="s">
        <v>439</v>
      </c>
      <c r="O73" s="2"/>
    </row>
    <row r="74" spans="1:15" s="1" customFormat="1">
      <c r="A74" s="25"/>
      <c r="B74" s="26" t="s">
        <v>1519</v>
      </c>
      <c r="C74" s="26" t="s">
        <v>136</v>
      </c>
      <c r="D74" s="12" t="s">
        <v>1520</v>
      </c>
      <c r="E74" s="30" t="s">
        <v>243</v>
      </c>
      <c r="F74" s="19"/>
      <c r="G74" s="19" t="s">
        <v>1608</v>
      </c>
      <c r="H74" s="32"/>
      <c r="I74" s="35"/>
      <c r="J74" s="34" t="s">
        <v>431</v>
      </c>
      <c r="K74" s="34" t="s">
        <v>134</v>
      </c>
      <c r="L74" s="34" t="s">
        <v>439</v>
      </c>
      <c r="O74" s="2"/>
    </row>
    <row r="75" spans="1:15" s="1" customFormat="1">
      <c r="A75" s="25"/>
      <c r="B75" s="26" t="s">
        <v>1521</v>
      </c>
      <c r="C75" s="26" t="s">
        <v>136</v>
      </c>
      <c r="D75" s="12" t="s">
        <v>1522</v>
      </c>
      <c r="E75" s="30" t="s">
        <v>243</v>
      </c>
      <c r="F75" s="19"/>
      <c r="G75" s="19" t="s">
        <v>1609</v>
      </c>
      <c r="H75" s="32"/>
      <c r="I75" s="35"/>
      <c r="J75" s="34" t="s">
        <v>431</v>
      </c>
      <c r="K75" s="34" t="s">
        <v>134</v>
      </c>
      <c r="L75" s="34" t="s">
        <v>439</v>
      </c>
      <c r="O75" s="2"/>
    </row>
    <row r="76" spans="1:15" s="1" customFormat="1">
      <c r="A76" s="25"/>
      <c r="B76" s="26" t="s">
        <v>1523</v>
      </c>
      <c r="C76" s="26" t="s">
        <v>136</v>
      </c>
      <c r="D76" s="12" t="s">
        <v>1524</v>
      </c>
      <c r="E76" s="30" t="s">
        <v>243</v>
      </c>
      <c r="F76" s="19"/>
      <c r="G76" s="19" t="s">
        <v>1610</v>
      </c>
      <c r="H76" s="32"/>
      <c r="I76" s="35"/>
      <c r="J76" s="34" t="s">
        <v>431</v>
      </c>
      <c r="K76" s="34" t="s">
        <v>134</v>
      </c>
      <c r="L76" s="34" t="s">
        <v>439</v>
      </c>
      <c r="O76" s="2"/>
    </row>
    <row r="77" spans="1:15" s="1" customFormat="1">
      <c r="A77" s="25"/>
      <c r="B77" s="26" t="s">
        <v>1525</v>
      </c>
      <c r="C77" s="26" t="s">
        <v>136</v>
      </c>
      <c r="D77" s="12" t="s">
        <v>1526</v>
      </c>
      <c r="E77" s="30" t="s">
        <v>243</v>
      </c>
      <c r="F77" s="19"/>
      <c r="G77" s="19" t="s">
        <v>1611</v>
      </c>
      <c r="H77" s="32"/>
      <c r="I77" s="35"/>
      <c r="J77" s="34" t="s">
        <v>431</v>
      </c>
      <c r="K77" s="34" t="s">
        <v>134</v>
      </c>
      <c r="L77" s="34" t="s">
        <v>439</v>
      </c>
      <c r="O77" s="2"/>
    </row>
    <row r="78" spans="1:15" s="1" customFormat="1">
      <c r="A78" s="25"/>
      <c r="B78" s="26" t="s">
        <v>1527</v>
      </c>
      <c r="C78" s="26" t="s">
        <v>136</v>
      </c>
      <c r="D78" s="12" t="s">
        <v>1528</v>
      </c>
      <c r="E78" s="30" t="s">
        <v>243</v>
      </c>
      <c r="F78" s="19"/>
      <c r="G78" s="19" t="s">
        <v>1612</v>
      </c>
      <c r="H78" s="32"/>
      <c r="I78" s="35"/>
      <c r="J78" s="34" t="s">
        <v>431</v>
      </c>
      <c r="K78" s="34" t="s">
        <v>134</v>
      </c>
      <c r="L78" s="34" t="s">
        <v>439</v>
      </c>
      <c r="O78" s="2"/>
    </row>
    <row r="79" spans="1:15" s="1" customFormat="1">
      <c r="A79" s="25"/>
      <c r="B79" s="26" t="s">
        <v>1529</v>
      </c>
      <c r="C79" s="26" t="s">
        <v>136</v>
      </c>
      <c r="D79" s="12" t="s">
        <v>1530</v>
      </c>
      <c r="E79" s="30" t="s">
        <v>243</v>
      </c>
      <c r="F79" s="19"/>
      <c r="G79" s="19" t="s">
        <v>1613</v>
      </c>
      <c r="H79" s="32"/>
      <c r="I79" s="35"/>
      <c r="J79" s="34" t="s">
        <v>431</v>
      </c>
      <c r="K79" s="34" t="s">
        <v>134</v>
      </c>
      <c r="L79" s="34" t="s">
        <v>439</v>
      </c>
      <c r="O79" s="2"/>
    </row>
    <row r="80" spans="1:15" s="1" customFormat="1">
      <c r="A80" s="25"/>
      <c r="B80" s="26" t="s">
        <v>1531</v>
      </c>
      <c r="C80" s="26" t="s">
        <v>136</v>
      </c>
      <c r="D80" s="12" t="s">
        <v>1532</v>
      </c>
      <c r="E80" s="30" t="s">
        <v>243</v>
      </c>
      <c r="F80" s="19"/>
      <c r="G80" s="19" t="s">
        <v>1614</v>
      </c>
      <c r="H80" s="32"/>
      <c r="I80" s="35"/>
      <c r="J80" s="34" t="s">
        <v>431</v>
      </c>
      <c r="K80" s="34" t="s">
        <v>134</v>
      </c>
      <c r="L80" s="34" t="s">
        <v>439</v>
      </c>
      <c r="O80" s="2"/>
    </row>
    <row r="81" spans="1:15" s="1" customFormat="1">
      <c r="A81" s="25"/>
      <c r="B81" s="26" t="s">
        <v>1533</v>
      </c>
      <c r="C81" s="26" t="s">
        <v>136</v>
      </c>
      <c r="D81" s="12" t="s">
        <v>1534</v>
      </c>
      <c r="E81" s="30" t="s">
        <v>243</v>
      </c>
      <c r="F81" s="19"/>
      <c r="G81" s="19" t="s">
        <v>1615</v>
      </c>
      <c r="H81" s="32"/>
      <c r="I81" s="35"/>
      <c r="J81" s="34" t="s">
        <v>431</v>
      </c>
      <c r="K81" s="34" t="s">
        <v>134</v>
      </c>
      <c r="L81" s="34" t="s">
        <v>439</v>
      </c>
      <c r="O81" s="2"/>
    </row>
    <row r="82" spans="1:15" s="1" customFormat="1">
      <c r="A82" s="25"/>
      <c r="B82" s="26" t="s">
        <v>1535</v>
      </c>
      <c r="C82" s="26" t="s">
        <v>136</v>
      </c>
      <c r="D82" s="12" t="s">
        <v>1536</v>
      </c>
      <c r="E82" s="30" t="s">
        <v>243</v>
      </c>
      <c r="F82" s="19"/>
      <c r="G82" s="19" t="s">
        <v>1616</v>
      </c>
      <c r="H82" s="32"/>
      <c r="I82" s="35"/>
      <c r="J82" s="34" t="s">
        <v>431</v>
      </c>
      <c r="K82" s="34" t="s">
        <v>134</v>
      </c>
      <c r="L82" s="34" t="s">
        <v>439</v>
      </c>
      <c r="O82" s="2"/>
    </row>
    <row r="83" spans="1:15" s="1" customFormat="1">
      <c r="A83" s="25"/>
      <c r="B83" s="26" t="s">
        <v>1187</v>
      </c>
      <c r="C83" s="26" t="s">
        <v>136</v>
      </c>
      <c r="D83" s="12" t="s">
        <v>1617</v>
      </c>
      <c r="E83" s="30" t="s">
        <v>243</v>
      </c>
      <c r="F83" s="19"/>
      <c r="G83" s="19" t="s">
        <v>1414</v>
      </c>
      <c r="H83" s="32"/>
      <c r="I83" s="35"/>
      <c r="J83" s="34" t="s">
        <v>431</v>
      </c>
      <c r="K83" s="34" t="s">
        <v>134</v>
      </c>
      <c r="L83" s="34" t="s">
        <v>439</v>
      </c>
      <c r="O83" s="2"/>
    </row>
    <row r="84" spans="1:15" s="1" customFormat="1">
      <c r="A84" s="25"/>
      <c r="B84" s="26" t="s">
        <v>1189</v>
      </c>
      <c r="C84" s="26" t="s">
        <v>245</v>
      </c>
      <c r="D84" s="12" t="s">
        <v>1896</v>
      </c>
      <c r="E84" s="30" t="s">
        <v>243</v>
      </c>
      <c r="F84" s="19"/>
      <c r="G84" s="19" t="s">
        <v>1415</v>
      </c>
      <c r="H84" s="32"/>
      <c r="I84" s="35"/>
      <c r="J84" s="34" t="s">
        <v>431</v>
      </c>
      <c r="K84" s="34" t="s">
        <v>134</v>
      </c>
      <c r="L84" s="34" t="s">
        <v>568</v>
      </c>
      <c r="O84" s="2"/>
    </row>
    <row r="85" spans="1:15" s="1" customFormat="1">
      <c r="A85" s="25"/>
      <c r="B85" s="26" t="s">
        <v>1221</v>
      </c>
      <c r="C85" s="26" t="s">
        <v>136</v>
      </c>
      <c r="D85" s="12" t="s">
        <v>1222</v>
      </c>
      <c r="E85" s="30" t="s">
        <v>243</v>
      </c>
      <c r="F85" s="19"/>
      <c r="G85" s="19" t="s">
        <v>1430</v>
      </c>
      <c r="H85" s="32"/>
      <c r="I85" s="35"/>
      <c r="J85" s="34" t="s">
        <v>431</v>
      </c>
      <c r="K85" s="34" t="s">
        <v>134</v>
      </c>
      <c r="L85" s="34" t="s">
        <v>533</v>
      </c>
      <c r="O85" s="2"/>
    </row>
    <row r="86" spans="1:15" s="1" customFormat="1">
      <c r="A86" s="25"/>
      <c r="B86" s="26" t="s">
        <v>904</v>
      </c>
      <c r="C86" s="26" t="s">
        <v>136</v>
      </c>
      <c r="D86" s="12" t="s">
        <v>1537</v>
      </c>
      <c r="E86" s="30" t="s">
        <v>243</v>
      </c>
      <c r="F86" s="19"/>
      <c r="G86" s="19" t="s">
        <v>1332</v>
      </c>
      <c r="H86" s="32"/>
      <c r="I86" s="35"/>
      <c r="J86" s="34" t="s">
        <v>431</v>
      </c>
      <c r="K86" s="34" t="s">
        <v>134</v>
      </c>
      <c r="L86" s="34" t="s">
        <v>439</v>
      </c>
      <c r="O86" s="2"/>
    </row>
    <row r="87" spans="1:15" s="1" customFormat="1" ht="26.4">
      <c r="A87" s="25"/>
      <c r="B87" s="26" t="s">
        <v>1223</v>
      </c>
      <c r="C87" s="26" t="s">
        <v>245</v>
      </c>
      <c r="D87" s="12" t="s">
        <v>1897</v>
      </c>
      <c r="E87" s="30" t="s">
        <v>243</v>
      </c>
      <c r="F87" s="19"/>
      <c r="G87" s="19" t="s">
        <v>1431</v>
      </c>
      <c r="H87" s="32"/>
      <c r="I87" s="35"/>
      <c r="J87" s="34" t="s">
        <v>431</v>
      </c>
      <c r="K87" s="34" t="s">
        <v>134</v>
      </c>
      <c r="L87" s="34" t="s">
        <v>432</v>
      </c>
      <c r="O87" s="2"/>
    </row>
    <row r="88" spans="1:15" s="1" customFormat="1">
      <c r="A88" s="25"/>
      <c r="B88" s="26" t="s">
        <v>910</v>
      </c>
      <c r="C88" s="26" t="s">
        <v>900</v>
      </c>
      <c r="D88" s="12" t="s">
        <v>1898</v>
      </c>
      <c r="E88" s="30" t="s">
        <v>243</v>
      </c>
      <c r="F88" s="19"/>
      <c r="G88" s="31" t="s">
        <v>1334</v>
      </c>
      <c r="H88" s="32"/>
      <c r="I88" s="35"/>
      <c r="J88" s="34" t="s">
        <v>431</v>
      </c>
      <c r="K88" s="34" t="s">
        <v>134</v>
      </c>
      <c r="L88" s="34" t="s">
        <v>568</v>
      </c>
      <c r="O88" s="2"/>
    </row>
    <row r="89" spans="1:15" s="1" customFormat="1">
      <c r="A89" s="25"/>
      <c r="B89" s="26" t="s">
        <v>1225</v>
      </c>
      <c r="C89" s="26" t="s">
        <v>136</v>
      </c>
      <c r="D89" s="12" t="s">
        <v>1226</v>
      </c>
      <c r="E89" s="30" t="s">
        <v>243</v>
      </c>
      <c r="F89" s="19"/>
      <c r="G89" s="19" t="s">
        <v>1432</v>
      </c>
      <c r="H89" s="32"/>
      <c r="I89" s="35"/>
      <c r="J89" s="34" t="s">
        <v>431</v>
      </c>
      <c r="K89" s="34" t="s">
        <v>134</v>
      </c>
      <c r="L89" s="34" t="s">
        <v>533</v>
      </c>
      <c r="O89" s="2"/>
    </row>
    <row r="90" spans="1:15" s="1" customFormat="1">
      <c r="A90" s="25"/>
      <c r="B90" s="26" t="s">
        <v>915</v>
      </c>
      <c r="C90" s="26" t="s">
        <v>136</v>
      </c>
      <c r="D90" s="12" t="s">
        <v>1539</v>
      </c>
      <c r="E90" s="30" t="s">
        <v>243</v>
      </c>
      <c r="F90" s="19"/>
      <c r="G90" s="19" t="s">
        <v>1335</v>
      </c>
      <c r="H90" s="32"/>
      <c r="I90" s="35"/>
      <c r="J90" s="34" t="s">
        <v>431</v>
      </c>
      <c r="K90" s="34" t="s">
        <v>134</v>
      </c>
      <c r="L90" s="34" t="s">
        <v>439</v>
      </c>
      <c r="O90" s="2"/>
    </row>
    <row r="91" spans="1:15" s="1" customFormat="1">
      <c r="A91" s="25"/>
      <c r="B91" s="26" t="s">
        <v>1227</v>
      </c>
      <c r="C91" s="26" t="s">
        <v>245</v>
      </c>
      <c r="D91" s="12" t="s">
        <v>1899</v>
      </c>
      <c r="E91" s="30" t="s">
        <v>243</v>
      </c>
      <c r="F91" s="19"/>
      <c r="G91" s="19" t="s">
        <v>1433</v>
      </c>
      <c r="H91" s="30"/>
      <c r="I91" s="33"/>
      <c r="J91" s="34" t="s">
        <v>431</v>
      </c>
      <c r="K91" s="34" t="s">
        <v>134</v>
      </c>
      <c r="L91" s="34" t="s">
        <v>432</v>
      </c>
      <c r="O91" s="2"/>
    </row>
    <row r="92" spans="1:15" s="1" customFormat="1">
      <c r="A92" s="25"/>
      <c r="B92" s="26" t="s">
        <v>921</v>
      </c>
      <c r="C92" s="26" t="s">
        <v>900</v>
      </c>
      <c r="D92" s="12" t="s">
        <v>1900</v>
      </c>
      <c r="E92" s="30" t="s">
        <v>243</v>
      </c>
      <c r="F92" s="19"/>
      <c r="G92" s="19" t="s">
        <v>1337</v>
      </c>
      <c r="H92" s="30"/>
      <c r="I92" s="33"/>
      <c r="J92" s="34" t="s">
        <v>431</v>
      </c>
      <c r="K92" s="34" t="s">
        <v>134</v>
      </c>
      <c r="L92" s="34" t="s">
        <v>568</v>
      </c>
      <c r="O92" s="2"/>
    </row>
    <row r="93" spans="1:15" s="1" customFormat="1">
      <c r="A93" s="25"/>
      <c r="B93" s="26" t="s">
        <v>1229</v>
      </c>
      <c r="C93" s="26" t="s">
        <v>136</v>
      </c>
      <c r="D93" s="12" t="s">
        <v>1230</v>
      </c>
      <c r="E93" s="30" t="s">
        <v>243</v>
      </c>
      <c r="F93" s="19"/>
      <c r="G93" s="19" t="s">
        <v>1434</v>
      </c>
      <c r="H93" s="32"/>
      <c r="I93" s="35"/>
      <c r="J93" s="34" t="s">
        <v>431</v>
      </c>
      <c r="K93" s="34" t="s">
        <v>134</v>
      </c>
      <c r="L93" s="34" t="s">
        <v>533</v>
      </c>
      <c r="O93" s="2"/>
    </row>
    <row r="94" spans="1:15" s="1" customFormat="1">
      <c r="A94" s="25"/>
      <c r="B94" s="26" t="s">
        <v>927</v>
      </c>
      <c r="C94" s="26" t="s">
        <v>136</v>
      </c>
      <c r="D94" s="12" t="s">
        <v>1541</v>
      </c>
      <c r="E94" s="30" t="s">
        <v>243</v>
      </c>
      <c r="F94" s="19"/>
      <c r="G94" s="19" t="s">
        <v>1338</v>
      </c>
      <c r="H94" s="32"/>
      <c r="I94" s="35"/>
      <c r="J94" s="34" t="s">
        <v>431</v>
      </c>
      <c r="K94" s="34" t="s">
        <v>134</v>
      </c>
      <c r="L94" s="34" t="s">
        <v>439</v>
      </c>
      <c r="O94" s="2"/>
    </row>
    <row r="95" spans="1:15" s="1" customFormat="1" ht="26.4">
      <c r="A95" s="25"/>
      <c r="B95" s="26" t="s">
        <v>1231</v>
      </c>
      <c r="C95" s="26" t="s">
        <v>245</v>
      </c>
      <c r="D95" s="12" t="s">
        <v>1901</v>
      </c>
      <c r="E95" s="30" t="s">
        <v>243</v>
      </c>
      <c r="F95" s="19"/>
      <c r="G95" s="19" t="s">
        <v>1435</v>
      </c>
      <c r="H95" s="30"/>
      <c r="I95" s="33"/>
      <c r="J95" s="34" t="s">
        <v>431</v>
      </c>
      <c r="K95" s="34" t="s">
        <v>134</v>
      </c>
      <c r="L95" s="34" t="s">
        <v>432</v>
      </c>
      <c r="O95" s="2"/>
    </row>
    <row r="96" spans="1:15" s="1" customFormat="1">
      <c r="A96" s="25"/>
      <c r="B96" s="26" t="s">
        <v>933</v>
      </c>
      <c r="C96" s="26" t="s">
        <v>900</v>
      </c>
      <c r="D96" s="12" t="s">
        <v>1902</v>
      </c>
      <c r="E96" s="30" t="s">
        <v>243</v>
      </c>
      <c r="F96" s="19"/>
      <c r="G96" s="31" t="s">
        <v>1619</v>
      </c>
      <c r="H96" s="30"/>
      <c r="I96" s="33"/>
      <c r="J96" s="34" t="s">
        <v>431</v>
      </c>
      <c r="K96" s="34" t="s">
        <v>134</v>
      </c>
      <c r="L96" s="34" t="s">
        <v>568</v>
      </c>
      <c r="O96" s="2"/>
    </row>
    <row r="97" spans="1:15" s="1" customFormat="1">
      <c r="A97" s="25"/>
      <c r="B97" s="26" t="s">
        <v>1244</v>
      </c>
      <c r="C97" s="26" t="s">
        <v>136</v>
      </c>
      <c r="D97" s="12" t="s">
        <v>1245</v>
      </c>
      <c r="E97" s="30" t="s">
        <v>243</v>
      </c>
      <c r="F97" s="19"/>
      <c r="G97" s="19" t="s">
        <v>1439</v>
      </c>
      <c r="H97" s="32"/>
      <c r="I97" s="35"/>
      <c r="J97" s="34" t="s">
        <v>431</v>
      </c>
      <c r="K97" s="34" t="s">
        <v>134</v>
      </c>
      <c r="L97" s="34" t="s">
        <v>439</v>
      </c>
      <c r="O97" s="2"/>
    </row>
    <row r="98" spans="1:15" s="1" customFormat="1">
      <c r="A98" s="25"/>
      <c r="B98" s="26" t="s">
        <v>504</v>
      </c>
      <c r="C98" s="26" t="s">
        <v>245</v>
      </c>
      <c r="D98" s="12" t="s">
        <v>505</v>
      </c>
      <c r="E98" s="30" t="s">
        <v>243</v>
      </c>
      <c r="F98" s="19" t="s">
        <v>504</v>
      </c>
      <c r="G98" s="12" t="s">
        <v>250</v>
      </c>
      <c r="H98" s="32"/>
      <c r="I98" s="35"/>
      <c r="J98" s="34" t="s">
        <v>384</v>
      </c>
      <c r="K98" s="34" t="s">
        <v>134</v>
      </c>
      <c r="L98" s="34" t="s">
        <v>134</v>
      </c>
      <c r="O98" s="2"/>
    </row>
    <row r="99" spans="1:15" s="1" customFormat="1">
      <c r="A99" s="25"/>
      <c r="B99" s="26" t="s">
        <v>506</v>
      </c>
      <c r="C99" s="26" t="s">
        <v>245</v>
      </c>
      <c r="D99" s="12" t="s">
        <v>1053</v>
      </c>
      <c r="E99" s="30" t="s">
        <v>243</v>
      </c>
      <c r="F99" s="19" t="s">
        <v>506</v>
      </c>
      <c r="G99" s="12" t="s">
        <v>250</v>
      </c>
      <c r="H99" s="32"/>
      <c r="I99" s="35"/>
      <c r="J99" s="34" t="s">
        <v>384</v>
      </c>
      <c r="K99" s="34" t="s">
        <v>134</v>
      </c>
      <c r="L99" s="34" t="s">
        <v>134</v>
      </c>
      <c r="O99" s="2"/>
    </row>
    <row r="100" spans="1:15" s="1" customFormat="1">
      <c r="A100" s="25"/>
      <c r="B100" s="26" t="s">
        <v>508</v>
      </c>
      <c r="C100" s="26" t="s">
        <v>245</v>
      </c>
      <c r="D100" s="12" t="s">
        <v>509</v>
      </c>
      <c r="E100" s="30" t="s">
        <v>243</v>
      </c>
      <c r="F100" s="19" t="s">
        <v>508</v>
      </c>
      <c r="G100" s="12" t="s">
        <v>250</v>
      </c>
      <c r="H100" s="32"/>
      <c r="I100" s="35"/>
      <c r="J100" s="34" t="s">
        <v>384</v>
      </c>
      <c r="K100" s="34" t="s">
        <v>134</v>
      </c>
      <c r="L100" s="34" t="s">
        <v>134</v>
      </c>
      <c r="O100" s="2"/>
    </row>
    <row r="101" spans="1:15" s="1" customFormat="1">
      <c r="A101" s="25"/>
      <c r="B101" s="26" t="s">
        <v>510</v>
      </c>
      <c r="C101" s="26" t="s">
        <v>245</v>
      </c>
      <c r="D101" s="12" t="s">
        <v>1054</v>
      </c>
      <c r="E101" s="30" t="s">
        <v>243</v>
      </c>
      <c r="F101" s="19" t="s">
        <v>510</v>
      </c>
      <c r="G101" s="12" t="s">
        <v>250</v>
      </c>
      <c r="H101" s="32"/>
      <c r="I101" s="35"/>
      <c r="J101" s="34" t="s">
        <v>384</v>
      </c>
      <c r="K101" s="34" t="s">
        <v>134</v>
      </c>
      <c r="L101" s="34" t="s">
        <v>134</v>
      </c>
      <c r="O101" s="2"/>
    </row>
    <row r="102" spans="1:15" s="1" customFormat="1">
      <c r="A102" s="25"/>
      <c r="B102" s="26" t="s">
        <v>227</v>
      </c>
      <c r="C102" s="26" t="s">
        <v>139</v>
      </c>
      <c r="D102" s="12" t="s">
        <v>1903</v>
      </c>
      <c r="E102" s="30" t="s">
        <v>243</v>
      </c>
      <c r="F102" s="19" t="s">
        <v>227</v>
      </c>
      <c r="G102" s="12" t="s">
        <v>250</v>
      </c>
      <c r="H102" s="32"/>
      <c r="I102" s="35"/>
      <c r="J102" s="34" t="s">
        <v>384</v>
      </c>
      <c r="K102" s="34" t="s">
        <v>134</v>
      </c>
      <c r="L102" s="34" t="s">
        <v>134</v>
      </c>
      <c r="O102" s="2"/>
    </row>
    <row r="103" spans="1:15" s="4" customFormat="1">
      <c r="B103" s="50" t="s">
        <v>233</v>
      </c>
      <c r="C103" s="51" t="s">
        <v>139</v>
      </c>
      <c r="D103" s="37" t="s">
        <v>234</v>
      </c>
      <c r="E103" s="52"/>
      <c r="F103" s="52"/>
      <c r="G103" s="52"/>
      <c r="H103" s="50"/>
      <c r="I103" s="50"/>
      <c r="J103" s="50"/>
      <c r="K103" s="50"/>
      <c r="L103" s="50"/>
    </row>
    <row r="104" spans="1:15" s="4" customFormat="1">
      <c r="B104" s="50" t="s">
        <v>235</v>
      </c>
      <c r="C104" s="51" t="s">
        <v>132</v>
      </c>
      <c r="D104" s="37" t="s">
        <v>236</v>
      </c>
      <c r="E104" s="52"/>
      <c r="F104" s="52"/>
      <c r="G104" s="52"/>
      <c r="H104" s="50"/>
      <c r="I104" s="50"/>
      <c r="J104" s="50"/>
      <c r="K104" s="50"/>
      <c r="L104" s="50"/>
    </row>
  </sheetData>
  <autoFilter ref="A14:L104" xr:uid="{00000000-0009-0000-0000-000021000000}"/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69"/>
  <sheetViews>
    <sheetView zoomScale="85" zoomScaleNormal="85" workbookViewId="0">
      <pane ySplit="5" topLeftCell="A6" activePane="bottomLeft" state="frozen"/>
      <selection pane="bottomLeft" activeCell="C5" sqref="C5"/>
    </sheetView>
  </sheetViews>
  <sheetFormatPr defaultColWidth="9" defaultRowHeight="13.2"/>
  <cols>
    <col min="1" max="1" width="1.33203125" style="5" customWidth="1"/>
    <col min="2" max="2" width="29.21875" style="5" customWidth="1"/>
    <col min="3" max="3" width="38.109375" style="5" bestFit="1" customWidth="1"/>
    <col min="4" max="4" width="30.44140625" style="5" customWidth="1"/>
    <col min="5" max="5" width="16.21875" style="5" customWidth="1"/>
    <col min="6" max="6" width="24.88671875" style="5" customWidth="1"/>
    <col min="7" max="7" width="47.33203125" style="5" customWidth="1"/>
    <col min="8" max="8" width="14.44140625" style="5" customWidth="1"/>
    <col min="9" max="9" width="7.44140625" style="5" customWidth="1"/>
    <col min="10" max="10" width="5.6640625" style="5" customWidth="1"/>
    <col min="11" max="11" width="9.6640625" style="5" customWidth="1"/>
    <col min="12" max="12" width="10.77734375" style="3" customWidth="1"/>
    <col min="13" max="16384" width="9" style="3"/>
  </cols>
  <sheetData>
    <row r="1" spans="1:14">
      <c r="B1" s="7" t="str">
        <f>HYPERLINK("#导航!a2","返回")</f>
        <v>返回</v>
      </c>
    </row>
    <row r="2" spans="1:14">
      <c r="B2" s="156"/>
      <c r="C2" s="156"/>
      <c r="D2" s="156"/>
      <c r="E2" s="156"/>
      <c r="F2" s="156"/>
      <c r="G2" s="156"/>
      <c r="H2" s="156"/>
    </row>
    <row r="3" spans="1:14">
      <c r="B3" s="157" t="s">
        <v>106</v>
      </c>
      <c r="C3" s="157"/>
      <c r="D3" s="157"/>
      <c r="E3" s="157"/>
      <c r="F3" s="157"/>
      <c r="G3" s="157"/>
      <c r="H3" s="157"/>
    </row>
    <row r="4" spans="1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1:14">
      <c r="B5" s="11" t="s">
        <v>1904</v>
      </c>
      <c r="C5" s="12" t="s">
        <v>2552</v>
      </c>
      <c r="D5" s="13" t="s">
        <v>2554</v>
      </c>
      <c r="E5" s="14" t="s">
        <v>383</v>
      </c>
      <c r="F5" s="15"/>
      <c r="G5" s="14"/>
      <c r="H5" s="14"/>
      <c r="N5" s="5"/>
    </row>
    <row r="6" spans="1:14">
      <c r="B6" s="8"/>
      <c r="C6" s="8"/>
      <c r="D6" s="8"/>
      <c r="E6" s="8"/>
      <c r="F6" s="8"/>
      <c r="G6" s="8"/>
      <c r="H6" s="8"/>
    </row>
    <row r="7" spans="1:14">
      <c r="B7" s="157" t="s">
        <v>113</v>
      </c>
      <c r="C7" s="157"/>
      <c r="D7" s="157"/>
      <c r="E7" s="157"/>
      <c r="F7" s="157"/>
      <c r="G7" s="157"/>
      <c r="H7" s="157"/>
    </row>
    <row r="8" spans="1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1:14">
      <c r="B9" s="14"/>
      <c r="C9" s="12" t="s">
        <v>2317</v>
      </c>
      <c r="D9" s="12" t="s">
        <v>96</v>
      </c>
      <c r="E9" s="14" t="s">
        <v>243</v>
      </c>
      <c r="F9" s="14" t="s">
        <v>1905</v>
      </c>
      <c r="G9" s="31"/>
      <c r="H9" s="21"/>
    </row>
    <row r="10" spans="1:14">
      <c r="G10" s="48"/>
    </row>
    <row r="11" spans="1:14">
      <c r="B11" s="5" t="s">
        <v>120</v>
      </c>
    </row>
    <row r="12" spans="1:14">
      <c r="B12" s="157" t="s">
        <v>120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</row>
    <row r="13" spans="1:14" ht="24">
      <c r="B13" s="9" t="s">
        <v>121</v>
      </c>
      <c r="C13" s="9" t="s">
        <v>122</v>
      </c>
      <c r="D13" s="9" t="s">
        <v>123</v>
      </c>
      <c r="E13" s="9" t="s">
        <v>124</v>
      </c>
      <c r="F13" s="9" t="s">
        <v>125</v>
      </c>
      <c r="G13" s="9" t="s">
        <v>126</v>
      </c>
      <c r="H13" s="9" t="s">
        <v>127</v>
      </c>
      <c r="I13" s="9" t="s">
        <v>22</v>
      </c>
      <c r="J13" s="9" t="s">
        <v>128</v>
      </c>
      <c r="K13" s="9" t="s">
        <v>129</v>
      </c>
      <c r="L13" s="9" t="s">
        <v>130</v>
      </c>
    </row>
    <row r="14" spans="1:14" s="2" customFormat="1">
      <c r="B14" s="49" t="s">
        <v>383</v>
      </c>
      <c r="C14" s="49" t="s">
        <v>132</v>
      </c>
      <c r="D14" s="20" t="s">
        <v>1906</v>
      </c>
      <c r="E14" s="30" t="s">
        <v>243</v>
      </c>
      <c r="F14" s="19" t="s">
        <v>235</v>
      </c>
      <c r="G14" s="19" t="s">
        <v>250</v>
      </c>
      <c r="H14" s="32"/>
      <c r="I14" s="34"/>
      <c r="J14" s="34" t="s">
        <v>384</v>
      </c>
      <c r="K14" s="34" t="s">
        <v>134</v>
      </c>
      <c r="L14" s="34" t="s">
        <v>134</v>
      </c>
    </row>
    <row r="15" spans="1:14" s="2" customFormat="1">
      <c r="A15" s="29"/>
      <c r="B15" s="49" t="s">
        <v>284</v>
      </c>
      <c r="C15" s="49" t="s">
        <v>132</v>
      </c>
      <c r="D15" s="20" t="s">
        <v>484</v>
      </c>
      <c r="E15" s="30" t="s">
        <v>243</v>
      </c>
      <c r="F15" s="19" t="s">
        <v>284</v>
      </c>
      <c r="G15" s="19" t="s">
        <v>250</v>
      </c>
      <c r="H15" s="49"/>
      <c r="I15" s="35"/>
      <c r="J15" s="34" t="s">
        <v>384</v>
      </c>
      <c r="K15" s="34" t="s">
        <v>134</v>
      </c>
      <c r="L15" s="34" t="s">
        <v>134</v>
      </c>
    </row>
    <row r="16" spans="1:14" s="2" customFormat="1">
      <c r="A16" s="29"/>
      <c r="B16" s="49" t="s">
        <v>287</v>
      </c>
      <c r="C16" s="49" t="s">
        <v>136</v>
      </c>
      <c r="D16" s="20" t="s">
        <v>808</v>
      </c>
      <c r="E16" s="30" t="s">
        <v>243</v>
      </c>
      <c r="F16" s="19" t="s">
        <v>287</v>
      </c>
      <c r="G16" s="19" t="s">
        <v>250</v>
      </c>
      <c r="H16" s="49"/>
      <c r="I16" s="35"/>
      <c r="J16" s="34" t="s">
        <v>384</v>
      </c>
      <c r="K16" s="34" t="s">
        <v>134</v>
      </c>
      <c r="L16" s="34" t="s">
        <v>134</v>
      </c>
    </row>
    <row r="17" spans="1:12" s="2" customFormat="1">
      <c r="A17" s="29"/>
      <c r="B17" s="49" t="s">
        <v>141</v>
      </c>
      <c r="C17" s="49" t="s">
        <v>132</v>
      </c>
      <c r="D17" s="12" t="s">
        <v>1048</v>
      </c>
      <c r="E17" s="30" t="s">
        <v>243</v>
      </c>
      <c r="F17" s="19" t="s">
        <v>141</v>
      </c>
      <c r="G17" s="19" t="s">
        <v>250</v>
      </c>
      <c r="H17" s="49"/>
      <c r="I17" s="35"/>
      <c r="J17" s="34" t="s">
        <v>384</v>
      </c>
      <c r="K17" s="34" t="s">
        <v>134</v>
      </c>
      <c r="L17" s="34" t="s">
        <v>134</v>
      </c>
    </row>
    <row r="18" spans="1:12" s="2" customFormat="1">
      <c r="A18" s="29"/>
      <c r="B18" s="49" t="s">
        <v>491</v>
      </c>
      <c r="C18" s="49" t="s">
        <v>139</v>
      </c>
      <c r="D18" s="20" t="s">
        <v>1585</v>
      </c>
      <c r="E18" s="30" t="s">
        <v>243</v>
      </c>
      <c r="F18" s="19" t="s">
        <v>491</v>
      </c>
      <c r="G18" s="19" t="s">
        <v>250</v>
      </c>
      <c r="H18" s="49"/>
      <c r="I18" s="35"/>
      <c r="J18" s="34" t="s">
        <v>384</v>
      </c>
      <c r="K18" s="34" t="s">
        <v>134</v>
      </c>
      <c r="L18" s="34" t="s">
        <v>134</v>
      </c>
    </row>
    <row r="19" spans="1:12" s="2" customFormat="1">
      <c r="B19" s="49" t="s">
        <v>273</v>
      </c>
      <c r="C19" s="49" t="s">
        <v>139</v>
      </c>
      <c r="D19" s="20" t="s">
        <v>274</v>
      </c>
      <c r="E19" s="30" t="s">
        <v>243</v>
      </c>
      <c r="F19" s="19" t="s">
        <v>273</v>
      </c>
      <c r="G19" s="19" t="s">
        <v>250</v>
      </c>
      <c r="H19" s="32"/>
      <c r="I19" s="34"/>
      <c r="J19" s="34" t="s">
        <v>384</v>
      </c>
      <c r="K19" s="34" t="s">
        <v>134</v>
      </c>
      <c r="L19" s="34" t="s">
        <v>134</v>
      </c>
    </row>
    <row r="20" spans="1:12" s="2" customFormat="1">
      <c r="B20" s="49" t="s">
        <v>385</v>
      </c>
      <c r="C20" s="49" t="s">
        <v>139</v>
      </c>
      <c r="D20" s="20" t="s">
        <v>487</v>
      </c>
      <c r="E20" s="30" t="s">
        <v>243</v>
      </c>
      <c r="F20" s="19" t="s">
        <v>385</v>
      </c>
      <c r="G20" s="19" t="s">
        <v>250</v>
      </c>
      <c r="H20" s="32"/>
      <c r="I20" s="34"/>
      <c r="J20" s="34" t="s">
        <v>384</v>
      </c>
      <c r="K20" s="34" t="s">
        <v>134</v>
      </c>
      <c r="L20" s="34" t="s">
        <v>134</v>
      </c>
    </row>
    <row r="21" spans="1:12" s="29" customFormat="1">
      <c r="B21" s="49" t="s">
        <v>388</v>
      </c>
      <c r="C21" s="49" t="s">
        <v>139</v>
      </c>
      <c r="D21" s="54" t="s">
        <v>488</v>
      </c>
      <c r="E21" s="30" t="s">
        <v>243</v>
      </c>
      <c r="F21" s="19" t="s">
        <v>388</v>
      </c>
      <c r="G21" s="19" t="s">
        <v>250</v>
      </c>
      <c r="H21" s="30"/>
      <c r="I21" s="35"/>
      <c r="J21" s="34" t="s">
        <v>384</v>
      </c>
      <c r="K21" s="34" t="s">
        <v>134</v>
      </c>
      <c r="L21" s="34" t="s">
        <v>134</v>
      </c>
    </row>
    <row r="22" spans="1:12" s="29" customFormat="1">
      <c r="B22" s="49" t="s">
        <v>499</v>
      </c>
      <c r="C22" s="49" t="s">
        <v>245</v>
      </c>
      <c r="D22" s="20" t="s">
        <v>500</v>
      </c>
      <c r="E22" s="30" t="s">
        <v>243</v>
      </c>
      <c r="F22" s="19" t="s">
        <v>499</v>
      </c>
      <c r="G22" s="19" t="s">
        <v>250</v>
      </c>
      <c r="H22" s="30"/>
      <c r="I22" s="35"/>
      <c r="J22" s="34" t="s">
        <v>384</v>
      </c>
      <c r="K22" s="34" t="s">
        <v>134</v>
      </c>
      <c r="L22" s="34" t="s">
        <v>134</v>
      </c>
    </row>
    <row r="23" spans="1:12" s="29" customFormat="1">
      <c r="B23" s="49" t="s">
        <v>502</v>
      </c>
      <c r="C23" s="49" t="s">
        <v>245</v>
      </c>
      <c r="D23" s="20" t="s">
        <v>503</v>
      </c>
      <c r="E23" s="30" t="s">
        <v>243</v>
      </c>
      <c r="F23" s="19" t="s">
        <v>502</v>
      </c>
      <c r="G23" s="19" t="s">
        <v>250</v>
      </c>
      <c r="H23" s="30"/>
      <c r="I23" s="35"/>
      <c r="J23" s="34" t="s">
        <v>384</v>
      </c>
      <c r="K23" s="34" t="s">
        <v>134</v>
      </c>
      <c r="L23" s="34" t="s">
        <v>134</v>
      </c>
    </row>
    <row r="24" spans="1:12" s="29" customFormat="1">
      <c r="B24" s="49" t="s">
        <v>1062</v>
      </c>
      <c r="C24" s="55" t="s">
        <v>136</v>
      </c>
      <c r="D24" s="20" t="s">
        <v>519</v>
      </c>
      <c r="E24" s="30" t="s">
        <v>243</v>
      </c>
      <c r="F24" s="20"/>
      <c r="G24" s="19" t="s">
        <v>1370</v>
      </c>
      <c r="H24" s="30"/>
      <c r="I24" s="35"/>
      <c r="J24" s="34" t="s">
        <v>431</v>
      </c>
      <c r="K24" s="34" t="s">
        <v>134</v>
      </c>
      <c r="L24" s="34" t="s">
        <v>439</v>
      </c>
    </row>
    <row r="25" spans="1:12" s="5" customFormat="1">
      <c r="B25" s="49" t="s">
        <v>820</v>
      </c>
      <c r="C25" s="55" t="s">
        <v>136</v>
      </c>
      <c r="D25" s="20" t="s">
        <v>821</v>
      </c>
      <c r="E25" s="30" t="s">
        <v>243</v>
      </c>
      <c r="F25" s="20"/>
      <c r="G25" s="19" t="s">
        <v>1309</v>
      </c>
      <c r="H25" s="30"/>
      <c r="I25" s="35"/>
      <c r="J25" s="34" t="s">
        <v>431</v>
      </c>
      <c r="K25" s="34" t="s">
        <v>134</v>
      </c>
      <c r="L25" s="34" t="s">
        <v>439</v>
      </c>
    </row>
    <row r="26" spans="1:12" s="5" customFormat="1">
      <c r="B26" s="49" t="s">
        <v>814</v>
      </c>
      <c r="C26" s="55" t="s">
        <v>136</v>
      </c>
      <c r="D26" s="20" t="s">
        <v>815</v>
      </c>
      <c r="E26" s="30" t="s">
        <v>243</v>
      </c>
      <c r="F26" s="20"/>
      <c r="G26" s="19" t="s">
        <v>1307</v>
      </c>
      <c r="H26" s="30"/>
      <c r="I26" s="35"/>
      <c r="J26" s="34" t="s">
        <v>431</v>
      </c>
      <c r="K26" s="34" t="s">
        <v>134</v>
      </c>
      <c r="L26" s="34" t="s">
        <v>533</v>
      </c>
    </row>
    <row r="27" spans="1:12" s="5" customFormat="1">
      <c r="B27" s="49" t="s">
        <v>817</v>
      </c>
      <c r="C27" s="55" t="s">
        <v>245</v>
      </c>
      <c r="D27" s="20" t="s">
        <v>818</v>
      </c>
      <c r="E27" s="30" t="s">
        <v>243</v>
      </c>
      <c r="F27" s="20"/>
      <c r="G27" s="19" t="s">
        <v>1308</v>
      </c>
      <c r="H27" s="30"/>
      <c r="I27" s="35"/>
      <c r="J27" s="34" t="s">
        <v>431</v>
      </c>
      <c r="K27" s="34" t="s">
        <v>134</v>
      </c>
      <c r="L27" s="34" t="s">
        <v>1907</v>
      </c>
    </row>
    <row r="28" spans="1:12" s="5" customFormat="1">
      <c r="B28" s="49" t="s">
        <v>823</v>
      </c>
      <c r="C28" s="55" t="s">
        <v>136</v>
      </c>
      <c r="D28" s="20" t="s">
        <v>1070</v>
      </c>
      <c r="E28" s="30" t="s">
        <v>243</v>
      </c>
      <c r="F28" s="20"/>
      <c r="G28" s="19" t="s">
        <v>1310</v>
      </c>
      <c r="H28" s="30"/>
      <c r="I28" s="35"/>
      <c r="J28" s="34" t="s">
        <v>431</v>
      </c>
      <c r="K28" s="34" t="s">
        <v>134</v>
      </c>
      <c r="L28" s="34" t="s">
        <v>439</v>
      </c>
    </row>
    <row r="29" spans="1:12" s="5" customFormat="1">
      <c r="B29" s="49" t="s">
        <v>826</v>
      </c>
      <c r="C29" s="55" t="s">
        <v>136</v>
      </c>
      <c r="D29" s="12" t="s">
        <v>1073</v>
      </c>
      <c r="E29" s="30" t="s">
        <v>243</v>
      </c>
      <c r="F29" s="20"/>
      <c r="G29" s="19" t="s">
        <v>1311</v>
      </c>
      <c r="H29" s="30"/>
      <c r="I29" s="35"/>
      <c r="J29" s="34" t="s">
        <v>431</v>
      </c>
      <c r="K29" s="34" t="s">
        <v>134</v>
      </c>
      <c r="L29" s="34" t="s">
        <v>439</v>
      </c>
    </row>
    <row r="30" spans="1:12" s="5" customFormat="1">
      <c r="B30" s="49" t="s">
        <v>829</v>
      </c>
      <c r="C30" s="55" t="s">
        <v>136</v>
      </c>
      <c r="D30" s="12" t="s">
        <v>1076</v>
      </c>
      <c r="E30" s="30" t="s">
        <v>243</v>
      </c>
      <c r="F30" s="20"/>
      <c r="G30" s="19" t="s">
        <v>1312</v>
      </c>
      <c r="H30" s="30"/>
      <c r="I30" s="35"/>
      <c r="J30" s="34" t="s">
        <v>431</v>
      </c>
      <c r="K30" s="34" t="s">
        <v>134</v>
      </c>
      <c r="L30" s="34" t="s">
        <v>439</v>
      </c>
    </row>
    <row r="31" spans="1:12">
      <c r="A31" s="3"/>
      <c r="B31" s="49" t="s">
        <v>832</v>
      </c>
      <c r="C31" s="55" t="s">
        <v>136</v>
      </c>
      <c r="D31" s="12" t="s">
        <v>1079</v>
      </c>
      <c r="E31" s="30" t="s">
        <v>243</v>
      </c>
      <c r="F31" s="20"/>
      <c r="G31" s="19" t="s">
        <v>1313</v>
      </c>
      <c r="H31" s="30"/>
      <c r="I31" s="34"/>
      <c r="J31" s="34" t="s">
        <v>431</v>
      </c>
      <c r="K31" s="34" t="s">
        <v>134</v>
      </c>
      <c r="L31" s="34" t="s">
        <v>439</v>
      </c>
    </row>
    <row r="32" spans="1:12">
      <c r="A32" s="3"/>
      <c r="B32" s="49" t="s">
        <v>835</v>
      </c>
      <c r="C32" s="55" t="s">
        <v>136</v>
      </c>
      <c r="D32" s="20" t="s">
        <v>1081</v>
      </c>
      <c r="E32" s="30" t="s">
        <v>243</v>
      </c>
      <c r="F32" s="20"/>
      <c r="G32" s="19" t="s">
        <v>1314</v>
      </c>
      <c r="H32" s="30"/>
      <c r="I32" s="34"/>
      <c r="J32" s="34" t="s">
        <v>431</v>
      </c>
      <c r="K32" s="34" t="s">
        <v>134</v>
      </c>
      <c r="L32" s="34" t="s">
        <v>439</v>
      </c>
    </row>
    <row r="33" spans="1:12" s="5" customFormat="1">
      <c r="B33" s="49" t="s">
        <v>838</v>
      </c>
      <c r="C33" s="55" t="s">
        <v>136</v>
      </c>
      <c r="D33" s="20" t="s">
        <v>1083</v>
      </c>
      <c r="E33" s="30" t="s">
        <v>243</v>
      </c>
      <c r="F33" s="20"/>
      <c r="G33" s="19" t="s">
        <v>1315</v>
      </c>
      <c r="H33" s="30"/>
      <c r="I33" s="35"/>
      <c r="J33" s="34" t="s">
        <v>431</v>
      </c>
      <c r="K33" s="34" t="s">
        <v>134</v>
      </c>
      <c r="L33" s="34" t="s">
        <v>439</v>
      </c>
    </row>
    <row r="34" spans="1:12" s="5" customFormat="1">
      <c r="B34" s="49" t="s">
        <v>841</v>
      </c>
      <c r="C34" s="55" t="s">
        <v>136</v>
      </c>
      <c r="D34" s="20" t="s">
        <v>1086</v>
      </c>
      <c r="E34" s="30" t="s">
        <v>243</v>
      </c>
      <c r="F34" s="20"/>
      <c r="G34" s="19" t="s">
        <v>1316</v>
      </c>
      <c r="H34" s="30"/>
      <c r="I34" s="35"/>
      <c r="J34" s="34" t="s">
        <v>431</v>
      </c>
      <c r="K34" s="34" t="s">
        <v>134</v>
      </c>
      <c r="L34" s="34" t="s">
        <v>439</v>
      </c>
    </row>
    <row r="35" spans="1:12" s="5" customFormat="1">
      <c r="B35" s="49" t="s">
        <v>1488</v>
      </c>
      <c r="C35" s="55" t="s">
        <v>136</v>
      </c>
      <c r="D35" s="20" t="s">
        <v>1089</v>
      </c>
      <c r="E35" s="30" t="s">
        <v>243</v>
      </c>
      <c r="F35" s="20"/>
      <c r="G35" s="19" t="s">
        <v>1592</v>
      </c>
      <c r="H35" s="30"/>
      <c r="I35" s="35"/>
      <c r="J35" s="34" t="s">
        <v>431</v>
      </c>
      <c r="K35" s="34" t="s">
        <v>134</v>
      </c>
      <c r="L35" s="34" t="s">
        <v>439</v>
      </c>
    </row>
    <row r="36" spans="1:12" s="5" customFormat="1">
      <c r="B36" s="49" t="s">
        <v>1489</v>
      </c>
      <c r="C36" s="55" t="s">
        <v>136</v>
      </c>
      <c r="D36" s="20" t="s">
        <v>1092</v>
      </c>
      <c r="E36" s="30" t="s">
        <v>243</v>
      </c>
      <c r="F36" s="20"/>
      <c r="G36" s="19" t="s">
        <v>1593</v>
      </c>
      <c r="H36" s="30"/>
      <c r="I36" s="35"/>
      <c r="J36" s="34" t="s">
        <v>431</v>
      </c>
      <c r="K36" s="34" t="s">
        <v>134</v>
      </c>
      <c r="L36" s="34" t="s">
        <v>439</v>
      </c>
    </row>
    <row r="37" spans="1:12" s="5" customFormat="1">
      <c r="B37" s="49" t="s">
        <v>1490</v>
      </c>
      <c r="C37" s="55" t="s">
        <v>136</v>
      </c>
      <c r="D37" s="20" t="s">
        <v>1095</v>
      </c>
      <c r="E37" s="30" t="s">
        <v>243</v>
      </c>
      <c r="F37" s="20"/>
      <c r="G37" s="19" t="s">
        <v>1594</v>
      </c>
      <c r="H37" s="30"/>
      <c r="I37" s="35"/>
      <c r="J37" s="34" t="s">
        <v>431</v>
      </c>
      <c r="K37" s="34" t="s">
        <v>134</v>
      </c>
      <c r="L37" s="34" t="s">
        <v>439</v>
      </c>
    </row>
    <row r="38" spans="1:12">
      <c r="A38" s="3"/>
      <c r="B38" s="49" t="s">
        <v>1491</v>
      </c>
      <c r="C38" s="55" t="s">
        <v>136</v>
      </c>
      <c r="D38" s="20" t="s">
        <v>1098</v>
      </c>
      <c r="E38" s="30" t="s">
        <v>243</v>
      </c>
      <c r="F38" s="20"/>
      <c r="G38" s="19" t="s">
        <v>1595</v>
      </c>
      <c r="H38" s="30"/>
      <c r="I38" s="34"/>
      <c r="J38" s="34" t="s">
        <v>431</v>
      </c>
      <c r="K38" s="34" t="s">
        <v>134</v>
      </c>
      <c r="L38" s="34" t="s">
        <v>439</v>
      </c>
    </row>
    <row r="39" spans="1:12">
      <c r="A39" s="3"/>
      <c r="B39" s="49" t="s">
        <v>1492</v>
      </c>
      <c r="C39" s="55" t="s">
        <v>136</v>
      </c>
      <c r="D39" s="20" t="s">
        <v>1101</v>
      </c>
      <c r="E39" s="30" t="s">
        <v>243</v>
      </c>
      <c r="F39" s="20"/>
      <c r="G39" s="19" t="s">
        <v>1596</v>
      </c>
      <c r="H39" s="30"/>
      <c r="I39" s="34"/>
      <c r="J39" s="34" t="s">
        <v>431</v>
      </c>
      <c r="K39" s="34" t="s">
        <v>134</v>
      </c>
      <c r="L39" s="34" t="s">
        <v>439</v>
      </c>
    </row>
    <row r="40" spans="1:12">
      <c r="A40" s="3"/>
      <c r="B40" s="49" t="s">
        <v>1145</v>
      </c>
      <c r="C40" s="55" t="s">
        <v>136</v>
      </c>
      <c r="D40" s="20" t="s">
        <v>1146</v>
      </c>
      <c r="E40" s="30" t="s">
        <v>243</v>
      </c>
      <c r="F40" s="20"/>
      <c r="G40" s="19" t="s">
        <v>1399</v>
      </c>
      <c r="H40" s="30"/>
      <c r="I40" s="34"/>
      <c r="J40" s="34" t="s">
        <v>431</v>
      </c>
      <c r="K40" s="34" t="s">
        <v>134</v>
      </c>
      <c r="L40" s="34" t="s">
        <v>439</v>
      </c>
    </row>
    <row r="41" spans="1:12" s="2" customFormat="1">
      <c r="A41" s="29"/>
      <c r="B41" s="49" t="s">
        <v>1147</v>
      </c>
      <c r="C41" s="55" t="s">
        <v>245</v>
      </c>
      <c r="D41" s="12" t="s">
        <v>1148</v>
      </c>
      <c r="E41" s="30" t="s">
        <v>243</v>
      </c>
      <c r="F41" s="20"/>
      <c r="G41" s="19" t="s">
        <v>1400</v>
      </c>
      <c r="H41" s="30"/>
      <c r="I41" s="35"/>
      <c r="J41" s="34" t="s">
        <v>431</v>
      </c>
      <c r="K41" s="34" t="s">
        <v>134</v>
      </c>
      <c r="L41" s="34" t="s">
        <v>1908</v>
      </c>
    </row>
    <row r="42" spans="1:12" s="2" customFormat="1">
      <c r="A42" s="29"/>
      <c r="B42" s="49" t="s">
        <v>1149</v>
      </c>
      <c r="C42" s="55" t="s">
        <v>245</v>
      </c>
      <c r="D42" s="20" t="s">
        <v>1150</v>
      </c>
      <c r="E42" s="30" t="s">
        <v>243</v>
      </c>
      <c r="F42" s="19"/>
      <c r="G42" s="19" t="s">
        <v>1401</v>
      </c>
      <c r="H42" s="31"/>
      <c r="I42" s="35"/>
      <c r="J42" s="34" t="s">
        <v>431</v>
      </c>
      <c r="K42" s="34" t="s">
        <v>134</v>
      </c>
      <c r="L42" s="34" t="s">
        <v>1909</v>
      </c>
    </row>
    <row r="43" spans="1:12" s="2" customFormat="1">
      <c r="A43" s="29"/>
      <c r="B43" s="49" t="s">
        <v>1513</v>
      </c>
      <c r="C43" s="55" t="s">
        <v>136</v>
      </c>
      <c r="D43" s="20" t="s">
        <v>1514</v>
      </c>
      <c r="E43" s="30" t="s">
        <v>243</v>
      </c>
      <c r="F43" s="20"/>
      <c r="G43" s="19" t="s">
        <v>1605</v>
      </c>
      <c r="H43" s="30"/>
      <c r="I43" s="35"/>
      <c r="J43" s="34" t="s">
        <v>431</v>
      </c>
      <c r="K43" s="34" t="s">
        <v>134</v>
      </c>
      <c r="L43" s="34" t="s">
        <v>439</v>
      </c>
    </row>
    <row r="44" spans="1:12" s="2" customFormat="1">
      <c r="A44" s="29"/>
      <c r="B44" s="49" t="s">
        <v>1515</v>
      </c>
      <c r="C44" s="55" t="s">
        <v>136</v>
      </c>
      <c r="D44" s="20" t="s">
        <v>1516</v>
      </c>
      <c r="E44" s="30" t="s">
        <v>243</v>
      </c>
      <c r="F44" s="20"/>
      <c r="G44" s="19" t="s">
        <v>1606</v>
      </c>
      <c r="H44" s="30"/>
      <c r="I44" s="35"/>
      <c r="J44" s="34" t="s">
        <v>431</v>
      </c>
      <c r="K44" s="34" t="s">
        <v>134</v>
      </c>
      <c r="L44" s="34" t="s">
        <v>439</v>
      </c>
    </row>
    <row r="45" spans="1:12" s="2" customFormat="1">
      <c r="A45" s="29"/>
      <c r="B45" s="49" t="s">
        <v>1517</v>
      </c>
      <c r="C45" s="55" t="s">
        <v>136</v>
      </c>
      <c r="D45" s="20" t="s">
        <v>1518</v>
      </c>
      <c r="E45" s="30" t="s">
        <v>243</v>
      </c>
      <c r="F45" s="20"/>
      <c r="G45" s="19" t="s">
        <v>1607</v>
      </c>
      <c r="H45" s="30"/>
      <c r="I45" s="35"/>
      <c r="J45" s="34" t="s">
        <v>431</v>
      </c>
      <c r="K45" s="34" t="s">
        <v>134</v>
      </c>
      <c r="L45" s="34" t="s">
        <v>439</v>
      </c>
    </row>
    <row r="46" spans="1:12" s="2" customFormat="1">
      <c r="A46" s="29"/>
      <c r="B46" s="49" t="s">
        <v>1519</v>
      </c>
      <c r="C46" s="55" t="s">
        <v>136</v>
      </c>
      <c r="D46" s="20" t="s">
        <v>1520</v>
      </c>
      <c r="E46" s="30" t="s">
        <v>243</v>
      </c>
      <c r="F46" s="20"/>
      <c r="G46" s="19" t="s">
        <v>1608</v>
      </c>
      <c r="H46" s="30"/>
      <c r="I46" s="35"/>
      <c r="J46" s="34" t="s">
        <v>431</v>
      </c>
      <c r="K46" s="34" t="s">
        <v>134</v>
      </c>
      <c r="L46" s="34" t="s">
        <v>439</v>
      </c>
    </row>
    <row r="47" spans="1:12" s="2" customFormat="1">
      <c r="A47" s="29"/>
      <c r="B47" s="49" t="s">
        <v>1521</v>
      </c>
      <c r="C47" s="55" t="s">
        <v>136</v>
      </c>
      <c r="D47" s="20" t="s">
        <v>1522</v>
      </c>
      <c r="E47" s="30" t="s">
        <v>243</v>
      </c>
      <c r="F47" s="20"/>
      <c r="G47" s="19" t="s">
        <v>1609</v>
      </c>
      <c r="H47" s="30"/>
      <c r="I47" s="35"/>
      <c r="J47" s="34" t="s">
        <v>431</v>
      </c>
      <c r="K47" s="34" t="s">
        <v>134</v>
      </c>
      <c r="L47" s="34" t="s">
        <v>439</v>
      </c>
    </row>
    <row r="48" spans="1:12" s="1" customFormat="1">
      <c r="A48" s="25"/>
      <c r="B48" s="26" t="s">
        <v>1523</v>
      </c>
      <c r="C48" s="26" t="s">
        <v>136</v>
      </c>
      <c r="D48" s="56" t="s">
        <v>1524</v>
      </c>
      <c r="E48" s="30" t="s">
        <v>243</v>
      </c>
      <c r="F48" s="20"/>
      <c r="G48" s="19" t="s">
        <v>1610</v>
      </c>
      <c r="H48" s="30"/>
      <c r="I48" s="33"/>
      <c r="J48" s="34" t="s">
        <v>431</v>
      </c>
      <c r="K48" s="34" t="s">
        <v>134</v>
      </c>
      <c r="L48" s="34" t="s">
        <v>439</v>
      </c>
    </row>
    <row r="49" spans="1:12" s="1" customFormat="1">
      <c r="A49" s="25"/>
      <c r="B49" s="26" t="s">
        <v>1525</v>
      </c>
      <c r="C49" s="26" t="s">
        <v>136</v>
      </c>
      <c r="D49" s="56" t="s">
        <v>1526</v>
      </c>
      <c r="E49" s="30" t="s">
        <v>243</v>
      </c>
      <c r="F49" s="20"/>
      <c r="G49" s="19" t="s">
        <v>1611</v>
      </c>
      <c r="H49" s="30"/>
      <c r="I49" s="33"/>
      <c r="J49" s="34" t="s">
        <v>431</v>
      </c>
      <c r="K49" s="34" t="s">
        <v>134</v>
      </c>
      <c r="L49" s="34" t="s">
        <v>439</v>
      </c>
    </row>
    <row r="50" spans="1:12" s="1" customFormat="1">
      <c r="A50" s="25"/>
      <c r="B50" s="26" t="s">
        <v>1527</v>
      </c>
      <c r="C50" s="26" t="s">
        <v>136</v>
      </c>
      <c r="D50" s="56" t="s">
        <v>1528</v>
      </c>
      <c r="E50" s="30" t="s">
        <v>243</v>
      </c>
      <c r="F50" s="20"/>
      <c r="G50" s="19" t="s">
        <v>1612</v>
      </c>
      <c r="H50" s="30"/>
      <c r="I50" s="33"/>
      <c r="J50" s="34" t="s">
        <v>431</v>
      </c>
      <c r="K50" s="34" t="s">
        <v>134</v>
      </c>
      <c r="L50" s="34" t="s">
        <v>439</v>
      </c>
    </row>
    <row r="51" spans="1:12" s="1" customFormat="1">
      <c r="A51" s="25"/>
      <c r="B51" s="26" t="s">
        <v>1529</v>
      </c>
      <c r="C51" s="26" t="s">
        <v>136</v>
      </c>
      <c r="D51" s="56" t="s">
        <v>1530</v>
      </c>
      <c r="E51" s="30" t="s">
        <v>243</v>
      </c>
      <c r="F51" s="20"/>
      <c r="G51" s="19" t="s">
        <v>1613</v>
      </c>
      <c r="H51" s="30"/>
      <c r="I51" s="33"/>
      <c r="J51" s="34" t="s">
        <v>431</v>
      </c>
      <c r="K51" s="34" t="s">
        <v>134</v>
      </c>
      <c r="L51" s="34" t="s">
        <v>439</v>
      </c>
    </row>
    <row r="52" spans="1:12" s="1" customFormat="1">
      <c r="A52" s="25"/>
      <c r="B52" s="26" t="s">
        <v>1531</v>
      </c>
      <c r="C52" s="26" t="s">
        <v>136</v>
      </c>
      <c r="D52" s="56" t="s">
        <v>1532</v>
      </c>
      <c r="E52" s="30" t="s">
        <v>243</v>
      </c>
      <c r="F52" s="20"/>
      <c r="G52" s="19" t="s">
        <v>1614</v>
      </c>
      <c r="H52" s="30"/>
      <c r="I52" s="33"/>
      <c r="J52" s="34" t="s">
        <v>431</v>
      </c>
      <c r="K52" s="34" t="s">
        <v>134</v>
      </c>
      <c r="L52" s="34" t="s">
        <v>439</v>
      </c>
    </row>
    <row r="53" spans="1:12" s="1" customFormat="1">
      <c r="A53" s="25"/>
      <c r="B53" s="26" t="s">
        <v>1533</v>
      </c>
      <c r="C53" s="26" t="s">
        <v>136</v>
      </c>
      <c r="D53" s="56" t="s">
        <v>1534</v>
      </c>
      <c r="E53" s="30" t="s">
        <v>243</v>
      </c>
      <c r="F53" s="20"/>
      <c r="G53" s="19" t="s">
        <v>1615</v>
      </c>
      <c r="H53" s="30"/>
      <c r="I53" s="33"/>
      <c r="J53" s="34" t="s">
        <v>431</v>
      </c>
      <c r="K53" s="34" t="s">
        <v>134</v>
      </c>
      <c r="L53" s="34" t="s">
        <v>439</v>
      </c>
    </row>
    <row r="54" spans="1:12" s="1" customFormat="1">
      <c r="A54" s="25"/>
      <c r="B54" s="26" t="s">
        <v>1535</v>
      </c>
      <c r="C54" s="26" t="s">
        <v>136</v>
      </c>
      <c r="D54" s="56" t="s">
        <v>1536</v>
      </c>
      <c r="E54" s="30" t="s">
        <v>243</v>
      </c>
      <c r="F54" s="20"/>
      <c r="G54" s="19" t="s">
        <v>1616</v>
      </c>
      <c r="H54" s="30"/>
      <c r="I54" s="33"/>
      <c r="J54" s="34" t="s">
        <v>431</v>
      </c>
      <c r="K54" s="34" t="s">
        <v>134</v>
      </c>
      <c r="L54" s="34" t="s">
        <v>439</v>
      </c>
    </row>
    <row r="55" spans="1:12" s="1" customFormat="1">
      <c r="A55" s="25"/>
      <c r="B55" s="26" t="s">
        <v>1221</v>
      </c>
      <c r="C55" s="26" t="s">
        <v>136</v>
      </c>
      <c r="D55" s="56" t="s">
        <v>1222</v>
      </c>
      <c r="E55" s="30" t="s">
        <v>243</v>
      </c>
      <c r="F55" s="20"/>
      <c r="G55" s="19" t="s">
        <v>1430</v>
      </c>
      <c r="H55" s="30"/>
      <c r="I55" s="33"/>
      <c r="J55" s="34" t="s">
        <v>431</v>
      </c>
      <c r="K55" s="34" t="s">
        <v>134</v>
      </c>
      <c r="L55" s="34" t="s">
        <v>1908</v>
      </c>
    </row>
    <row r="56" spans="1:12" s="1" customFormat="1">
      <c r="A56" s="25"/>
      <c r="B56" s="26" t="s">
        <v>2423</v>
      </c>
      <c r="C56" s="26" t="s">
        <v>136</v>
      </c>
      <c r="D56" s="56" t="s">
        <v>1537</v>
      </c>
      <c r="E56" s="30" t="s">
        <v>243</v>
      </c>
      <c r="F56" s="20"/>
      <c r="G56" s="19" t="s">
        <v>1332</v>
      </c>
      <c r="H56" s="30"/>
      <c r="I56" s="33"/>
      <c r="J56" s="34" t="s">
        <v>431</v>
      </c>
      <c r="K56" s="34" t="s">
        <v>134</v>
      </c>
      <c r="L56" s="34" t="s">
        <v>439</v>
      </c>
    </row>
    <row r="57" spans="1:12" s="1" customFormat="1">
      <c r="A57" s="25"/>
      <c r="B57" s="26" t="s">
        <v>1223</v>
      </c>
      <c r="C57" s="26" t="s">
        <v>245</v>
      </c>
      <c r="D57" s="56" t="s">
        <v>1224</v>
      </c>
      <c r="E57" s="30" t="s">
        <v>243</v>
      </c>
      <c r="F57" s="40"/>
      <c r="G57" s="19" t="s">
        <v>1431</v>
      </c>
      <c r="H57" s="33"/>
      <c r="I57" s="33"/>
      <c r="J57" s="34" t="s">
        <v>431</v>
      </c>
      <c r="K57" s="34" t="s">
        <v>134</v>
      </c>
      <c r="L57" s="34" t="s">
        <v>1907</v>
      </c>
    </row>
    <row r="58" spans="1:12" s="1" customFormat="1">
      <c r="A58" s="25"/>
      <c r="B58" s="26" t="s">
        <v>910</v>
      </c>
      <c r="C58" s="26" t="s">
        <v>900</v>
      </c>
      <c r="D58" s="56" t="s">
        <v>1538</v>
      </c>
      <c r="E58" s="30" t="s">
        <v>243</v>
      </c>
      <c r="F58" s="40"/>
      <c r="G58" s="19" t="s">
        <v>1334</v>
      </c>
      <c r="H58" s="33"/>
      <c r="I58" s="33"/>
      <c r="J58" s="34" t="s">
        <v>431</v>
      </c>
      <c r="K58" s="34" t="s">
        <v>134</v>
      </c>
      <c r="L58" s="34" t="s">
        <v>568</v>
      </c>
    </row>
    <row r="59" spans="1:12" s="1" customFormat="1">
      <c r="A59" s="25"/>
      <c r="B59" s="26" t="s">
        <v>1225</v>
      </c>
      <c r="C59" s="26" t="s">
        <v>136</v>
      </c>
      <c r="D59" s="56" t="s">
        <v>1226</v>
      </c>
      <c r="E59" s="30" t="s">
        <v>243</v>
      </c>
      <c r="F59" s="20"/>
      <c r="G59" s="19" t="s">
        <v>1432</v>
      </c>
      <c r="H59" s="30"/>
      <c r="I59" s="33"/>
      <c r="J59" s="34" t="s">
        <v>431</v>
      </c>
      <c r="K59" s="34" t="s">
        <v>134</v>
      </c>
      <c r="L59" s="34" t="s">
        <v>1908</v>
      </c>
    </row>
    <row r="60" spans="1:12" s="1" customFormat="1">
      <c r="A60" s="25"/>
      <c r="B60" s="26" t="s">
        <v>915</v>
      </c>
      <c r="C60" s="26" t="s">
        <v>136</v>
      </c>
      <c r="D60" s="56" t="s">
        <v>1539</v>
      </c>
      <c r="E60" s="30" t="s">
        <v>243</v>
      </c>
      <c r="F60" s="20"/>
      <c r="G60" s="19" t="s">
        <v>1335</v>
      </c>
      <c r="H60" s="30"/>
      <c r="I60" s="33"/>
      <c r="J60" s="34" t="s">
        <v>431</v>
      </c>
      <c r="K60" s="34" t="s">
        <v>134</v>
      </c>
      <c r="L60" s="34" t="s">
        <v>439</v>
      </c>
    </row>
    <row r="61" spans="1:12" s="1" customFormat="1">
      <c r="A61" s="25"/>
      <c r="B61" s="26" t="s">
        <v>1227</v>
      </c>
      <c r="C61" s="26" t="s">
        <v>245</v>
      </c>
      <c r="D61" s="56" t="s">
        <v>1228</v>
      </c>
      <c r="E61" s="30" t="s">
        <v>243</v>
      </c>
      <c r="F61" s="40"/>
      <c r="G61" s="19" t="s">
        <v>1433</v>
      </c>
      <c r="H61" s="33"/>
      <c r="I61" s="33"/>
      <c r="J61" s="34" t="s">
        <v>431</v>
      </c>
      <c r="K61" s="34" t="s">
        <v>134</v>
      </c>
      <c r="L61" s="34" t="s">
        <v>1907</v>
      </c>
    </row>
    <row r="62" spans="1:12" s="1" customFormat="1">
      <c r="A62" s="25"/>
      <c r="B62" s="26" t="s">
        <v>921</v>
      </c>
      <c r="C62" s="26" t="s">
        <v>900</v>
      </c>
      <c r="D62" s="56" t="s">
        <v>1540</v>
      </c>
      <c r="E62" s="30" t="s">
        <v>243</v>
      </c>
      <c r="F62" s="40"/>
      <c r="G62" s="19" t="s">
        <v>1337</v>
      </c>
      <c r="H62" s="33"/>
      <c r="I62" s="33"/>
      <c r="J62" s="34" t="s">
        <v>431</v>
      </c>
      <c r="K62" s="34" t="s">
        <v>134</v>
      </c>
      <c r="L62" s="34" t="s">
        <v>568</v>
      </c>
    </row>
    <row r="63" spans="1:12" s="1" customFormat="1">
      <c r="A63" s="25"/>
      <c r="B63" s="26" t="s">
        <v>1229</v>
      </c>
      <c r="C63" s="26" t="s">
        <v>136</v>
      </c>
      <c r="D63" s="56" t="s">
        <v>1230</v>
      </c>
      <c r="E63" s="30" t="s">
        <v>243</v>
      </c>
      <c r="F63" s="20"/>
      <c r="G63" s="19" t="s">
        <v>1434</v>
      </c>
      <c r="H63" s="30"/>
      <c r="I63" s="33"/>
      <c r="J63" s="34" t="s">
        <v>431</v>
      </c>
      <c r="K63" s="34" t="s">
        <v>134</v>
      </c>
      <c r="L63" s="34" t="s">
        <v>1908</v>
      </c>
    </row>
    <row r="64" spans="1:12" s="1" customFormat="1">
      <c r="A64" s="25"/>
      <c r="B64" s="26" t="s">
        <v>927</v>
      </c>
      <c r="C64" s="26" t="s">
        <v>136</v>
      </c>
      <c r="D64" s="56" t="s">
        <v>1541</v>
      </c>
      <c r="E64" s="30" t="s">
        <v>243</v>
      </c>
      <c r="F64" s="20"/>
      <c r="G64" s="19" t="s">
        <v>1338</v>
      </c>
      <c r="H64" s="30"/>
      <c r="I64" s="33"/>
      <c r="J64" s="34" t="s">
        <v>431</v>
      </c>
      <c r="K64" s="34" t="s">
        <v>134</v>
      </c>
      <c r="L64" s="34" t="s">
        <v>439</v>
      </c>
    </row>
    <row r="65" spans="1:12" s="1" customFormat="1">
      <c r="A65" s="25"/>
      <c r="B65" s="26" t="s">
        <v>1231</v>
      </c>
      <c r="C65" s="26" t="s">
        <v>245</v>
      </c>
      <c r="D65" s="56" t="s">
        <v>1232</v>
      </c>
      <c r="E65" s="30" t="s">
        <v>243</v>
      </c>
      <c r="F65" s="40"/>
      <c r="G65" s="19" t="s">
        <v>1435</v>
      </c>
      <c r="H65" s="33"/>
      <c r="I65" s="33"/>
      <c r="J65" s="34" t="s">
        <v>431</v>
      </c>
      <c r="K65" s="34" t="s">
        <v>134</v>
      </c>
      <c r="L65" s="34" t="s">
        <v>1907</v>
      </c>
    </row>
    <row r="66" spans="1:12" s="1" customFormat="1">
      <c r="A66" s="25"/>
      <c r="B66" s="26" t="s">
        <v>933</v>
      </c>
      <c r="C66" s="26" t="s">
        <v>900</v>
      </c>
      <c r="D66" s="56" t="s">
        <v>1542</v>
      </c>
      <c r="E66" s="30" t="s">
        <v>243</v>
      </c>
      <c r="F66" s="40"/>
      <c r="G66" s="19" t="s">
        <v>1619</v>
      </c>
      <c r="H66" s="33"/>
      <c r="I66" s="33"/>
      <c r="J66" s="34" t="s">
        <v>431</v>
      </c>
      <c r="K66" s="34" t="s">
        <v>134</v>
      </c>
      <c r="L66" s="34" t="s">
        <v>568</v>
      </c>
    </row>
    <row r="67" spans="1:12" s="1" customFormat="1">
      <c r="A67" s="25"/>
      <c r="B67" s="26" t="s">
        <v>1244</v>
      </c>
      <c r="C67" s="26" t="s">
        <v>136</v>
      </c>
      <c r="D67" s="56" t="s">
        <v>1245</v>
      </c>
      <c r="E67" s="30" t="s">
        <v>243</v>
      </c>
      <c r="F67" s="20"/>
      <c r="G67" s="19" t="s">
        <v>1439</v>
      </c>
      <c r="H67" s="30"/>
      <c r="I67" s="33"/>
      <c r="J67" s="34" t="s">
        <v>431</v>
      </c>
      <c r="K67" s="34" t="s">
        <v>134</v>
      </c>
      <c r="L67" s="34" t="s">
        <v>439</v>
      </c>
    </row>
    <row r="68" spans="1:12" s="53" customFormat="1">
      <c r="A68" s="57"/>
      <c r="B68" s="58" t="s">
        <v>233</v>
      </c>
      <c r="C68" s="58" t="s">
        <v>139</v>
      </c>
      <c r="D68" s="58" t="s">
        <v>234</v>
      </c>
      <c r="E68" s="59"/>
      <c r="F68" s="59"/>
      <c r="G68" s="50"/>
      <c r="H68" s="60"/>
      <c r="I68" s="60"/>
      <c r="J68" s="61"/>
      <c r="K68" s="60"/>
      <c r="L68" s="62"/>
    </row>
    <row r="69" spans="1:12" s="53" customFormat="1">
      <c r="A69" s="57"/>
      <c r="B69" s="58" t="s">
        <v>235</v>
      </c>
      <c r="C69" s="58" t="s">
        <v>132</v>
      </c>
      <c r="D69" s="58" t="s">
        <v>1548</v>
      </c>
      <c r="E69" s="59"/>
      <c r="F69" s="59"/>
      <c r="G69" s="50"/>
      <c r="H69" s="60"/>
      <c r="I69" s="60"/>
      <c r="J69" s="61"/>
      <c r="K69" s="60"/>
      <c r="L69" s="62"/>
    </row>
  </sheetData>
  <autoFilter ref="A13:N69" xr:uid="{00000000-0009-0000-0000-000022000000}"/>
  <mergeCells count="4">
    <mergeCell ref="B2:H2"/>
    <mergeCell ref="B3:H3"/>
    <mergeCell ref="B7:H7"/>
    <mergeCell ref="B12:L12"/>
  </mergeCells>
  <phoneticPr fontId="19" type="noConversion"/>
  <pageMargins left="0.7" right="0.7" top="0.75" bottom="0.75" header="0.3" footer="0.3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36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5" customWidth="1"/>
    <col min="2" max="2" width="23.6640625" style="5" customWidth="1"/>
    <col min="3" max="3" width="30.21875" style="5" customWidth="1"/>
    <col min="4" max="4" width="32.21875" style="5" customWidth="1"/>
    <col min="5" max="5" width="16.21875" style="5" customWidth="1"/>
    <col min="6" max="6" width="17.109375" style="5" customWidth="1"/>
    <col min="7" max="7" width="39.5546875" style="5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2:12">
      <c r="B1" s="7" t="str">
        <f>HYPERLINK("#导航!a2","返回")</f>
        <v>返回</v>
      </c>
    </row>
    <row r="2" spans="2:12">
      <c r="B2" s="156"/>
      <c r="C2" s="156"/>
      <c r="D2" s="156"/>
      <c r="E2" s="156"/>
      <c r="F2" s="156"/>
      <c r="G2" s="156"/>
      <c r="H2" s="156"/>
    </row>
    <row r="3" spans="2:12">
      <c r="B3" s="157" t="s">
        <v>106</v>
      </c>
      <c r="C3" s="157"/>
      <c r="D3" s="157"/>
      <c r="E3" s="157"/>
      <c r="F3" s="157"/>
      <c r="G3" s="157"/>
      <c r="H3" s="157"/>
    </row>
    <row r="4" spans="2:12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12</v>
      </c>
      <c r="H4" s="9" t="s">
        <v>111</v>
      </c>
    </row>
    <row r="5" spans="2:12">
      <c r="B5" s="11" t="s">
        <v>55</v>
      </c>
      <c r="C5" s="12" t="s">
        <v>2580</v>
      </c>
      <c r="D5" s="13" t="s">
        <v>2556</v>
      </c>
      <c r="E5" s="14" t="s">
        <v>383</v>
      </c>
      <c r="F5" s="15"/>
      <c r="G5" s="14"/>
      <c r="H5" s="14"/>
    </row>
    <row r="6" spans="2:12">
      <c r="B6" s="8"/>
      <c r="C6" s="8"/>
      <c r="D6" s="8"/>
      <c r="E6" s="8"/>
      <c r="F6" s="8"/>
      <c r="G6" s="8"/>
      <c r="H6" s="8"/>
    </row>
    <row r="7" spans="2:12">
      <c r="B7" s="157" t="s">
        <v>113</v>
      </c>
      <c r="C7" s="157"/>
      <c r="D7" s="157"/>
      <c r="E7" s="157"/>
      <c r="F7" s="157"/>
      <c r="G7" s="157"/>
      <c r="H7" s="157"/>
    </row>
    <row r="8" spans="2:12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7" t="s">
        <v>22</v>
      </c>
      <c r="H8" s="17" t="s">
        <v>119</v>
      </c>
    </row>
    <row r="9" spans="2:12">
      <c r="B9" s="14"/>
      <c r="C9" s="12" t="s">
        <v>2317</v>
      </c>
      <c r="D9" s="12" t="s">
        <v>96</v>
      </c>
      <c r="E9" s="14" t="s">
        <v>243</v>
      </c>
      <c r="F9" s="19"/>
      <c r="G9" s="19"/>
      <c r="H9" s="21" t="s">
        <v>38</v>
      </c>
    </row>
    <row r="10" spans="2:12">
      <c r="B10" s="14"/>
      <c r="C10" s="12"/>
      <c r="D10" s="12"/>
      <c r="E10" s="14"/>
      <c r="F10" s="19"/>
      <c r="G10" s="19"/>
      <c r="H10" s="14"/>
    </row>
    <row r="11" spans="2:12">
      <c r="G11" s="48"/>
    </row>
    <row r="12" spans="2:12">
      <c r="B12" s="5" t="s">
        <v>120</v>
      </c>
    </row>
    <row r="13" spans="2:12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2:12">
      <c r="B14" s="9" t="s">
        <v>121</v>
      </c>
      <c r="C14" s="9" t="s">
        <v>122</v>
      </c>
      <c r="D14" s="9" t="s">
        <v>123</v>
      </c>
      <c r="E14" s="9" t="s">
        <v>124</v>
      </c>
      <c r="F14" s="9" t="s">
        <v>125</v>
      </c>
      <c r="G14" s="9" t="s">
        <v>126</v>
      </c>
      <c r="H14" s="9" t="s">
        <v>127</v>
      </c>
      <c r="I14" s="9" t="s">
        <v>22</v>
      </c>
      <c r="J14" s="9" t="s">
        <v>128</v>
      </c>
      <c r="K14" s="9" t="s">
        <v>129</v>
      </c>
      <c r="L14" s="9" t="s">
        <v>130</v>
      </c>
    </row>
    <row r="15" spans="2:12" s="2" customFormat="1">
      <c r="B15" s="49" t="s">
        <v>2458</v>
      </c>
      <c r="C15" s="49" t="s">
        <v>136</v>
      </c>
      <c r="D15" s="12" t="s">
        <v>1477</v>
      </c>
      <c r="E15" s="30" t="s">
        <v>243</v>
      </c>
      <c r="F15" s="19" t="s">
        <v>211</v>
      </c>
      <c r="G15" s="19" t="s">
        <v>250</v>
      </c>
      <c r="H15" s="32"/>
      <c r="I15" s="34"/>
      <c r="J15" s="34" t="s">
        <v>384</v>
      </c>
      <c r="K15" s="34" t="s">
        <v>134</v>
      </c>
      <c r="L15" s="34" t="s">
        <v>134</v>
      </c>
    </row>
    <row r="16" spans="2:12" s="2" customFormat="1">
      <c r="B16" s="49" t="s">
        <v>2459</v>
      </c>
      <c r="C16" s="49" t="s">
        <v>139</v>
      </c>
      <c r="D16" s="12" t="s">
        <v>1910</v>
      </c>
      <c r="E16" s="30" t="s">
        <v>243</v>
      </c>
      <c r="F16" s="19" t="s">
        <v>385</v>
      </c>
      <c r="G16" s="19" t="s">
        <v>250</v>
      </c>
      <c r="H16" s="32"/>
      <c r="I16" s="34"/>
      <c r="J16" s="34" t="s">
        <v>384</v>
      </c>
      <c r="K16" s="34" t="s">
        <v>134</v>
      </c>
      <c r="L16" s="34" t="s">
        <v>134</v>
      </c>
    </row>
    <row r="17" spans="1:15" s="2" customFormat="1">
      <c r="A17" s="29"/>
      <c r="B17" s="49" t="s">
        <v>2460</v>
      </c>
      <c r="C17" s="49" t="s">
        <v>245</v>
      </c>
      <c r="D17" s="12" t="s">
        <v>497</v>
      </c>
      <c r="E17" s="30" t="s">
        <v>243</v>
      </c>
      <c r="F17" s="19" t="s">
        <v>499</v>
      </c>
      <c r="G17" s="19" t="s">
        <v>250</v>
      </c>
      <c r="H17" s="32"/>
      <c r="I17" s="35"/>
      <c r="J17" s="34" t="s">
        <v>384</v>
      </c>
      <c r="K17" s="34" t="s">
        <v>134</v>
      </c>
      <c r="L17" s="34" t="s">
        <v>134</v>
      </c>
    </row>
    <row r="18" spans="1:15" s="2" customFormat="1">
      <c r="A18" s="29"/>
      <c r="B18" s="49" t="s">
        <v>2461</v>
      </c>
      <c r="C18" s="49" t="s">
        <v>2462</v>
      </c>
      <c r="D18" s="12" t="s">
        <v>498</v>
      </c>
      <c r="E18" s="30" t="s">
        <v>243</v>
      </c>
      <c r="F18" s="19" t="s">
        <v>502</v>
      </c>
      <c r="G18" s="19" t="s">
        <v>250</v>
      </c>
      <c r="H18" s="32"/>
      <c r="I18" s="35"/>
      <c r="J18" s="34" t="s">
        <v>384</v>
      </c>
      <c r="K18" s="34" t="s">
        <v>134</v>
      </c>
      <c r="L18" s="34" t="s">
        <v>134</v>
      </c>
    </row>
    <row r="19" spans="1:15" s="2" customFormat="1">
      <c r="A19" s="29"/>
      <c r="B19" s="14" t="s">
        <v>2424</v>
      </c>
      <c r="C19" s="14" t="s">
        <v>139</v>
      </c>
      <c r="D19" s="12" t="s">
        <v>271</v>
      </c>
      <c r="E19" s="30" t="s">
        <v>243</v>
      </c>
      <c r="F19" s="19"/>
      <c r="G19" s="19" t="s">
        <v>1574</v>
      </c>
      <c r="H19" s="32"/>
      <c r="I19" s="35"/>
      <c r="J19" s="34" t="s">
        <v>384</v>
      </c>
      <c r="K19" s="34" t="s">
        <v>134</v>
      </c>
      <c r="L19" s="34" t="s">
        <v>134</v>
      </c>
    </row>
    <row r="20" spans="1:15" s="2" customFormat="1">
      <c r="A20" s="29"/>
      <c r="B20" s="14" t="s">
        <v>138</v>
      </c>
      <c r="C20" s="14" t="s">
        <v>139</v>
      </c>
      <c r="D20" s="12" t="s">
        <v>272</v>
      </c>
      <c r="E20" s="30" t="s">
        <v>243</v>
      </c>
      <c r="F20" s="19"/>
      <c r="G20" s="19" t="s">
        <v>1576</v>
      </c>
      <c r="H20" s="32"/>
      <c r="I20" s="35"/>
      <c r="J20" s="34" t="s">
        <v>384</v>
      </c>
      <c r="K20" s="34" t="s">
        <v>134</v>
      </c>
      <c r="L20" s="34" t="s">
        <v>134</v>
      </c>
    </row>
    <row r="21" spans="1:15" s="2" customFormat="1">
      <c r="A21" s="29"/>
      <c r="B21" s="14" t="s">
        <v>2425</v>
      </c>
      <c r="C21" s="14" t="s">
        <v>136</v>
      </c>
      <c r="D21" s="12" t="s">
        <v>1070</v>
      </c>
      <c r="E21" s="30" t="s">
        <v>243</v>
      </c>
      <c r="F21" s="19"/>
      <c r="G21" s="19" t="s">
        <v>1310</v>
      </c>
      <c r="H21" s="32"/>
      <c r="I21" s="35"/>
      <c r="J21" s="34" t="s">
        <v>431</v>
      </c>
      <c r="K21" s="34" t="s">
        <v>134</v>
      </c>
      <c r="L21" s="34" t="s">
        <v>439</v>
      </c>
    </row>
    <row r="22" spans="1:15" s="2" customFormat="1">
      <c r="A22" s="29"/>
      <c r="B22" s="14" t="s">
        <v>826</v>
      </c>
      <c r="C22" s="14" t="s">
        <v>136</v>
      </c>
      <c r="D22" s="12" t="s">
        <v>1073</v>
      </c>
      <c r="E22" s="30" t="s">
        <v>243</v>
      </c>
      <c r="F22" s="19"/>
      <c r="G22" s="19" t="s">
        <v>1311</v>
      </c>
      <c r="H22" s="32"/>
      <c r="I22" s="35"/>
      <c r="J22" s="34" t="s">
        <v>431</v>
      </c>
      <c r="K22" s="34" t="s">
        <v>134</v>
      </c>
      <c r="L22" s="34" t="s">
        <v>439</v>
      </c>
    </row>
    <row r="23" spans="1:15" s="2" customFormat="1">
      <c r="A23" s="29"/>
      <c r="B23" s="14" t="s">
        <v>829</v>
      </c>
      <c r="C23" s="14" t="s">
        <v>136</v>
      </c>
      <c r="D23" s="12" t="s">
        <v>1076</v>
      </c>
      <c r="E23" s="30" t="s">
        <v>243</v>
      </c>
      <c r="F23" s="19"/>
      <c r="G23" s="19" t="s">
        <v>1312</v>
      </c>
      <c r="H23" s="32"/>
      <c r="I23" s="35"/>
      <c r="J23" s="34" t="s">
        <v>431</v>
      </c>
      <c r="K23" s="34" t="s">
        <v>134</v>
      </c>
      <c r="L23" s="34" t="s">
        <v>439</v>
      </c>
    </row>
    <row r="24" spans="1:15" s="2" customFormat="1">
      <c r="A24" s="29"/>
      <c r="B24" s="49" t="s">
        <v>832</v>
      </c>
      <c r="C24" s="49" t="s">
        <v>136</v>
      </c>
      <c r="D24" s="12" t="s">
        <v>1079</v>
      </c>
      <c r="E24" s="30" t="s">
        <v>243</v>
      </c>
      <c r="F24" s="19"/>
      <c r="G24" s="19" t="s">
        <v>1313</v>
      </c>
      <c r="H24" s="32"/>
      <c r="I24" s="35"/>
      <c r="J24" s="34" t="s">
        <v>431</v>
      </c>
      <c r="K24" s="34" t="s">
        <v>134</v>
      </c>
      <c r="L24" s="34" t="s">
        <v>439</v>
      </c>
    </row>
    <row r="25" spans="1:15" s="2" customFormat="1">
      <c r="A25" s="29"/>
      <c r="B25" s="14" t="s">
        <v>835</v>
      </c>
      <c r="C25" s="14" t="s">
        <v>136</v>
      </c>
      <c r="D25" s="12" t="s">
        <v>1081</v>
      </c>
      <c r="E25" s="30" t="s">
        <v>243</v>
      </c>
      <c r="F25" s="19"/>
      <c r="G25" s="19" t="s">
        <v>1314</v>
      </c>
      <c r="H25" s="32"/>
      <c r="I25" s="35"/>
      <c r="J25" s="34" t="s">
        <v>431</v>
      </c>
      <c r="K25" s="34" t="s">
        <v>134</v>
      </c>
      <c r="L25" s="34" t="s">
        <v>439</v>
      </c>
    </row>
    <row r="26" spans="1:15" s="2" customFormat="1">
      <c r="A26" s="29"/>
      <c r="B26" s="14" t="s">
        <v>838</v>
      </c>
      <c r="C26" s="14" t="s">
        <v>136</v>
      </c>
      <c r="D26" s="12" t="s">
        <v>1083</v>
      </c>
      <c r="E26" s="30" t="s">
        <v>243</v>
      </c>
      <c r="F26" s="19"/>
      <c r="G26" s="19" t="s">
        <v>1315</v>
      </c>
      <c r="H26" s="32"/>
      <c r="I26" s="35"/>
      <c r="J26" s="34" t="s">
        <v>431</v>
      </c>
      <c r="K26" s="34" t="s">
        <v>134</v>
      </c>
      <c r="L26" s="34" t="s">
        <v>439</v>
      </c>
    </row>
    <row r="27" spans="1:15" s="2" customFormat="1">
      <c r="A27" s="29"/>
      <c r="B27" s="14" t="s">
        <v>841</v>
      </c>
      <c r="C27" s="14" t="s">
        <v>136</v>
      </c>
      <c r="D27" s="12" t="s">
        <v>1086</v>
      </c>
      <c r="E27" s="30" t="s">
        <v>243</v>
      </c>
      <c r="F27" s="19"/>
      <c r="G27" s="19" t="s">
        <v>1316</v>
      </c>
      <c r="H27" s="32"/>
      <c r="I27" s="35"/>
      <c r="J27" s="34" t="s">
        <v>431</v>
      </c>
      <c r="K27" s="34" t="s">
        <v>134</v>
      </c>
      <c r="L27" s="34" t="s">
        <v>439</v>
      </c>
    </row>
    <row r="28" spans="1:15" s="2" customFormat="1">
      <c r="A28" s="29"/>
      <c r="B28" s="14" t="s">
        <v>1488</v>
      </c>
      <c r="C28" s="14" t="s">
        <v>136</v>
      </c>
      <c r="D28" s="12" t="s">
        <v>1089</v>
      </c>
      <c r="E28" s="30" t="s">
        <v>243</v>
      </c>
      <c r="F28" s="19"/>
      <c r="G28" s="19" t="s">
        <v>1592</v>
      </c>
      <c r="H28" s="32"/>
      <c r="I28" s="35"/>
      <c r="J28" s="34" t="s">
        <v>384</v>
      </c>
      <c r="K28" s="34" t="s">
        <v>134</v>
      </c>
      <c r="L28" s="34" t="s">
        <v>439</v>
      </c>
    </row>
    <row r="29" spans="1:15" s="2" customFormat="1">
      <c r="A29" s="29"/>
      <c r="B29" s="49" t="s">
        <v>1489</v>
      </c>
      <c r="C29" s="49" t="s">
        <v>136</v>
      </c>
      <c r="D29" s="12" t="s">
        <v>1092</v>
      </c>
      <c r="E29" s="30" t="s">
        <v>243</v>
      </c>
      <c r="F29" s="19"/>
      <c r="G29" s="19" t="s">
        <v>1593</v>
      </c>
      <c r="H29" s="32"/>
      <c r="I29" s="35"/>
      <c r="J29" s="34" t="s">
        <v>384</v>
      </c>
      <c r="K29" s="34" t="s">
        <v>134</v>
      </c>
      <c r="L29" s="34" t="s">
        <v>439</v>
      </c>
    </row>
    <row r="30" spans="1:15" s="2" customFormat="1">
      <c r="B30" s="49" t="s">
        <v>1490</v>
      </c>
      <c r="C30" s="49" t="s">
        <v>136</v>
      </c>
      <c r="D30" s="12" t="s">
        <v>1095</v>
      </c>
      <c r="E30" s="30" t="s">
        <v>243</v>
      </c>
      <c r="F30" s="19"/>
      <c r="G30" s="19" t="s">
        <v>1594</v>
      </c>
      <c r="H30" s="32"/>
      <c r="I30" s="35"/>
      <c r="J30" s="34" t="s">
        <v>431</v>
      </c>
      <c r="K30" s="34" t="s">
        <v>134</v>
      </c>
      <c r="L30" s="34" t="s">
        <v>439</v>
      </c>
    </row>
    <row r="31" spans="1:15" s="2" customFormat="1">
      <c r="B31" s="49" t="s">
        <v>1491</v>
      </c>
      <c r="C31" s="49" t="s">
        <v>136</v>
      </c>
      <c r="D31" s="12" t="s">
        <v>1098</v>
      </c>
      <c r="E31" s="30" t="s">
        <v>243</v>
      </c>
      <c r="F31" s="19"/>
      <c r="G31" s="19" t="s">
        <v>1595</v>
      </c>
      <c r="H31" s="32"/>
      <c r="I31" s="35"/>
      <c r="J31" s="34" t="s">
        <v>431</v>
      </c>
      <c r="K31" s="34" t="s">
        <v>134</v>
      </c>
      <c r="L31" s="34" t="s">
        <v>439</v>
      </c>
    </row>
    <row r="32" spans="1:15" s="29" customFormat="1">
      <c r="B32" s="49" t="s">
        <v>1492</v>
      </c>
      <c r="C32" s="49" t="s">
        <v>136</v>
      </c>
      <c r="D32" s="12" t="s">
        <v>1101</v>
      </c>
      <c r="E32" s="30" t="s">
        <v>243</v>
      </c>
      <c r="F32" s="19"/>
      <c r="G32" s="19" t="s">
        <v>1596</v>
      </c>
      <c r="H32" s="32"/>
      <c r="I32" s="35"/>
      <c r="J32" s="34" t="s">
        <v>431</v>
      </c>
      <c r="K32" s="34" t="s">
        <v>134</v>
      </c>
      <c r="L32" s="34" t="s">
        <v>439</v>
      </c>
      <c r="O32" s="2"/>
    </row>
    <row r="33" spans="1:15" s="29" customFormat="1">
      <c r="B33" s="49" t="s">
        <v>1911</v>
      </c>
      <c r="C33" s="49" t="s">
        <v>245</v>
      </c>
      <c r="D33" s="12" t="s">
        <v>815</v>
      </c>
      <c r="E33" s="30" t="s">
        <v>243</v>
      </c>
      <c r="F33" s="19"/>
      <c r="G33" s="19" t="s">
        <v>1307</v>
      </c>
      <c r="H33" s="32"/>
      <c r="I33" s="35"/>
      <c r="J33" s="34" t="s">
        <v>431</v>
      </c>
      <c r="K33" s="34" t="s">
        <v>134</v>
      </c>
      <c r="L33" s="34" t="s">
        <v>533</v>
      </c>
      <c r="O33" s="2"/>
    </row>
    <row r="34" spans="1:15" s="1" customFormat="1">
      <c r="A34" s="25"/>
      <c r="B34" s="26" t="s">
        <v>1912</v>
      </c>
      <c r="C34" s="26" t="s">
        <v>245</v>
      </c>
      <c r="D34" s="12" t="s">
        <v>818</v>
      </c>
      <c r="E34" s="30" t="s">
        <v>243</v>
      </c>
      <c r="F34" s="19"/>
      <c r="G34" s="19" t="s">
        <v>1913</v>
      </c>
      <c r="H34" s="32"/>
      <c r="I34" s="35"/>
      <c r="J34" s="34" t="s">
        <v>431</v>
      </c>
      <c r="K34" s="34" t="s">
        <v>134</v>
      </c>
      <c r="L34" s="34" t="s">
        <v>432</v>
      </c>
      <c r="O34" s="2"/>
    </row>
    <row r="35" spans="1:15" s="4" customFormat="1">
      <c r="B35" s="50" t="s">
        <v>233</v>
      </c>
      <c r="C35" s="51" t="s">
        <v>139</v>
      </c>
      <c r="D35" s="37" t="s">
        <v>234</v>
      </c>
      <c r="E35" s="52"/>
      <c r="F35" s="50"/>
      <c r="G35" s="50"/>
      <c r="H35" s="50"/>
      <c r="I35" s="50"/>
      <c r="J35" s="50"/>
      <c r="K35" s="50"/>
      <c r="L35" s="50"/>
    </row>
    <row r="36" spans="1:15" s="4" customFormat="1">
      <c r="B36" s="50" t="s">
        <v>235</v>
      </c>
      <c r="C36" s="51" t="s">
        <v>132</v>
      </c>
      <c r="D36" s="37" t="s">
        <v>236</v>
      </c>
      <c r="E36" s="52"/>
      <c r="F36" s="50"/>
      <c r="G36" s="50"/>
      <c r="H36" s="50"/>
      <c r="I36" s="50"/>
      <c r="J36" s="50"/>
      <c r="K36" s="50"/>
      <c r="L36" s="50"/>
    </row>
  </sheetData>
  <autoFilter ref="A14:L36" xr:uid="{00000000-0009-0000-0000-000023000000}"/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146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3" style="5" customWidth="1"/>
    <col min="2" max="2" width="23.6640625" style="5" customWidth="1"/>
    <col min="3" max="3" width="30.21875" style="5" customWidth="1"/>
    <col min="4" max="4" width="32.21875" style="5" customWidth="1"/>
    <col min="5" max="5" width="22.109375" style="5" bestFit="1" customWidth="1"/>
    <col min="6" max="6" width="24.88671875" style="5" customWidth="1"/>
    <col min="7" max="7" width="39.5546875" style="6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1:14">
      <c r="B1" s="7" t="str">
        <f>HYPERLINK("#导航!a2","返回")</f>
        <v>返回</v>
      </c>
    </row>
    <row r="2" spans="1:14">
      <c r="B2" s="156"/>
      <c r="C2" s="156"/>
      <c r="D2" s="156"/>
      <c r="E2" s="156"/>
      <c r="F2" s="156"/>
      <c r="G2" s="156"/>
      <c r="H2" s="156"/>
    </row>
    <row r="3" spans="1:14">
      <c r="B3" s="157" t="s">
        <v>106</v>
      </c>
      <c r="C3" s="157"/>
      <c r="D3" s="157"/>
      <c r="E3" s="157"/>
      <c r="F3" s="157"/>
      <c r="G3" s="157"/>
      <c r="H3" s="157"/>
    </row>
    <row r="4" spans="1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10" t="s">
        <v>12</v>
      </c>
      <c r="H4" s="9" t="s">
        <v>111</v>
      </c>
    </row>
    <row r="5" spans="1:14">
      <c r="B5" s="11" t="s">
        <v>55</v>
      </c>
      <c r="C5" s="12" t="s">
        <v>2047</v>
      </c>
      <c r="D5" s="13" t="s">
        <v>103</v>
      </c>
      <c r="E5" s="14" t="s">
        <v>383</v>
      </c>
      <c r="F5" s="15"/>
      <c r="G5" s="12"/>
      <c r="H5" s="14"/>
      <c r="N5" s="5"/>
    </row>
    <row r="6" spans="1:14">
      <c r="B6" s="8"/>
      <c r="C6" s="8"/>
      <c r="D6" s="8"/>
      <c r="E6" s="8"/>
      <c r="F6" s="8"/>
      <c r="G6" s="16"/>
      <c r="H6" s="8"/>
    </row>
    <row r="7" spans="1:14">
      <c r="B7" s="157" t="s">
        <v>113</v>
      </c>
      <c r="C7" s="157"/>
      <c r="D7" s="157"/>
      <c r="E7" s="157"/>
      <c r="F7" s="157"/>
      <c r="G7" s="157"/>
      <c r="H7" s="157"/>
    </row>
    <row r="8" spans="1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8" t="s">
        <v>22</v>
      </c>
      <c r="H8" s="17" t="s">
        <v>119</v>
      </c>
    </row>
    <row r="9" spans="1:14">
      <c r="B9" s="14"/>
      <c r="C9" s="12" t="s">
        <v>78</v>
      </c>
      <c r="D9" s="13" t="s">
        <v>79</v>
      </c>
      <c r="E9" s="14" t="s">
        <v>243</v>
      </c>
      <c r="F9" s="19"/>
      <c r="G9" s="20"/>
      <c r="H9" s="21"/>
    </row>
    <row r="10" spans="1:14">
      <c r="B10" s="14"/>
      <c r="C10" s="12"/>
      <c r="D10" s="12"/>
      <c r="E10" s="14"/>
      <c r="F10" s="19"/>
      <c r="G10" s="20"/>
      <c r="H10" s="14"/>
    </row>
    <row r="11" spans="1:14">
      <c r="G11" s="22"/>
    </row>
    <row r="12" spans="1:14">
      <c r="B12" s="5" t="s">
        <v>120</v>
      </c>
    </row>
    <row r="13" spans="1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1:14">
      <c r="B14" s="23" t="s">
        <v>121</v>
      </c>
      <c r="C14" s="23" t="s">
        <v>122</v>
      </c>
      <c r="D14" s="23" t="s">
        <v>123</v>
      </c>
      <c r="E14" s="23" t="s">
        <v>124</v>
      </c>
      <c r="F14" s="23" t="s">
        <v>125</v>
      </c>
      <c r="G14" s="24" t="s">
        <v>126</v>
      </c>
      <c r="H14" s="23" t="s">
        <v>127</v>
      </c>
      <c r="I14" s="23" t="s">
        <v>22</v>
      </c>
      <c r="J14" s="23" t="s">
        <v>128</v>
      </c>
      <c r="K14" s="23" t="s">
        <v>129</v>
      </c>
      <c r="L14" s="23" t="s">
        <v>130</v>
      </c>
    </row>
    <row r="15" spans="1:14">
      <c r="A15" s="14"/>
      <c r="B15" s="14" t="s">
        <v>383</v>
      </c>
      <c r="C15" s="14" t="s">
        <v>132</v>
      </c>
      <c r="D15" s="12" t="s">
        <v>52</v>
      </c>
      <c r="E15" s="14"/>
      <c r="F15" s="14" t="s">
        <v>1927</v>
      </c>
      <c r="G15" s="12" t="s">
        <v>1926</v>
      </c>
      <c r="H15" s="14"/>
      <c r="I15" s="14"/>
      <c r="J15" s="14" t="s">
        <v>1929</v>
      </c>
      <c r="K15" s="14" t="s">
        <v>1930</v>
      </c>
      <c r="L15" s="31" t="s">
        <v>1930</v>
      </c>
    </row>
    <row r="16" spans="1:14">
      <c r="A16" s="14"/>
      <c r="B16" s="14" t="s">
        <v>273</v>
      </c>
      <c r="C16" s="14" t="s">
        <v>132</v>
      </c>
      <c r="D16" s="12" t="s">
        <v>1924</v>
      </c>
      <c r="E16" s="14"/>
      <c r="F16" s="14" t="s">
        <v>1928</v>
      </c>
      <c r="G16" s="12" t="s">
        <v>1926</v>
      </c>
      <c r="H16" s="14"/>
      <c r="I16" s="14"/>
      <c r="J16" s="14" t="s">
        <v>1929</v>
      </c>
      <c r="K16" s="14" t="s">
        <v>1930</v>
      </c>
      <c r="L16" s="31" t="s">
        <v>1930</v>
      </c>
    </row>
    <row r="17" spans="1:12">
      <c r="A17" s="14"/>
      <c r="B17" s="14" t="s">
        <v>385</v>
      </c>
      <c r="C17" s="14" t="s">
        <v>132</v>
      </c>
      <c r="D17" s="12" t="s">
        <v>1925</v>
      </c>
      <c r="E17" s="14"/>
      <c r="F17" s="14" t="s">
        <v>385</v>
      </c>
      <c r="G17" s="12" t="s">
        <v>1926</v>
      </c>
      <c r="H17" s="14"/>
      <c r="I17" s="14"/>
      <c r="J17" s="14" t="s">
        <v>1929</v>
      </c>
      <c r="K17" s="14" t="s">
        <v>1930</v>
      </c>
      <c r="L17" s="31" t="s">
        <v>1930</v>
      </c>
    </row>
    <row r="18" spans="1:12">
      <c r="A18" s="14"/>
      <c r="B18" s="14" t="s">
        <v>284</v>
      </c>
      <c r="C18" s="14" t="s">
        <v>132</v>
      </c>
      <c r="D18" s="12" t="s">
        <v>399</v>
      </c>
      <c r="E18" s="14"/>
      <c r="F18" s="14" t="s">
        <v>284</v>
      </c>
      <c r="G18" s="12" t="s">
        <v>1926</v>
      </c>
      <c r="H18" s="14"/>
      <c r="I18" s="14"/>
      <c r="J18" s="14" t="s">
        <v>1929</v>
      </c>
      <c r="K18" s="14" t="s">
        <v>1930</v>
      </c>
      <c r="L18" s="31" t="s">
        <v>1930</v>
      </c>
    </row>
    <row r="19" spans="1:12">
      <c r="A19" s="14"/>
      <c r="B19" s="14" t="s">
        <v>287</v>
      </c>
      <c r="C19" s="14" t="s">
        <v>136</v>
      </c>
      <c r="D19" s="12" t="s">
        <v>808</v>
      </c>
      <c r="E19" s="14"/>
      <c r="F19" s="14" t="s">
        <v>287</v>
      </c>
      <c r="G19" s="12" t="s">
        <v>1926</v>
      </c>
      <c r="H19" s="14"/>
      <c r="I19" s="14"/>
      <c r="J19" s="14" t="s">
        <v>1929</v>
      </c>
      <c r="K19" s="14" t="s">
        <v>1930</v>
      </c>
      <c r="L19" s="31" t="s">
        <v>1930</v>
      </c>
    </row>
    <row r="20" spans="1:12">
      <c r="A20" s="14"/>
      <c r="B20" s="14" t="s">
        <v>141</v>
      </c>
      <c r="C20" s="14" t="s">
        <v>132</v>
      </c>
      <c r="D20" s="12" t="s">
        <v>143</v>
      </c>
      <c r="E20" s="14"/>
      <c r="F20" s="14" t="s">
        <v>141</v>
      </c>
      <c r="G20" s="12" t="s">
        <v>1926</v>
      </c>
      <c r="H20" s="14"/>
      <c r="I20" s="14"/>
      <c r="J20" s="14" t="s">
        <v>1929</v>
      </c>
      <c r="K20" s="14" t="s">
        <v>1930</v>
      </c>
      <c r="L20" s="31" t="s">
        <v>1930</v>
      </c>
    </row>
    <row r="21" spans="1:12">
      <c r="A21" s="14"/>
      <c r="B21" s="14" t="s">
        <v>251</v>
      </c>
      <c r="C21" s="14" t="s">
        <v>132</v>
      </c>
      <c r="D21" s="12" t="s">
        <v>1921</v>
      </c>
      <c r="E21" s="14"/>
      <c r="F21" s="14" t="s">
        <v>251</v>
      </c>
      <c r="G21" s="12" t="s">
        <v>1926</v>
      </c>
      <c r="H21" s="14"/>
      <c r="I21" s="14"/>
      <c r="J21" s="14" t="s">
        <v>1929</v>
      </c>
      <c r="K21" s="14" t="s">
        <v>1930</v>
      </c>
      <c r="L21" s="31" t="s">
        <v>1930</v>
      </c>
    </row>
    <row r="22" spans="1:12">
      <c r="A22" s="14"/>
      <c r="B22" s="14" t="s">
        <v>254</v>
      </c>
      <c r="C22" s="14" t="s">
        <v>132</v>
      </c>
      <c r="D22" s="12" t="s">
        <v>1049</v>
      </c>
      <c r="E22" s="14"/>
      <c r="F22" s="14" t="s">
        <v>254</v>
      </c>
      <c r="G22" s="12" t="s">
        <v>1926</v>
      </c>
      <c r="H22" s="14"/>
      <c r="I22" s="14"/>
      <c r="J22" s="14" t="s">
        <v>1929</v>
      </c>
      <c r="K22" s="14" t="s">
        <v>1930</v>
      </c>
      <c r="L22" s="31" t="s">
        <v>1930</v>
      </c>
    </row>
    <row r="23" spans="1:12">
      <c r="A23" s="14"/>
      <c r="B23" s="14" t="s">
        <v>257</v>
      </c>
      <c r="C23" s="14" t="s">
        <v>132</v>
      </c>
      <c r="D23" s="12" t="s">
        <v>258</v>
      </c>
      <c r="E23" s="14"/>
      <c r="F23" s="14" t="s">
        <v>257</v>
      </c>
      <c r="G23" s="12" t="s">
        <v>1926</v>
      </c>
      <c r="H23" s="14"/>
      <c r="I23" s="14"/>
      <c r="J23" s="14" t="s">
        <v>1929</v>
      </c>
      <c r="K23" s="14" t="s">
        <v>1930</v>
      </c>
      <c r="L23" s="31" t="s">
        <v>1930</v>
      </c>
    </row>
    <row r="24" spans="1:12">
      <c r="A24" s="14"/>
      <c r="B24" s="14" t="s">
        <v>2196</v>
      </c>
      <c r="C24" s="14" t="s">
        <v>139</v>
      </c>
      <c r="D24" s="12" t="s">
        <v>1922</v>
      </c>
      <c r="E24" s="14"/>
      <c r="F24" s="14"/>
      <c r="G24" s="12" t="s">
        <v>2277</v>
      </c>
      <c r="H24" s="14"/>
      <c r="I24" s="14"/>
      <c r="J24" s="14" t="s">
        <v>1929</v>
      </c>
      <c r="K24" s="14" t="s">
        <v>1930</v>
      </c>
      <c r="L24" s="31" t="s">
        <v>1930</v>
      </c>
    </row>
    <row r="25" spans="1:12">
      <c r="A25" s="14"/>
      <c r="B25" s="14" t="s">
        <v>1058</v>
      </c>
      <c r="C25" s="14" t="s">
        <v>245</v>
      </c>
      <c r="D25" s="12" t="s">
        <v>513</v>
      </c>
      <c r="E25" s="14"/>
      <c r="F25" s="14"/>
      <c r="G25" s="12" t="s">
        <v>1972</v>
      </c>
      <c r="H25" s="14"/>
      <c r="I25" s="14"/>
      <c r="J25" s="14" t="s">
        <v>1932</v>
      </c>
      <c r="K25" s="14" t="s">
        <v>1930</v>
      </c>
      <c r="L25" s="31" t="s">
        <v>439</v>
      </c>
    </row>
    <row r="26" spans="1:12">
      <c r="A26" s="14"/>
      <c r="B26" s="14" t="s">
        <v>1060</v>
      </c>
      <c r="C26" s="14" t="s">
        <v>245</v>
      </c>
      <c r="D26" s="12" t="s">
        <v>516</v>
      </c>
      <c r="E26" s="14"/>
      <c r="F26" s="14"/>
      <c r="G26" s="12" t="s">
        <v>1972</v>
      </c>
      <c r="H26" s="14"/>
      <c r="I26" s="14"/>
      <c r="J26" s="14" t="s">
        <v>1932</v>
      </c>
      <c r="K26" s="14" t="s">
        <v>1930</v>
      </c>
      <c r="L26" s="31" t="s">
        <v>439</v>
      </c>
    </row>
    <row r="27" spans="1:12">
      <c r="A27" s="14"/>
      <c r="B27" s="14" t="s">
        <v>1062</v>
      </c>
      <c r="C27" s="14" t="s">
        <v>136</v>
      </c>
      <c r="D27" s="12" t="s">
        <v>519</v>
      </c>
      <c r="E27" s="14"/>
      <c r="F27" s="14"/>
      <c r="G27" s="12" t="s">
        <v>1972</v>
      </c>
      <c r="H27" s="14"/>
      <c r="I27" s="14"/>
      <c r="J27" s="14" t="s">
        <v>1932</v>
      </c>
      <c r="K27" s="14" t="s">
        <v>1930</v>
      </c>
      <c r="L27" s="31" t="s">
        <v>439</v>
      </c>
    </row>
    <row r="28" spans="1:12">
      <c r="A28" s="14"/>
      <c r="B28" s="14" t="s">
        <v>936</v>
      </c>
      <c r="C28" s="14" t="s">
        <v>136</v>
      </c>
      <c r="D28" s="12" t="s">
        <v>937</v>
      </c>
      <c r="E28" s="14"/>
      <c r="F28" s="14"/>
      <c r="G28" s="12" t="s">
        <v>1972</v>
      </c>
      <c r="H28" s="14"/>
      <c r="I28" s="14"/>
      <c r="J28" s="14" t="s">
        <v>1932</v>
      </c>
      <c r="K28" s="14" t="s">
        <v>1930</v>
      </c>
      <c r="L28" s="31" t="s">
        <v>439</v>
      </c>
    </row>
    <row r="29" spans="1:12">
      <c r="A29" s="14"/>
      <c r="B29" s="14" t="s">
        <v>939</v>
      </c>
      <c r="C29" s="14" t="s">
        <v>136</v>
      </c>
      <c r="D29" s="12" t="s">
        <v>940</v>
      </c>
      <c r="E29" s="14"/>
      <c r="F29" s="14"/>
      <c r="G29" s="12" t="s">
        <v>1972</v>
      </c>
      <c r="H29" s="14"/>
      <c r="I29" s="14"/>
      <c r="J29" s="14" t="s">
        <v>1932</v>
      </c>
      <c r="K29" s="14" t="s">
        <v>1930</v>
      </c>
      <c r="L29" s="31" t="s">
        <v>439</v>
      </c>
    </row>
    <row r="30" spans="1:12">
      <c r="A30" s="14"/>
      <c r="B30" s="14" t="s">
        <v>942</v>
      </c>
      <c r="C30" s="14" t="s">
        <v>245</v>
      </c>
      <c r="D30" s="12" t="s">
        <v>943</v>
      </c>
      <c r="E30" s="14"/>
      <c r="F30" s="14"/>
      <c r="G30" s="12" t="s">
        <v>1972</v>
      </c>
      <c r="H30" s="14"/>
      <c r="I30" s="14"/>
      <c r="J30" s="14" t="s">
        <v>1932</v>
      </c>
      <c r="K30" s="14" t="s">
        <v>1930</v>
      </c>
      <c r="L30" s="31" t="s">
        <v>439</v>
      </c>
    </row>
    <row r="31" spans="1:12">
      <c r="A31" s="14"/>
      <c r="B31" s="14" t="s">
        <v>811</v>
      </c>
      <c r="C31" s="14" t="s">
        <v>136</v>
      </c>
      <c r="D31" s="12" t="s">
        <v>530</v>
      </c>
      <c r="E31" s="14"/>
      <c r="F31" s="14"/>
      <c r="G31" s="12" t="s">
        <v>1306</v>
      </c>
      <c r="H31" s="14"/>
      <c r="I31" s="14"/>
      <c r="J31" s="14" t="s">
        <v>1932</v>
      </c>
      <c r="K31" s="14" t="s">
        <v>1930</v>
      </c>
      <c r="L31" s="31" t="s">
        <v>439</v>
      </c>
    </row>
    <row r="32" spans="1:12">
      <c r="A32" s="14"/>
      <c r="B32" s="14" t="s">
        <v>1064</v>
      </c>
      <c r="C32" s="14" t="s">
        <v>136</v>
      </c>
      <c r="D32" s="12" t="s">
        <v>1065</v>
      </c>
      <c r="E32" s="14"/>
      <c r="F32" s="14"/>
      <c r="G32" s="12" t="s">
        <v>1066</v>
      </c>
      <c r="H32" s="14"/>
      <c r="I32" s="14"/>
      <c r="J32" s="14" t="s">
        <v>1932</v>
      </c>
      <c r="K32" s="14" t="s">
        <v>1930</v>
      </c>
      <c r="L32" s="12">
        <v>0</v>
      </c>
    </row>
    <row r="33" spans="1:12">
      <c r="A33" s="14"/>
      <c r="B33" s="14" t="s">
        <v>1067</v>
      </c>
      <c r="C33" s="14" t="s">
        <v>136</v>
      </c>
      <c r="D33" s="12" t="s">
        <v>1068</v>
      </c>
      <c r="E33" s="14"/>
      <c r="F33" s="14"/>
      <c r="G33" s="12" t="s">
        <v>1066</v>
      </c>
      <c r="H33" s="14"/>
      <c r="I33" s="14"/>
      <c r="J33" s="14" t="s">
        <v>1932</v>
      </c>
      <c r="K33" s="14" t="s">
        <v>1930</v>
      </c>
      <c r="L33" s="12">
        <v>0</v>
      </c>
    </row>
    <row r="34" spans="1:12">
      <c r="A34" s="14"/>
      <c r="B34" s="14" t="s">
        <v>820</v>
      </c>
      <c r="C34" s="14" t="s">
        <v>136</v>
      </c>
      <c r="D34" s="12" t="s">
        <v>821</v>
      </c>
      <c r="E34" s="14"/>
      <c r="F34" s="14"/>
      <c r="G34" s="12" t="s">
        <v>2197</v>
      </c>
      <c r="H34" s="14"/>
      <c r="I34" s="14"/>
      <c r="J34" s="14" t="s">
        <v>1932</v>
      </c>
      <c r="K34" s="14" t="s">
        <v>1930</v>
      </c>
      <c r="L34" s="31" t="s">
        <v>439</v>
      </c>
    </row>
    <row r="35" spans="1:12">
      <c r="A35" s="14"/>
      <c r="B35" s="14" t="s">
        <v>814</v>
      </c>
      <c r="C35" s="14" t="s">
        <v>136</v>
      </c>
      <c r="D35" s="12" t="s">
        <v>815</v>
      </c>
      <c r="E35" s="14"/>
      <c r="F35" s="14"/>
      <c r="G35" s="12" t="s">
        <v>2199</v>
      </c>
      <c r="H35" s="14"/>
      <c r="I35" s="14"/>
      <c r="J35" s="14" t="s">
        <v>1932</v>
      </c>
      <c r="K35" s="14" t="s">
        <v>1930</v>
      </c>
      <c r="L35" s="31" t="s">
        <v>533</v>
      </c>
    </row>
    <row r="36" spans="1:12">
      <c r="A36" s="14"/>
      <c r="B36" s="14" t="s">
        <v>817</v>
      </c>
      <c r="C36" s="14" t="s">
        <v>245</v>
      </c>
      <c r="D36" s="12" t="s">
        <v>818</v>
      </c>
      <c r="E36" s="14"/>
      <c r="F36" s="14"/>
      <c r="G36" s="12" t="s">
        <v>2200</v>
      </c>
      <c r="H36" s="14"/>
      <c r="I36" s="14"/>
      <c r="J36" s="14" t="s">
        <v>1932</v>
      </c>
      <c r="K36" s="14" t="s">
        <v>1930</v>
      </c>
      <c r="L36" s="31" t="s">
        <v>432</v>
      </c>
    </row>
    <row r="37" spans="1:12">
      <c r="A37" s="14"/>
      <c r="B37" s="14" t="s">
        <v>823</v>
      </c>
      <c r="C37" s="14" t="s">
        <v>136</v>
      </c>
      <c r="D37" s="12" t="s">
        <v>1070</v>
      </c>
      <c r="E37" s="14"/>
      <c r="F37" s="14"/>
      <c r="G37" s="12" t="s">
        <v>1577</v>
      </c>
      <c r="H37" s="14"/>
      <c r="I37" s="14"/>
      <c r="J37" s="14" t="s">
        <v>1932</v>
      </c>
      <c r="K37" s="14" t="s">
        <v>1930</v>
      </c>
      <c r="L37" s="31" t="s">
        <v>439</v>
      </c>
    </row>
    <row r="38" spans="1:12">
      <c r="A38" s="14"/>
      <c r="B38" s="14" t="s">
        <v>826</v>
      </c>
      <c r="C38" s="14" t="s">
        <v>136</v>
      </c>
      <c r="D38" s="12" t="s">
        <v>1073</v>
      </c>
      <c r="E38" s="14"/>
      <c r="F38" s="14"/>
      <c r="G38" s="12" t="s">
        <v>1578</v>
      </c>
      <c r="H38" s="14"/>
      <c r="I38" s="14"/>
      <c r="J38" s="14" t="s">
        <v>1932</v>
      </c>
      <c r="K38" s="14" t="s">
        <v>1930</v>
      </c>
      <c r="L38" s="31" t="s">
        <v>439</v>
      </c>
    </row>
    <row r="39" spans="1:12">
      <c r="A39" s="14"/>
      <c r="B39" s="14" t="s">
        <v>829</v>
      </c>
      <c r="C39" s="14" t="s">
        <v>136</v>
      </c>
      <c r="D39" s="12" t="s">
        <v>1076</v>
      </c>
      <c r="E39" s="14"/>
      <c r="F39" s="14"/>
      <c r="G39" s="12" t="s">
        <v>1077</v>
      </c>
      <c r="H39" s="14"/>
      <c r="I39" s="14"/>
      <c r="J39" s="14" t="s">
        <v>1932</v>
      </c>
      <c r="K39" s="14" t="s">
        <v>1930</v>
      </c>
      <c r="L39" s="31" t="s">
        <v>439</v>
      </c>
    </row>
    <row r="40" spans="1:12">
      <c r="A40" s="14"/>
      <c r="B40" s="14" t="s">
        <v>832</v>
      </c>
      <c r="C40" s="14" t="s">
        <v>136</v>
      </c>
      <c r="D40" s="12" t="s">
        <v>1079</v>
      </c>
      <c r="E40" s="14"/>
      <c r="F40" s="14"/>
      <c r="G40" s="12" t="s">
        <v>837</v>
      </c>
      <c r="H40" s="14"/>
      <c r="I40" s="14"/>
      <c r="J40" s="14" t="s">
        <v>1932</v>
      </c>
      <c r="K40" s="14" t="s">
        <v>1930</v>
      </c>
      <c r="L40" s="31" t="s">
        <v>439</v>
      </c>
    </row>
    <row r="41" spans="1:12">
      <c r="A41" s="14"/>
      <c r="B41" s="14" t="s">
        <v>835</v>
      </c>
      <c r="C41" s="14" t="s">
        <v>136</v>
      </c>
      <c r="D41" s="12" t="s">
        <v>1081</v>
      </c>
      <c r="E41" s="14"/>
      <c r="F41" s="14"/>
      <c r="G41" s="12" t="s">
        <v>834</v>
      </c>
      <c r="H41" s="14"/>
      <c r="I41" s="14"/>
      <c r="J41" s="14" t="s">
        <v>1932</v>
      </c>
      <c r="K41" s="14" t="s">
        <v>1930</v>
      </c>
      <c r="L41" s="31" t="s">
        <v>439</v>
      </c>
    </row>
    <row r="42" spans="1:12">
      <c r="A42" s="14"/>
      <c r="B42" s="14" t="s">
        <v>838</v>
      </c>
      <c r="C42" s="14" t="s">
        <v>136</v>
      </c>
      <c r="D42" s="12" t="s">
        <v>1083</v>
      </c>
      <c r="E42" s="14"/>
      <c r="F42" s="14"/>
      <c r="G42" s="12" t="s">
        <v>1084</v>
      </c>
      <c r="H42" s="14"/>
      <c r="I42" s="14"/>
      <c r="J42" s="14" t="s">
        <v>1932</v>
      </c>
      <c r="K42" s="14" t="s">
        <v>1930</v>
      </c>
      <c r="L42" s="31" t="s">
        <v>439</v>
      </c>
    </row>
    <row r="43" spans="1:12">
      <c r="A43" s="14"/>
      <c r="B43" s="14" t="s">
        <v>841</v>
      </c>
      <c r="C43" s="14" t="s">
        <v>136</v>
      </c>
      <c r="D43" s="12" t="s">
        <v>1086</v>
      </c>
      <c r="E43" s="14"/>
      <c r="F43" s="14"/>
      <c r="G43" s="12" t="s">
        <v>1087</v>
      </c>
      <c r="H43" s="14"/>
      <c r="I43" s="14"/>
      <c r="J43" s="14" t="s">
        <v>1932</v>
      </c>
      <c r="K43" s="14" t="s">
        <v>1930</v>
      </c>
      <c r="L43" s="31" t="s">
        <v>439</v>
      </c>
    </row>
    <row r="44" spans="1:12">
      <c r="A44" s="14"/>
      <c r="B44" s="14" t="s">
        <v>1488</v>
      </c>
      <c r="C44" s="14" t="s">
        <v>136</v>
      </c>
      <c r="D44" s="12" t="s">
        <v>1089</v>
      </c>
      <c r="E44" s="14"/>
      <c r="F44" s="14"/>
      <c r="G44" s="12" t="s">
        <v>1090</v>
      </c>
      <c r="H44" s="14"/>
      <c r="I44" s="14"/>
      <c r="J44" s="14" t="s">
        <v>1932</v>
      </c>
      <c r="K44" s="14" t="s">
        <v>1930</v>
      </c>
      <c r="L44" s="31" t="s">
        <v>439</v>
      </c>
    </row>
    <row r="45" spans="1:12">
      <c r="A45" s="14"/>
      <c r="B45" s="14" t="s">
        <v>1489</v>
      </c>
      <c r="C45" s="14" t="s">
        <v>136</v>
      </c>
      <c r="D45" s="12" t="s">
        <v>1092</v>
      </c>
      <c r="E45" s="14"/>
      <c r="F45" s="14"/>
      <c r="G45" s="12" t="s">
        <v>1093</v>
      </c>
      <c r="H45" s="14"/>
      <c r="I45" s="14"/>
      <c r="J45" s="14" t="s">
        <v>1932</v>
      </c>
      <c r="K45" s="14" t="s">
        <v>1930</v>
      </c>
      <c r="L45" s="31" t="s">
        <v>439</v>
      </c>
    </row>
    <row r="46" spans="1:12">
      <c r="A46" s="14"/>
      <c r="B46" s="14" t="s">
        <v>1490</v>
      </c>
      <c r="C46" s="14" t="s">
        <v>136</v>
      </c>
      <c r="D46" s="12" t="s">
        <v>1095</v>
      </c>
      <c r="E46" s="14"/>
      <c r="F46" s="14"/>
      <c r="G46" s="12" t="s">
        <v>1096</v>
      </c>
      <c r="H46" s="14"/>
      <c r="I46" s="14"/>
      <c r="J46" s="14" t="s">
        <v>1932</v>
      </c>
      <c r="K46" s="14" t="s">
        <v>1930</v>
      </c>
      <c r="L46" s="31" t="s">
        <v>439</v>
      </c>
    </row>
    <row r="47" spans="1:12">
      <c r="A47" s="14"/>
      <c r="B47" s="14" t="s">
        <v>1491</v>
      </c>
      <c r="C47" s="14" t="s">
        <v>136</v>
      </c>
      <c r="D47" s="12" t="s">
        <v>1098</v>
      </c>
      <c r="E47" s="14"/>
      <c r="F47" s="14"/>
      <c r="G47" s="12" t="s">
        <v>1099</v>
      </c>
      <c r="H47" s="14"/>
      <c r="I47" s="14"/>
      <c r="J47" s="14" t="s">
        <v>1932</v>
      </c>
      <c r="K47" s="14" t="s">
        <v>1930</v>
      </c>
      <c r="L47" s="31" t="s">
        <v>439</v>
      </c>
    </row>
    <row r="48" spans="1:12">
      <c r="A48" s="14"/>
      <c r="B48" s="14" t="s">
        <v>1492</v>
      </c>
      <c r="C48" s="14" t="s">
        <v>136</v>
      </c>
      <c r="D48" s="12" t="s">
        <v>1101</v>
      </c>
      <c r="E48" s="14"/>
      <c r="F48" s="14"/>
      <c r="G48" s="12" t="s">
        <v>1102</v>
      </c>
      <c r="H48" s="14"/>
      <c r="I48" s="14"/>
      <c r="J48" s="14" t="s">
        <v>1932</v>
      </c>
      <c r="K48" s="14" t="s">
        <v>1930</v>
      </c>
      <c r="L48" s="31" t="s">
        <v>439</v>
      </c>
    </row>
    <row r="49" spans="1:12">
      <c r="A49" s="14"/>
      <c r="B49" s="14" t="s">
        <v>844</v>
      </c>
      <c r="C49" s="14" t="s">
        <v>136</v>
      </c>
      <c r="D49" s="12" t="s">
        <v>1937</v>
      </c>
      <c r="E49" s="14"/>
      <c r="F49" s="14"/>
      <c r="G49" s="12" t="s">
        <v>2203</v>
      </c>
      <c r="H49" s="14"/>
      <c r="I49" s="14"/>
      <c r="J49" s="14" t="s">
        <v>1932</v>
      </c>
      <c r="K49" s="14" t="s">
        <v>1930</v>
      </c>
      <c r="L49" s="31" t="s">
        <v>439</v>
      </c>
    </row>
    <row r="50" spans="1:12">
      <c r="A50" s="14"/>
      <c r="B50" s="14" t="s">
        <v>846</v>
      </c>
      <c r="C50" s="14" t="s">
        <v>245</v>
      </c>
      <c r="D50" s="12" t="s">
        <v>1938</v>
      </c>
      <c r="E50" s="14"/>
      <c r="F50" s="14"/>
      <c r="G50" s="12" t="s">
        <v>2205</v>
      </c>
      <c r="H50" s="14"/>
      <c r="I50" s="14"/>
      <c r="J50" s="14" t="s">
        <v>1932</v>
      </c>
      <c r="K50" s="14" t="s">
        <v>1930</v>
      </c>
      <c r="L50" s="31" t="s">
        <v>568</v>
      </c>
    </row>
    <row r="51" spans="1:12">
      <c r="A51" s="14"/>
      <c r="B51" s="14" t="s">
        <v>948</v>
      </c>
      <c r="C51" s="14" t="s">
        <v>136</v>
      </c>
      <c r="D51" s="12" t="s">
        <v>949</v>
      </c>
      <c r="E51" s="14"/>
      <c r="F51" s="14"/>
      <c r="G51" s="12" t="s">
        <v>2207</v>
      </c>
      <c r="H51" s="14"/>
      <c r="I51" s="14"/>
      <c r="J51" s="14" t="s">
        <v>1932</v>
      </c>
      <c r="K51" s="14" t="s">
        <v>1930</v>
      </c>
      <c r="L51" s="31" t="s">
        <v>439</v>
      </c>
    </row>
    <row r="52" spans="1:12">
      <c r="A52" s="14"/>
      <c r="B52" s="14" t="s">
        <v>1103</v>
      </c>
      <c r="C52" s="14" t="s">
        <v>245</v>
      </c>
      <c r="D52" s="12" t="s">
        <v>1104</v>
      </c>
      <c r="E52" s="14"/>
      <c r="F52" s="14"/>
      <c r="G52" s="12" t="s">
        <v>2209</v>
      </c>
      <c r="H52" s="14"/>
      <c r="I52" s="14"/>
      <c r="J52" s="14" t="s">
        <v>1932</v>
      </c>
      <c r="K52" s="14" t="s">
        <v>1930</v>
      </c>
      <c r="L52" s="31" t="s">
        <v>533</v>
      </c>
    </row>
    <row r="53" spans="1:12">
      <c r="A53" s="14"/>
      <c r="B53" s="14" t="s">
        <v>1106</v>
      </c>
      <c r="C53" s="14" t="s">
        <v>245</v>
      </c>
      <c r="D53" s="12" t="s">
        <v>1107</v>
      </c>
      <c r="E53" s="14"/>
      <c r="F53" s="14"/>
      <c r="G53" s="12" t="s">
        <v>2210</v>
      </c>
      <c r="H53" s="14"/>
      <c r="I53" s="14"/>
      <c r="J53" s="14" t="s">
        <v>1932</v>
      </c>
      <c r="K53" s="14" t="s">
        <v>1930</v>
      </c>
      <c r="L53" s="31" t="s">
        <v>579</v>
      </c>
    </row>
    <row r="54" spans="1:12">
      <c r="A54" s="14"/>
      <c r="B54" s="14" t="s">
        <v>951</v>
      </c>
      <c r="C54" s="14" t="s">
        <v>136</v>
      </c>
      <c r="D54" s="12" t="s">
        <v>1110</v>
      </c>
      <c r="E54" s="14" t="s">
        <v>243</v>
      </c>
      <c r="F54" s="14"/>
      <c r="G54" s="12" t="s">
        <v>965</v>
      </c>
      <c r="H54" s="14"/>
      <c r="I54" s="14"/>
      <c r="J54" s="14" t="s">
        <v>1932</v>
      </c>
      <c r="K54" s="14" t="s">
        <v>1930</v>
      </c>
      <c r="L54" s="31" t="s">
        <v>439</v>
      </c>
    </row>
    <row r="55" spans="1:12">
      <c r="A55" s="14"/>
      <c r="B55" s="14" t="s">
        <v>954</v>
      </c>
      <c r="C55" s="14" t="s">
        <v>136</v>
      </c>
      <c r="D55" s="12" t="s">
        <v>1112</v>
      </c>
      <c r="E55" s="14" t="s">
        <v>243</v>
      </c>
      <c r="F55" s="14"/>
      <c r="G55" s="12" t="s">
        <v>963</v>
      </c>
      <c r="H55" s="14"/>
      <c r="I55" s="14"/>
      <c r="J55" s="14" t="s">
        <v>1932</v>
      </c>
      <c r="K55" s="14" t="s">
        <v>1930</v>
      </c>
      <c r="L55" s="31" t="s">
        <v>439</v>
      </c>
    </row>
    <row r="56" spans="1:12">
      <c r="A56" s="14"/>
      <c r="B56" s="14" t="s">
        <v>956</v>
      </c>
      <c r="C56" s="14" t="s">
        <v>136</v>
      </c>
      <c r="D56" s="12" t="s">
        <v>1114</v>
      </c>
      <c r="E56" s="14" t="s">
        <v>243</v>
      </c>
      <c r="F56" s="14"/>
      <c r="G56" s="12" t="s">
        <v>961</v>
      </c>
      <c r="H56" s="14"/>
      <c r="I56" s="14"/>
      <c r="J56" s="14" t="s">
        <v>1932</v>
      </c>
      <c r="K56" s="14" t="s">
        <v>1930</v>
      </c>
      <c r="L56" s="31" t="s">
        <v>439</v>
      </c>
    </row>
    <row r="57" spans="1:12">
      <c r="A57" s="14"/>
      <c r="B57" s="14" t="s">
        <v>958</v>
      </c>
      <c r="C57" s="14" t="s">
        <v>136</v>
      </c>
      <c r="D57" s="12" t="s">
        <v>1116</v>
      </c>
      <c r="E57" s="14" t="s">
        <v>243</v>
      </c>
      <c r="F57" s="14"/>
      <c r="G57" s="12" t="s">
        <v>959</v>
      </c>
      <c r="H57" s="14"/>
      <c r="I57" s="14"/>
      <c r="J57" s="14" t="s">
        <v>1932</v>
      </c>
      <c r="K57" s="14" t="s">
        <v>1930</v>
      </c>
      <c r="L57" s="31" t="s">
        <v>439</v>
      </c>
    </row>
    <row r="58" spans="1:12">
      <c r="A58" s="14"/>
      <c r="B58" s="14" t="s">
        <v>960</v>
      </c>
      <c r="C58" s="14" t="s">
        <v>136</v>
      </c>
      <c r="D58" s="12" t="s">
        <v>1118</v>
      </c>
      <c r="E58" s="14" t="s">
        <v>243</v>
      </c>
      <c r="F58" s="14"/>
      <c r="G58" s="12" t="s">
        <v>957</v>
      </c>
      <c r="H58" s="14"/>
      <c r="I58" s="14"/>
      <c r="J58" s="14" t="s">
        <v>1932</v>
      </c>
      <c r="K58" s="14" t="s">
        <v>1930</v>
      </c>
      <c r="L58" s="31" t="s">
        <v>439</v>
      </c>
    </row>
    <row r="59" spans="1:12">
      <c r="A59" s="14"/>
      <c r="B59" s="14" t="s">
        <v>962</v>
      </c>
      <c r="C59" s="14" t="s">
        <v>136</v>
      </c>
      <c r="D59" s="12" t="s">
        <v>1120</v>
      </c>
      <c r="E59" s="14" t="s">
        <v>243</v>
      </c>
      <c r="F59" s="14"/>
      <c r="G59" s="12" t="s">
        <v>955</v>
      </c>
      <c r="H59" s="14"/>
      <c r="I59" s="14"/>
      <c r="J59" s="14" t="s">
        <v>1932</v>
      </c>
      <c r="K59" s="14" t="s">
        <v>1930</v>
      </c>
      <c r="L59" s="31" t="s">
        <v>439</v>
      </c>
    </row>
    <row r="60" spans="1:12">
      <c r="A60" s="14"/>
      <c r="B60" s="14" t="s">
        <v>964</v>
      </c>
      <c r="C60" s="14" t="s">
        <v>136</v>
      </c>
      <c r="D60" s="12" t="s">
        <v>1122</v>
      </c>
      <c r="E60" s="14" t="s">
        <v>243</v>
      </c>
      <c r="F60" s="14"/>
      <c r="G60" s="12" t="s">
        <v>1123</v>
      </c>
      <c r="H60" s="14"/>
      <c r="I60" s="14"/>
      <c r="J60" s="14" t="s">
        <v>1932</v>
      </c>
      <c r="K60" s="14" t="s">
        <v>1930</v>
      </c>
      <c r="L60" s="31" t="s">
        <v>439</v>
      </c>
    </row>
    <row r="61" spans="1:12">
      <c r="A61" s="14"/>
      <c r="B61" s="14" t="s">
        <v>1502</v>
      </c>
      <c r="C61" s="14" t="s">
        <v>136</v>
      </c>
      <c r="D61" s="12" t="s">
        <v>1125</v>
      </c>
      <c r="E61" s="14" t="s">
        <v>243</v>
      </c>
      <c r="F61" s="14"/>
      <c r="G61" s="12" t="s">
        <v>1126</v>
      </c>
      <c r="H61" s="14"/>
      <c r="I61" s="14"/>
      <c r="J61" s="14" t="s">
        <v>1932</v>
      </c>
      <c r="K61" s="14" t="s">
        <v>1930</v>
      </c>
      <c r="L61" s="31" t="s">
        <v>439</v>
      </c>
    </row>
    <row r="62" spans="1:12">
      <c r="A62" s="14"/>
      <c r="B62" s="14" t="s">
        <v>1504</v>
      </c>
      <c r="C62" s="14" t="s">
        <v>136</v>
      </c>
      <c r="D62" s="12" t="s">
        <v>1128</v>
      </c>
      <c r="E62" s="14" t="s">
        <v>243</v>
      </c>
      <c r="F62" s="14"/>
      <c r="G62" s="12" t="s">
        <v>1129</v>
      </c>
      <c r="H62" s="14"/>
      <c r="I62" s="14"/>
      <c r="J62" s="14" t="s">
        <v>1932</v>
      </c>
      <c r="K62" s="14" t="s">
        <v>1930</v>
      </c>
      <c r="L62" s="31" t="s">
        <v>439</v>
      </c>
    </row>
    <row r="63" spans="1:12">
      <c r="A63" s="14"/>
      <c r="B63" s="14" t="s">
        <v>1506</v>
      </c>
      <c r="C63" s="14" t="s">
        <v>136</v>
      </c>
      <c r="D63" s="12" t="s">
        <v>1131</v>
      </c>
      <c r="E63" s="14" t="s">
        <v>243</v>
      </c>
      <c r="F63" s="14"/>
      <c r="G63" s="12" t="s">
        <v>1132</v>
      </c>
      <c r="H63" s="14"/>
      <c r="I63" s="14"/>
      <c r="J63" s="14" t="s">
        <v>1932</v>
      </c>
      <c r="K63" s="14" t="s">
        <v>1930</v>
      </c>
      <c r="L63" s="31" t="s">
        <v>439</v>
      </c>
    </row>
    <row r="64" spans="1:12">
      <c r="A64" s="14"/>
      <c r="B64" s="14" t="s">
        <v>1508</v>
      </c>
      <c r="C64" s="14" t="s">
        <v>136</v>
      </c>
      <c r="D64" s="12" t="s">
        <v>1134</v>
      </c>
      <c r="E64" s="14" t="s">
        <v>243</v>
      </c>
      <c r="F64" s="14"/>
      <c r="G64" s="12" t="s">
        <v>1135</v>
      </c>
      <c r="H64" s="14"/>
      <c r="I64" s="14"/>
      <c r="J64" s="14" t="s">
        <v>1932</v>
      </c>
      <c r="K64" s="14" t="s">
        <v>1930</v>
      </c>
      <c r="L64" s="31" t="s">
        <v>439</v>
      </c>
    </row>
    <row r="65" spans="1:12">
      <c r="A65" s="14"/>
      <c r="B65" s="14" t="s">
        <v>1510</v>
      </c>
      <c r="C65" s="14" t="s">
        <v>136</v>
      </c>
      <c r="D65" s="12" t="s">
        <v>1137</v>
      </c>
      <c r="E65" s="14" t="s">
        <v>243</v>
      </c>
      <c r="F65" s="14"/>
      <c r="G65" s="12" t="s">
        <v>1138</v>
      </c>
      <c r="H65" s="14"/>
      <c r="I65" s="14"/>
      <c r="J65" s="14" t="s">
        <v>1932</v>
      </c>
      <c r="K65" s="14" t="s">
        <v>1930</v>
      </c>
      <c r="L65" s="31" t="s">
        <v>439</v>
      </c>
    </row>
    <row r="66" spans="1:12">
      <c r="A66" s="14"/>
      <c r="B66" s="14" t="s">
        <v>1139</v>
      </c>
      <c r="C66" s="14" t="s">
        <v>136</v>
      </c>
      <c r="D66" s="12" t="s">
        <v>1931</v>
      </c>
      <c r="E66" s="14"/>
      <c r="F66" s="14"/>
      <c r="G66" s="12" t="s">
        <v>2212</v>
      </c>
      <c r="H66" s="14"/>
      <c r="I66" s="14"/>
      <c r="J66" s="14" t="s">
        <v>1932</v>
      </c>
      <c r="K66" s="14" t="s">
        <v>1930</v>
      </c>
      <c r="L66" s="31" t="s">
        <v>439</v>
      </c>
    </row>
    <row r="67" spans="1:12">
      <c r="A67" s="14"/>
      <c r="B67" s="14" t="s">
        <v>1142</v>
      </c>
      <c r="C67" s="14" t="s">
        <v>245</v>
      </c>
      <c r="D67" s="12" t="s">
        <v>1143</v>
      </c>
      <c r="E67" s="14"/>
      <c r="F67" s="14"/>
      <c r="G67" s="12" t="s">
        <v>2213</v>
      </c>
      <c r="H67" s="14"/>
      <c r="I67" s="14"/>
      <c r="J67" s="14" t="s">
        <v>1932</v>
      </c>
      <c r="K67" s="14" t="s">
        <v>1930</v>
      </c>
      <c r="L67" s="31" t="s">
        <v>568</v>
      </c>
    </row>
    <row r="68" spans="1:12">
      <c r="A68" s="14"/>
      <c r="B68" s="14" t="s">
        <v>1145</v>
      </c>
      <c r="C68" s="14" t="s">
        <v>136</v>
      </c>
      <c r="D68" s="12" t="s">
        <v>1146</v>
      </c>
      <c r="E68" s="14"/>
      <c r="F68" s="14"/>
      <c r="G68" s="12" t="s">
        <v>2215</v>
      </c>
      <c r="H68" s="14"/>
      <c r="I68" s="14"/>
      <c r="J68" s="14" t="s">
        <v>1932</v>
      </c>
      <c r="K68" s="14" t="s">
        <v>1930</v>
      </c>
      <c r="L68" s="31" t="s">
        <v>439</v>
      </c>
    </row>
    <row r="69" spans="1:12">
      <c r="A69" s="14"/>
      <c r="B69" s="14" t="s">
        <v>1147</v>
      </c>
      <c r="C69" s="14" t="s">
        <v>245</v>
      </c>
      <c r="D69" s="12" t="s">
        <v>1148</v>
      </c>
      <c r="E69" s="14"/>
      <c r="F69" s="14"/>
      <c r="G69" s="12" t="s">
        <v>2217</v>
      </c>
      <c r="H69" s="14"/>
      <c r="I69" s="14"/>
      <c r="J69" s="14" t="s">
        <v>1932</v>
      </c>
      <c r="K69" s="14" t="s">
        <v>1930</v>
      </c>
      <c r="L69" s="31" t="s">
        <v>610</v>
      </c>
    </row>
    <row r="70" spans="1:12">
      <c r="A70" s="14"/>
      <c r="B70" s="14" t="s">
        <v>1149</v>
      </c>
      <c r="C70" s="14" t="s">
        <v>245</v>
      </c>
      <c r="D70" s="12" t="s">
        <v>1150</v>
      </c>
      <c r="E70" s="14"/>
      <c r="F70" s="14"/>
      <c r="G70" s="12" t="s">
        <v>2218</v>
      </c>
      <c r="H70" s="14"/>
      <c r="I70" s="14"/>
      <c r="J70" s="14" t="s">
        <v>1932</v>
      </c>
      <c r="K70" s="14" t="s">
        <v>1930</v>
      </c>
      <c r="L70" s="31" t="s">
        <v>615</v>
      </c>
    </row>
    <row r="71" spans="1:12">
      <c r="A71" s="14"/>
      <c r="B71" s="14" t="s">
        <v>1513</v>
      </c>
      <c r="C71" s="14" t="s">
        <v>136</v>
      </c>
      <c r="D71" s="12" t="s">
        <v>1514</v>
      </c>
      <c r="E71" s="14"/>
      <c r="F71" s="14"/>
      <c r="G71" s="12" t="s">
        <v>2220</v>
      </c>
      <c r="H71" s="14"/>
      <c r="I71" s="14"/>
      <c r="J71" s="14" t="s">
        <v>1932</v>
      </c>
      <c r="K71" s="14" t="s">
        <v>1930</v>
      </c>
      <c r="L71" s="31" t="s">
        <v>439</v>
      </c>
    </row>
    <row r="72" spans="1:12">
      <c r="A72" s="14"/>
      <c r="B72" s="14" t="s">
        <v>1515</v>
      </c>
      <c r="C72" s="14" t="s">
        <v>136</v>
      </c>
      <c r="D72" s="12" t="s">
        <v>1516</v>
      </c>
      <c r="E72" s="14"/>
      <c r="F72" s="14"/>
      <c r="G72" s="12" t="s">
        <v>2222</v>
      </c>
      <c r="H72" s="14"/>
      <c r="I72" s="14"/>
      <c r="J72" s="14" t="s">
        <v>1932</v>
      </c>
      <c r="K72" s="14" t="s">
        <v>1930</v>
      </c>
      <c r="L72" s="31" t="s">
        <v>439</v>
      </c>
    </row>
    <row r="73" spans="1:12">
      <c r="A73" s="14"/>
      <c r="B73" s="14" t="s">
        <v>1517</v>
      </c>
      <c r="C73" s="14" t="s">
        <v>136</v>
      </c>
      <c r="D73" s="12" t="s">
        <v>1518</v>
      </c>
      <c r="E73" s="14"/>
      <c r="F73" s="14"/>
      <c r="G73" s="12" t="s">
        <v>2224</v>
      </c>
      <c r="H73" s="14"/>
      <c r="I73" s="14"/>
      <c r="J73" s="14" t="s">
        <v>1932</v>
      </c>
      <c r="K73" s="14" t="s">
        <v>1930</v>
      </c>
      <c r="L73" s="31" t="s">
        <v>439</v>
      </c>
    </row>
    <row r="74" spans="1:12">
      <c r="A74" s="14"/>
      <c r="B74" s="14" t="s">
        <v>1519</v>
      </c>
      <c r="C74" s="14" t="s">
        <v>136</v>
      </c>
      <c r="D74" s="12" t="s">
        <v>1520</v>
      </c>
      <c r="E74" s="14"/>
      <c r="F74" s="14"/>
      <c r="G74" s="12" t="s">
        <v>2226</v>
      </c>
      <c r="H74" s="14"/>
      <c r="I74" s="14"/>
      <c r="J74" s="14" t="s">
        <v>1932</v>
      </c>
      <c r="K74" s="14" t="s">
        <v>1930</v>
      </c>
      <c r="L74" s="31" t="s">
        <v>439</v>
      </c>
    </row>
    <row r="75" spans="1:12">
      <c r="A75" s="14"/>
      <c r="B75" s="14" t="s">
        <v>1521</v>
      </c>
      <c r="C75" s="14" t="s">
        <v>136</v>
      </c>
      <c r="D75" s="12" t="s">
        <v>1522</v>
      </c>
      <c r="E75" s="14"/>
      <c r="F75" s="14"/>
      <c r="G75" s="12" t="s">
        <v>2228</v>
      </c>
      <c r="H75" s="14"/>
      <c r="I75" s="14"/>
      <c r="J75" s="14" t="s">
        <v>1932</v>
      </c>
      <c r="K75" s="14" t="s">
        <v>1930</v>
      </c>
      <c r="L75" s="31" t="s">
        <v>439</v>
      </c>
    </row>
    <row r="76" spans="1:12">
      <c r="A76" s="14"/>
      <c r="B76" s="14" t="s">
        <v>1523</v>
      </c>
      <c r="C76" s="14" t="s">
        <v>136</v>
      </c>
      <c r="D76" s="12" t="s">
        <v>1524</v>
      </c>
      <c r="E76" s="14"/>
      <c r="F76" s="14"/>
      <c r="G76" s="12" t="s">
        <v>2230</v>
      </c>
      <c r="H76" s="14"/>
      <c r="I76" s="14"/>
      <c r="J76" s="14" t="s">
        <v>1932</v>
      </c>
      <c r="K76" s="14" t="s">
        <v>1930</v>
      </c>
      <c r="L76" s="31" t="s">
        <v>439</v>
      </c>
    </row>
    <row r="77" spans="1:12">
      <c r="A77" s="14"/>
      <c r="B77" s="14" t="s">
        <v>1525</v>
      </c>
      <c r="C77" s="14" t="s">
        <v>136</v>
      </c>
      <c r="D77" s="12" t="s">
        <v>1526</v>
      </c>
      <c r="E77" s="14"/>
      <c r="F77" s="14"/>
      <c r="G77" s="12" t="s">
        <v>2232</v>
      </c>
      <c r="H77" s="14"/>
      <c r="I77" s="14"/>
      <c r="J77" s="14" t="s">
        <v>1932</v>
      </c>
      <c r="K77" s="14" t="s">
        <v>1930</v>
      </c>
      <c r="L77" s="31" t="s">
        <v>439</v>
      </c>
    </row>
    <row r="78" spans="1:12">
      <c r="A78" s="14"/>
      <c r="B78" s="14" t="s">
        <v>1527</v>
      </c>
      <c r="C78" s="14" t="s">
        <v>136</v>
      </c>
      <c r="D78" s="12" t="s">
        <v>1528</v>
      </c>
      <c r="E78" s="14"/>
      <c r="F78" s="14"/>
      <c r="G78" s="12" t="s">
        <v>2234</v>
      </c>
      <c r="H78" s="14"/>
      <c r="I78" s="14"/>
      <c r="J78" s="14" t="s">
        <v>1932</v>
      </c>
      <c r="K78" s="14" t="s">
        <v>1930</v>
      </c>
      <c r="L78" s="31" t="s">
        <v>439</v>
      </c>
    </row>
    <row r="79" spans="1:12">
      <c r="A79" s="14"/>
      <c r="B79" s="14" t="s">
        <v>1529</v>
      </c>
      <c r="C79" s="14" t="s">
        <v>136</v>
      </c>
      <c r="D79" s="12" t="s">
        <v>1530</v>
      </c>
      <c r="E79" s="14"/>
      <c r="F79" s="14"/>
      <c r="G79" s="12" t="s">
        <v>2236</v>
      </c>
      <c r="H79" s="14"/>
      <c r="I79" s="14"/>
      <c r="J79" s="14" t="s">
        <v>1932</v>
      </c>
      <c r="K79" s="14" t="s">
        <v>1930</v>
      </c>
      <c r="L79" s="31" t="s">
        <v>439</v>
      </c>
    </row>
    <row r="80" spans="1:12">
      <c r="A80" s="14"/>
      <c r="B80" s="14" t="s">
        <v>1531</v>
      </c>
      <c r="C80" s="14" t="s">
        <v>136</v>
      </c>
      <c r="D80" s="12" t="s">
        <v>1532</v>
      </c>
      <c r="E80" s="14"/>
      <c r="F80" s="14"/>
      <c r="G80" s="12" t="s">
        <v>2238</v>
      </c>
      <c r="H80" s="14"/>
      <c r="I80" s="14"/>
      <c r="J80" s="14" t="s">
        <v>1932</v>
      </c>
      <c r="K80" s="14" t="s">
        <v>1930</v>
      </c>
      <c r="L80" s="31" t="s">
        <v>439</v>
      </c>
    </row>
    <row r="81" spans="1:12">
      <c r="A81" s="14"/>
      <c r="B81" s="14" t="s">
        <v>1533</v>
      </c>
      <c r="C81" s="14" t="s">
        <v>136</v>
      </c>
      <c r="D81" s="12" t="s">
        <v>1534</v>
      </c>
      <c r="E81" s="14"/>
      <c r="F81" s="14"/>
      <c r="G81" s="12" t="s">
        <v>2240</v>
      </c>
      <c r="H81" s="14"/>
      <c r="I81" s="14"/>
      <c r="J81" s="14" t="s">
        <v>1932</v>
      </c>
      <c r="K81" s="14" t="s">
        <v>1930</v>
      </c>
      <c r="L81" s="31" t="s">
        <v>439</v>
      </c>
    </row>
    <row r="82" spans="1:12">
      <c r="A82" s="14"/>
      <c r="B82" s="14" t="s">
        <v>1535</v>
      </c>
      <c r="C82" s="14" t="s">
        <v>136</v>
      </c>
      <c r="D82" s="12" t="s">
        <v>1536</v>
      </c>
      <c r="E82" s="14"/>
      <c r="F82" s="14"/>
      <c r="G82" s="12" t="s">
        <v>2242</v>
      </c>
      <c r="H82" s="14"/>
      <c r="I82" s="14"/>
      <c r="J82" s="14" t="s">
        <v>1932</v>
      </c>
      <c r="K82" s="14" t="s">
        <v>1930</v>
      </c>
      <c r="L82" s="31" t="s">
        <v>439</v>
      </c>
    </row>
    <row r="83" spans="1:12">
      <c r="A83" s="14"/>
      <c r="B83" s="14" t="s">
        <v>1187</v>
      </c>
      <c r="C83" s="14" t="s">
        <v>136</v>
      </c>
      <c r="D83" s="12" t="s">
        <v>1939</v>
      </c>
      <c r="E83" s="14"/>
      <c r="F83" s="14"/>
      <c r="G83" s="12" t="s">
        <v>2244</v>
      </c>
      <c r="H83" s="14"/>
      <c r="I83" s="14"/>
      <c r="J83" s="14" t="s">
        <v>1932</v>
      </c>
      <c r="K83" s="14" t="s">
        <v>1930</v>
      </c>
      <c r="L83" s="31" t="s">
        <v>439</v>
      </c>
    </row>
    <row r="84" spans="1:12">
      <c r="A84" s="14"/>
      <c r="B84" s="14" t="s">
        <v>1189</v>
      </c>
      <c r="C84" s="14" t="s">
        <v>245</v>
      </c>
      <c r="D84" s="12" t="s">
        <v>1618</v>
      </c>
      <c r="E84" s="14"/>
      <c r="F84" s="14"/>
      <c r="G84" s="12" t="s">
        <v>2245</v>
      </c>
      <c r="H84" s="14"/>
      <c r="I84" s="14"/>
      <c r="J84" s="14" t="s">
        <v>1932</v>
      </c>
      <c r="K84" s="14" t="s">
        <v>1930</v>
      </c>
      <c r="L84" s="31" t="s">
        <v>568</v>
      </c>
    </row>
    <row r="85" spans="1:12">
      <c r="A85" s="14"/>
      <c r="B85" s="14" t="s">
        <v>1023</v>
      </c>
      <c r="C85" s="14" t="s">
        <v>136</v>
      </c>
      <c r="D85" s="12" t="s">
        <v>1622</v>
      </c>
      <c r="E85" s="14"/>
      <c r="F85" s="14"/>
      <c r="G85" s="12" t="s">
        <v>1972</v>
      </c>
      <c r="H85" s="14"/>
      <c r="I85" s="14"/>
      <c r="J85" s="14" t="s">
        <v>1932</v>
      </c>
      <c r="K85" s="14" t="s">
        <v>1930</v>
      </c>
      <c r="L85" s="31" t="s">
        <v>439</v>
      </c>
    </row>
    <row r="86" spans="1:12">
      <c r="A86" s="14"/>
      <c r="B86" s="14" t="s">
        <v>1191</v>
      </c>
      <c r="C86" s="14" t="s">
        <v>245</v>
      </c>
      <c r="D86" s="12" t="s">
        <v>1192</v>
      </c>
      <c r="E86" s="14"/>
      <c r="F86" s="14"/>
      <c r="G86" s="12" t="s">
        <v>1972</v>
      </c>
      <c r="H86" s="14"/>
      <c r="I86" s="14"/>
      <c r="J86" s="14" t="s">
        <v>1932</v>
      </c>
      <c r="K86" s="14" t="s">
        <v>1930</v>
      </c>
      <c r="L86" s="31" t="s">
        <v>439</v>
      </c>
    </row>
    <row r="87" spans="1:12">
      <c r="A87" s="14"/>
      <c r="B87" s="14" t="s">
        <v>1194</v>
      </c>
      <c r="C87" s="14" t="s">
        <v>245</v>
      </c>
      <c r="D87" s="12" t="s">
        <v>1195</v>
      </c>
      <c r="E87" s="14"/>
      <c r="F87" s="14"/>
      <c r="G87" s="12" t="s">
        <v>1972</v>
      </c>
      <c r="H87" s="14"/>
      <c r="I87" s="14"/>
      <c r="J87" s="14" t="s">
        <v>1932</v>
      </c>
      <c r="K87" s="14" t="s">
        <v>1930</v>
      </c>
      <c r="L87" s="31" t="s">
        <v>439</v>
      </c>
    </row>
    <row r="88" spans="1:12">
      <c r="A88" s="14"/>
      <c r="B88" s="14" t="s">
        <v>1026</v>
      </c>
      <c r="C88" s="14" t="s">
        <v>136</v>
      </c>
      <c r="D88" s="12" t="s">
        <v>1198</v>
      </c>
      <c r="E88" s="14"/>
      <c r="F88" s="14"/>
      <c r="G88" s="12" t="s">
        <v>1972</v>
      </c>
      <c r="H88" s="14"/>
      <c r="I88" s="14"/>
      <c r="J88" s="14" t="s">
        <v>1932</v>
      </c>
      <c r="K88" s="14" t="s">
        <v>1930</v>
      </c>
      <c r="L88" s="31" t="s">
        <v>439</v>
      </c>
    </row>
    <row r="89" spans="1:12">
      <c r="A89" s="14"/>
      <c r="B89" s="14" t="s">
        <v>1029</v>
      </c>
      <c r="C89" s="14" t="s">
        <v>136</v>
      </c>
      <c r="D89" s="12" t="s">
        <v>1200</v>
      </c>
      <c r="E89" s="14"/>
      <c r="F89" s="14"/>
      <c r="G89" s="12" t="s">
        <v>1972</v>
      </c>
      <c r="H89" s="14"/>
      <c r="I89" s="14"/>
      <c r="J89" s="14" t="s">
        <v>1932</v>
      </c>
      <c r="K89" s="14" t="s">
        <v>1930</v>
      </c>
      <c r="L89" s="31" t="s">
        <v>439</v>
      </c>
    </row>
    <row r="90" spans="1:12">
      <c r="A90" s="14"/>
      <c r="B90" s="14" t="s">
        <v>1032</v>
      </c>
      <c r="C90" s="14" t="s">
        <v>136</v>
      </c>
      <c r="D90" s="12" t="s">
        <v>1202</v>
      </c>
      <c r="E90" s="14"/>
      <c r="F90" s="14"/>
      <c r="G90" s="12" t="s">
        <v>1972</v>
      </c>
      <c r="H90" s="14"/>
      <c r="I90" s="14"/>
      <c r="J90" s="14" t="s">
        <v>1932</v>
      </c>
      <c r="K90" s="14" t="s">
        <v>1930</v>
      </c>
      <c r="L90" s="31" t="s">
        <v>439</v>
      </c>
    </row>
    <row r="91" spans="1:12">
      <c r="A91" s="14"/>
      <c r="B91" s="14" t="s">
        <v>1035</v>
      </c>
      <c r="C91" s="14" t="s">
        <v>136</v>
      </c>
      <c r="D91" s="12" t="s">
        <v>1204</v>
      </c>
      <c r="E91" s="14"/>
      <c r="F91" s="14"/>
      <c r="G91" s="12" t="s">
        <v>1972</v>
      </c>
      <c r="H91" s="14"/>
      <c r="I91" s="14"/>
      <c r="J91" s="14" t="s">
        <v>1932</v>
      </c>
      <c r="K91" s="14" t="s">
        <v>1930</v>
      </c>
      <c r="L91" s="31" t="s">
        <v>439</v>
      </c>
    </row>
    <row r="92" spans="1:12">
      <c r="A92" s="14"/>
      <c r="B92" s="14" t="s">
        <v>1038</v>
      </c>
      <c r="C92" s="14" t="s">
        <v>136</v>
      </c>
      <c r="D92" s="12" t="s">
        <v>1206</v>
      </c>
      <c r="E92" s="14"/>
      <c r="F92" s="14"/>
      <c r="G92" s="12" t="s">
        <v>1972</v>
      </c>
      <c r="H92" s="14"/>
      <c r="I92" s="14"/>
      <c r="J92" s="14" t="s">
        <v>1932</v>
      </c>
      <c r="K92" s="14" t="s">
        <v>1930</v>
      </c>
      <c r="L92" s="31" t="s">
        <v>439</v>
      </c>
    </row>
    <row r="93" spans="1:12">
      <c r="A93" s="14"/>
      <c r="B93" s="14" t="s">
        <v>1041</v>
      </c>
      <c r="C93" s="14" t="s">
        <v>136</v>
      </c>
      <c r="D93" s="12" t="s">
        <v>1208</v>
      </c>
      <c r="E93" s="14"/>
      <c r="F93" s="14"/>
      <c r="G93" s="12" t="s">
        <v>1972</v>
      </c>
      <c r="H93" s="14"/>
      <c r="I93" s="14"/>
      <c r="J93" s="14" t="s">
        <v>1932</v>
      </c>
      <c r="K93" s="14" t="s">
        <v>1930</v>
      </c>
      <c r="L93" s="31" t="s">
        <v>439</v>
      </c>
    </row>
    <row r="94" spans="1:12">
      <c r="A94" s="14"/>
      <c r="B94" s="14" t="s">
        <v>1044</v>
      </c>
      <c r="C94" s="14" t="s">
        <v>136</v>
      </c>
      <c r="D94" s="12" t="s">
        <v>762</v>
      </c>
      <c r="E94" s="14"/>
      <c r="F94" s="14"/>
      <c r="G94" s="12" t="s">
        <v>1972</v>
      </c>
      <c r="H94" s="14"/>
      <c r="I94" s="14"/>
      <c r="J94" s="14" t="s">
        <v>1932</v>
      </c>
      <c r="K94" s="14" t="s">
        <v>1930</v>
      </c>
      <c r="L94" s="31" t="s">
        <v>439</v>
      </c>
    </row>
    <row r="95" spans="1:12">
      <c r="A95" s="14"/>
      <c r="B95" s="14" t="s">
        <v>1916</v>
      </c>
      <c r="C95" s="14" t="s">
        <v>136</v>
      </c>
      <c r="D95" s="12" t="s">
        <v>765</v>
      </c>
      <c r="E95" s="14"/>
      <c r="F95" s="14"/>
      <c r="G95" s="12" t="s">
        <v>1972</v>
      </c>
      <c r="H95" s="14"/>
      <c r="I95" s="14"/>
      <c r="J95" s="14" t="s">
        <v>1932</v>
      </c>
      <c r="K95" s="14" t="s">
        <v>1930</v>
      </c>
      <c r="L95" s="31" t="s">
        <v>439</v>
      </c>
    </row>
    <row r="96" spans="1:12">
      <c r="A96" s="14"/>
      <c r="B96" s="14" t="s">
        <v>1917</v>
      </c>
      <c r="C96" s="14" t="s">
        <v>136</v>
      </c>
      <c r="D96" s="12" t="s">
        <v>768</v>
      </c>
      <c r="E96" s="14"/>
      <c r="F96" s="14"/>
      <c r="G96" s="12" t="s">
        <v>1972</v>
      </c>
      <c r="H96" s="14"/>
      <c r="I96" s="14"/>
      <c r="J96" s="14" t="s">
        <v>1932</v>
      </c>
      <c r="K96" s="14" t="s">
        <v>1930</v>
      </c>
      <c r="L96" s="31" t="s">
        <v>439</v>
      </c>
    </row>
    <row r="97" spans="1:12">
      <c r="A97" s="14"/>
      <c r="B97" s="14" t="s">
        <v>1918</v>
      </c>
      <c r="C97" s="14" t="s">
        <v>136</v>
      </c>
      <c r="D97" s="12" t="s">
        <v>771</v>
      </c>
      <c r="E97" s="14"/>
      <c r="F97" s="14"/>
      <c r="G97" s="12" t="s">
        <v>1972</v>
      </c>
      <c r="H97" s="14"/>
      <c r="I97" s="14"/>
      <c r="J97" s="14" t="s">
        <v>1932</v>
      </c>
      <c r="K97" s="14" t="s">
        <v>1930</v>
      </c>
      <c r="L97" s="31" t="s">
        <v>439</v>
      </c>
    </row>
    <row r="98" spans="1:12">
      <c r="A98" s="14"/>
      <c r="B98" s="14" t="s">
        <v>1919</v>
      </c>
      <c r="C98" s="14" t="s">
        <v>136</v>
      </c>
      <c r="D98" s="12" t="s">
        <v>774</v>
      </c>
      <c r="E98" s="14"/>
      <c r="F98" s="14"/>
      <c r="G98" s="12" t="s">
        <v>1972</v>
      </c>
      <c r="H98" s="14"/>
      <c r="I98" s="14"/>
      <c r="J98" s="14" t="s">
        <v>1932</v>
      </c>
      <c r="K98" s="14" t="s">
        <v>1930</v>
      </c>
      <c r="L98" s="31" t="s">
        <v>439</v>
      </c>
    </row>
    <row r="99" spans="1:12">
      <c r="A99" s="14"/>
      <c r="B99" s="14" t="s">
        <v>1920</v>
      </c>
      <c r="C99" s="14" t="s">
        <v>136</v>
      </c>
      <c r="D99" s="12" t="s">
        <v>777</v>
      </c>
      <c r="E99" s="14"/>
      <c r="F99" s="14"/>
      <c r="G99" s="12" t="s">
        <v>1972</v>
      </c>
      <c r="H99" s="14"/>
      <c r="I99" s="14"/>
      <c r="J99" s="14" t="s">
        <v>1932</v>
      </c>
      <c r="K99" s="14" t="s">
        <v>1930</v>
      </c>
      <c r="L99" s="31" t="s">
        <v>439</v>
      </c>
    </row>
    <row r="100" spans="1:12">
      <c r="A100" s="14"/>
      <c r="B100" s="14" t="s">
        <v>1221</v>
      </c>
      <c r="C100" s="14" t="s">
        <v>136</v>
      </c>
      <c r="D100" s="12" t="s">
        <v>902</v>
      </c>
      <c r="E100" s="14" t="s">
        <v>243</v>
      </c>
      <c r="F100" s="14"/>
      <c r="G100" s="12" t="s">
        <v>1331</v>
      </c>
      <c r="H100" s="14"/>
      <c r="I100" s="14"/>
      <c r="J100" s="14" t="s">
        <v>1932</v>
      </c>
      <c r="K100" s="14" t="s">
        <v>1930</v>
      </c>
      <c r="L100" s="31" t="s">
        <v>610</v>
      </c>
    </row>
    <row r="101" spans="1:12">
      <c r="A101" s="14"/>
      <c r="B101" s="14" t="s">
        <v>904</v>
      </c>
      <c r="C101" s="14" t="s">
        <v>136</v>
      </c>
      <c r="D101" s="12" t="s">
        <v>905</v>
      </c>
      <c r="E101" s="14" t="s">
        <v>243</v>
      </c>
      <c r="F101" s="14"/>
      <c r="G101" s="12" t="s">
        <v>2251</v>
      </c>
      <c r="H101" s="14"/>
      <c r="I101" s="14"/>
      <c r="J101" s="14" t="s">
        <v>1932</v>
      </c>
      <c r="K101" s="14" t="s">
        <v>1930</v>
      </c>
      <c r="L101" s="31" t="s">
        <v>439</v>
      </c>
    </row>
    <row r="102" spans="1:12">
      <c r="A102" s="14"/>
      <c r="B102" s="14" t="s">
        <v>1223</v>
      </c>
      <c r="C102" s="14" t="s">
        <v>245</v>
      </c>
      <c r="D102" s="12" t="s">
        <v>908</v>
      </c>
      <c r="E102" s="14" t="s">
        <v>243</v>
      </c>
      <c r="F102" s="14"/>
      <c r="G102" s="12" t="s">
        <v>2252</v>
      </c>
      <c r="H102" s="14"/>
      <c r="I102" s="14"/>
      <c r="J102" s="14" t="s">
        <v>1932</v>
      </c>
      <c r="K102" s="14" t="s">
        <v>1930</v>
      </c>
      <c r="L102" s="31" t="s">
        <v>432</v>
      </c>
    </row>
    <row r="103" spans="1:12">
      <c r="A103" s="14"/>
      <c r="B103" s="14" t="s">
        <v>910</v>
      </c>
      <c r="C103" s="14" t="s">
        <v>245</v>
      </c>
      <c r="D103" s="12" t="s">
        <v>911</v>
      </c>
      <c r="E103" s="14" t="s">
        <v>243</v>
      </c>
      <c r="F103" s="14"/>
      <c r="G103" s="12" t="s">
        <v>2253</v>
      </c>
      <c r="H103" s="14"/>
      <c r="I103" s="14"/>
      <c r="J103" s="14" t="s">
        <v>1932</v>
      </c>
      <c r="K103" s="14" t="s">
        <v>1930</v>
      </c>
      <c r="L103" s="31" t="s">
        <v>568</v>
      </c>
    </row>
    <row r="104" spans="1:12">
      <c r="A104" s="14"/>
      <c r="B104" s="14" t="s">
        <v>1225</v>
      </c>
      <c r="C104" s="14" t="s">
        <v>136</v>
      </c>
      <c r="D104" s="12" t="s">
        <v>913</v>
      </c>
      <c r="E104" s="14" t="s">
        <v>243</v>
      </c>
      <c r="F104" s="14"/>
      <c r="G104" s="12" t="s">
        <v>914</v>
      </c>
      <c r="H104" s="14"/>
      <c r="I104" s="14"/>
      <c r="J104" s="14" t="s">
        <v>1932</v>
      </c>
      <c r="K104" s="14" t="s">
        <v>1930</v>
      </c>
      <c r="L104" s="31" t="s">
        <v>610</v>
      </c>
    </row>
    <row r="105" spans="1:12">
      <c r="A105" s="14"/>
      <c r="B105" s="14" t="s">
        <v>915</v>
      </c>
      <c r="C105" s="14" t="s">
        <v>136</v>
      </c>
      <c r="D105" s="12" t="s">
        <v>916</v>
      </c>
      <c r="E105" s="14" t="s">
        <v>243</v>
      </c>
      <c r="F105" s="14"/>
      <c r="G105" s="12" t="s">
        <v>2085</v>
      </c>
      <c r="H105" s="14"/>
      <c r="I105" s="14"/>
      <c r="J105" s="14" t="s">
        <v>1932</v>
      </c>
      <c r="K105" s="14" t="s">
        <v>1930</v>
      </c>
      <c r="L105" s="31" t="s">
        <v>439</v>
      </c>
    </row>
    <row r="106" spans="1:12">
      <c r="A106" s="14"/>
      <c r="B106" s="14" t="s">
        <v>1227</v>
      </c>
      <c r="C106" s="14" t="s">
        <v>245</v>
      </c>
      <c r="D106" s="12" t="s">
        <v>919</v>
      </c>
      <c r="E106" s="14" t="s">
        <v>243</v>
      </c>
      <c r="F106" s="14"/>
      <c r="G106" s="12" t="s">
        <v>2254</v>
      </c>
      <c r="H106" s="14"/>
      <c r="I106" s="14"/>
      <c r="J106" s="14" t="s">
        <v>1932</v>
      </c>
      <c r="K106" s="14" t="s">
        <v>1930</v>
      </c>
      <c r="L106" s="31" t="s">
        <v>432</v>
      </c>
    </row>
    <row r="107" spans="1:12">
      <c r="A107" s="14"/>
      <c r="B107" s="14" t="s">
        <v>921</v>
      </c>
      <c r="C107" s="14" t="s">
        <v>245</v>
      </c>
      <c r="D107" s="12" t="s">
        <v>922</v>
      </c>
      <c r="E107" s="14" t="s">
        <v>243</v>
      </c>
      <c r="F107" s="14"/>
      <c r="G107" s="12" t="s">
        <v>2255</v>
      </c>
      <c r="H107" s="14"/>
      <c r="I107" s="14"/>
      <c r="J107" s="14" t="s">
        <v>1932</v>
      </c>
      <c r="K107" s="14" t="s">
        <v>1930</v>
      </c>
      <c r="L107" s="31" t="s">
        <v>568</v>
      </c>
    </row>
    <row r="108" spans="1:12">
      <c r="A108" s="14"/>
      <c r="B108" s="14" t="s">
        <v>1229</v>
      </c>
      <c r="C108" s="14" t="s">
        <v>136</v>
      </c>
      <c r="D108" s="12" t="s">
        <v>925</v>
      </c>
      <c r="E108" s="14" t="s">
        <v>243</v>
      </c>
      <c r="F108" s="14"/>
      <c r="G108" s="12" t="s">
        <v>926</v>
      </c>
      <c r="H108" s="14"/>
      <c r="I108" s="14"/>
      <c r="J108" s="14" t="s">
        <v>1932</v>
      </c>
      <c r="K108" s="14" t="s">
        <v>1930</v>
      </c>
      <c r="L108" s="31" t="s">
        <v>610</v>
      </c>
    </row>
    <row r="109" spans="1:12">
      <c r="A109" s="14"/>
      <c r="B109" s="14" t="s">
        <v>927</v>
      </c>
      <c r="C109" s="14" t="s">
        <v>136</v>
      </c>
      <c r="D109" s="12" t="s">
        <v>928</v>
      </c>
      <c r="E109" s="14" t="s">
        <v>243</v>
      </c>
      <c r="F109" s="14"/>
      <c r="G109" s="12" t="s">
        <v>2087</v>
      </c>
      <c r="H109" s="14"/>
      <c r="I109" s="14"/>
      <c r="J109" s="14" t="s">
        <v>1932</v>
      </c>
      <c r="K109" s="14" t="s">
        <v>1930</v>
      </c>
      <c r="L109" s="31" t="s">
        <v>439</v>
      </c>
    </row>
    <row r="110" spans="1:12">
      <c r="A110" s="14"/>
      <c r="B110" s="14" t="s">
        <v>1231</v>
      </c>
      <c r="C110" s="14" t="s">
        <v>245</v>
      </c>
      <c r="D110" s="12" t="s">
        <v>931</v>
      </c>
      <c r="E110" s="14" t="s">
        <v>243</v>
      </c>
      <c r="F110" s="14"/>
      <c r="G110" s="12" t="s">
        <v>2256</v>
      </c>
      <c r="H110" s="14"/>
      <c r="I110" s="14"/>
      <c r="J110" s="14" t="s">
        <v>1932</v>
      </c>
      <c r="K110" s="14" t="s">
        <v>1930</v>
      </c>
      <c r="L110" s="31" t="s">
        <v>432</v>
      </c>
    </row>
    <row r="111" spans="1:12">
      <c r="A111" s="14"/>
      <c r="B111" s="14" t="s">
        <v>933</v>
      </c>
      <c r="C111" s="14" t="s">
        <v>245</v>
      </c>
      <c r="D111" s="12" t="s">
        <v>934</v>
      </c>
      <c r="E111" s="14" t="s">
        <v>243</v>
      </c>
      <c r="F111" s="14"/>
      <c r="G111" s="12" t="s">
        <v>2308</v>
      </c>
      <c r="H111" s="14"/>
      <c r="I111" s="14"/>
      <c r="J111" s="14" t="s">
        <v>1932</v>
      </c>
      <c r="K111" s="14" t="s">
        <v>1930</v>
      </c>
      <c r="L111" s="31" t="s">
        <v>568</v>
      </c>
    </row>
    <row r="112" spans="1:12">
      <c r="A112" s="14"/>
      <c r="B112" s="14" t="s">
        <v>474</v>
      </c>
      <c r="C112" s="14" t="s">
        <v>136</v>
      </c>
      <c r="D112" s="12" t="s">
        <v>1233</v>
      </c>
      <c r="E112" s="14"/>
      <c r="F112" s="14"/>
      <c r="G112" s="12" t="s">
        <v>1234</v>
      </c>
      <c r="H112" s="14"/>
      <c r="I112" s="14"/>
      <c r="J112" s="14" t="s">
        <v>1932</v>
      </c>
      <c r="K112" s="14" t="s">
        <v>1930</v>
      </c>
      <c r="L112" s="31" t="s">
        <v>533</v>
      </c>
    </row>
    <row r="113" spans="1:12">
      <c r="A113" s="14"/>
      <c r="B113" s="14" t="s">
        <v>1235</v>
      </c>
      <c r="C113" s="14" t="s">
        <v>136</v>
      </c>
      <c r="D113" s="12" t="s">
        <v>1236</v>
      </c>
      <c r="E113" s="14"/>
      <c r="F113" s="14"/>
      <c r="G113" s="12" t="s">
        <v>1436</v>
      </c>
      <c r="H113" s="14"/>
      <c r="I113" s="14"/>
      <c r="J113" s="14" t="s">
        <v>1932</v>
      </c>
      <c r="K113" s="14" t="s">
        <v>1930</v>
      </c>
      <c r="L113" s="31" t="s">
        <v>439</v>
      </c>
    </row>
    <row r="114" spans="1:12">
      <c r="A114" s="14"/>
      <c r="B114" s="14" t="s">
        <v>1238</v>
      </c>
      <c r="C114" s="14" t="s">
        <v>245</v>
      </c>
      <c r="D114" s="12" t="s">
        <v>1239</v>
      </c>
      <c r="E114" s="14"/>
      <c r="F114" s="14"/>
      <c r="G114" s="12" t="s">
        <v>1437</v>
      </c>
      <c r="H114" s="14"/>
      <c r="I114" s="14"/>
      <c r="J114" s="14" t="s">
        <v>1932</v>
      </c>
      <c r="K114" s="14" t="s">
        <v>1930</v>
      </c>
      <c r="L114" s="31" t="s">
        <v>432</v>
      </c>
    </row>
    <row r="115" spans="1:12">
      <c r="A115" s="14"/>
      <c r="B115" s="14" t="s">
        <v>1241</v>
      </c>
      <c r="C115" s="14" t="s">
        <v>245</v>
      </c>
      <c r="D115" s="12" t="s">
        <v>1242</v>
      </c>
      <c r="E115" s="14"/>
      <c r="F115" s="14"/>
      <c r="G115" s="12" t="s">
        <v>2257</v>
      </c>
      <c r="H115" s="14"/>
      <c r="I115" s="14"/>
      <c r="J115" s="14" t="s">
        <v>1932</v>
      </c>
      <c r="K115" s="14" t="s">
        <v>1930</v>
      </c>
      <c r="L115" s="31" t="s">
        <v>568</v>
      </c>
    </row>
    <row r="116" spans="1:12">
      <c r="A116" s="14"/>
      <c r="B116" s="14" t="s">
        <v>1244</v>
      </c>
      <c r="C116" s="14" t="s">
        <v>136</v>
      </c>
      <c r="D116" s="12" t="s">
        <v>1245</v>
      </c>
      <c r="E116" s="14"/>
      <c r="F116" s="14"/>
      <c r="G116" s="12" t="s">
        <v>2259</v>
      </c>
      <c r="H116" s="14"/>
      <c r="I116" s="14"/>
      <c r="J116" s="14" t="s">
        <v>1932</v>
      </c>
      <c r="K116" s="14" t="s">
        <v>1930</v>
      </c>
      <c r="L116" s="31" t="s">
        <v>439</v>
      </c>
    </row>
    <row r="117" spans="1:12">
      <c r="A117" s="14"/>
      <c r="B117" s="14" t="s">
        <v>1247</v>
      </c>
      <c r="C117" s="14" t="s">
        <v>136</v>
      </c>
      <c r="D117" s="12" t="s">
        <v>780</v>
      </c>
      <c r="E117" s="14"/>
      <c r="F117" s="14"/>
      <c r="G117" s="12" t="s">
        <v>2261</v>
      </c>
      <c r="H117" s="14"/>
      <c r="I117" s="14"/>
      <c r="J117" s="14" t="s">
        <v>1932</v>
      </c>
      <c r="K117" s="14" t="s">
        <v>1930</v>
      </c>
      <c r="L117" s="31" t="s">
        <v>439</v>
      </c>
    </row>
    <row r="118" spans="1:12">
      <c r="A118" s="14"/>
      <c r="B118" s="14" t="s">
        <v>1251</v>
      </c>
      <c r="C118" s="14" t="s">
        <v>136</v>
      </c>
      <c r="D118" s="12" t="s">
        <v>784</v>
      </c>
      <c r="E118" s="14"/>
      <c r="F118" s="14"/>
      <c r="G118" s="12" t="s">
        <v>2263</v>
      </c>
      <c r="H118" s="14"/>
      <c r="I118" s="14"/>
      <c r="J118" s="14" t="s">
        <v>1932</v>
      </c>
      <c r="K118" s="14" t="s">
        <v>1930</v>
      </c>
      <c r="L118" s="31" t="s">
        <v>439</v>
      </c>
    </row>
    <row r="119" spans="1:12">
      <c r="A119" s="14"/>
      <c r="B119" s="14" t="s">
        <v>2412</v>
      </c>
      <c r="C119" s="14" t="s">
        <v>136</v>
      </c>
      <c r="D119" s="12" t="s">
        <v>794</v>
      </c>
      <c r="E119" s="14"/>
      <c r="F119" s="14"/>
      <c r="G119" s="12" t="s">
        <v>2265</v>
      </c>
      <c r="H119" s="14"/>
      <c r="I119" s="14"/>
      <c r="J119" s="14" t="s">
        <v>1932</v>
      </c>
      <c r="K119" s="14" t="s">
        <v>1930</v>
      </c>
      <c r="L119" s="31" t="s">
        <v>439</v>
      </c>
    </row>
    <row r="120" spans="1:12">
      <c r="A120" s="14"/>
      <c r="B120" s="14" t="s">
        <v>2414</v>
      </c>
      <c r="C120" s="14" t="s">
        <v>136</v>
      </c>
      <c r="D120" s="12" t="s">
        <v>798</v>
      </c>
      <c r="E120" s="14"/>
      <c r="F120" s="14"/>
      <c r="G120" s="12" t="s">
        <v>2267</v>
      </c>
      <c r="H120" s="14"/>
      <c r="I120" s="14"/>
      <c r="J120" s="14" t="s">
        <v>1932</v>
      </c>
      <c r="K120" s="14" t="s">
        <v>1930</v>
      </c>
      <c r="L120" s="31" t="s">
        <v>439</v>
      </c>
    </row>
    <row r="121" spans="1:12">
      <c r="A121" s="14"/>
      <c r="B121" s="14" t="s">
        <v>1253</v>
      </c>
      <c r="C121" s="14" t="s">
        <v>136</v>
      </c>
      <c r="D121" s="12" t="s">
        <v>786</v>
      </c>
      <c r="E121" s="14"/>
      <c r="F121" s="14"/>
      <c r="G121" s="12" t="s">
        <v>2269</v>
      </c>
      <c r="H121" s="14"/>
      <c r="I121" s="14"/>
      <c r="J121" s="14" t="s">
        <v>1932</v>
      </c>
      <c r="K121" s="14" t="s">
        <v>1930</v>
      </c>
      <c r="L121" s="31" t="s">
        <v>439</v>
      </c>
    </row>
    <row r="122" spans="1:12">
      <c r="A122" s="14"/>
      <c r="B122" s="14" t="s">
        <v>1259</v>
      </c>
      <c r="C122" s="14" t="s">
        <v>136</v>
      </c>
      <c r="D122" s="12" t="s">
        <v>792</v>
      </c>
      <c r="E122" s="14"/>
      <c r="F122" s="14"/>
      <c r="G122" s="12" t="s">
        <v>2271</v>
      </c>
      <c r="H122" s="14"/>
      <c r="I122" s="14"/>
      <c r="J122" s="14" t="s">
        <v>1932</v>
      </c>
      <c r="K122" s="14" t="s">
        <v>1930</v>
      </c>
      <c r="L122" s="31" t="s">
        <v>439</v>
      </c>
    </row>
    <row r="123" spans="1:12">
      <c r="A123" s="14"/>
      <c r="B123" s="14" t="s">
        <v>2413</v>
      </c>
      <c r="C123" s="14" t="s">
        <v>136</v>
      </c>
      <c r="D123" s="12" t="s">
        <v>796</v>
      </c>
      <c r="E123" s="14"/>
      <c r="F123" s="14"/>
      <c r="G123" s="12" t="s">
        <v>2273</v>
      </c>
      <c r="H123" s="14"/>
      <c r="I123" s="14"/>
      <c r="J123" s="14" t="s">
        <v>1932</v>
      </c>
      <c r="K123" s="14" t="s">
        <v>1930</v>
      </c>
      <c r="L123" s="31" t="s">
        <v>439</v>
      </c>
    </row>
    <row r="124" spans="1:12">
      <c r="A124" s="14"/>
      <c r="B124" s="14" t="s">
        <v>2013</v>
      </c>
      <c r="C124" s="14" t="s">
        <v>136</v>
      </c>
      <c r="D124" s="12" t="s">
        <v>800</v>
      </c>
      <c r="E124" s="14"/>
      <c r="F124" s="14"/>
      <c r="G124" s="12" t="s">
        <v>2259</v>
      </c>
      <c r="H124" s="14"/>
      <c r="I124" s="14"/>
      <c r="J124" s="14" t="s">
        <v>1932</v>
      </c>
      <c r="K124" s="14" t="s">
        <v>1930</v>
      </c>
      <c r="L124" s="31" t="s">
        <v>439</v>
      </c>
    </row>
    <row r="125" spans="1:12">
      <c r="A125" s="14"/>
      <c r="B125" s="14" t="s">
        <v>2014</v>
      </c>
      <c r="C125" s="14" t="s">
        <v>136</v>
      </c>
      <c r="D125" s="12" t="s">
        <v>1273</v>
      </c>
      <c r="E125" s="14"/>
      <c r="F125" s="14"/>
      <c r="G125" s="12" t="s">
        <v>2275</v>
      </c>
      <c r="H125" s="14"/>
      <c r="I125" s="14"/>
      <c r="J125" s="14" t="s">
        <v>1932</v>
      </c>
      <c r="K125" s="14" t="s">
        <v>1930</v>
      </c>
      <c r="L125" s="31" t="s">
        <v>439</v>
      </c>
    </row>
    <row r="126" spans="1:12" s="1" customFormat="1">
      <c r="A126" s="25"/>
      <c r="B126" s="68" t="s">
        <v>400</v>
      </c>
      <c r="C126" s="69" t="s">
        <v>132</v>
      </c>
      <c r="D126" s="43" t="s">
        <v>485</v>
      </c>
      <c r="E126" s="44" t="s">
        <v>243</v>
      </c>
      <c r="F126" s="70" t="s">
        <v>400</v>
      </c>
      <c r="G126" s="70" t="s">
        <v>250</v>
      </c>
      <c r="H126" s="41"/>
      <c r="I126" s="41" t="s">
        <v>1933</v>
      </c>
      <c r="J126" s="66" t="s">
        <v>384</v>
      </c>
      <c r="K126" s="47" t="s">
        <v>134</v>
      </c>
      <c r="L126" s="47" t="s">
        <v>134</v>
      </c>
    </row>
    <row r="127" spans="1:12">
      <c r="A127" s="14"/>
      <c r="B127" s="41" t="s">
        <v>388</v>
      </c>
      <c r="C127" s="41" t="s">
        <v>139</v>
      </c>
      <c r="D127" s="42" t="s">
        <v>488</v>
      </c>
      <c r="E127" s="41" t="s">
        <v>243</v>
      </c>
      <c r="F127" s="41" t="s">
        <v>388</v>
      </c>
      <c r="G127" s="42" t="s">
        <v>250</v>
      </c>
      <c r="H127" s="41"/>
      <c r="I127" s="41" t="s">
        <v>1933</v>
      </c>
      <c r="J127" s="41" t="s">
        <v>384</v>
      </c>
      <c r="K127" s="41" t="s">
        <v>134</v>
      </c>
      <c r="L127" s="46" t="s">
        <v>134</v>
      </c>
    </row>
    <row r="128" spans="1:12">
      <c r="A128" s="14"/>
      <c r="B128" s="41" t="s">
        <v>392</v>
      </c>
      <c r="C128" s="41" t="s">
        <v>132</v>
      </c>
      <c r="D128" s="42" t="s">
        <v>391</v>
      </c>
      <c r="E128" s="41" t="s">
        <v>243</v>
      </c>
      <c r="F128" s="41" t="s">
        <v>392</v>
      </c>
      <c r="G128" s="42" t="s">
        <v>250</v>
      </c>
      <c r="H128" s="41"/>
      <c r="I128" s="41" t="s">
        <v>1933</v>
      </c>
      <c r="J128" s="41" t="s">
        <v>384</v>
      </c>
      <c r="K128" s="41" t="s">
        <v>134</v>
      </c>
      <c r="L128" s="46" t="s">
        <v>134</v>
      </c>
    </row>
    <row r="129" spans="1:12">
      <c r="A129" s="14"/>
      <c r="B129" s="41" t="s">
        <v>395</v>
      </c>
      <c r="C129" s="41" t="s">
        <v>132</v>
      </c>
      <c r="D129" s="42" t="s">
        <v>489</v>
      </c>
      <c r="E129" s="41" t="s">
        <v>243</v>
      </c>
      <c r="F129" s="41" t="s">
        <v>395</v>
      </c>
      <c r="G129" s="42" t="s">
        <v>250</v>
      </c>
      <c r="H129" s="41"/>
      <c r="I129" s="41" t="s">
        <v>1933</v>
      </c>
      <c r="J129" s="41" t="s">
        <v>384</v>
      </c>
      <c r="K129" s="41" t="s">
        <v>134</v>
      </c>
      <c r="L129" s="46" t="s">
        <v>134</v>
      </c>
    </row>
    <row r="130" spans="1:12">
      <c r="A130" s="14"/>
      <c r="B130" s="41" t="s">
        <v>398</v>
      </c>
      <c r="C130" s="41" t="s">
        <v>132</v>
      </c>
      <c r="D130" s="42" t="s">
        <v>490</v>
      </c>
      <c r="E130" s="41" t="s">
        <v>243</v>
      </c>
      <c r="F130" s="41" t="s">
        <v>398</v>
      </c>
      <c r="G130" s="42" t="s">
        <v>250</v>
      </c>
      <c r="H130" s="41"/>
      <c r="I130" s="41" t="s">
        <v>1933</v>
      </c>
      <c r="J130" s="41" t="s">
        <v>384</v>
      </c>
      <c r="K130" s="41" t="s">
        <v>134</v>
      </c>
      <c r="L130" s="46" t="s">
        <v>134</v>
      </c>
    </row>
    <row r="131" spans="1:12">
      <c r="A131" s="14"/>
      <c r="B131" s="41" t="s">
        <v>377</v>
      </c>
      <c r="C131" s="41" t="s">
        <v>132</v>
      </c>
      <c r="D131" s="42" t="s">
        <v>482</v>
      </c>
      <c r="E131" s="41" t="s">
        <v>243</v>
      </c>
      <c r="F131" s="41" t="s">
        <v>377</v>
      </c>
      <c r="G131" s="42" t="s">
        <v>250</v>
      </c>
      <c r="H131" s="41"/>
      <c r="I131" s="41" t="s">
        <v>1933</v>
      </c>
      <c r="J131" s="41" t="s">
        <v>384</v>
      </c>
      <c r="K131" s="41" t="s">
        <v>134</v>
      </c>
      <c r="L131" s="46" t="s">
        <v>134</v>
      </c>
    </row>
    <row r="132" spans="1:12">
      <c r="A132" s="14"/>
      <c r="B132" s="41" t="s">
        <v>2054</v>
      </c>
      <c r="C132" s="41" t="s">
        <v>136</v>
      </c>
      <c r="D132" s="42" t="s">
        <v>873</v>
      </c>
      <c r="E132" s="41" t="s">
        <v>243</v>
      </c>
      <c r="F132" s="41"/>
      <c r="G132" s="42" t="s">
        <v>874</v>
      </c>
      <c r="H132" s="41"/>
      <c r="I132" s="41" t="s">
        <v>1933</v>
      </c>
      <c r="J132" s="41" t="s">
        <v>431</v>
      </c>
      <c r="K132" s="41" t="s">
        <v>134</v>
      </c>
      <c r="L132" s="46" t="s">
        <v>439</v>
      </c>
    </row>
    <row r="133" spans="1:12">
      <c r="A133" s="14"/>
      <c r="B133" s="41" t="s">
        <v>2053</v>
      </c>
      <c r="C133" s="41" t="s">
        <v>136</v>
      </c>
      <c r="D133" s="42" t="s">
        <v>870</v>
      </c>
      <c r="E133" s="41" t="s">
        <v>243</v>
      </c>
      <c r="F133" s="41"/>
      <c r="G133" s="42" t="s">
        <v>871</v>
      </c>
      <c r="H133" s="41"/>
      <c r="I133" s="41" t="s">
        <v>1933</v>
      </c>
      <c r="J133" s="41" t="s">
        <v>431</v>
      </c>
      <c r="K133" s="41" t="s">
        <v>134</v>
      </c>
      <c r="L133" s="46" t="s">
        <v>439</v>
      </c>
    </row>
    <row r="134" spans="1:12">
      <c r="A134" s="14"/>
      <c r="B134" s="41" t="s">
        <v>624</v>
      </c>
      <c r="C134" s="41" t="s">
        <v>136</v>
      </c>
      <c r="D134" s="42" t="s">
        <v>867</v>
      </c>
      <c r="E134" s="41" t="s">
        <v>243</v>
      </c>
      <c r="F134" s="41"/>
      <c r="G134" s="42" t="s">
        <v>868</v>
      </c>
      <c r="H134" s="41"/>
      <c r="I134" s="41" t="s">
        <v>1933</v>
      </c>
      <c r="J134" s="41" t="s">
        <v>431</v>
      </c>
      <c r="K134" s="41" t="s">
        <v>134</v>
      </c>
      <c r="L134" s="46" t="s">
        <v>439</v>
      </c>
    </row>
    <row r="135" spans="1:12">
      <c r="A135" s="14"/>
      <c r="B135" s="41" t="s">
        <v>622</v>
      </c>
      <c r="C135" s="41" t="s">
        <v>136</v>
      </c>
      <c r="D135" s="42" t="s">
        <v>864</v>
      </c>
      <c r="E135" s="41" t="s">
        <v>243</v>
      </c>
      <c r="F135" s="41"/>
      <c r="G135" s="42" t="s">
        <v>865</v>
      </c>
      <c r="H135" s="41"/>
      <c r="I135" s="41" t="s">
        <v>1933</v>
      </c>
      <c r="J135" s="41" t="s">
        <v>431</v>
      </c>
      <c r="K135" s="41" t="s">
        <v>134</v>
      </c>
      <c r="L135" s="46" t="s">
        <v>439</v>
      </c>
    </row>
    <row r="136" spans="1:12">
      <c r="A136" s="14"/>
      <c r="B136" s="41" t="s">
        <v>620</v>
      </c>
      <c r="C136" s="41" t="s">
        <v>136</v>
      </c>
      <c r="D136" s="42" t="s">
        <v>861</v>
      </c>
      <c r="E136" s="41" t="s">
        <v>243</v>
      </c>
      <c r="F136" s="41"/>
      <c r="G136" s="42" t="s">
        <v>862</v>
      </c>
      <c r="H136" s="41"/>
      <c r="I136" s="41" t="s">
        <v>1933</v>
      </c>
      <c r="J136" s="41" t="s">
        <v>431</v>
      </c>
      <c r="K136" s="41" t="s">
        <v>134</v>
      </c>
      <c r="L136" s="46" t="s">
        <v>439</v>
      </c>
    </row>
    <row r="137" spans="1:12">
      <c r="A137" s="14"/>
      <c r="B137" s="41" t="s">
        <v>618</v>
      </c>
      <c r="C137" s="41" t="s">
        <v>136</v>
      </c>
      <c r="D137" s="42" t="s">
        <v>858</v>
      </c>
      <c r="E137" s="41" t="s">
        <v>243</v>
      </c>
      <c r="F137" s="41"/>
      <c r="G137" s="42" t="s">
        <v>859</v>
      </c>
      <c r="H137" s="41"/>
      <c r="I137" s="41" t="s">
        <v>1933</v>
      </c>
      <c r="J137" s="41" t="s">
        <v>431</v>
      </c>
      <c r="K137" s="41" t="s">
        <v>134</v>
      </c>
      <c r="L137" s="46" t="s">
        <v>439</v>
      </c>
    </row>
    <row r="138" spans="1:12">
      <c r="A138" s="14"/>
      <c r="B138" s="41" t="s">
        <v>616</v>
      </c>
      <c r="C138" s="41" t="s">
        <v>136</v>
      </c>
      <c r="D138" s="42" t="s">
        <v>855</v>
      </c>
      <c r="E138" s="41" t="s">
        <v>243</v>
      </c>
      <c r="F138" s="41"/>
      <c r="G138" s="42" t="s">
        <v>856</v>
      </c>
      <c r="H138" s="41"/>
      <c r="I138" s="41" t="s">
        <v>1933</v>
      </c>
      <c r="J138" s="41" t="s">
        <v>431</v>
      </c>
      <c r="K138" s="41" t="s">
        <v>134</v>
      </c>
      <c r="L138" s="46" t="s">
        <v>439</v>
      </c>
    </row>
    <row r="139" spans="1:12">
      <c r="A139" s="14"/>
      <c r="B139" s="41" t="s">
        <v>462</v>
      </c>
      <c r="C139" s="41" t="s">
        <v>136</v>
      </c>
      <c r="D139" s="42" t="s">
        <v>463</v>
      </c>
      <c r="E139" s="41" t="s">
        <v>243</v>
      </c>
      <c r="F139" s="41"/>
      <c r="G139" s="42" t="s">
        <v>1456</v>
      </c>
      <c r="H139" s="41"/>
      <c r="I139" s="41" t="s">
        <v>1933</v>
      </c>
      <c r="J139" s="41" t="s">
        <v>431</v>
      </c>
      <c r="K139" s="41" t="s">
        <v>134</v>
      </c>
      <c r="L139" s="46" t="s">
        <v>439</v>
      </c>
    </row>
    <row r="140" spans="1:12" s="1" customFormat="1">
      <c r="A140" s="25"/>
      <c r="B140" s="68" t="s">
        <v>1249</v>
      </c>
      <c r="C140" s="69" t="s">
        <v>136</v>
      </c>
      <c r="D140" s="43" t="s">
        <v>782</v>
      </c>
      <c r="E140" s="44" t="s">
        <v>243</v>
      </c>
      <c r="F140" s="41"/>
      <c r="G140" s="70" t="s">
        <v>2279</v>
      </c>
      <c r="H140" s="44"/>
      <c r="I140" s="41" t="s">
        <v>1933</v>
      </c>
      <c r="J140" s="47" t="s">
        <v>431</v>
      </c>
      <c r="K140" s="47" t="s">
        <v>134</v>
      </c>
      <c r="L140" s="47" t="s">
        <v>439</v>
      </c>
    </row>
    <row r="141" spans="1:12" s="1" customFormat="1">
      <c r="A141" s="25"/>
      <c r="B141" s="68" t="s">
        <v>1255</v>
      </c>
      <c r="C141" s="69" t="s">
        <v>136</v>
      </c>
      <c r="D141" s="43" t="s">
        <v>788</v>
      </c>
      <c r="E141" s="44" t="s">
        <v>243</v>
      </c>
      <c r="F141" s="41"/>
      <c r="G141" s="70" t="s">
        <v>2281</v>
      </c>
      <c r="H141" s="44"/>
      <c r="I141" s="41" t="s">
        <v>1933</v>
      </c>
      <c r="J141" s="47" t="s">
        <v>431</v>
      </c>
      <c r="K141" s="47" t="s">
        <v>134</v>
      </c>
      <c r="L141" s="47" t="s">
        <v>439</v>
      </c>
    </row>
    <row r="142" spans="1:12" s="1" customFormat="1">
      <c r="A142" s="25"/>
      <c r="B142" s="68" t="s">
        <v>1257</v>
      </c>
      <c r="C142" s="69" t="s">
        <v>136</v>
      </c>
      <c r="D142" s="43" t="s">
        <v>790</v>
      </c>
      <c r="E142" s="44" t="s">
        <v>243</v>
      </c>
      <c r="F142" s="41"/>
      <c r="G142" s="70" t="s">
        <v>2283</v>
      </c>
      <c r="H142" s="44"/>
      <c r="I142" s="41" t="s">
        <v>1933</v>
      </c>
      <c r="J142" s="47" t="s">
        <v>431</v>
      </c>
      <c r="K142" s="47" t="s">
        <v>134</v>
      </c>
      <c r="L142" s="47" t="s">
        <v>439</v>
      </c>
    </row>
    <row r="143" spans="1:12" s="1" customFormat="1">
      <c r="A143" s="25"/>
      <c r="B143" s="68" t="s">
        <v>1268</v>
      </c>
      <c r="C143" s="69" t="s">
        <v>136</v>
      </c>
      <c r="D143" s="43" t="s">
        <v>802</v>
      </c>
      <c r="E143" s="44" t="s">
        <v>243</v>
      </c>
      <c r="F143" s="41"/>
      <c r="G143" s="70" t="s">
        <v>2285</v>
      </c>
      <c r="H143" s="44"/>
      <c r="I143" s="41" t="s">
        <v>1933</v>
      </c>
      <c r="J143" s="47" t="s">
        <v>431</v>
      </c>
      <c r="K143" s="47" t="s">
        <v>134</v>
      </c>
      <c r="L143" s="47" t="s">
        <v>439</v>
      </c>
    </row>
    <row r="144" spans="1:12" s="1" customFormat="1">
      <c r="A144" s="25"/>
      <c r="B144" s="68" t="s">
        <v>1270</v>
      </c>
      <c r="C144" s="69" t="s">
        <v>136</v>
      </c>
      <c r="D144" s="43" t="s">
        <v>804</v>
      </c>
      <c r="E144" s="44" t="s">
        <v>243</v>
      </c>
      <c r="F144" s="41"/>
      <c r="G144" s="70" t="s">
        <v>2287</v>
      </c>
      <c r="H144" s="44"/>
      <c r="I144" s="41" t="s">
        <v>1933</v>
      </c>
      <c r="J144" s="47" t="s">
        <v>431</v>
      </c>
      <c r="K144" s="47" t="s">
        <v>134</v>
      </c>
      <c r="L144" s="47" t="s">
        <v>439</v>
      </c>
    </row>
    <row r="145" spans="1:12" s="4" customFormat="1">
      <c r="A145" s="36"/>
      <c r="B145" s="36" t="s">
        <v>233</v>
      </c>
      <c r="C145" s="36" t="s">
        <v>139</v>
      </c>
      <c r="D145" s="37" t="s">
        <v>234</v>
      </c>
      <c r="E145" s="36"/>
      <c r="F145" s="36"/>
      <c r="G145" s="37"/>
      <c r="H145" s="36"/>
      <c r="I145" s="36"/>
      <c r="J145" s="36"/>
      <c r="K145" s="36"/>
      <c r="L145" s="38"/>
    </row>
    <row r="146" spans="1:12" s="4" customFormat="1">
      <c r="A146" s="36"/>
      <c r="B146" s="36" t="s">
        <v>235</v>
      </c>
      <c r="C146" s="36" t="s">
        <v>132</v>
      </c>
      <c r="D146" s="37" t="s">
        <v>1548</v>
      </c>
      <c r="E146" s="36"/>
      <c r="F146" s="36"/>
      <c r="G146" s="37"/>
      <c r="H146" s="36"/>
      <c r="I146" s="36"/>
      <c r="J146" s="36"/>
      <c r="K146" s="36"/>
      <c r="L146" s="38"/>
    </row>
  </sheetData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45477-4C2F-456E-BE49-526B9F409EEE}">
  <dimension ref="A1:N142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3" style="5" customWidth="1"/>
    <col min="2" max="2" width="23.6640625" style="5" customWidth="1"/>
    <col min="3" max="3" width="30.21875" style="5" customWidth="1"/>
    <col min="4" max="4" width="32.21875" style="5" customWidth="1"/>
    <col min="5" max="5" width="22.109375" style="5" bestFit="1" customWidth="1"/>
    <col min="6" max="6" width="24.88671875" style="5" customWidth="1"/>
    <col min="7" max="7" width="39.5546875" style="6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1:14">
      <c r="B1" s="7" t="str">
        <f>HYPERLINK("#导航!a2","返回")</f>
        <v>返回</v>
      </c>
    </row>
    <row r="2" spans="1:14">
      <c r="B2" s="156"/>
      <c r="C2" s="156"/>
      <c r="D2" s="156"/>
      <c r="E2" s="156"/>
      <c r="F2" s="156"/>
      <c r="G2" s="156"/>
      <c r="H2" s="156"/>
    </row>
    <row r="3" spans="1:14">
      <c r="B3" s="157" t="s">
        <v>106</v>
      </c>
      <c r="C3" s="157"/>
      <c r="D3" s="157"/>
      <c r="E3" s="157"/>
      <c r="F3" s="157"/>
      <c r="G3" s="157"/>
      <c r="H3" s="157"/>
    </row>
    <row r="4" spans="1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10" t="s">
        <v>12</v>
      </c>
      <c r="H4" s="9" t="s">
        <v>111</v>
      </c>
    </row>
    <row r="5" spans="1:14">
      <c r="B5" s="11" t="s">
        <v>55</v>
      </c>
      <c r="C5" s="12" t="s">
        <v>2327</v>
      </c>
      <c r="D5" s="13" t="s">
        <v>1934</v>
      </c>
      <c r="E5" s="14" t="s">
        <v>383</v>
      </c>
      <c r="F5" s="15"/>
      <c r="G5" s="12"/>
      <c r="H5" s="14"/>
      <c r="N5" s="5"/>
    </row>
    <row r="6" spans="1:14">
      <c r="B6" s="8"/>
      <c r="C6" s="8"/>
      <c r="D6" s="8"/>
      <c r="E6" s="8"/>
      <c r="F6" s="8"/>
      <c r="G6" s="16"/>
      <c r="H6" s="8"/>
    </row>
    <row r="7" spans="1:14">
      <c r="B7" s="157" t="s">
        <v>113</v>
      </c>
      <c r="C7" s="157"/>
      <c r="D7" s="157"/>
      <c r="E7" s="157"/>
      <c r="F7" s="157"/>
      <c r="G7" s="157"/>
      <c r="H7" s="157"/>
    </row>
    <row r="8" spans="1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8" t="s">
        <v>22</v>
      </c>
      <c r="H8" s="17" t="s">
        <v>119</v>
      </c>
    </row>
    <row r="9" spans="1:14">
      <c r="B9" s="14"/>
      <c r="C9" s="12" t="s">
        <v>2321</v>
      </c>
      <c r="D9" s="13" t="s">
        <v>103</v>
      </c>
      <c r="E9" s="14" t="s">
        <v>243</v>
      </c>
      <c r="F9" s="19"/>
      <c r="G9" s="20"/>
      <c r="H9" s="21"/>
    </row>
    <row r="10" spans="1:14">
      <c r="B10" s="14"/>
      <c r="C10" s="12"/>
      <c r="D10" s="12"/>
      <c r="E10" s="14"/>
      <c r="F10" s="19"/>
      <c r="G10" s="20"/>
      <c r="H10" s="14"/>
    </row>
    <row r="11" spans="1:14">
      <c r="G11" s="22"/>
    </row>
    <row r="12" spans="1:14">
      <c r="B12" s="5" t="s">
        <v>120</v>
      </c>
    </row>
    <row r="13" spans="1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1:14">
      <c r="B14" s="23" t="s">
        <v>121</v>
      </c>
      <c r="C14" s="23" t="s">
        <v>122</v>
      </c>
      <c r="D14" s="23" t="s">
        <v>123</v>
      </c>
      <c r="E14" s="23" t="s">
        <v>124</v>
      </c>
      <c r="F14" s="23" t="s">
        <v>125</v>
      </c>
      <c r="G14" s="24" t="s">
        <v>126</v>
      </c>
      <c r="H14" s="23" t="s">
        <v>127</v>
      </c>
      <c r="I14" s="23" t="s">
        <v>22</v>
      </c>
      <c r="J14" s="23" t="s">
        <v>128</v>
      </c>
      <c r="K14" s="23" t="s">
        <v>129</v>
      </c>
      <c r="L14" s="23" t="s">
        <v>130</v>
      </c>
    </row>
    <row r="15" spans="1:14">
      <c r="A15" s="14"/>
      <c r="B15" s="14" t="s">
        <v>383</v>
      </c>
      <c r="C15" s="14" t="s">
        <v>132</v>
      </c>
      <c r="D15" s="12" t="s">
        <v>52</v>
      </c>
      <c r="E15" s="14"/>
      <c r="F15" s="14" t="s">
        <v>1927</v>
      </c>
      <c r="G15" s="12" t="s">
        <v>1926</v>
      </c>
      <c r="H15" s="14"/>
      <c r="I15" s="14"/>
      <c r="J15" s="14" t="s">
        <v>1929</v>
      </c>
      <c r="K15" s="14" t="s">
        <v>1930</v>
      </c>
      <c r="L15" s="31" t="s">
        <v>1930</v>
      </c>
    </row>
    <row r="16" spans="1:14">
      <c r="A16" s="14"/>
      <c r="B16" s="14" t="s">
        <v>273</v>
      </c>
      <c r="C16" s="14" t="s">
        <v>132</v>
      </c>
      <c r="D16" s="12" t="s">
        <v>1924</v>
      </c>
      <c r="E16" s="14"/>
      <c r="F16" s="14" t="s">
        <v>1928</v>
      </c>
      <c r="G16" s="12" t="s">
        <v>1926</v>
      </c>
      <c r="H16" s="14"/>
      <c r="I16" s="14"/>
      <c r="J16" s="14" t="s">
        <v>1929</v>
      </c>
      <c r="K16" s="14" t="s">
        <v>1930</v>
      </c>
      <c r="L16" s="31" t="s">
        <v>1930</v>
      </c>
    </row>
    <row r="17" spans="1:12">
      <c r="A17" s="14"/>
      <c r="B17" s="14" t="s">
        <v>385</v>
      </c>
      <c r="C17" s="14" t="s">
        <v>132</v>
      </c>
      <c r="D17" s="12" t="s">
        <v>1925</v>
      </c>
      <c r="E17" s="14"/>
      <c r="F17" s="14" t="s">
        <v>385</v>
      </c>
      <c r="G17" s="12" t="s">
        <v>1926</v>
      </c>
      <c r="H17" s="14"/>
      <c r="I17" s="14"/>
      <c r="J17" s="14" t="s">
        <v>1929</v>
      </c>
      <c r="K17" s="14" t="s">
        <v>1930</v>
      </c>
      <c r="L17" s="31" t="s">
        <v>1930</v>
      </c>
    </row>
    <row r="18" spans="1:12">
      <c r="A18" s="14"/>
      <c r="B18" s="14" t="s">
        <v>141</v>
      </c>
      <c r="C18" s="14" t="s">
        <v>132</v>
      </c>
      <c r="D18" s="12" t="s">
        <v>143</v>
      </c>
      <c r="E18" s="14"/>
      <c r="F18" s="14" t="s">
        <v>141</v>
      </c>
      <c r="G18" s="12" t="s">
        <v>1926</v>
      </c>
      <c r="H18" s="14"/>
      <c r="I18" s="14"/>
      <c r="J18" s="14" t="s">
        <v>1929</v>
      </c>
      <c r="K18" s="14" t="s">
        <v>1930</v>
      </c>
      <c r="L18" s="31" t="s">
        <v>1930</v>
      </c>
    </row>
    <row r="19" spans="1:12">
      <c r="A19" s="14"/>
      <c r="B19" s="14" t="s">
        <v>2346</v>
      </c>
      <c r="C19" s="14" t="s">
        <v>132</v>
      </c>
      <c r="D19" s="12" t="s">
        <v>1921</v>
      </c>
      <c r="E19" s="14"/>
      <c r="F19" s="14" t="s">
        <v>251</v>
      </c>
      <c r="G19" s="12" t="s">
        <v>1926</v>
      </c>
      <c r="H19" s="14"/>
      <c r="I19" s="14"/>
      <c r="J19" s="14" t="s">
        <v>1929</v>
      </c>
      <c r="K19" s="14" t="s">
        <v>1930</v>
      </c>
      <c r="L19" s="31" t="s">
        <v>1930</v>
      </c>
    </row>
    <row r="20" spans="1:12">
      <c r="A20" s="14"/>
      <c r="B20" s="14" t="s">
        <v>254</v>
      </c>
      <c r="C20" s="14" t="s">
        <v>132</v>
      </c>
      <c r="D20" s="12" t="s">
        <v>1049</v>
      </c>
      <c r="E20" s="14"/>
      <c r="F20" s="14" t="s">
        <v>254</v>
      </c>
      <c r="G20" s="12" t="s">
        <v>1926</v>
      </c>
      <c r="H20" s="14"/>
      <c r="I20" s="14"/>
      <c r="J20" s="14" t="s">
        <v>1929</v>
      </c>
      <c r="K20" s="14" t="s">
        <v>1930</v>
      </c>
      <c r="L20" s="31" t="s">
        <v>1930</v>
      </c>
    </row>
    <row r="21" spans="1:12">
      <c r="A21" s="14"/>
      <c r="B21" s="14" t="s">
        <v>257</v>
      </c>
      <c r="C21" s="14" t="s">
        <v>132</v>
      </c>
      <c r="D21" s="12" t="s">
        <v>258</v>
      </c>
      <c r="E21" s="14"/>
      <c r="F21" s="14" t="s">
        <v>257</v>
      </c>
      <c r="G21" s="12" t="s">
        <v>1926</v>
      </c>
      <c r="H21" s="14"/>
      <c r="I21" s="14"/>
      <c r="J21" s="14" t="s">
        <v>1929</v>
      </c>
      <c r="K21" s="14" t="s">
        <v>1930</v>
      </c>
      <c r="L21" s="31" t="s">
        <v>1930</v>
      </c>
    </row>
    <row r="22" spans="1:12">
      <c r="A22" s="14"/>
      <c r="B22" s="14" t="s">
        <v>491</v>
      </c>
      <c r="C22" s="14" t="s">
        <v>139</v>
      </c>
      <c r="D22" s="12" t="s">
        <v>1922</v>
      </c>
      <c r="E22" s="14"/>
      <c r="F22" s="14" t="s">
        <v>491</v>
      </c>
      <c r="G22" s="12" t="s">
        <v>1926</v>
      </c>
      <c r="H22" s="14"/>
      <c r="I22" s="14"/>
      <c r="J22" s="14" t="s">
        <v>1929</v>
      </c>
      <c r="K22" s="14" t="s">
        <v>1930</v>
      </c>
      <c r="L22" s="31" t="s">
        <v>1930</v>
      </c>
    </row>
    <row r="23" spans="1:12">
      <c r="A23" s="14"/>
      <c r="B23" s="14" t="s">
        <v>1058</v>
      </c>
      <c r="C23" s="14" t="s">
        <v>245</v>
      </c>
      <c r="D23" s="12" t="s">
        <v>513</v>
      </c>
      <c r="E23" s="14"/>
      <c r="F23" s="14"/>
      <c r="G23" s="12" t="s">
        <v>1368</v>
      </c>
      <c r="H23" s="14"/>
      <c r="I23" s="14"/>
      <c r="J23" s="14" t="s">
        <v>1932</v>
      </c>
      <c r="K23" s="14" t="s">
        <v>1930</v>
      </c>
      <c r="L23" s="31" t="s">
        <v>439</v>
      </c>
    </row>
    <row r="24" spans="1:12">
      <c r="A24" s="14"/>
      <c r="B24" s="14" t="s">
        <v>1060</v>
      </c>
      <c r="C24" s="14" t="s">
        <v>245</v>
      </c>
      <c r="D24" s="12" t="s">
        <v>516</v>
      </c>
      <c r="E24" s="14"/>
      <c r="F24" s="14"/>
      <c r="G24" s="12" t="s">
        <v>1369</v>
      </c>
      <c r="H24" s="14"/>
      <c r="I24" s="14"/>
      <c r="J24" s="14" t="s">
        <v>1932</v>
      </c>
      <c r="K24" s="14" t="s">
        <v>1930</v>
      </c>
      <c r="L24" s="31" t="s">
        <v>439</v>
      </c>
    </row>
    <row r="25" spans="1:12">
      <c r="A25" s="14"/>
      <c r="B25" s="14" t="s">
        <v>1062</v>
      </c>
      <c r="C25" s="14" t="s">
        <v>136</v>
      </c>
      <c r="D25" s="12" t="s">
        <v>519</v>
      </c>
      <c r="E25" s="14"/>
      <c r="F25" s="14"/>
      <c r="G25" s="12" t="s">
        <v>1370</v>
      </c>
      <c r="H25" s="14"/>
      <c r="I25" s="14"/>
      <c r="J25" s="14" t="s">
        <v>1932</v>
      </c>
      <c r="K25" s="14" t="s">
        <v>1930</v>
      </c>
      <c r="L25" s="31" t="s">
        <v>439</v>
      </c>
    </row>
    <row r="26" spans="1:12">
      <c r="A26" s="14"/>
      <c r="B26" s="14" t="s">
        <v>936</v>
      </c>
      <c r="C26" s="14" t="s">
        <v>136</v>
      </c>
      <c r="D26" s="12" t="s">
        <v>937</v>
      </c>
      <c r="E26" s="14"/>
      <c r="F26" s="14"/>
      <c r="G26" s="12" t="s">
        <v>1340</v>
      </c>
      <c r="H26" s="14"/>
      <c r="I26" s="14"/>
      <c r="J26" s="14" t="s">
        <v>1932</v>
      </c>
      <c r="K26" s="14" t="s">
        <v>1930</v>
      </c>
      <c r="L26" s="31" t="s">
        <v>439</v>
      </c>
    </row>
    <row r="27" spans="1:12">
      <c r="A27" s="14"/>
      <c r="B27" s="14" t="s">
        <v>939</v>
      </c>
      <c r="C27" s="14" t="s">
        <v>136</v>
      </c>
      <c r="D27" s="12" t="s">
        <v>940</v>
      </c>
      <c r="E27" s="14"/>
      <c r="F27" s="14"/>
      <c r="G27" s="12" t="s">
        <v>1341</v>
      </c>
      <c r="H27" s="14"/>
      <c r="I27" s="14"/>
      <c r="J27" s="14" t="s">
        <v>1932</v>
      </c>
      <c r="K27" s="14" t="s">
        <v>1930</v>
      </c>
      <c r="L27" s="31" t="s">
        <v>439</v>
      </c>
    </row>
    <row r="28" spans="1:12">
      <c r="A28" s="14"/>
      <c r="B28" s="14" t="s">
        <v>942</v>
      </c>
      <c r="C28" s="14" t="s">
        <v>245</v>
      </c>
      <c r="D28" s="12" t="s">
        <v>943</v>
      </c>
      <c r="E28" s="14"/>
      <c r="F28" s="14"/>
      <c r="G28" s="12" t="s">
        <v>1342</v>
      </c>
      <c r="H28" s="14"/>
      <c r="I28" s="14"/>
      <c r="J28" s="14" t="s">
        <v>1932</v>
      </c>
      <c r="K28" s="14" t="s">
        <v>1930</v>
      </c>
      <c r="L28" s="31" t="s">
        <v>439</v>
      </c>
    </row>
    <row r="29" spans="1:12">
      <c r="A29" s="14"/>
      <c r="B29" s="14" t="s">
        <v>811</v>
      </c>
      <c r="C29" s="14" t="s">
        <v>136</v>
      </c>
      <c r="D29" s="12" t="s">
        <v>530</v>
      </c>
      <c r="E29" s="14"/>
      <c r="F29" s="14"/>
      <c r="G29" s="12" t="s">
        <v>1306</v>
      </c>
      <c r="H29" s="14"/>
      <c r="I29" s="14"/>
      <c r="J29" s="14" t="s">
        <v>1932</v>
      </c>
      <c r="K29" s="14" t="s">
        <v>1930</v>
      </c>
      <c r="L29" s="31" t="s">
        <v>439</v>
      </c>
    </row>
    <row r="30" spans="1:12">
      <c r="A30" s="14"/>
      <c r="B30" s="14" t="s">
        <v>1064</v>
      </c>
      <c r="C30" s="14" t="s">
        <v>136</v>
      </c>
      <c r="D30" s="12" t="s">
        <v>1065</v>
      </c>
      <c r="E30" s="14"/>
      <c r="F30" s="14"/>
      <c r="G30" s="12" t="s">
        <v>1066</v>
      </c>
      <c r="H30" s="14"/>
      <c r="I30" s="14"/>
      <c r="J30" s="14" t="s">
        <v>1932</v>
      </c>
      <c r="K30" s="14" t="s">
        <v>1930</v>
      </c>
      <c r="L30" s="12">
        <v>0</v>
      </c>
    </row>
    <row r="31" spans="1:12">
      <c r="A31" s="14"/>
      <c r="B31" s="14" t="s">
        <v>1067</v>
      </c>
      <c r="C31" s="14" t="s">
        <v>136</v>
      </c>
      <c r="D31" s="12" t="s">
        <v>1068</v>
      </c>
      <c r="E31" s="14"/>
      <c r="F31" s="14"/>
      <c r="G31" s="12" t="s">
        <v>1066</v>
      </c>
      <c r="H31" s="14"/>
      <c r="I31" s="14"/>
      <c r="J31" s="14" t="s">
        <v>1932</v>
      </c>
      <c r="K31" s="14" t="s">
        <v>1930</v>
      </c>
      <c r="L31" s="12">
        <v>0</v>
      </c>
    </row>
    <row r="32" spans="1:12">
      <c r="A32" s="14"/>
      <c r="B32" s="14" t="s">
        <v>820</v>
      </c>
      <c r="C32" s="14" t="s">
        <v>136</v>
      </c>
      <c r="D32" s="12" t="s">
        <v>821</v>
      </c>
      <c r="E32" s="14"/>
      <c r="F32" s="14"/>
      <c r="G32" s="12" t="s">
        <v>1309</v>
      </c>
      <c r="H32" s="14"/>
      <c r="I32" s="14"/>
      <c r="J32" s="14" t="s">
        <v>1932</v>
      </c>
      <c r="K32" s="14" t="s">
        <v>1930</v>
      </c>
      <c r="L32" s="31" t="s">
        <v>439</v>
      </c>
    </row>
    <row r="33" spans="1:12">
      <c r="A33" s="14"/>
      <c r="B33" s="14" t="s">
        <v>814</v>
      </c>
      <c r="C33" s="14" t="s">
        <v>136</v>
      </c>
      <c r="D33" s="12" t="s">
        <v>815</v>
      </c>
      <c r="E33" s="14"/>
      <c r="F33" s="14"/>
      <c r="G33" s="12" t="s">
        <v>1307</v>
      </c>
      <c r="H33" s="14"/>
      <c r="I33" s="14"/>
      <c r="J33" s="14" t="s">
        <v>1932</v>
      </c>
      <c r="K33" s="14" t="s">
        <v>1930</v>
      </c>
      <c r="L33" s="31" t="s">
        <v>533</v>
      </c>
    </row>
    <row r="34" spans="1:12">
      <c r="A34" s="14"/>
      <c r="B34" s="14" t="s">
        <v>817</v>
      </c>
      <c r="C34" s="14" t="s">
        <v>245</v>
      </c>
      <c r="D34" s="12" t="s">
        <v>818</v>
      </c>
      <c r="E34" s="14"/>
      <c r="F34" s="14"/>
      <c r="G34" s="12" t="s">
        <v>1308</v>
      </c>
      <c r="H34" s="14"/>
      <c r="I34" s="14"/>
      <c r="J34" s="14" t="s">
        <v>1932</v>
      </c>
      <c r="K34" s="14" t="s">
        <v>1930</v>
      </c>
      <c r="L34" s="31" t="s">
        <v>432</v>
      </c>
    </row>
    <row r="35" spans="1:12">
      <c r="A35" s="14"/>
      <c r="B35" s="14" t="s">
        <v>823</v>
      </c>
      <c r="C35" s="14" t="s">
        <v>136</v>
      </c>
      <c r="D35" s="12" t="s">
        <v>1070</v>
      </c>
      <c r="E35" s="14"/>
      <c r="F35" s="14"/>
      <c r="G35" s="12" t="s">
        <v>1371</v>
      </c>
      <c r="H35" s="14"/>
      <c r="I35" s="14"/>
      <c r="J35" s="14" t="s">
        <v>1932</v>
      </c>
      <c r="K35" s="14" t="s">
        <v>1930</v>
      </c>
      <c r="L35" s="31" t="s">
        <v>439</v>
      </c>
    </row>
    <row r="36" spans="1:12">
      <c r="A36" s="14"/>
      <c r="B36" s="14" t="s">
        <v>826</v>
      </c>
      <c r="C36" s="14" t="s">
        <v>136</v>
      </c>
      <c r="D36" s="12" t="s">
        <v>1073</v>
      </c>
      <c r="E36" s="14"/>
      <c r="F36" s="14"/>
      <c r="G36" s="12" t="s">
        <v>1372</v>
      </c>
      <c r="H36" s="14"/>
      <c r="I36" s="14"/>
      <c r="J36" s="14" t="s">
        <v>1932</v>
      </c>
      <c r="K36" s="14" t="s">
        <v>1930</v>
      </c>
      <c r="L36" s="31" t="s">
        <v>439</v>
      </c>
    </row>
    <row r="37" spans="1:12">
      <c r="A37" s="14"/>
      <c r="B37" s="14" t="s">
        <v>829</v>
      </c>
      <c r="C37" s="14" t="s">
        <v>136</v>
      </c>
      <c r="D37" s="12" t="s">
        <v>1076</v>
      </c>
      <c r="E37" s="14"/>
      <c r="F37" s="14"/>
      <c r="G37" s="12" t="s">
        <v>1373</v>
      </c>
      <c r="H37" s="14"/>
      <c r="I37" s="14"/>
      <c r="J37" s="14" t="s">
        <v>1932</v>
      </c>
      <c r="K37" s="14" t="s">
        <v>1930</v>
      </c>
      <c r="L37" s="31" t="s">
        <v>439</v>
      </c>
    </row>
    <row r="38" spans="1:12">
      <c r="A38" s="14"/>
      <c r="B38" s="14" t="s">
        <v>832</v>
      </c>
      <c r="C38" s="14" t="s">
        <v>136</v>
      </c>
      <c r="D38" s="12" t="s">
        <v>1079</v>
      </c>
      <c r="E38" s="14"/>
      <c r="F38" s="14"/>
      <c r="G38" s="12" t="s">
        <v>1374</v>
      </c>
      <c r="H38" s="14"/>
      <c r="I38" s="14"/>
      <c r="J38" s="14" t="s">
        <v>1932</v>
      </c>
      <c r="K38" s="14" t="s">
        <v>1930</v>
      </c>
      <c r="L38" s="31" t="s">
        <v>439</v>
      </c>
    </row>
    <row r="39" spans="1:12">
      <c r="A39" s="14"/>
      <c r="B39" s="14" t="s">
        <v>835</v>
      </c>
      <c r="C39" s="14" t="s">
        <v>136</v>
      </c>
      <c r="D39" s="12" t="s">
        <v>1081</v>
      </c>
      <c r="E39" s="14"/>
      <c r="F39" s="14"/>
      <c r="G39" s="12" t="s">
        <v>1375</v>
      </c>
      <c r="H39" s="14"/>
      <c r="I39" s="14"/>
      <c r="J39" s="14" t="s">
        <v>1932</v>
      </c>
      <c r="K39" s="14" t="s">
        <v>1930</v>
      </c>
      <c r="L39" s="31" t="s">
        <v>439</v>
      </c>
    </row>
    <row r="40" spans="1:12">
      <c r="A40" s="14"/>
      <c r="B40" s="14" t="s">
        <v>838</v>
      </c>
      <c r="C40" s="14" t="s">
        <v>136</v>
      </c>
      <c r="D40" s="12" t="s">
        <v>1083</v>
      </c>
      <c r="E40" s="14"/>
      <c r="F40" s="14"/>
      <c r="G40" s="12" t="s">
        <v>1376</v>
      </c>
      <c r="H40" s="14"/>
      <c r="I40" s="14"/>
      <c r="J40" s="14" t="s">
        <v>1932</v>
      </c>
      <c r="K40" s="14" t="s">
        <v>1930</v>
      </c>
      <c r="L40" s="31" t="s">
        <v>439</v>
      </c>
    </row>
    <row r="41" spans="1:12">
      <c r="A41" s="14"/>
      <c r="B41" s="14" t="s">
        <v>841</v>
      </c>
      <c r="C41" s="14" t="s">
        <v>136</v>
      </c>
      <c r="D41" s="12" t="s">
        <v>1086</v>
      </c>
      <c r="E41" s="14"/>
      <c r="F41" s="14"/>
      <c r="G41" s="12" t="s">
        <v>1377</v>
      </c>
      <c r="H41" s="14"/>
      <c r="I41" s="14"/>
      <c r="J41" s="14" t="s">
        <v>1932</v>
      </c>
      <c r="K41" s="14" t="s">
        <v>1930</v>
      </c>
      <c r="L41" s="31" t="s">
        <v>439</v>
      </c>
    </row>
    <row r="42" spans="1:12">
      <c r="A42" s="14"/>
      <c r="B42" s="14" t="s">
        <v>1488</v>
      </c>
      <c r="C42" s="14" t="s">
        <v>136</v>
      </c>
      <c r="D42" s="12" t="s">
        <v>1089</v>
      </c>
      <c r="E42" s="14"/>
      <c r="F42" s="14"/>
      <c r="G42" s="12" t="s">
        <v>1378</v>
      </c>
      <c r="H42" s="14"/>
      <c r="I42" s="14"/>
      <c r="J42" s="14" t="s">
        <v>1932</v>
      </c>
      <c r="K42" s="14" t="s">
        <v>1930</v>
      </c>
      <c r="L42" s="31" t="s">
        <v>439</v>
      </c>
    </row>
    <row r="43" spans="1:12">
      <c r="A43" s="14"/>
      <c r="B43" s="14" t="s">
        <v>1489</v>
      </c>
      <c r="C43" s="14" t="s">
        <v>136</v>
      </c>
      <c r="D43" s="12" t="s">
        <v>1092</v>
      </c>
      <c r="E43" s="14"/>
      <c r="F43" s="14"/>
      <c r="G43" s="12" t="s">
        <v>1379</v>
      </c>
      <c r="H43" s="14"/>
      <c r="I43" s="14"/>
      <c r="J43" s="14" t="s">
        <v>1932</v>
      </c>
      <c r="K43" s="14" t="s">
        <v>1930</v>
      </c>
      <c r="L43" s="31" t="s">
        <v>439</v>
      </c>
    </row>
    <row r="44" spans="1:12">
      <c r="A44" s="14"/>
      <c r="B44" s="14" t="s">
        <v>1490</v>
      </c>
      <c r="C44" s="14" t="s">
        <v>136</v>
      </c>
      <c r="D44" s="12" t="s">
        <v>1095</v>
      </c>
      <c r="E44" s="14"/>
      <c r="F44" s="14"/>
      <c r="G44" s="12" t="s">
        <v>1380</v>
      </c>
      <c r="H44" s="14"/>
      <c r="I44" s="14"/>
      <c r="J44" s="14" t="s">
        <v>1932</v>
      </c>
      <c r="K44" s="14" t="s">
        <v>1930</v>
      </c>
      <c r="L44" s="31" t="s">
        <v>439</v>
      </c>
    </row>
    <row r="45" spans="1:12">
      <c r="A45" s="14"/>
      <c r="B45" s="14" t="s">
        <v>1491</v>
      </c>
      <c r="C45" s="14" t="s">
        <v>136</v>
      </c>
      <c r="D45" s="12" t="s">
        <v>1098</v>
      </c>
      <c r="E45" s="14"/>
      <c r="F45" s="14"/>
      <c r="G45" s="12" t="s">
        <v>1381</v>
      </c>
      <c r="H45" s="14"/>
      <c r="I45" s="14"/>
      <c r="J45" s="14" t="s">
        <v>1932</v>
      </c>
      <c r="K45" s="14" t="s">
        <v>1930</v>
      </c>
      <c r="L45" s="31" t="s">
        <v>439</v>
      </c>
    </row>
    <row r="46" spans="1:12">
      <c r="A46" s="14"/>
      <c r="B46" s="14" t="s">
        <v>1492</v>
      </c>
      <c r="C46" s="14" t="s">
        <v>136</v>
      </c>
      <c r="D46" s="12" t="s">
        <v>1101</v>
      </c>
      <c r="E46" s="14"/>
      <c r="F46" s="14"/>
      <c r="G46" s="12" t="s">
        <v>1382</v>
      </c>
      <c r="H46" s="14"/>
      <c r="I46" s="14"/>
      <c r="J46" s="14" t="s">
        <v>1932</v>
      </c>
      <c r="K46" s="14" t="s">
        <v>1930</v>
      </c>
      <c r="L46" s="31" t="s">
        <v>439</v>
      </c>
    </row>
    <row r="47" spans="1:12">
      <c r="A47" s="14"/>
      <c r="B47" s="14" t="s">
        <v>844</v>
      </c>
      <c r="C47" s="14" t="s">
        <v>136</v>
      </c>
      <c r="D47" s="12" t="s">
        <v>1923</v>
      </c>
      <c r="E47" s="14"/>
      <c r="F47" s="14"/>
      <c r="G47" s="12" t="s">
        <v>1317</v>
      </c>
      <c r="H47" s="14"/>
      <c r="I47" s="14"/>
      <c r="J47" s="14" t="s">
        <v>1932</v>
      </c>
      <c r="K47" s="14" t="s">
        <v>1930</v>
      </c>
      <c r="L47" s="31" t="s">
        <v>439</v>
      </c>
    </row>
    <row r="48" spans="1:12">
      <c r="A48" s="14"/>
      <c r="B48" s="14" t="s">
        <v>846</v>
      </c>
      <c r="C48" s="14" t="s">
        <v>245</v>
      </c>
      <c r="D48" s="12" t="s">
        <v>1598</v>
      </c>
      <c r="E48" s="14"/>
      <c r="F48" s="14"/>
      <c r="G48" s="12" t="s">
        <v>1318</v>
      </c>
      <c r="H48" s="14"/>
      <c r="I48" s="14"/>
      <c r="J48" s="14" t="s">
        <v>1932</v>
      </c>
      <c r="K48" s="14" t="s">
        <v>1930</v>
      </c>
      <c r="L48" s="31" t="s">
        <v>568</v>
      </c>
    </row>
    <row r="49" spans="1:12">
      <c r="A49" s="14"/>
      <c r="B49" s="14" t="s">
        <v>948</v>
      </c>
      <c r="C49" s="14" t="s">
        <v>136</v>
      </c>
      <c r="D49" s="12" t="s">
        <v>949</v>
      </c>
      <c r="E49" s="14"/>
      <c r="F49" s="14"/>
      <c r="G49" s="12" t="s">
        <v>1344</v>
      </c>
      <c r="H49" s="14"/>
      <c r="I49" s="14"/>
      <c r="J49" s="14" t="s">
        <v>1932</v>
      </c>
      <c r="K49" s="14" t="s">
        <v>1930</v>
      </c>
      <c r="L49" s="31" t="s">
        <v>439</v>
      </c>
    </row>
    <row r="50" spans="1:12">
      <c r="A50" s="14"/>
      <c r="B50" s="14" t="s">
        <v>1103</v>
      </c>
      <c r="C50" s="14" t="s">
        <v>245</v>
      </c>
      <c r="D50" s="12" t="s">
        <v>1104</v>
      </c>
      <c r="E50" s="14"/>
      <c r="F50" s="14"/>
      <c r="G50" s="12" t="s">
        <v>1383</v>
      </c>
      <c r="H50" s="14"/>
      <c r="I50" s="14"/>
      <c r="J50" s="14" t="s">
        <v>1932</v>
      </c>
      <c r="K50" s="14" t="s">
        <v>1930</v>
      </c>
      <c r="L50" s="31" t="s">
        <v>533</v>
      </c>
    </row>
    <row r="51" spans="1:12">
      <c r="A51" s="14"/>
      <c r="B51" s="14" t="s">
        <v>1106</v>
      </c>
      <c r="C51" s="14" t="s">
        <v>245</v>
      </c>
      <c r="D51" s="12" t="s">
        <v>1107</v>
      </c>
      <c r="E51" s="14"/>
      <c r="F51" s="14"/>
      <c r="G51" s="12" t="s">
        <v>1384</v>
      </c>
      <c r="H51" s="14"/>
      <c r="I51" s="14"/>
      <c r="J51" s="14" t="s">
        <v>1932</v>
      </c>
      <c r="K51" s="14" t="s">
        <v>1930</v>
      </c>
      <c r="L51" s="31" t="s">
        <v>579</v>
      </c>
    </row>
    <row r="52" spans="1:12">
      <c r="A52" s="14"/>
      <c r="B52" s="14" t="s">
        <v>951</v>
      </c>
      <c r="C52" s="14" t="s">
        <v>136</v>
      </c>
      <c r="D52" s="12" t="s">
        <v>1110</v>
      </c>
      <c r="E52" s="14" t="s">
        <v>243</v>
      </c>
      <c r="F52" s="14"/>
      <c r="G52" s="12" t="s">
        <v>1385</v>
      </c>
      <c r="H52" s="14"/>
      <c r="I52" s="14"/>
      <c r="J52" s="14" t="s">
        <v>1932</v>
      </c>
      <c r="K52" s="14" t="s">
        <v>1930</v>
      </c>
      <c r="L52" s="31" t="s">
        <v>439</v>
      </c>
    </row>
    <row r="53" spans="1:12">
      <c r="A53" s="14"/>
      <c r="B53" s="14" t="s">
        <v>954</v>
      </c>
      <c r="C53" s="14" t="s">
        <v>136</v>
      </c>
      <c r="D53" s="12" t="s">
        <v>1112</v>
      </c>
      <c r="E53" s="14" t="s">
        <v>243</v>
      </c>
      <c r="F53" s="14"/>
      <c r="G53" s="12" t="s">
        <v>1386</v>
      </c>
      <c r="H53" s="14"/>
      <c r="I53" s="14"/>
      <c r="J53" s="14" t="s">
        <v>1932</v>
      </c>
      <c r="K53" s="14" t="s">
        <v>1930</v>
      </c>
      <c r="L53" s="31" t="s">
        <v>439</v>
      </c>
    </row>
    <row r="54" spans="1:12">
      <c r="A54" s="14"/>
      <c r="B54" s="14" t="s">
        <v>956</v>
      </c>
      <c r="C54" s="14" t="s">
        <v>136</v>
      </c>
      <c r="D54" s="12" t="s">
        <v>1114</v>
      </c>
      <c r="E54" s="14" t="s">
        <v>243</v>
      </c>
      <c r="F54" s="14"/>
      <c r="G54" s="12" t="s">
        <v>1387</v>
      </c>
      <c r="H54" s="14"/>
      <c r="I54" s="14"/>
      <c r="J54" s="14" t="s">
        <v>1932</v>
      </c>
      <c r="K54" s="14" t="s">
        <v>1930</v>
      </c>
      <c r="L54" s="31" t="s">
        <v>439</v>
      </c>
    </row>
    <row r="55" spans="1:12">
      <c r="A55" s="14"/>
      <c r="B55" s="14" t="s">
        <v>958</v>
      </c>
      <c r="C55" s="14" t="s">
        <v>136</v>
      </c>
      <c r="D55" s="12" t="s">
        <v>1116</v>
      </c>
      <c r="E55" s="14" t="s">
        <v>243</v>
      </c>
      <c r="F55" s="14"/>
      <c r="G55" s="12" t="s">
        <v>1388</v>
      </c>
      <c r="H55" s="14"/>
      <c r="I55" s="14"/>
      <c r="J55" s="14" t="s">
        <v>1932</v>
      </c>
      <c r="K55" s="14" t="s">
        <v>1930</v>
      </c>
      <c r="L55" s="31" t="s">
        <v>439</v>
      </c>
    </row>
    <row r="56" spans="1:12">
      <c r="A56" s="14"/>
      <c r="B56" s="14" t="s">
        <v>960</v>
      </c>
      <c r="C56" s="14" t="s">
        <v>136</v>
      </c>
      <c r="D56" s="12" t="s">
        <v>1118</v>
      </c>
      <c r="E56" s="14" t="s">
        <v>243</v>
      </c>
      <c r="F56" s="14"/>
      <c r="G56" s="12" t="s">
        <v>1389</v>
      </c>
      <c r="H56" s="14"/>
      <c r="I56" s="14"/>
      <c r="J56" s="14" t="s">
        <v>1932</v>
      </c>
      <c r="K56" s="14" t="s">
        <v>1930</v>
      </c>
      <c r="L56" s="31" t="s">
        <v>439</v>
      </c>
    </row>
    <row r="57" spans="1:12">
      <c r="A57" s="14"/>
      <c r="B57" s="14" t="s">
        <v>962</v>
      </c>
      <c r="C57" s="14" t="s">
        <v>136</v>
      </c>
      <c r="D57" s="12" t="s">
        <v>1120</v>
      </c>
      <c r="E57" s="14" t="s">
        <v>243</v>
      </c>
      <c r="F57" s="14"/>
      <c r="G57" s="12" t="s">
        <v>1390</v>
      </c>
      <c r="H57" s="14"/>
      <c r="I57" s="14"/>
      <c r="J57" s="14" t="s">
        <v>1932</v>
      </c>
      <c r="K57" s="14" t="s">
        <v>1930</v>
      </c>
      <c r="L57" s="31" t="s">
        <v>439</v>
      </c>
    </row>
    <row r="58" spans="1:12">
      <c r="A58" s="14"/>
      <c r="B58" s="14" t="s">
        <v>964</v>
      </c>
      <c r="C58" s="14" t="s">
        <v>136</v>
      </c>
      <c r="D58" s="12" t="s">
        <v>1122</v>
      </c>
      <c r="E58" s="14" t="s">
        <v>243</v>
      </c>
      <c r="F58" s="14"/>
      <c r="G58" s="12" t="s">
        <v>1391</v>
      </c>
      <c r="H58" s="14"/>
      <c r="I58" s="14"/>
      <c r="J58" s="14" t="s">
        <v>1932</v>
      </c>
      <c r="K58" s="14" t="s">
        <v>1930</v>
      </c>
      <c r="L58" s="31" t="s">
        <v>439</v>
      </c>
    </row>
    <row r="59" spans="1:12">
      <c r="A59" s="14"/>
      <c r="B59" s="14" t="s">
        <v>1502</v>
      </c>
      <c r="C59" s="14" t="s">
        <v>136</v>
      </c>
      <c r="D59" s="12" t="s">
        <v>1125</v>
      </c>
      <c r="E59" s="14" t="s">
        <v>243</v>
      </c>
      <c r="F59" s="14"/>
      <c r="G59" s="12" t="s">
        <v>1392</v>
      </c>
      <c r="H59" s="14"/>
      <c r="I59" s="14"/>
      <c r="J59" s="14" t="s">
        <v>1932</v>
      </c>
      <c r="K59" s="14" t="s">
        <v>1930</v>
      </c>
      <c r="L59" s="31" t="s">
        <v>439</v>
      </c>
    </row>
    <row r="60" spans="1:12">
      <c r="A60" s="14"/>
      <c r="B60" s="14" t="s">
        <v>1504</v>
      </c>
      <c r="C60" s="14" t="s">
        <v>136</v>
      </c>
      <c r="D60" s="12" t="s">
        <v>1128</v>
      </c>
      <c r="E60" s="14" t="s">
        <v>243</v>
      </c>
      <c r="F60" s="14"/>
      <c r="G60" s="12" t="s">
        <v>1393</v>
      </c>
      <c r="H60" s="14"/>
      <c r="I60" s="14"/>
      <c r="J60" s="14" t="s">
        <v>1932</v>
      </c>
      <c r="K60" s="14" t="s">
        <v>1930</v>
      </c>
      <c r="L60" s="31" t="s">
        <v>439</v>
      </c>
    </row>
    <row r="61" spans="1:12">
      <c r="A61" s="14"/>
      <c r="B61" s="14" t="s">
        <v>1506</v>
      </c>
      <c r="C61" s="14" t="s">
        <v>136</v>
      </c>
      <c r="D61" s="12" t="s">
        <v>1131</v>
      </c>
      <c r="E61" s="14" t="s">
        <v>243</v>
      </c>
      <c r="F61" s="14"/>
      <c r="G61" s="12" t="s">
        <v>1394</v>
      </c>
      <c r="H61" s="14"/>
      <c r="I61" s="14"/>
      <c r="J61" s="14" t="s">
        <v>1932</v>
      </c>
      <c r="K61" s="14" t="s">
        <v>1930</v>
      </c>
      <c r="L61" s="31" t="s">
        <v>439</v>
      </c>
    </row>
    <row r="62" spans="1:12">
      <c r="A62" s="14"/>
      <c r="B62" s="14" t="s">
        <v>1508</v>
      </c>
      <c r="C62" s="14" t="s">
        <v>136</v>
      </c>
      <c r="D62" s="12" t="s">
        <v>1134</v>
      </c>
      <c r="E62" s="14" t="s">
        <v>243</v>
      </c>
      <c r="F62" s="14"/>
      <c r="G62" s="12" t="s">
        <v>1395</v>
      </c>
      <c r="H62" s="14"/>
      <c r="I62" s="14"/>
      <c r="J62" s="14" t="s">
        <v>1932</v>
      </c>
      <c r="K62" s="14" t="s">
        <v>1930</v>
      </c>
      <c r="L62" s="31" t="s">
        <v>439</v>
      </c>
    </row>
    <row r="63" spans="1:12">
      <c r="A63" s="14"/>
      <c r="B63" s="14" t="s">
        <v>1510</v>
      </c>
      <c r="C63" s="14" t="s">
        <v>136</v>
      </c>
      <c r="D63" s="12" t="s">
        <v>1137</v>
      </c>
      <c r="E63" s="14" t="s">
        <v>243</v>
      </c>
      <c r="F63" s="14"/>
      <c r="G63" s="12" t="s">
        <v>1396</v>
      </c>
      <c r="H63" s="14"/>
      <c r="I63" s="14"/>
      <c r="J63" s="14" t="s">
        <v>1932</v>
      </c>
      <c r="K63" s="14" t="s">
        <v>1930</v>
      </c>
      <c r="L63" s="31" t="s">
        <v>439</v>
      </c>
    </row>
    <row r="64" spans="1:12">
      <c r="A64" s="14"/>
      <c r="B64" s="14" t="s">
        <v>1139</v>
      </c>
      <c r="C64" s="14" t="s">
        <v>136</v>
      </c>
      <c r="D64" s="12" t="s">
        <v>1931</v>
      </c>
      <c r="E64" s="14"/>
      <c r="F64" s="14"/>
      <c r="G64" s="12" t="s">
        <v>1397</v>
      </c>
      <c r="H64" s="14"/>
      <c r="I64" s="14"/>
      <c r="J64" s="14" t="s">
        <v>1932</v>
      </c>
      <c r="K64" s="14" t="s">
        <v>1930</v>
      </c>
      <c r="L64" s="31" t="s">
        <v>439</v>
      </c>
    </row>
    <row r="65" spans="1:12">
      <c r="A65" s="14"/>
      <c r="B65" s="14" t="s">
        <v>1142</v>
      </c>
      <c r="C65" s="14" t="s">
        <v>245</v>
      </c>
      <c r="D65" s="12" t="s">
        <v>1143</v>
      </c>
      <c r="E65" s="14"/>
      <c r="F65" s="14"/>
      <c r="G65" s="12" t="s">
        <v>1398</v>
      </c>
      <c r="H65" s="14"/>
      <c r="I65" s="14"/>
      <c r="J65" s="14" t="s">
        <v>1932</v>
      </c>
      <c r="K65" s="14" t="s">
        <v>1930</v>
      </c>
      <c r="L65" s="31" t="s">
        <v>568</v>
      </c>
    </row>
    <row r="66" spans="1:12">
      <c r="A66" s="14"/>
      <c r="B66" s="14" t="s">
        <v>1145</v>
      </c>
      <c r="C66" s="14" t="s">
        <v>136</v>
      </c>
      <c r="D66" s="12" t="s">
        <v>1146</v>
      </c>
      <c r="E66" s="14"/>
      <c r="F66" s="14"/>
      <c r="G66" s="12" t="s">
        <v>1399</v>
      </c>
      <c r="H66" s="14"/>
      <c r="I66" s="14"/>
      <c r="J66" s="14" t="s">
        <v>1932</v>
      </c>
      <c r="K66" s="14" t="s">
        <v>1930</v>
      </c>
      <c r="L66" s="31" t="s">
        <v>439</v>
      </c>
    </row>
    <row r="67" spans="1:12">
      <c r="A67" s="14"/>
      <c r="B67" s="14" t="s">
        <v>1147</v>
      </c>
      <c r="C67" s="14" t="s">
        <v>245</v>
      </c>
      <c r="D67" s="12" t="s">
        <v>1148</v>
      </c>
      <c r="E67" s="14"/>
      <c r="F67" s="14"/>
      <c r="G67" s="12" t="s">
        <v>1400</v>
      </c>
      <c r="H67" s="14"/>
      <c r="I67" s="14"/>
      <c r="J67" s="14" t="s">
        <v>1932</v>
      </c>
      <c r="K67" s="14" t="s">
        <v>1930</v>
      </c>
      <c r="L67" s="31" t="s">
        <v>610</v>
      </c>
    </row>
    <row r="68" spans="1:12">
      <c r="A68" s="14"/>
      <c r="B68" s="14" t="s">
        <v>1149</v>
      </c>
      <c r="C68" s="14" t="s">
        <v>245</v>
      </c>
      <c r="D68" s="12" t="s">
        <v>1150</v>
      </c>
      <c r="E68" s="14"/>
      <c r="F68" s="14"/>
      <c r="G68" s="12" t="s">
        <v>1401</v>
      </c>
      <c r="H68" s="14"/>
      <c r="I68" s="14"/>
      <c r="J68" s="14" t="s">
        <v>1932</v>
      </c>
      <c r="K68" s="14" t="s">
        <v>1930</v>
      </c>
      <c r="L68" s="31" t="s">
        <v>615</v>
      </c>
    </row>
    <row r="69" spans="1:12">
      <c r="A69" s="14"/>
      <c r="B69" s="14" t="s">
        <v>1513</v>
      </c>
      <c r="C69" s="14" t="s">
        <v>136</v>
      </c>
      <c r="D69" s="12" t="s">
        <v>1514</v>
      </c>
      <c r="E69" s="14"/>
      <c r="F69" s="14"/>
      <c r="G69" s="12" t="s">
        <v>1402</v>
      </c>
      <c r="H69" s="14"/>
      <c r="I69" s="14"/>
      <c r="J69" s="14" t="s">
        <v>1932</v>
      </c>
      <c r="K69" s="14" t="s">
        <v>1930</v>
      </c>
      <c r="L69" s="31" t="s">
        <v>439</v>
      </c>
    </row>
    <row r="70" spans="1:12">
      <c r="A70" s="14"/>
      <c r="B70" s="14" t="s">
        <v>1515</v>
      </c>
      <c r="C70" s="14" t="s">
        <v>136</v>
      </c>
      <c r="D70" s="12" t="s">
        <v>1516</v>
      </c>
      <c r="E70" s="14"/>
      <c r="F70" s="14"/>
      <c r="G70" s="12" t="s">
        <v>1403</v>
      </c>
      <c r="H70" s="14"/>
      <c r="I70" s="14"/>
      <c r="J70" s="14" t="s">
        <v>1932</v>
      </c>
      <c r="K70" s="14" t="s">
        <v>1930</v>
      </c>
      <c r="L70" s="31" t="s">
        <v>439</v>
      </c>
    </row>
    <row r="71" spans="1:12">
      <c r="A71" s="14"/>
      <c r="B71" s="14" t="s">
        <v>1517</v>
      </c>
      <c r="C71" s="14" t="s">
        <v>136</v>
      </c>
      <c r="D71" s="12" t="s">
        <v>1518</v>
      </c>
      <c r="E71" s="14"/>
      <c r="F71" s="14"/>
      <c r="G71" s="12" t="s">
        <v>1404</v>
      </c>
      <c r="H71" s="14"/>
      <c r="I71" s="14"/>
      <c r="J71" s="14" t="s">
        <v>1932</v>
      </c>
      <c r="K71" s="14" t="s">
        <v>1930</v>
      </c>
      <c r="L71" s="31" t="s">
        <v>439</v>
      </c>
    </row>
    <row r="72" spans="1:12">
      <c r="A72" s="14"/>
      <c r="B72" s="14" t="s">
        <v>1519</v>
      </c>
      <c r="C72" s="14" t="s">
        <v>136</v>
      </c>
      <c r="D72" s="12" t="s">
        <v>1520</v>
      </c>
      <c r="E72" s="14"/>
      <c r="F72" s="14"/>
      <c r="G72" s="12" t="s">
        <v>1405</v>
      </c>
      <c r="H72" s="14"/>
      <c r="I72" s="14"/>
      <c r="J72" s="14" t="s">
        <v>1932</v>
      </c>
      <c r="K72" s="14" t="s">
        <v>1930</v>
      </c>
      <c r="L72" s="31" t="s">
        <v>439</v>
      </c>
    </row>
    <row r="73" spans="1:12">
      <c r="A73" s="14"/>
      <c r="B73" s="14" t="s">
        <v>1521</v>
      </c>
      <c r="C73" s="14" t="s">
        <v>136</v>
      </c>
      <c r="D73" s="12" t="s">
        <v>1522</v>
      </c>
      <c r="E73" s="14"/>
      <c r="F73" s="14"/>
      <c r="G73" s="12" t="s">
        <v>1406</v>
      </c>
      <c r="H73" s="14"/>
      <c r="I73" s="14"/>
      <c r="J73" s="14" t="s">
        <v>1932</v>
      </c>
      <c r="K73" s="14" t="s">
        <v>1930</v>
      </c>
      <c r="L73" s="31" t="s">
        <v>439</v>
      </c>
    </row>
    <row r="74" spans="1:12">
      <c r="A74" s="14"/>
      <c r="B74" s="14" t="s">
        <v>1523</v>
      </c>
      <c r="C74" s="14" t="s">
        <v>136</v>
      </c>
      <c r="D74" s="12" t="s">
        <v>1524</v>
      </c>
      <c r="E74" s="14"/>
      <c r="F74" s="14"/>
      <c r="G74" s="12" t="s">
        <v>1407</v>
      </c>
      <c r="H74" s="14"/>
      <c r="I74" s="14"/>
      <c r="J74" s="14" t="s">
        <v>1932</v>
      </c>
      <c r="K74" s="14" t="s">
        <v>1930</v>
      </c>
      <c r="L74" s="31" t="s">
        <v>439</v>
      </c>
    </row>
    <row r="75" spans="1:12">
      <c r="A75" s="14"/>
      <c r="B75" s="14" t="s">
        <v>1525</v>
      </c>
      <c r="C75" s="14" t="s">
        <v>136</v>
      </c>
      <c r="D75" s="12" t="s">
        <v>1526</v>
      </c>
      <c r="E75" s="14"/>
      <c r="F75" s="14"/>
      <c r="G75" s="12" t="s">
        <v>1408</v>
      </c>
      <c r="H75" s="14"/>
      <c r="I75" s="14"/>
      <c r="J75" s="14" t="s">
        <v>1932</v>
      </c>
      <c r="K75" s="14" t="s">
        <v>1930</v>
      </c>
      <c r="L75" s="31" t="s">
        <v>439</v>
      </c>
    </row>
    <row r="76" spans="1:12">
      <c r="A76" s="14"/>
      <c r="B76" s="14" t="s">
        <v>1527</v>
      </c>
      <c r="C76" s="14" t="s">
        <v>136</v>
      </c>
      <c r="D76" s="12" t="s">
        <v>1528</v>
      </c>
      <c r="E76" s="14"/>
      <c r="F76" s="14"/>
      <c r="G76" s="12" t="s">
        <v>1409</v>
      </c>
      <c r="H76" s="14"/>
      <c r="I76" s="14"/>
      <c r="J76" s="14" t="s">
        <v>1932</v>
      </c>
      <c r="K76" s="14" t="s">
        <v>1930</v>
      </c>
      <c r="L76" s="31" t="s">
        <v>439</v>
      </c>
    </row>
    <row r="77" spans="1:12">
      <c r="A77" s="14"/>
      <c r="B77" s="14" t="s">
        <v>1529</v>
      </c>
      <c r="C77" s="14" t="s">
        <v>136</v>
      </c>
      <c r="D77" s="12" t="s">
        <v>1530</v>
      </c>
      <c r="E77" s="14"/>
      <c r="F77" s="14"/>
      <c r="G77" s="12" t="s">
        <v>1410</v>
      </c>
      <c r="H77" s="14"/>
      <c r="I77" s="14"/>
      <c r="J77" s="14" t="s">
        <v>1932</v>
      </c>
      <c r="K77" s="14" t="s">
        <v>1930</v>
      </c>
      <c r="L77" s="31" t="s">
        <v>439</v>
      </c>
    </row>
    <row r="78" spans="1:12">
      <c r="A78" s="14"/>
      <c r="B78" s="14" t="s">
        <v>1531</v>
      </c>
      <c r="C78" s="14" t="s">
        <v>136</v>
      </c>
      <c r="D78" s="12" t="s">
        <v>1532</v>
      </c>
      <c r="E78" s="14"/>
      <c r="F78" s="14"/>
      <c r="G78" s="12" t="s">
        <v>1411</v>
      </c>
      <c r="H78" s="14"/>
      <c r="I78" s="14"/>
      <c r="J78" s="14" t="s">
        <v>1932</v>
      </c>
      <c r="K78" s="14" t="s">
        <v>1930</v>
      </c>
      <c r="L78" s="31" t="s">
        <v>439</v>
      </c>
    </row>
    <row r="79" spans="1:12">
      <c r="A79" s="14"/>
      <c r="B79" s="14" t="s">
        <v>1533</v>
      </c>
      <c r="C79" s="14" t="s">
        <v>136</v>
      </c>
      <c r="D79" s="12" t="s">
        <v>1534</v>
      </c>
      <c r="E79" s="14"/>
      <c r="F79" s="14"/>
      <c r="G79" s="12" t="s">
        <v>1412</v>
      </c>
      <c r="H79" s="14"/>
      <c r="I79" s="14"/>
      <c r="J79" s="14" t="s">
        <v>1932</v>
      </c>
      <c r="K79" s="14" t="s">
        <v>1930</v>
      </c>
      <c r="L79" s="31" t="s">
        <v>439</v>
      </c>
    </row>
    <row r="80" spans="1:12">
      <c r="A80" s="14"/>
      <c r="B80" s="14" t="s">
        <v>1535</v>
      </c>
      <c r="C80" s="14" t="s">
        <v>136</v>
      </c>
      <c r="D80" s="12" t="s">
        <v>1536</v>
      </c>
      <c r="E80" s="14"/>
      <c r="F80" s="14"/>
      <c r="G80" s="12" t="s">
        <v>1413</v>
      </c>
      <c r="H80" s="14"/>
      <c r="I80" s="14"/>
      <c r="J80" s="14" t="s">
        <v>1932</v>
      </c>
      <c r="K80" s="14" t="s">
        <v>1930</v>
      </c>
      <c r="L80" s="31" t="s">
        <v>439</v>
      </c>
    </row>
    <row r="81" spans="1:12">
      <c r="A81" s="14"/>
      <c r="B81" s="14" t="s">
        <v>1187</v>
      </c>
      <c r="C81" s="14" t="s">
        <v>136</v>
      </c>
      <c r="D81" s="12" t="s">
        <v>1617</v>
      </c>
      <c r="E81" s="14"/>
      <c r="F81" s="14"/>
      <c r="G81" s="12" t="s">
        <v>1414</v>
      </c>
      <c r="H81" s="14"/>
      <c r="I81" s="14"/>
      <c r="J81" s="14" t="s">
        <v>1932</v>
      </c>
      <c r="K81" s="14" t="s">
        <v>1930</v>
      </c>
      <c r="L81" s="31" t="s">
        <v>439</v>
      </c>
    </row>
    <row r="82" spans="1:12">
      <c r="A82" s="14"/>
      <c r="B82" s="14" t="s">
        <v>1189</v>
      </c>
      <c r="C82" s="14" t="s">
        <v>245</v>
      </c>
      <c r="D82" s="12" t="s">
        <v>1618</v>
      </c>
      <c r="E82" s="14"/>
      <c r="F82" s="14"/>
      <c r="G82" s="12" t="s">
        <v>1415</v>
      </c>
      <c r="H82" s="14"/>
      <c r="I82" s="14"/>
      <c r="J82" s="14" t="s">
        <v>1932</v>
      </c>
      <c r="K82" s="14" t="s">
        <v>1930</v>
      </c>
      <c r="L82" s="31" t="s">
        <v>568</v>
      </c>
    </row>
    <row r="83" spans="1:12">
      <c r="A83" s="14"/>
      <c r="B83" s="14" t="s">
        <v>1023</v>
      </c>
      <c r="C83" s="14" t="s">
        <v>136</v>
      </c>
      <c r="D83" s="12" t="s">
        <v>1622</v>
      </c>
      <c r="E83" s="14"/>
      <c r="F83" s="14"/>
      <c r="G83" s="12" t="s">
        <v>1360</v>
      </c>
      <c r="H83" s="14"/>
      <c r="I83" s="14"/>
      <c r="J83" s="14" t="s">
        <v>1932</v>
      </c>
      <c r="K83" s="14" t="s">
        <v>1930</v>
      </c>
      <c r="L83" s="31" t="s">
        <v>439</v>
      </c>
    </row>
    <row r="84" spans="1:12">
      <c r="A84" s="14"/>
      <c r="B84" s="14" t="s">
        <v>1191</v>
      </c>
      <c r="C84" s="14" t="s">
        <v>245</v>
      </c>
      <c r="D84" s="12" t="s">
        <v>1192</v>
      </c>
      <c r="E84" s="14"/>
      <c r="F84" s="14"/>
      <c r="G84" s="12" t="s">
        <v>1416</v>
      </c>
      <c r="H84" s="14"/>
      <c r="I84" s="14"/>
      <c r="J84" s="14" t="s">
        <v>1932</v>
      </c>
      <c r="K84" s="14" t="s">
        <v>1930</v>
      </c>
      <c r="L84" s="31" t="s">
        <v>439</v>
      </c>
    </row>
    <row r="85" spans="1:12">
      <c r="A85" s="14"/>
      <c r="B85" s="14" t="s">
        <v>1194</v>
      </c>
      <c r="C85" s="14" t="s">
        <v>245</v>
      </c>
      <c r="D85" s="12" t="s">
        <v>1195</v>
      </c>
      <c r="E85" s="14"/>
      <c r="F85" s="14"/>
      <c r="G85" s="12" t="s">
        <v>1417</v>
      </c>
      <c r="H85" s="14"/>
      <c r="I85" s="14"/>
      <c r="J85" s="14" t="s">
        <v>1932</v>
      </c>
      <c r="K85" s="14" t="s">
        <v>1930</v>
      </c>
      <c r="L85" s="31" t="s">
        <v>439</v>
      </c>
    </row>
    <row r="86" spans="1:12">
      <c r="A86" s="14"/>
      <c r="B86" s="14" t="s">
        <v>1026</v>
      </c>
      <c r="C86" s="14" t="s">
        <v>136</v>
      </c>
      <c r="D86" s="12" t="s">
        <v>1198</v>
      </c>
      <c r="E86" s="14"/>
      <c r="F86" s="14"/>
      <c r="G86" s="12" t="s">
        <v>1418</v>
      </c>
      <c r="H86" s="14"/>
      <c r="I86" s="14"/>
      <c r="J86" s="14" t="s">
        <v>1932</v>
      </c>
      <c r="K86" s="14" t="s">
        <v>1930</v>
      </c>
      <c r="L86" s="31" t="s">
        <v>439</v>
      </c>
    </row>
    <row r="87" spans="1:12">
      <c r="A87" s="14"/>
      <c r="B87" s="14" t="s">
        <v>1029</v>
      </c>
      <c r="C87" s="14" t="s">
        <v>136</v>
      </c>
      <c r="D87" s="12" t="s">
        <v>1200</v>
      </c>
      <c r="E87" s="14"/>
      <c r="F87" s="14"/>
      <c r="G87" s="12" t="s">
        <v>1419</v>
      </c>
      <c r="H87" s="14"/>
      <c r="I87" s="14"/>
      <c r="J87" s="14" t="s">
        <v>1932</v>
      </c>
      <c r="K87" s="14" t="s">
        <v>1930</v>
      </c>
      <c r="L87" s="31" t="s">
        <v>439</v>
      </c>
    </row>
    <row r="88" spans="1:12">
      <c r="A88" s="14"/>
      <c r="B88" s="14" t="s">
        <v>1032</v>
      </c>
      <c r="C88" s="14" t="s">
        <v>136</v>
      </c>
      <c r="D88" s="12" t="s">
        <v>1202</v>
      </c>
      <c r="E88" s="14"/>
      <c r="F88" s="14"/>
      <c r="G88" s="12" t="s">
        <v>1420</v>
      </c>
      <c r="H88" s="14"/>
      <c r="I88" s="14"/>
      <c r="J88" s="14" t="s">
        <v>1932</v>
      </c>
      <c r="K88" s="14" t="s">
        <v>1930</v>
      </c>
      <c r="L88" s="31" t="s">
        <v>439</v>
      </c>
    </row>
    <row r="89" spans="1:12">
      <c r="A89" s="14"/>
      <c r="B89" s="14" t="s">
        <v>1035</v>
      </c>
      <c r="C89" s="14" t="s">
        <v>136</v>
      </c>
      <c r="D89" s="12" t="s">
        <v>1204</v>
      </c>
      <c r="E89" s="14"/>
      <c r="F89" s="14"/>
      <c r="G89" s="12" t="s">
        <v>1421</v>
      </c>
      <c r="H89" s="14"/>
      <c r="I89" s="14"/>
      <c r="J89" s="14" t="s">
        <v>1932</v>
      </c>
      <c r="K89" s="14" t="s">
        <v>1930</v>
      </c>
      <c r="L89" s="31" t="s">
        <v>439</v>
      </c>
    </row>
    <row r="90" spans="1:12">
      <c r="A90" s="14"/>
      <c r="B90" s="14" t="s">
        <v>1038</v>
      </c>
      <c r="C90" s="14" t="s">
        <v>136</v>
      </c>
      <c r="D90" s="12" t="s">
        <v>1206</v>
      </c>
      <c r="E90" s="14"/>
      <c r="F90" s="14"/>
      <c r="G90" s="12" t="s">
        <v>1422</v>
      </c>
      <c r="H90" s="14"/>
      <c r="I90" s="14"/>
      <c r="J90" s="14" t="s">
        <v>1932</v>
      </c>
      <c r="K90" s="14" t="s">
        <v>1930</v>
      </c>
      <c r="L90" s="31" t="s">
        <v>439</v>
      </c>
    </row>
    <row r="91" spans="1:12">
      <c r="A91" s="14"/>
      <c r="B91" s="14" t="s">
        <v>1041</v>
      </c>
      <c r="C91" s="14" t="s">
        <v>136</v>
      </c>
      <c r="D91" s="12" t="s">
        <v>1208</v>
      </c>
      <c r="E91" s="14"/>
      <c r="F91" s="14"/>
      <c r="G91" s="12" t="s">
        <v>1423</v>
      </c>
      <c r="H91" s="14"/>
      <c r="I91" s="14"/>
      <c r="J91" s="14" t="s">
        <v>1932</v>
      </c>
      <c r="K91" s="14" t="s">
        <v>1930</v>
      </c>
      <c r="L91" s="31" t="s">
        <v>439</v>
      </c>
    </row>
    <row r="92" spans="1:12">
      <c r="A92" s="14"/>
      <c r="B92" s="14" t="s">
        <v>1044</v>
      </c>
      <c r="C92" s="14" t="s">
        <v>136</v>
      </c>
      <c r="D92" s="12" t="s">
        <v>762</v>
      </c>
      <c r="E92" s="14"/>
      <c r="F92" s="14"/>
      <c r="G92" s="12" t="s">
        <v>1424</v>
      </c>
      <c r="H92" s="14"/>
      <c r="I92" s="14"/>
      <c r="J92" s="14" t="s">
        <v>1932</v>
      </c>
      <c r="K92" s="14" t="s">
        <v>1930</v>
      </c>
      <c r="L92" s="31" t="s">
        <v>439</v>
      </c>
    </row>
    <row r="93" spans="1:12">
      <c r="A93" s="14"/>
      <c r="B93" s="14" t="s">
        <v>1916</v>
      </c>
      <c r="C93" s="14" t="s">
        <v>136</v>
      </c>
      <c r="D93" s="12" t="s">
        <v>765</v>
      </c>
      <c r="E93" s="14"/>
      <c r="F93" s="14"/>
      <c r="G93" s="12" t="s">
        <v>1425</v>
      </c>
      <c r="H93" s="14"/>
      <c r="I93" s="14"/>
      <c r="J93" s="14" t="s">
        <v>1932</v>
      </c>
      <c r="K93" s="14" t="s">
        <v>1930</v>
      </c>
      <c r="L93" s="31" t="s">
        <v>439</v>
      </c>
    </row>
    <row r="94" spans="1:12">
      <c r="A94" s="14"/>
      <c r="B94" s="14" t="s">
        <v>1917</v>
      </c>
      <c r="C94" s="14" t="s">
        <v>136</v>
      </c>
      <c r="D94" s="12" t="s">
        <v>768</v>
      </c>
      <c r="E94" s="14"/>
      <c r="F94" s="14"/>
      <c r="G94" s="12" t="s">
        <v>1426</v>
      </c>
      <c r="H94" s="14"/>
      <c r="I94" s="14"/>
      <c r="J94" s="14" t="s">
        <v>1932</v>
      </c>
      <c r="K94" s="14" t="s">
        <v>1930</v>
      </c>
      <c r="L94" s="31" t="s">
        <v>439</v>
      </c>
    </row>
    <row r="95" spans="1:12">
      <c r="A95" s="14"/>
      <c r="B95" s="14" t="s">
        <v>1918</v>
      </c>
      <c r="C95" s="14" t="s">
        <v>136</v>
      </c>
      <c r="D95" s="12" t="s">
        <v>771</v>
      </c>
      <c r="E95" s="14"/>
      <c r="F95" s="14"/>
      <c r="G95" s="12" t="s">
        <v>1427</v>
      </c>
      <c r="H95" s="14"/>
      <c r="I95" s="14"/>
      <c r="J95" s="14" t="s">
        <v>1932</v>
      </c>
      <c r="K95" s="14" t="s">
        <v>1930</v>
      </c>
      <c r="L95" s="31" t="s">
        <v>439</v>
      </c>
    </row>
    <row r="96" spans="1:12">
      <c r="A96" s="14"/>
      <c r="B96" s="14" t="s">
        <v>1919</v>
      </c>
      <c r="C96" s="14" t="s">
        <v>136</v>
      </c>
      <c r="D96" s="12" t="s">
        <v>774</v>
      </c>
      <c r="E96" s="14"/>
      <c r="F96" s="14"/>
      <c r="G96" s="12" t="s">
        <v>1428</v>
      </c>
      <c r="H96" s="14"/>
      <c r="I96" s="14"/>
      <c r="J96" s="14" t="s">
        <v>1932</v>
      </c>
      <c r="K96" s="14" t="s">
        <v>1930</v>
      </c>
      <c r="L96" s="31" t="s">
        <v>439</v>
      </c>
    </row>
    <row r="97" spans="1:12">
      <c r="A97" s="14"/>
      <c r="B97" s="14" t="s">
        <v>1920</v>
      </c>
      <c r="C97" s="14" t="s">
        <v>136</v>
      </c>
      <c r="D97" s="12" t="s">
        <v>777</v>
      </c>
      <c r="E97" s="14"/>
      <c r="F97" s="14"/>
      <c r="G97" s="12" t="s">
        <v>1429</v>
      </c>
      <c r="H97" s="14"/>
      <c r="I97" s="14"/>
      <c r="J97" s="14" t="s">
        <v>1932</v>
      </c>
      <c r="K97" s="14" t="s">
        <v>1930</v>
      </c>
      <c r="L97" s="31" t="s">
        <v>439</v>
      </c>
    </row>
    <row r="98" spans="1:12">
      <c r="A98" s="14"/>
      <c r="B98" s="14" t="s">
        <v>1221</v>
      </c>
      <c r="C98" s="14" t="s">
        <v>136</v>
      </c>
      <c r="D98" s="12" t="s">
        <v>902</v>
      </c>
      <c r="E98" s="14" t="s">
        <v>243</v>
      </c>
      <c r="F98" s="14"/>
      <c r="G98" s="12" t="s">
        <v>1331</v>
      </c>
      <c r="H98" s="14"/>
      <c r="I98" s="14"/>
      <c r="J98" s="14" t="s">
        <v>1932</v>
      </c>
      <c r="K98" s="14" t="s">
        <v>1930</v>
      </c>
      <c r="L98" s="31" t="s">
        <v>610</v>
      </c>
    </row>
    <row r="99" spans="1:12">
      <c r="A99" s="14"/>
      <c r="B99" s="14" t="s">
        <v>904</v>
      </c>
      <c r="C99" s="14" t="s">
        <v>136</v>
      </c>
      <c r="D99" s="12" t="s">
        <v>905</v>
      </c>
      <c r="E99" s="14" t="s">
        <v>243</v>
      </c>
      <c r="F99" s="14"/>
      <c r="G99" s="12" t="s">
        <v>1332</v>
      </c>
      <c r="H99" s="14"/>
      <c r="I99" s="14"/>
      <c r="J99" s="14" t="s">
        <v>1932</v>
      </c>
      <c r="K99" s="14" t="s">
        <v>1930</v>
      </c>
      <c r="L99" s="31" t="s">
        <v>439</v>
      </c>
    </row>
    <row r="100" spans="1:12">
      <c r="A100" s="14"/>
      <c r="B100" s="14" t="s">
        <v>1223</v>
      </c>
      <c r="C100" s="14" t="s">
        <v>245</v>
      </c>
      <c r="D100" s="12" t="s">
        <v>908</v>
      </c>
      <c r="E100" s="14" t="s">
        <v>243</v>
      </c>
      <c r="F100" s="14"/>
      <c r="G100" s="12" t="s">
        <v>1333</v>
      </c>
      <c r="H100" s="14"/>
      <c r="I100" s="14"/>
      <c r="J100" s="14" t="s">
        <v>1932</v>
      </c>
      <c r="K100" s="14" t="s">
        <v>1930</v>
      </c>
      <c r="L100" s="31" t="s">
        <v>432</v>
      </c>
    </row>
    <row r="101" spans="1:12">
      <c r="A101" s="14"/>
      <c r="B101" s="14" t="s">
        <v>910</v>
      </c>
      <c r="C101" s="14" t="s">
        <v>245</v>
      </c>
      <c r="D101" s="12" t="s">
        <v>911</v>
      </c>
      <c r="E101" s="14" t="s">
        <v>243</v>
      </c>
      <c r="F101" s="14"/>
      <c r="G101" s="12" t="s">
        <v>1334</v>
      </c>
      <c r="H101" s="14"/>
      <c r="I101" s="14"/>
      <c r="J101" s="14" t="s">
        <v>1932</v>
      </c>
      <c r="K101" s="14" t="s">
        <v>1930</v>
      </c>
      <c r="L101" s="31" t="s">
        <v>568</v>
      </c>
    </row>
    <row r="102" spans="1:12">
      <c r="A102" s="14"/>
      <c r="B102" s="14" t="s">
        <v>1225</v>
      </c>
      <c r="C102" s="14" t="s">
        <v>136</v>
      </c>
      <c r="D102" s="12" t="s">
        <v>913</v>
      </c>
      <c r="E102" s="14" t="s">
        <v>243</v>
      </c>
      <c r="F102" s="14"/>
      <c r="G102" s="12" t="s">
        <v>914</v>
      </c>
      <c r="H102" s="14"/>
      <c r="I102" s="14"/>
      <c r="J102" s="14" t="s">
        <v>1932</v>
      </c>
      <c r="K102" s="14" t="s">
        <v>1930</v>
      </c>
      <c r="L102" s="31" t="s">
        <v>610</v>
      </c>
    </row>
    <row r="103" spans="1:12">
      <c r="A103" s="14"/>
      <c r="B103" s="14" t="s">
        <v>915</v>
      </c>
      <c r="C103" s="14" t="s">
        <v>136</v>
      </c>
      <c r="D103" s="12" t="s">
        <v>916</v>
      </c>
      <c r="E103" s="14" t="s">
        <v>243</v>
      </c>
      <c r="F103" s="14"/>
      <c r="G103" s="12" t="s">
        <v>1335</v>
      </c>
      <c r="H103" s="14"/>
      <c r="I103" s="14"/>
      <c r="J103" s="14" t="s">
        <v>1932</v>
      </c>
      <c r="K103" s="14" t="s">
        <v>1930</v>
      </c>
      <c r="L103" s="31" t="s">
        <v>439</v>
      </c>
    </row>
    <row r="104" spans="1:12">
      <c r="A104" s="14"/>
      <c r="B104" s="14" t="s">
        <v>1227</v>
      </c>
      <c r="C104" s="14" t="s">
        <v>245</v>
      </c>
      <c r="D104" s="12" t="s">
        <v>919</v>
      </c>
      <c r="E104" s="14" t="s">
        <v>243</v>
      </c>
      <c r="F104" s="14"/>
      <c r="G104" s="12" t="s">
        <v>1336</v>
      </c>
      <c r="H104" s="14"/>
      <c r="I104" s="14"/>
      <c r="J104" s="14" t="s">
        <v>1932</v>
      </c>
      <c r="K104" s="14" t="s">
        <v>1930</v>
      </c>
      <c r="L104" s="31" t="s">
        <v>432</v>
      </c>
    </row>
    <row r="105" spans="1:12">
      <c r="A105" s="14"/>
      <c r="B105" s="14" t="s">
        <v>921</v>
      </c>
      <c r="C105" s="14" t="s">
        <v>245</v>
      </c>
      <c r="D105" s="12" t="s">
        <v>922</v>
      </c>
      <c r="E105" s="14" t="s">
        <v>243</v>
      </c>
      <c r="F105" s="14"/>
      <c r="G105" s="12" t="s">
        <v>1337</v>
      </c>
      <c r="H105" s="14"/>
      <c r="I105" s="14"/>
      <c r="J105" s="14" t="s">
        <v>1932</v>
      </c>
      <c r="K105" s="14" t="s">
        <v>1930</v>
      </c>
      <c r="L105" s="31" t="s">
        <v>568</v>
      </c>
    </row>
    <row r="106" spans="1:12">
      <c r="A106" s="14"/>
      <c r="B106" s="14" t="s">
        <v>1229</v>
      </c>
      <c r="C106" s="14" t="s">
        <v>136</v>
      </c>
      <c r="D106" s="12" t="s">
        <v>925</v>
      </c>
      <c r="E106" s="14" t="s">
        <v>243</v>
      </c>
      <c r="F106" s="14"/>
      <c r="G106" s="12" t="s">
        <v>926</v>
      </c>
      <c r="H106" s="14"/>
      <c r="I106" s="14"/>
      <c r="J106" s="14" t="s">
        <v>1932</v>
      </c>
      <c r="K106" s="14" t="s">
        <v>1930</v>
      </c>
      <c r="L106" s="31" t="s">
        <v>610</v>
      </c>
    </row>
    <row r="107" spans="1:12">
      <c r="A107" s="14"/>
      <c r="B107" s="14" t="s">
        <v>927</v>
      </c>
      <c r="C107" s="14" t="s">
        <v>136</v>
      </c>
      <c r="D107" s="12" t="s">
        <v>928</v>
      </c>
      <c r="E107" s="14" t="s">
        <v>243</v>
      </c>
      <c r="F107" s="14"/>
      <c r="G107" s="12" t="s">
        <v>1338</v>
      </c>
      <c r="H107" s="14"/>
      <c r="I107" s="14"/>
      <c r="J107" s="14" t="s">
        <v>1932</v>
      </c>
      <c r="K107" s="14" t="s">
        <v>1930</v>
      </c>
      <c r="L107" s="31" t="s">
        <v>439</v>
      </c>
    </row>
    <row r="108" spans="1:12">
      <c r="A108" s="14"/>
      <c r="B108" s="14" t="s">
        <v>1231</v>
      </c>
      <c r="C108" s="14" t="s">
        <v>245</v>
      </c>
      <c r="D108" s="12" t="s">
        <v>931</v>
      </c>
      <c r="E108" s="14" t="s">
        <v>243</v>
      </c>
      <c r="F108" s="14"/>
      <c r="G108" s="12" t="s">
        <v>1339</v>
      </c>
      <c r="H108" s="14"/>
      <c r="I108" s="14"/>
      <c r="J108" s="14" t="s">
        <v>1932</v>
      </c>
      <c r="K108" s="14" t="s">
        <v>1930</v>
      </c>
      <c r="L108" s="31" t="s">
        <v>432</v>
      </c>
    </row>
    <row r="109" spans="1:12">
      <c r="A109" s="14"/>
      <c r="B109" s="14" t="s">
        <v>933</v>
      </c>
      <c r="C109" s="14" t="s">
        <v>245</v>
      </c>
      <c r="D109" s="12" t="s">
        <v>934</v>
      </c>
      <c r="E109" s="14" t="s">
        <v>243</v>
      </c>
      <c r="F109" s="14"/>
      <c r="G109" s="12" t="s">
        <v>1619</v>
      </c>
      <c r="H109" s="14"/>
      <c r="I109" s="14"/>
      <c r="J109" s="14" t="s">
        <v>1932</v>
      </c>
      <c r="K109" s="14" t="s">
        <v>1930</v>
      </c>
      <c r="L109" s="31" t="s">
        <v>568</v>
      </c>
    </row>
    <row r="110" spans="1:12">
      <c r="A110" s="14"/>
      <c r="B110" s="14" t="s">
        <v>474</v>
      </c>
      <c r="C110" s="14" t="s">
        <v>136</v>
      </c>
      <c r="D110" s="12" t="s">
        <v>1233</v>
      </c>
      <c r="E110" s="14"/>
      <c r="F110" s="14"/>
      <c r="G110" s="12" t="s">
        <v>1234</v>
      </c>
      <c r="H110" s="14"/>
      <c r="I110" s="14"/>
      <c r="J110" s="14" t="s">
        <v>1932</v>
      </c>
      <c r="K110" s="14" t="s">
        <v>1930</v>
      </c>
      <c r="L110" s="31" t="s">
        <v>533</v>
      </c>
    </row>
    <row r="111" spans="1:12">
      <c r="A111" s="14"/>
      <c r="B111" s="14" t="s">
        <v>1235</v>
      </c>
      <c r="C111" s="14" t="s">
        <v>136</v>
      </c>
      <c r="D111" s="12" t="s">
        <v>1236</v>
      </c>
      <c r="E111" s="14"/>
      <c r="F111" s="14"/>
      <c r="G111" s="12" t="s">
        <v>1436</v>
      </c>
      <c r="H111" s="14"/>
      <c r="I111" s="14"/>
      <c r="J111" s="14" t="s">
        <v>1932</v>
      </c>
      <c r="K111" s="14" t="s">
        <v>1930</v>
      </c>
      <c r="L111" s="31" t="s">
        <v>439</v>
      </c>
    </row>
    <row r="112" spans="1:12">
      <c r="A112" s="14"/>
      <c r="B112" s="14" t="s">
        <v>1238</v>
      </c>
      <c r="C112" s="14" t="s">
        <v>245</v>
      </c>
      <c r="D112" s="12" t="s">
        <v>1239</v>
      </c>
      <c r="E112" s="14"/>
      <c r="F112" s="14"/>
      <c r="G112" s="12" t="s">
        <v>1437</v>
      </c>
      <c r="H112" s="14"/>
      <c r="I112" s="14"/>
      <c r="J112" s="14" t="s">
        <v>1932</v>
      </c>
      <c r="K112" s="14" t="s">
        <v>1930</v>
      </c>
      <c r="L112" s="31" t="s">
        <v>432</v>
      </c>
    </row>
    <row r="113" spans="1:12">
      <c r="A113" s="14"/>
      <c r="B113" s="14" t="s">
        <v>1241</v>
      </c>
      <c r="C113" s="14" t="s">
        <v>245</v>
      </c>
      <c r="D113" s="12" t="s">
        <v>1242</v>
      </c>
      <c r="E113" s="14"/>
      <c r="F113" s="14"/>
      <c r="G113" s="12" t="s">
        <v>1438</v>
      </c>
      <c r="H113" s="14"/>
      <c r="I113" s="14"/>
      <c r="J113" s="14" t="s">
        <v>1932</v>
      </c>
      <c r="K113" s="14" t="s">
        <v>1930</v>
      </c>
      <c r="L113" s="31" t="s">
        <v>568</v>
      </c>
    </row>
    <row r="114" spans="1:12">
      <c r="A114" s="14"/>
      <c r="B114" s="14" t="s">
        <v>1244</v>
      </c>
      <c r="C114" s="14" t="s">
        <v>136</v>
      </c>
      <c r="D114" s="12" t="s">
        <v>1245</v>
      </c>
      <c r="E114" s="14"/>
      <c r="F114" s="14"/>
      <c r="G114" s="12" t="s">
        <v>1439</v>
      </c>
      <c r="H114" s="14"/>
      <c r="I114" s="14"/>
      <c r="J114" s="14" t="s">
        <v>1932</v>
      </c>
      <c r="K114" s="14" t="s">
        <v>1930</v>
      </c>
      <c r="L114" s="31" t="s">
        <v>439</v>
      </c>
    </row>
    <row r="115" spans="1:12">
      <c r="A115" s="14"/>
      <c r="B115" s="14" t="s">
        <v>1247</v>
      </c>
      <c r="C115" s="14" t="s">
        <v>136</v>
      </c>
      <c r="D115" s="12" t="s">
        <v>780</v>
      </c>
      <c r="E115" s="14"/>
      <c r="F115" s="14"/>
      <c r="G115" s="12" t="s">
        <v>1440</v>
      </c>
      <c r="H115" s="14"/>
      <c r="I115" s="14"/>
      <c r="J115" s="14" t="s">
        <v>1932</v>
      </c>
      <c r="K115" s="14" t="s">
        <v>1930</v>
      </c>
      <c r="L115" s="31" t="s">
        <v>439</v>
      </c>
    </row>
    <row r="116" spans="1:12">
      <c r="A116" s="14"/>
      <c r="B116" s="14" t="s">
        <v>1251</v>
      </c>
      <c r="C116" s="14" t="s">
        <v>136</v>
      </c>
      <c r="D116" s="12" t="s">
        <v>784</v>
      </c>
      <c r="E116" s="14"/>
      <c r="F116" s="14"/>
      <c r="G116" s="12" t="s">
        <v>1442</v>
      </c>
      <c r="H116" s="14"/>
      <c r="I116" s="14"/>
      <c r="J116" s="14" t="s">
        <v>1932</v>
      </c>
      <c r="K116" s="14" t="s">
        <v>1930</v>
      </c>
      <c r="L116" s="31" t="s">
        <v>439</v>
      </c>
    </row>
    <row r="117" spans="1:12">
      <c r="A117" s="14"/>
      <c r="B117" s="14" t="s">
        <v>1261</v>
      </c>
      <c r="C117" s="14" t="s">
        <v>136</v>
      </c>
      <c r="D117" s="12" t="s">
        <v>794</v>
      </c>
      <c r="E117" s="14"/>
      <c r="F117" s="14"/>
      <c r="G117" s="12" t="s">
        <v>1447</v>
      </c>
      <c r="H117" s="14"/>
      <c r="I117" s="14"/>
      <c r="J117" s="14" t="s">
        <v>1932</v>
      </c>
      <c r="K117" s="14" t="s">
        <v>1930</v>
      </c>
      <c r="L117" s="31" t="s">
        <v>439</v>
      </c>
    </row>
    <row r="118" spans="1:12">
      <c r="A118" s="14"/>
      <c r="B118" s="14" t="s">
        <v>1265</v>
      </c>
      <c r="C118" s="14" t="s">
        <v>136</v>
      </c>
      <c r="D118" s="12" t="s">
        <v>798</v>
      </c>
      <c r="E118" s="14"/>
      <c r="F118" s="14"/>
      <c r="G118" s="12" t="s">
        <v>1449</v>
      </c>
      <c r="H118" s="14"/>
      <c r="I118" s="14"/>
      <c r="J118" s="14" t="s">
        <v>1932</v>
      </c>
      <c r="K118" s="14" t="s">
        <v>1930</v>
      </c>
      <c r="L118" s="31" t="s">
        <v>439</v>
      </c>
    </row>
    <row r="119" spans="1:12">
      <c r="A119" s="14"/>
      <c r="B119" s="14" t="s">
        <v>1253</v>
      </c>
      <c r="C119" s="14" t="s">
        <v>136</v>
      </c>
      <c r="D119" s="12" t="s">
        <v>786</v>
      </c>
      <c r="E119" s="14"/>
      <c r="F119" s="14"/>
      <c r="G119" s="12" t="s">
        <v>1443</v>
      </c>
      <c r="H119" s="14"/>
      <c r="I119" s="14"/>
      <c r="J119" s="14" t="s">
        <v>1932</v>
      </c>
      <c r="K119" s="14" t="s">
        <v>1930</v>
      </c>
      <c r="L119" s="31" t="s">
        <v>439</v>
      </c>
    </row>
    <row r="120" spans="1:12">
      <c r="A120" s="14"/>
      <c r="B120" s="14" t="s">
        <v>1259</v>
      </c>
      <c r="C120" s="14" t="s">
        <v>136</v>
      </c>
      <c r="D120" s="12" t="s">
        <v>792</v>
      </c>
      <c r="E120" s="14"/>
      <c r="F120" s="14"/>
      <c r="G120" s="12" t="s">
        <v>1446</v>
      </c>
      <c r="H120" s="14"/>
      <c r="I120" s="14"/>
      <c r="J120" s="14" t="s">
        <v>1932</v>
      </c>
      <c r="K120" s="14" t="s">
        <v>1930</v>
      </c>
      <c r="L120" s="31" t="s">
        <v>439</v>
      </c>
    </row>
    <row r="121" spans="1:12">
      <c r="A121" s="14"/>
      <c r="B121" s="14" t="s">
        <v>1263</v>
      </c>
      <c r="C121" s="14" t="s">
        <v>136</v>
      </c>
      <c r="D121" s="12" t="s">
        <v>796</v>
      </c>
      <c r="E121" s="14"/>
      <c r="F121" s="14"/>
      <c r="G121" s="12" t="s">
        <v>1448</v>
      </c>
      <c r="H121" s="14"/>
      <c r="I121" s="14"/>
      <c r="J121" s="14" t="s">
        <v>1932</v>
      </c>
      <c r="K121" s="14" t="s">
        <v>1930</v>
      </c>
      <c r="L121" s="31" t="s">
        <v>439</v>
      </c>
    </row>
    <row r="122" spans="1:12">
      <c r="A122" s="14"/>
      <c r="B122" s="14" t="s">
        <v>1267</v>
      </c>
      <c r="C122" s="14" t="s">
        <v>136</v>
      </c>
      <c r="D122" s="12" t="s">
        <v>800</v>
      </c>
      <c r="E122" s="14"/>
      <c r="F122" s="14"/>
      <c r="G122" s="12" t="s">
        <v>1450</v>
      </c>
      <c r="H122" s="14"/>
      <c r="I122" s="14"/>
      <c r="J122" s="14" t="s">
        <v>1932</v>
      </c>
      <c r="K122" s="14" t="s">
        <v>1930</v>
      </c>
      <c r="L122" s="31" t="s">
        <v>439</v>
      </c>
    </row>
    <row r="123" spans="1:12">
      <c r="A123" s="14"/>
      <c r="B123" s="14" t="s">
        <v>1272</v>
      </c>
      <c r="C123" s="14" t="s">
        <v>136</v>
      </c>
      <c r="D123" s="12" t="s">
        <v>1273</v>
      </c>
      <c r="E123" s="14"/>
      <c r="F123" s="14"/>
      <c r="G123" s="12" t="s">
        <v>1453</v>
      </c>
      <c r="H123" s="14"/>
      <c r="I123" s="14"/>
      <c r="J123" s="14" t="s">
        <v>1932</v>
      </c>
      <c r="K123" s="14" t="s">
        <v>1930</v>
      </c>
      <c r="L123" s="31" t="s">
        <v>439</v>
      </c>
    </row>
    <row r="124" spans="1:12">
      <c r="A124" s="14"/>
      <c r="B124" s="41" t="s">
        <v>388</v>
      </c>
      <c r="C124" s="41" t="s">
        <v>139</v>
      </c>
      <c r="D124" s="42" t="s">
        <v>488</v>
      </c>
      <c r="E124" s="41" t="s">
        <v>243</v>
      </c>
      <c r="F124" s="41" t="s">
        <v>388</v>
      </c>
      <c r="G124" s="42" t="s">
        <v>250</v>
      </c>
      <c r="H124" s="41"/>
      <c r="I124" s="41" t="s">
        <v>1933</v>
      </c>
      <c r="J124" s="41" t="s">
        <v>384</v>
      </c>
      <c r="K124" s="41" t="s">
        <v>134</v>
      </c>
      <c r="L124" s="46" t="s">
        <v>134</v>
      </c>
    </row>
    <row r="125" spans="1:12">
      <c r="A125" s="14"/>
      <c r="B125" s="41" t="s">
        <v>392</v>
      </c>
      <c r="C125" s="41" t="s">
        <v>132</v>
      </c>
      <c r="D125" s="42" t="s">
        <v>391</v>
      </c>
      <c r="E125" s="41" t="s">
        <v>243</v>
      </c>
      <c r="F125" s="41" t="s">
        <v>392</v>
      </c>
      <c r="G125" s="42" t="s">
        <v>250</v>
      </c>
      <c r="H125" s="41"/>
      <c r="I125" s="41" t="s">
        <v>1933</v>
      </c>
      <c r="J125" s="41" t="s">
        <v>384</v>
      </c>
      <c r="K125" s="41" t="s">
        <v>134</v>
      </c>
      <c r="L125" s="46" t="s">
        <v>134</v>
      </c>
    </row>
    <row r="126" spans="1:12">
      <c r="A126" s="14"/>
      <c r="B126" s="41" t="s">
        <v>395</v>
      </c>
      <c r="C126" s="41" t="s">
        <v>132</v>
      </c>
      <c r="D126" s="42" t="s">
        <v>489</v>
      </c>
      <c r="E126" s="41" t="s">
        <v>243</v>
      </c>
      <c r="F126" s="41" t="s">
        <v>395</v>
      </c>
      <c r="G126" s="42" t="s">
        <v>250</v>
      </c>
      <c r="H126" s="41"/>
      <c r="I126" s="41" t="s">
        <v>1933</v>
      </c>
      <c r="J126" s="41" t="s">
        <v>384</v>
      </c>
      <c r="K126" s="41" t="s">
        <v>134</v>
      </c>
      <c r="L126" s="46" t="s">
        <v>134</v>
      </c>
    </row>
    <row r="127" spans="1:12">
      <c r="A127" s="14"/>
      <c r="B127" s="41" t="s">
        <v>398</v>
      </c>
      <c r="C127" s="41" t="s">
        <v>132</v>
      </c>
      <c r="D127" s="42" t="s">
        <v>490</v>
      </c>
      <c r="E127" s="41" t="s">
        <v>243</v>
      </c>
      <c r="F127" s="41" t="s">
        <v>398</v>
      </c>
      <c r="G127" s="42" t="s">
        <v>250</v>
      </c>
      <c r="H127" s="41"/>
      <c r="I127" s="41" t="s">
        <v>1933</v>
      </c>
      <c r="J127" s="41" t="s">
        <v>384</v>
      </c>
      <c r="K127" s="41" t="s">
        <v>134</v>
      </c>
      <c r="L127" s="46" t="s">
        <v>134</v>
      </c>
    </row>
    <row r="128" spans="1:12">
      <c r="A128" s="14"/>
      <c r="B128" s="41" t="s">
        <v>628</v>
      </c>
      <c r="C128" s="41" t="s">
        <v>136</v>
      </c>
      <c r="D128" s="42" t="s">
        <v>873</v>
      </c>
      <c r="E128" s="41" t="s">
        <v>243</v>
      </c>
      <c r="F128" s="41"/>
      <c r="G128" s="42" t="s">
        <v>1359</v>
      </c>
      <c r="H128" s="41"/>
      <c r="I128" s="41" t="s">
        <v>1933</v>
      </c>
      <c r="J128" s="41" t="s">
        <v>431</v>
      </c>
      <c r="K128" s="41" t="s">
        <v>134</v>
      </c>
      <c r="L128" s="46" t="s">
        <v>439</v>
      </c>
    </row>
    <row r="129" spans="1:12">
      <c r="A129" s="14"/>
      <c r="B129" s="41" t="s">
        <v>626</v>
      </c>
      <c r="C129" s="41" t="s">
        <v>136</v>
      </c>
      <c r="D129" s="42" t="s">
        <v>870</v>
      </c>
      <c r="E129" s="41" t="s">
        <v>243</v>
      </c>
      <c r="F129" s="41"/>
      <c r="G129" s="42" t="s">
        <v>1358</v>
      </c>
      <c r="H129" s="41"/>
      <c r="I129" s="41" t="s">
        <v>1933</v>
      </c>
      <c r="J129" s="41" t="s">
        <v>431</v>
      </c>
      <c r="K129" s="41" t="s">
        <v>134</v>
      </c>
      <c r="L129" s="46" t="s">
        <v>439</v>
      </c>
    </row>
    <row r="130" spans="1:12">
      <c r="A130" s="14"/>
      <c r="B130" s="41" t="s">
        <v>624</v>
      </c>
      <c r="C130" s="41" t="s">
        <v>136</v>
      </c>
      <c r="D130" s="42" t="s">
        <v>867</v>
      </c>
      <c r="E130" s="41" t="s">
        <v>243</v>
      </c>
      <c r="F130" s="41"/>
      <c r="G130" s="42" t="s">
        <v>1357</v>
      </c>
      <c r="H130" s="41"/>
      <c r="I130" s="41" t="s">
        <v>1933</v>
      </c>
      <c r="J130" s="41" t="s">
        <v>431</v>
      </c>
      <c r="K130" s="41" t="s">
        <v>134</v>
      </c>
      <c r="L130" s="46" t="s">
        <v>439</v>
      </c>
    </row>
    <row r="131" spans="1:12">
      <c r="A131" s="14"/>
      <c r="B131" s="41" t="s">
        <v>622</v>
      </c>
      <c r="C131" s="41" t="s">
        <v>136</v>
      </c>
      <c r="D131" s="42" t="s">
        <v>864</v>
      </c>
      <c r="E131" s="41" t="s">
        <v>243</v>
      </c>
      <c r="F131" s="41"/>
      <c r="G131" s="42" t="s">
        <v>1356</v>
      </c>
      <c r="H131" s="41"/>
      <c r="I131" s="41" t="s">
        <v>1933</v>
      </c>
      <c r="J131" s="41" t="s">
        <v>431</v>
      </c>
      <c r="K131" s="41" t="s">
        <v>134</v>
      </c>
      <c r="L131" s="46" t="s">
        <v>439</v>
      </c>
    </row>
    <row r="132" spans="1:12">
      <c r="A132" s="14"/>
      <c r="B132" s="41" t="s">
        <v>620</v>
      </c>
      <c r="C132" s="41" t="s">
        <v>136</v>
      </c>
      <c r="D132" s="42" t="s">
        <v>861</v>
      </c>
      <c r="E132" s="41" t="s">
        <v>243</v>
      </c>
      <c r="F132" s="41"/>
      <c r="G132" s="42" t="s">
        <v>1355</v>
      </c>
      <c r="H132" s="41"/>
      <c r="I132" s="41" t="s">
        <v>1933</v>
      </c>
      <c r="J132" s="41" t="s">
        <v>431</v>
      </c>
      <c r="K132" s="41" t="s">
        <v>134</v>
      </c>
      <c r="L132" s="46" t="s">
        <v>439</v>
      </c>
    </row>
    <row r="133" spans="1:12">
      <c r="A133" s="14"/>
      <c r="B133" s="41" t="s">
        <v>618</v>
      </c>
      <c r="C133" s="41" t="s">
        <v>136</v>
      </c>
      <c r="D133" s="42" t="s">
        <v>858</v>
      </c>
      <c r="E133" s="41" t="s">
        <v>243</v>
      </c>
      <c r="F133" s="41"/>
      <c r="G133" s="42" t="s">
        <v>1354</v>
      </c>
      <c r="H133" s="41"/>
      <c r="I133" s="41" t="s">
        <v>1933</v>
      </c>
      <c r="J133" s="41" t="s">
        <v>431</v>
      </c>
      <c r="K133" s="41" t="s">
        <v>134</v>
      </c>
      <c r="L133" s="46" t="s">
        <v>439</v>
      </c>
    </row>
    <row r="134" spans="1:12">
      <c r="A134" s="14"/>
      <c r="B134" s="41" t="s">
        <v>616</v>
      </c>
      <c r="C134" s="41" t="s">
        <v>136</v>
      </c>
      <c r="D134" s="42" t="s">
        <v>855</v>
      </c>
      <c r="E134" s="41" t="s">
        <v>243</v>
      </c>
      <c r="F134" s="41"/>
      <c r="G134" s="42" t="s">
        <v>1353</v>
      </c>
      <c r="H134" s="41"/>
      <c r="I134" s="41" t="s">
        <v>1933</v>
      </c>
      <c r="J134" s="41" t="s">
        <v>431</v>
      </c>
      <c r="K134" s="41" t="s">
        <v>134</v>
      </c>
      <c r="L134" s="46" t="s">
        <v>439</v>
      </c>
    </row>
    <row r="135" spans="1:12">
      <c r="A135" s="14"/>
      <c r="B135" s="41" t="s">
        <v>462</v>
      </c>
      <c r="C135" s="41" t="s">
        <v>136</v>
      </c>
      <c r="D135" s="42" t="s">
        <v>463</v>
      </c>
      <c r="E135" s="41" t="s">
        <v>243</v>
      </c>
      <c r="F135" s="41"/>
      <c r="G135" s="42" t="s">
        <v>1456</v>
      </c>
      <c r="H135" s="41"/>
      <c r="I135" s="41" t="s">
        <v>1933</v>
      </c>
      <c r="J135" s="41" t="s">
        <v>431</v>
      </c>
      <c r="K135" s="41" t="s">
        <v>134</v>
      </c>
      <c r="L135" s="46" t="s">
        <v>439</v>
      </c>
    </row>
    <row r="136" spans="1:12" s="1" customFormat="1">
      <c r="A136" s="25"/>
      <c r="B136" s="68" t="s">
        <v>1249</v>
      </c>
      <c r="C136" s="69" t="s">
        <v>136</v>
      </c>
      <c r="D136" s="43" t="s">
        <v>782</v>
      </c>
      <c r="E136" s="44" t="s">
        <v>243</v>
      </c>
      <c r="F136" s="41"/>
      <c r="G136" s="70" t="s">
        <v>1441</v>
      </c>
      <c r="H136" s="44"/>
      <c r="I136" s="41" t="s">
        <v>1933</v>
      </c>
      <c r="J136" s="47" t="s">
        <v>431</v>
      </c>
      <c r="K136" s="47" t="s">
        <v>134</v>
      </c>
      <c r="L136" s="47" t="s">
        <v>439</v>
      </c>
    </row>
    <row r="137" spans="1:12" s="1" customFormat="1">
      <c r="A137" s="25"/>
      <c r="B137" s="68" t="s">
        <v>1255</v>
      </c>
      <c r="C137" s="69" t="s">
        <v>136</v>
      </c>
      <c r="D137" s="43" t="s">
        <v>788</v>
      </c>
      <c r="E137" s="44" t="s">
        <v>243</v>
      </c>
      <c r="F137" s="41"/>
      <c r="G137" s="70" t="s">
        <v>1444</v>
      </c>
      <c r="H137" s="44"/>
      <c r="I137" s="41" t="s">
        <v>1933</v>
      </c>
      <c r="J137" s="47" t="s">
        <v>431</v>
      </c>
      <c r="K137" s="47" t="s">
        <v>134</v>
      </c>
      <c r="L137" s="47" t="s">
        <v>439</v>
      </c>
    </row>
    <row r="138" spans="1:12" s="1" customFormat="1">
      <c r="A138" s="25"/>
      <c r="B138" s="68" t="s">
        <v>1257</v>
      </c>
      <c r="C138" s="69" t="s">
        <v>136</v>
      </c>
      <c r="D138" s="43" t="s">
        <v>790</v>
      </c>
      <c r="E138" s="44" t="s">
        <v>243</v>
      </c>
      <c r="F138" s="41"/>
      <c r="G138" s="70" t="s">
        <v>1445</v>
      </c>
      <c r="H138" s="44"/>
      <c r="I138" s="41" t="s">
        <v>1933</v>
      </c>
      <c r="J138" s="47" t="s">
        <v>431</v>
      </c>
      <c r="K138" s="47" t="s">
        <v>134</v>
      </c>
      <c r="L138" s="47" t="s">
        <v>439</v>
      </c>
    </row>
    <row r="139" spans="1:12" s="1" customFormat="1">
      <c r="A139" s="25"/>
      <c r="B139" s="68" t="s">
        <v>1268</v>
      </c>
      <c r="C139" s="69" t="s">
        <v>136</v>
      </c>
      <c r="D139" s="43" t="s">
        <v>802</v>
      </c>
      <c r="E139" s="44" t="s">
        <v>243</v>
      </c>
      <c r="F139" s="41"/>
      <c r="G139" s="70" t="s">
        <v>1451</v>
      </c>
      <c r="H139" s="44"/>
      <c r="I139" s="41" t="s">
        <v>1933</v>
      </c>
      <c r="J139" s="47" t="s">
        <v>431</v>
      </c>
      <c r="K139" s="47" t="s">
        <v>134</v>
      </c>
      <c r="L139" s="47" t="s">
        <v>439</v>
      </c>
    </row>
    <row r="140" spans="1:12" s="1" customFormat="1">
      <c r="A140" s="25"/>
      <c r="B140" s="68" t="s">
        <v>1270</v>
      </c>
      <c r="C140" s="69" t="s">
        <v>136</v>
      </c>
      <c r="D140" s="43" t="s">
        <v>804</v>
      </c>
      <c r="E140" s="44" t="s">
        <v>243</v>
      </c>
      <c r="F140" s="41"/>
      <c r="G140" s="70" t="s">
        <v>1452</v>
      </c>
      <c r="H140" s="44"/>
      <c r="I140" s="41" t="s">
        <v>1933</v>
      </c>
      <c r="J140" s="47" t="s">
        <v>431</v>
      </c>
      <c r="K140" s="47" t="s">
        <v>134</v>
      </c>
      <c r="L140" s="47" t="s">
        <v>439</v>
      </c>
    </row>
    <row r="141" spans="1:12" s="4" customFormat="1">
      <c r="A141" s="36"/>
      <c r="B141" s="36" t="s">
        <v>233</v>
      </c>
      <c r="C141" s="36" t="s">
        <v>139</v>
      </c>
      <c r="D141" s="37" t="s">
        <v>234</v>
      </c>
      <c r="E141" s="36"/>
      <c r="F141" s="36"/>
      <c r="G141" s="37"/>
      <c r="H141" s="36"/>
      <c r="I141" s="36"/>
      <c r="J141" s="36"/>
      <c r="K141" s="36"/>
      <c r="L141" s="38"/>
    </row>
    <row r="142" spans="1:12" s="4" customFormat="1">
      <c r="A142" s="36"/>
      <c r="B142" s="36" t="s">
        <v>235</v>
      </c>
      <c r="C142" s="36" t="s">
        <v>132</v>
      </c>
      <c r="D142" s="37" t="s">
        <v>1548</v>
      </c>
      <c r="E142" s="36"/>
      <c r="F142" s="36"/>
      <c r="G142" s="37"/>
      <c r="H142" s="36"/>
      <c r="I142" s="36"/>
      <c r="J142" s="36"/>
      <c r="K142" s="36"/>
      <c r="L142" s="38"/>
    </row>
  </sheetData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830B-A2BF-4620-B2C5-1154057053DA}">
  <dimension ref="A1:N69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3" style="5" customWidth="1"/>
    <col min="2" max="2" width="23.6640625" style="5" customWidth="1"/>
    <col min="3" max="3" width="30.21875" style="5" customWidth="1"/>
    <col min="4" max="4" width="32.21875" style="5" customWidth="1"/>
    <col min="5" max="5" width="16.21875" style="5" customWidth="1"/>
    <col min="6" max="6" width="24.88671875" style="5" customWidth="1"/>
    <col min="7" max="7" width="39.5546875" style="6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1:14">
      <c r="B1" s="7" t="str">
        <f>HYPERLINK("#导航!a2","返回")</f>
        <v>返回</v>
      </c>
    </row>
    <row r="2" spans="1:14">
      <c r="B2" s="156"/>
      <c r="C2" s="156"/>
      <c r="D2" s="156"/>
      <c r="E2" s="156"/>
      <c r="F2" s="156"/>
      <c r="G2" s="156"/>
      <c r="H2" s="156"/>
    </row>
    <row r="3" spans="1:14">
      <c r="B3" s="157" t="s">
        <v>106</v>
      </c>
      <c r="C3" s="157"/>
      <c r="D3" s="157"/>
      <c r="E3" s="157"/>
      <c r="F3" s="157"/>
      <c r="G3" s="157"/>
      <c r="H3" s="157"/>
    </row>
    <row r="4" spans="1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10" t="s">
        <v>12</v>
      </c>
      <c r="H4" s="9" t="s">
        <v>111</v>
      </c>
    </row>
    <row r="5" spans="1:14">
      <c r="B5" s="11" t="s">
        <v>55</v>
      </c>
      <c r="C5" s="12" t="s">
        <v>2049</v>
      </c>
      <c r="D5" s="13" t="s">
        <v>105</v>
      </c>
      <c r="E5" s="14" t="s">
        <v>383</v>
      </c>
      <c r="F5" s="15"/>
      <c r="G5" s="12"/>
      <c r="H5" s="14"/>
      <c r="N5" s="5"/>
    </row>
    <row r="6" spans="1:14">
      <c r="B6" s="8"/>
      <c r="C6" s="8"/>
      <c r="D6" s="8"/>
      <c r="E6" s="8"/>
      <c r="F6" s="8"/>
      <c r="G6" s="16"/>
      <c r="H6" s="8"/>
    </row>
    <row r="7" spans="1:14">
      <c r="B7" s="157" t="s">
        <v>113</v>
      </c>
      <c r="C7" s="157"/>
      <c r="D7" s="157"/>
      <c r="E7" s="157"/>
      <c r="F7" s="157"/>
      <c r="G7" s="157"/>
      <c r="H7" s="157"/>
    </row>
    <row r="8" spans="1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8" t="s">
        <v>22</v>
      </c>
      <c r="H8" s="17" t="s">
        <v>119</v>
      </c>
    </row>
    <row r="9" spans="1:14">
      <c r="B9" s="14"/>
      <c r="C9" s="12" t="s">
        <v>81</v>
      </c>
      <c r="D9" s="13" t="s">
        <v>82</v>
      </c>
      <c r="E9" s="14" t="s">
        <v>243</v>
      </c>
      <c r="F9" s="19"/>
      <c r="G9" s="20"/>
      <c r="H9" s="21"/>
    </row>
    <row r="10" spans="1:14">
      <c r="B10" s="14"/>
      <c r="C10" s="12"/>
      <c r="D10" s="12"/>
      <c r="E10" s="14"/>
      <c r="F10" s="19"/>
      <c r="G10" s="20"/>
      <c r="H10" s="14"/>
    </row>
    <row r="11" spans="1:14">
      <c r="G11" s="22"/>
    </row>
    <row r="12" spans="1:14">
      <c r="B12" s="5" t="s">
        <v>120</v>
      </c>
    </row>
    <row r="13" spans="1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1:14">
      <c r="B14" s="23" t="s">
        <v>121</v>
      </c>
      <c r="C14" s="23" t="s">
        <v>122</v>
      </c>
      <c r="D14" s="23" t="s">
        <v>123</v>
      </c>
      <c r="E14" s="23" t="s">
        <v>124</v>
      </c>
      <c r="F14" s="23" t="s">
        <v>125</v>
      </c>
      <c r="G14" s="24" t="s">
        <v>126</v>
      </c>
      <c r="H14" s="23" t="s">
        <v>127</v>
      </c>
      <c r="I14" s="23" t="s">
        <v>22</v>
      </c>
      <c r="J14" s="23" t="s">
        <v>128</v>
      </c>
      <c r="K14" s="23" t="s">
        <v>129</v>
      </c>
      <c r="L14" s="23" t="s">
        <v>130</v>
      </c>
    </row>
    <row r="15" spans="1:14">
      <c r="A15" s="14"/>
      <c r="B15" s="14" t="s">
        <v>383</v>
      </c>
      <c r="C15" s="14" t="s">
        <v>132</v>
      </c>
      <c r="D15" s="12" t="s">
        <v>480</v>
      </c>
      <c r="E15" s="14" t="s">
        <v>243</v>
      </c>
      <c r="F15" s="14" t="s">
        <v>235</v>
      </c>
      <c r="G15" s="12" t="s">
        <v>250</v>
      </c>
      <c r="H15" s="14"/>
      <c r="I15" s="14"/>
      <c r="J15" s="14" t="s">
        <v>384</v>
      </c>
      <c r="K15" s="14" t="s">
        <v>134</v>
      </c>
      <c r="L15" s="31" t="s">
        <v>134</v>
      </c>
    </row>
    <row r="16" spans="1:14">
      <c r="A16" s="14"/>
      <c r="B16" s="14" t="s">
        <v>379</v>
      </c>
      <c r="C16" s="14" t="s">
        <v>139</v>
      </c>
      <c r="D16" s="12" t="s">
        <v>48</v>
      </c>
      <c r="E16" s="14" t="s">
        <v>243</v>
      </c>
      <c r="F16" s="14"/>
      <c r="G16" s="12" t="s">
        <v>2585</v>
      </c>
      <c r="H16" s="14"/>
      <c r="I16" s="14"/>
      <c r="J16" s="14" t="s">
        <v>384</v>
      </c>
      <c r="K16" s="14" t="s">
        <v>134</v>
      </c>
      <c r="L16" s="31" t="s">
        <v>134</v>
      </c>
    </row>
    <row r="17" spans="1:12">
      <c r="A17" s="14"/>
      <c r="B17" s="14" t="s">
        <v>251</v>
      </c>
      <c r="C17" s="14" t="s">
        <v>132</v>
      </c>
      <c r="D17" s="12" t="s">
        <v>494</v>
      </c>
      <c r="E17" s="14" t="s">
        <v>243</v>
      </c>
      <c r="F17" s="14" t="s">
        <v>251</v>
      </c>
      <c r="G17" s="12" t="s">
        <v>250</v>
      </c>
      <c r="H17" s="14"/>
      <c r="I17" s="14"/>
      <c r="J17" s="14" t="s">
        <v>384</v>
      </c>
      <c r="K17" s="14" t="s">
        <v>134</v>
      </c>
      <c r="L17" s="31" t="s">
        <v>134</v>
      </c>
    </row>
    <row r="18" spans="1:12" s="1" customFormat="1">
      <c r="A18" s="25"/>
      <c r="B18" s="26" t="s">
        <v>257</v>
      </c>
      <c r="C18" s="27" t="s">
        <v>132</v>
      </c>
      <c r="D18" s="20" t="s">
        <v>280</v>
      </c>
      <c r="E18" s="28" t="s">
        <v>243</v>
      </c>
      <c r="F18" s="19" t="s">
        <v>257</v>
      </c>
      <c r="G18" s="19" t="s">
        <v>250</v>
      </c>
      <c r="H18" s="14"/>
      <c r="I18" s="33"/>
      <c r="J18" s="33" t="s">
        <v>384</v>
      </c>
      <c r="K18" s="34" t="s">
        <v>134</v>
      </c>
      <c r="L18" s="34" t="s">
        <v>134</v>
      </c>
    </row>
    <row r="19" spans="1:12">
      <c r="A19" s="14"/>
      <c r="B19" s="14" t="s">
        <v>254</v>
      </c>
      <c r="C19" s="14" t="s">
        <v>132</v>
      </c>
      <c r="D19" s="12" t="s">
        <v>495</v>
      </c>
      <c r="E19" s="14" t="s">
        <v>243</v>
      </c>
      <c r="F19" s="14" t="s">
        <v>254</v>
      </c>
      <c r="G19" s="12" t="s">
        <v>250</v>
      </c>
      <c r="H19" s="14"/>
      <c r="I19" s="14"/>
      <c r="J19" s="14" t="s">
        <v>384</v>
      </c>
      <c r="K19" s="14" t="s">
        <v>134</v>
      </c>
      <c r="L19" s="31" t="s">
        <v>134</v>
      </c>
    </row>
    <row r="20" spans="1:12">
      <c r="A20" s="14"/>
      <c r="B20" s="14" t="s">
        <v>141</v>
      </c>
      <c r="C20" s="14" t="s">
        <v>132</v>
      </c>
      <c r="D20" s="12" t="s">
        <v>143</v>
      </c>
      <c r="E20" s="14" t="s">
        <v>243</v>
      </c>
      <c r="F20" s="14" t="s">
        <v>141</v>
      </c>
      <c r="G20" s="12" t="s">
        <v>250</v>
      </c>
      <c r="H20" s="14"/>
      <c r="I20" s="14"/>
      <c r="J20" s="14" t="s">
        <v>384</v>
      </c>
      <c r="K20" s="14" t="s">
        <v>134</v>
      </c>
      <c r="L20" s="31" t="s">
        <v>134</v>
      </c>
    </row>
    <row r="21" spans="1:12" s="2" customFormat="1">
      <c r="A21" s="29"/>
      <c r="B21" s="14" t="s">
        <v>211</v>
      </c>
      <c r="C21" s="14" t="s">
        <v>139</v>
      </c>
      <c r="D21" s="12" t="s">
        <v>810</v>
      </c>
      <c r="E21" s="30" t="s">
        <v>243</v>
      </c>
      <c r="F21" s="19" t="s">
        <v>211</v>
      </c>
      <c r="G21" s="19" t="s">
        <v>250</v>
      </c>
      <c r="H21" s="14"/>
      <c r="I21" s="35"/>
      <c r="J21" s="34" t="s">
        <v>384</v>
      </c>
      <c r="K21" s="34" t="s">
        <v>134</v>
      </c>
      <c r="L21" s="34" t="s">
        <v>134</v>
      </c>
    </row>
    <row r="22" spans="1:12" s="2" customFormat="1">
      <c r="A22" s="29"/>
      <c r="B22" s="14" t="s">
        <v>371</v>
      </c>
      <c r="C22" s="14" t="s">
        <v>139</v>
      </c>
      <c r="D22" s="12" t="s">
        <v>497</v>
      </c>
      <c r="E22" s="30" t="s">
        <v>243</v>
      </c>
      <c r="F22" s="19" t="s">
        <v>371</v>
      </c>
      <c r="G22" s="19" t="s">
        <v>250</v>
      </c>
      <c r="H22" s="14"/>
      <c r="I22" s="35"/>
      <c r="J22" s="34" t="s">
        <v>384</v>
      </c>
      <c r="K22" s="34" t="s">
        <v>134</v>
      </c>
      <c r="L22" s="34" t="s">
        <v>134</v>
      </c>
    </row>
    <row r="23" spans="1:12" s="2" customFormat="1">
      <c r="A23" s="29"/>
      <c r="B23" s="14" t="s">
        <v>373</v>
      </c>
      <c r="C23" s="14" t="s">
        <v>139</v>
      </c>
      <c r="D23" s="12" t="s">
        <v>498</v>
      </c>
      <c r="E23" s="30" t="s">
        <v>243</v>
      </c>
      <c r="F23" s="19" t="s">
        <v>373</v>
      </c>
      <c r="G23" s="19" t="s">
        <v>250</v>
      </c>
      <c r="H23" s="14"/>
      <c r="I23" s="35"/>
      <c r="J23" s="34" t="s">
        <v>384</v>
      </c>
      <c r="K23" s="34" t="s">
        <v>134</v>
      </c>
      <c r="L23" s="34" t="s">
        <v>134</v>
      </c>
    </row>
    <row r="24" spans="1:12">
      <c r="A24" s="14"/>
      <c r="B24" s="14" t="s">
        <v>273</v>
      </c>
      <c r="C24" s="14" t="s">
        <v>139</v>
      </c>
      <c r="D24" s="12" t="s">
        <v>274</v>
      </c>
      <c r="E24" s="14" t="s">
        <v>243</v>
      </c>
      <c r="F24" s="14" t="s">
        <v>273</v>
      </c>
      <c r="G24" s="12" t="s">
        <v>250</v>
      </c>
      <c r="H24" s="14"/>
      <c r="I24" s="14"/>
      <c r="J24" s="14" t="s">
        <v>384</v>
      </c>
      <c r="K24" s="14" t="s">
        <v>134</v>
      </c>
      <c r="L24" s="31" t="s">
        <v>134</v>
      </c>
    </row>
    <row r="25" spans="1:12">
      <c r="A25" s="14"/>
      <c r="B25" s="14" t="s">
        <v>385</v>
      </c>
      <c r="C25" s="14" t="s">
        <v>139</v>
      </c>
      <c r="D25" s="12" t="s">
        <v>487</v>
      </c>
      <c r="E25" s="14" t="s">
        <v>243</v>
      </c>
      <c r="F25" s="14" t="s">
        <v>385</v>
      </c>
      <c r="G25" s="12" t="s">
        <v>250</v>
      </c>
      <c r="H25" s="14"/>
      <c r="I25" s="14"/>
      <c r="J25" s="14" t="s">
        <v>384</v>
      </c>
      <c r="K25" s="14" t="s">
        <v>134</v>
      </c>
      <c r="L25" s="31" t="s">
        <v>134</v>
      </c>
    </row>
    <row r="26" spans="1:12">
      <c r="A26" s="14"/>
      <c r="B26" s="14" t="s">
        <v>388</v>
      </c>
      <c r="C26" s="14" t="s">
        <v>139</v>
      </c>
      <c r="D26" s="12" t="s">
        <v>488</v>
      </c>
      <c r="E26" s="14" t="s">
        <v>243</v>
      </c>
      <c r="F26" s="14" t="s">
        <v>388</v>
      </c>
      <c r="G26" s="12" t="s">
        <v>250</v>
      </c>
      <c r="H26" s="14"/>
      <c r="I26" s="14"/>
      <c r="J26" s="14" t="s">
        <v>384</v>
      </c>
      <c r="K26" s="14" t="s">
        <v>134</v>
      </c>
      <c r="L26" s="31" t="s">
        <v>134</v>
      </c>
    </row>
    <row r="27" spans="1:12">
      <c r="A27" s="14"/>
      <c r="B27" s="14" t="s">
        <v>392</v>
      </c>
      <c r="C27" s="14" t="s">
        <v>132</v>
      </c>
      <c r="D27" s="12" t="s">
        <v>391</v>
      </c>
      <c r="E27" s="14" t="s">
        <v>243</v>
      </c>
      <c r="F27" s="14" t="s">
        <v>392</v>
      </c>
      <c r="G27" s="12" t="s">
        <v>250</v>
      </c>
      <c r="H27" s="14"/>
      <c r="I27" s="14"/>
      <c r="J27" s="14" t="s">
        <v>384</v>
      </c>
      <c r="K27" s="14" t="s">
        <v>134</v>
      </c>
      <c r="L27" s="31" t="s">
        <v>134</v>
      </c>
    </row>
    <row r="28" spans="1:12">
      <c r="A28" s="14"/>
      <c r="B28" s="14" t="s">
        <v>395</v>
      </c>
      <c r="C28" s="14" t="s">
        <v>132</v>
      </c>
      <c r="D28" s="12" t="s">
        <v>489</v>
      </c>
      <c r="E28" s="14" t="s">
        <v>243</v>
      </c>
      <c r="F28" s="14" t="s">
        <v>395</v>
      </c>
      <c r="G28" s="12" t="s">
        <v>250</v>
      </c>
      <c r="H28" s="14"/>
      <c r="I28" s="14"/>
      <c r="J28" s="14" t="s">
        <v>384</v>
      </c>
      <c r="K28" s="14" t="s">
        <v>134</v>
      </c>
      <c r="L28" s="31" t="s">
        <v>134</v>
      </c>
    </row>
    <row r="29" spans="1:12">
      <c r="A29" s="14"/>
      <c r="B29" s="14" t="s">
        <v>398</v>
      </c>
      <c r="C29" s="14" t="s">
        <v>132</v>
      </c>
      <c r="D29" s="12" t="s">
        <v>490</v>
      </c>
      <c r="E29" s="14" t="s">
        <v>243</v>
      </c>
      <c r="F29" s="14" t="s">
        <v>398</v>
      </c>
      <c r="G29" s="12" t="s">
        <v>250</v>
      </c>
      <c r="H29" s="14"/>
      <c r="I29" s="14"/>
      <c r="J29" s="14" t="s">
        <v>384</v>
      </c>
      <c r="K29" s="14" t="s">
        <v>134</v>
      </c>
      <c r="L29" s="31" t="s">
        <v>134</v>
      </c>
    </row>
    <row r="30" spans="1:12">
      <c r="A30" s="14"/>
      <c r="B30" s="14" t="s">
        <v>811</v>
      </c>
      <c r="C30" s="14" t="s">
        <v>136</v>
      </c>
      <c r="D30" s="12" t="s">
        <v>812</v>
      </c>
      <c r="E30" s="14" t="s">
        <v>243</v>
      </c>
      <c r="F30" s="14"/>
      <c r="G30" s="12" t="s">
        <v>1306</v>
      </c>
      <c r="H30" s="14"/>
      <c r="I30" s="14"/>
      <c r="J30" s="14" t="s">
        <v>431</v>
      </c>
      <c r="K30" s="14" t="s">
        <v>134</v>
      </c>
      <c r="L30" s="31" t="s">
        <v>439</v>
      </c>
    </row>
    <row r="31" spans="1:12">
      <c r="A31" s="14"/>
      <c r="B31" s="14" t="s">
        <v>448</v>
      </c>
      <c r="C31" s="14" t="s">
        <v>136</v>
      </c>
      <c r="D31" s="12" t="s">
        <v>821</v>
      </c>
      <c r="E31" s="14" t="s">
        <v>243</v>
      </c>
      <c r="F31" s="14"/>
      <c r="G31" s="12" t="s">
        <v>2197</v>
      </c>
      <c r="H31" s="14"/>
      <c r="I31" s="14"/>
      <c r="J31" s="14" t="s">
        <v>431</v>
      </c>
      <c r="K31" s="14" t="s">
        <v>134</v>
      </c>
      <c r="L31" s="31" t="s">
        <v>439</v>
      </c>
    </row>
    <row r="32" spans="1:12">
      <c r="A32" s="14"/>
      <c r="B32" s="14" t="s">
        <v>444</v>
      </c>
      <c r="C32" s="14" t="s">
        <v>136</v>
      </c>
      <c r="D32" s="12" t="s">
        <v>815</v>
      </c>
      <c r="E32" s="14" t="s">
        <v>243</v>
      </c>
      <c r="F32" s="14"/>
      <c r="G32" s="12" t="s">
        <v>816</v>
      </c>
      <c r="H32" s="14"/>
      <c r="I32" s="14"/>
      <c r="J32" s="14" t="s">
        <v>431</v>
      </c>
      <c r="K32" s="14" t="s">
        <v>134</v>
      </c>
      <c r="L32" s="31" t="s">
        <v>533</v>
      </c>
    </row>
    <row r="33" spans="1:12">
      <c r="A33" s="14"/>
      <c r="B33" s="14" t="s">
        <v>2426</v>
      </c>
      <c r="C33" s="14" t="s">
        <v>245</v>
      </c>
      <c r="D33" s="12" t="s">
        <v>818</v>
      </c>
      <c r="E33" s="14" t="s">
        <v>243</v>
      </c>
      <c r="F33" s="14"/>
      <c r="G33" s="12" t="s">
        <v>2200</v>
      </c>
      <c r="H33" s="14"/>
      <c r="I33" s="14"/>
      <c r="J33" s="14" t="s">
        <v>431</v>
      </c>
      <c r="K33" s="14" t="s">
        <v>134</v>
      </c>
      <c r="L33" s="31" t="s">
        <v>432</v>
      </c>
    </row>
    <row r="34" spans="1:12">
      <c r="A34" s="14"/>
      <c r="B34" s="14" t="s">
        <v>2427</v>
      </c>
      <c r="C34" s="14" t="s">
        <v>136</v>
      </c>
      <c r="D34" s="12" t="s">
        <v>1070</v>
      </c>
      <c r="E34" s="14" t="s">
        <v>243</v>
      </c>
      <c r="F34" s="14"/>
      <c r="G34" s="12" t="s">
        <v>1577</v>
      </c>
      <c r="H34" s="14"/>
      <c r="I34" s="14"/>
      <c r="J34" s="14" t="s">
        <v>431</v>
      </c>
      <c r="K34" s="14" t="s">
        <v>134</v>
      </c>
      <c r="L34" s="31" t="s">
        <v>439</v>
      </c>
    </row>
    <row r="35" spans="1:12">
      <c r="A35" s="14"/>
      <c r="B35" s="14" t="s">
        <v>1550</v>
      </c>
      <c r="C35" s="14" t="s">
        <v>136</v>
      </c>
      <c r="D35" s="12" t="s">
        <v>1073</v>
      </c>
      <c r="E35" s="14" t="s">
        <v>243</v>
      </c>
      <c r="F35" s="14"/>
      <c r="G35" s="12" t="s">
        <v>1578</v>
      </c>
      <c r="H35" s="14"/>
      <c r="I35" s="14"/>
      <c r="J35" s="14" t="s">
        <v>431</v>
      </c>
      <c r="K35" s="14" t="s">
        <v>134</v>
      </c>
      <c r="L35" s="31" t="s">
        <v>439</v>
      </c>
    </row>
    <row r="36" spans="1:12">
      <c r="A36" s="14"/>
      <c r="B36" s="14" t="s">
        <v>554</v>
      </c>
      <c r="C36" s="14" t="s">
        <v>136</v>
      </c>
      <c r="D36" s="12" t="s">
        <v>1076</v>
      </c>
      <c r="E36" s="14" t="s">
        <v>243</v>
      </c>
      <c r="F36" s="14"/>
      <c r="G36" s="12" t="s">
        <v>1077</v>
      </c>
      <c r="H36" s="14"/>
      <c r="I36" s="14"/>
      <c r="J36" s="14" t="s">
        <v>431</v>
      </c>
      <c r="K36" s="14" t="s">
        <v>134</v>
      </c>
      <c r="L36" s="31" t="s">
        <v>439</v>
      </c>
    </row>
    <row r="37" spans="1:12">
      <c r="A37" s="14"/>
      <c r="B37" s="14" t="s">
        <v>2428</v>
      </c>
      <c r="C37" s="14" t="s">
        <v>136</v>
      </c>
      <c r="D37" s="12" t="s">
        <v>1079</v>
      </c>
      <c r="E37" s="14" t="s">
        <v>243</v>
      </c>
      <c r="F37" s="14"/>
      <c r="G37" s="12" t="s">
        <v>837</v>
      </c>
      <c r="H37" s="14"/>
      <c r="I37" s="14"/>
      <c r="J37" s="14" t="s">
        <v>431</v>
      </c>
      <c r="K37" s="14" t="s">
        <v>134</v>
      </c>
      <c r="L37" s="31" t="s">
        <v>439</v>
      </c>
    </row>
    <row r="38" spans="1:12">
      <c r="A38" s="14"/>
      <c r="B38" s="14" t="s">
        <v>550</v>
      </c>
      <c r="C38" s="14" t="s">
        <v>136</v>
      </c>
      <c r="D38" s="12" t="s">
        <v>1081</v>
      </c>
      <c r="E38" s="14" t="s">
        <v>243</v>
      </c>
      <c r="F38" s="14"/>
      <c r="G38" s="12" t="s">
        <v>834</v>
      </c>
      <c r="H38" s="14"/>
      <c r="I38" s="14"/>
      <c r="J38" s="14" t="s">
        <v>431</v>
      </c>
      <c r="K38" s="14" t="s">
        <v>134</v>
      </c>
      <c r="L38" s="31" t="s">
        <v>439</v>
      </c>
    </row>
    <row r="39" spans="1:12">
      <c r="A39" s="14"/>
      <c r="B39" s="14" t="s">
        <v>548</v>
      </c>
      <c r="C39" s="14" t="s">
        <v>136</v>
      </c>
      <c r="D39" s="12" t="s">
        <v>1083</v>
      </c>
      <c r="E39" s="14" t="s">
        <v>243</v>
      </c>
      <c r="F39" s="14"/>
      <c r="G39" s="12" t="s">
        <v>1084</v>
      </c>
      <c r="H39" s="14"/>
      <c r="I39" s="14"/>
      <c r="J39" s="14" t="s">
        <v>431</v>
      </c>
      <c r="K39" s="14" t="s">
        <v>134</v>
      </c>
      <c r="L39" s="31" t="s">
        <v>439</v>
      </c>
    </row>
    <row r="40" spans="1:12">
      <c r="A40" s="14"/>
      <c r="B40" s="14" t="s">
        <v>2290</v>
      </c>
      <c r="C40" s="14" t="s">
        <v>136</v>
      </c>
      <c r="D40" s="12" t="s">
        <v>2291</v>
      </c>
      <c r="E40" s="14" t="s">
        <v>243</v>
      </c>
      <c r="F40" s="14"/>
      <c r="G40" s="12" t="s">
        <v>2293</v>
      </c>
      <c r="H40" s="14"/>
      <c r="I40" s="14"/>
      <c r="J40" s="14" t="s">
        <v>431</v>
      </c>
      <c r="K40" s="14" t="s">
        <v>134</v>
      </c>
      <c r="L40" s="31" t="s">
        <v>439</v>
      </c>
    </row>
    <row r="41" spans="1:12">
      <c r="A41" s="14"/>
      <c r="B41" s="14" t="s">
        <v>564</v>
      </c>
      <c r="C41" s="14" t="s">
        <v>136</v>
      </c>
      <c r="D41" s="12" t="s">
        <v>1493</v>
      </c>
      <c r="E41" s="14" t="s">
        <v>243</v>
      </c>
      <c r="F41" s="14"/>
      <c r="G41" s="12" t="s">
        <v>845</v>
      </c>
      <c r="H41" s="14"/>
      <c r="I41" s="14"/>
      <c r="J41" s="14" t="s">
        <v>431</v>
      </c>
      <c r="K41" s="14" t="s">
        <v>134</v>
      </c>
      <c r="L41" s="31" t="s">
        <v>439</v>
      </c>
    </row>
    <row r="42" spans="1:12">
      <c r="A42" s="14"/>
      <c r="B42" s="14" t="s">
        <v>566</v>
      </c>
      <c r="C42" s="14" t="s">
        <v>245</v>
      </c>
      <c r="D42" s="12" t="s">
        <v>1494</v>
      </c>
      <c r="E42" s="14" t="s">
        <v>243</v>
      </c>
      <c r="F42" s="14"/>
      <c r="G42" s="12" t="s">
        <v>2205</v>
      </c>
      <c r="H42" s="14"/>
      <c r="I42" s="14"/>
      <c r="J42" s="14" t="s">
        <v>431</v>
      </c>
      <c r="K42" s="14" t="s">
        <v>134</v>
      </c>
      <c r="L42" s="31" t="s">
        <v>568</v>
      </c>
    </row>
    <row r="43" spans="1:12">
      <c r="A43" s="14"/>
      <c r="B43" s="14" t="s">
        <v>611</v>
      </c>
      <c r="C43" s="14" t="s">
        <v>136</v>
      </c>
      <c r="D43" s="12" t="s">
        <v>1146</v>
      </c>
      <c r="E43" s="14" t="s">
        <v>243</v>
      </c>
      <c r="F43" s="14"/>
      <c r="G43" s="12" t="s">
        <v>2215</v>
      </c>
      <c r="H43" s="14"/>
      <c r="I43" s="14"/>
      <c r="J43" s="14" t="s">
        <v>431</v>
      </c>
      <c r="K43" s="14" t="s">
        <v>134</v>
      </c>
      <c r="L43" s="31" t="s">
        <v>439</v>
      </c>
    </row>
    <row r="44" spans="1:12">
      <c r="A44" s="14"/>
      <c r="B44" s="14" t="s">
        <v>608</v>
      </c>
      <c r="C44" s="14" t="s">
        <v>245</v>
      </c>
      <c r="D44" s="12" t="s">
        <v>1148</v>
      </c>
      <c r="E44" s="14" t="s">
        <v>243</v>
      </c>
      <c r="F44" s="14"/>
      <c r="G44" s="12" t="s">
        <v>849</v>
      </c>
      <c r="H44" s="14"/>
      <c r="I44" s="14"/>
      <c r="J44" s="14" t="s">
        <v>431</v>
      </c>
      <c r="K44" s="14" t="s">
        <v>134</v>
      </c>
      <c r="L44" s="31" t="s">
        <v>610</v>
      </c>
    </row>
    <row r="45" spans="1:12">
      <c r="A45" s="14"/>
      <c r="B45" s="14" t="s">
        <v>613</v>
      </c>
      <c r="C45" s="14" t="s">
        <v>245</v>
      </c>
      <c r="D45" s="12" t="s">
        <v>1150</v>
      </c>
      <c r="E45" s="14" t="s">
        <v>243</v>
      </c>
      <c r="F45" s="14"/>
      <c r="G45" s="12" t="s">
        <v>2218</v>
      </c>
      <c r="H45" s="14"/>
      <c r="I45" s="14"/>
      <c r="J45" s="14" t="s">
        <v>431</v>
      </c>
      <c r="K45" s="14" t="s">
        <v>134</v>
      </c>
      <c r="L45" s="31" t="s">
        <v>615</v>
      </c>
    </row>
    <row r="46" spans="1:12">
      <c r="A46" s="14"/>
      <c r="B46" s="14" t="s">
        <v>628</v>
      </c>
      <c r="C46" s="14" t="s">
        <v>136</v>
      </c>
      <c r="D46" s="12" t="s">
        <v>873</v>
      </c>
      <c r="E46" s="14" t="s">
        <v>243</v>
      </c>
      <c r="F46" s="14"/>
      <c r="G46" s="12" t="s">
        <v>874</v>
      </c>
      <c r="H46" s="14"/>
      <c r="I46" s="14"/>
      <c r="J46" s="14" t="s">
        <v>431</v>
      </c>
      <c r="K46" s="14" t="s">
        <v>134</v>
      </c>
      <c r="L46" s="31" t="s">
        <v>439</v>
      </c>
    </row>
    <row r="47" spans="1:12">
      <c r="A47" s="14"/>
      <c r="B47" s="14" t="s">
        <v>626</v>
      </c>
      <c r="C47" s="14" t="s">
        <v>136</v>
      </c>
      <c r="D47" s="12" t="s">
        <v>870</v>
      </c>
      <c r="E47" s="14" t="s">
        <v>243</v>
      </c>
      <c r="F47" s="14"/>
      <c r="G47" s="12" t="s">
        <v>871</v>
      </c>
      <c r="H47" s="14"/>
      <c r="I47" s="14"/>
      <c r="J47" s="14" t="s">
        <v>431</v>
      </c>
      <c r="K47" s="14" t="s">
        <v>134</v>
      </c>
      <c r="L47" s="31" t="s">
        <v>439</v>
      </c>
    </row>
    <row r="48" spans="1:12">
      <c r="A48" s="14"/>
      <c r="B48" s="14" t="s">
        <v>624</v>
      </c>
      <c r="C48" s="14" t="s">
        <v>136</v>
      </c>
      <c r="D48" s="12" t="s">
        <v>867</v>
      </c>
      <c r="E48" s="14" t="s">
        <v>243</v>
      </c>
      <c r="F48" s="14"/>
      <c r="G48" s="12" t="s">
        <v>868</v>
      </c>
      <c r="H48" s="14"/>
      <c r="I48" s="14"/>
      <c r="J48" s="14" t="s">
        <v>431</v>
      </c>
      <c r="K48" s="14" t="s">
        <v>134</v>
      </c>
      <c r="L48" s="31" t="s">
        <v>439</v>
      </c>
    </row>
    <row r="49" spans="1:12">
      <c r="A49" s="14"/>
      <c r="B49" s="14" t="s">
        <v>622</v>
      </c>
      <c r="C49" s="14" t="s">
        <v>136</v>
      </c>
      <c r="D49" s="12" t="s">
        <v>864</v>
      </c>
      <c r="E49" s="14" t="s">
        <v>243</v>
      </c>
      <c r="F49" s="14"/>
      <c r="G49" s="12" t="s">
        <v>865</v>
      </c>
      <c r="H49" s="14"/>
      <c r="I49" s="14"/>
      <c r="J49" s="14" t="s">
        <v>431</v>
      </c>
      <c r="K49" s="14" t="s">
        <v>134</v>
      </c>
      <c r="L49" s="31" t="s">
        <v>439</v>
      </c>
    </row>
    <row r="50" spans="1:12">
      <c r="A50" s="14"/>
      <c r="B50" s="14" t="s">
        <v>620</v>
      </c>
      <c r="C50" s="14" t="s">
        <v>136</v>
      </c>
      <c r="D50" s="12" t="s">
        <v>861</v>
      </c>
      <c r="E50" s="14" t="s">
        <v>243</v>
      </c>
      <c r="F50" s="14"/>
      <c r="G50" s="12" t="s">
        <v>862</v>
      </c>
      <c r="H50" s="14"/>
      <c r="I50" s="14"/>
      <c r="J50" s="14" t="s">
        <v>431</v>
      </c>
      <c r="K50" s="14" t="s">
        <v>134</v>
      </c>
      <c r="L50" s="31" t="s">
        <v>439</v>
      </c>
    </row>
    <row r="51" spans="1:12">
      <c r="A51" s="14"/>
      <c r="B51" s="14" t="s">
        <v>618</v>
      </c>
      <c r="C51" s="14" t="s">
        <v>136</v>
      </c>
      <c r="D51" s="12" t="s">
        <v>858</v>
      </c>
      <c r="E51" s="14" t="s">
        <v>243</v>
      </c>
      <c r="F51" s="14"/>
      <c r="G51" s="12" t="s">
        <v>859</v>
      </c>
      <c r="H51" s="14"/>
      <c r="I51" s="14"/>
      <c r="J51" s="14" t="s">
        <v>431</v>
      </c>
      <c r="K51" s="14" t="s">
        <v>134</v>
      </c>
      <c r="L51" s="31" t="s">
        <v>439</v>
      </c>
    </row>
    <row r="52" spans="1:12">
      <c r="A52" s="14"/>
      <c r="B52" s="14" t="s">
        <v>616</v>
      </c>
      <c r="C52" s="14" t="s">
        <v>136</v>
      </c>
      <c r="D52" s="12" t="s">
        <v>855</v>
      </c>
      <c r="E52" s="14" t="s">
        <v>243</v>
      </c>
      <c r="F52" s="14"/>
      <c r="G52" s="12" t="s">
        <v>856</v>
      </c>
      <c r="H52" s="14"/>
      <c r="I52" s="14"/>
      <c r="J52" s="14" t="s">
        <v>431</v>
      </c>
      <c r="K52" s="14" t="s">
        <v>134</v>
      </c>
      <c r="L52" s="31" t="s">
        <v>439</v>
      </c>
    </row>
    <row r="53" spans="1:12">
      <c r="A53" s="14"/>
      <c r="B53" s="14" t="s">
        <v>654</v>
      </c>
      <c r="C53" s="14" t="s">
        <v>136</v>
      </c>
      <c r="D53" s="12" t="s">
        <v>1188</v>
      </c>
      <c r="E53" s="14" t="s">
        <v>243</v>
      </c>
      <c r="F53" s="14"/>
      <c r="G53" s="12" t="s">
        <v>876</v>
      </c>
      <c r="H53" s="14"/>
      <c r="I53" s="14"/>
      <c r="J53" s="14" t="s">
        <v>431</v>
      </c>
      <c r="K53" s="14" t="s">
        <v>134</v>
      </c>
      <c r="L53" s="31" t="s">
        <v>439</v>
      </c>
    </row>
    <row r="54" spans="1:12">
      <c r="A54" s="14"/>
      <c r="B54" s="14" t="s">
        <v>656</v>
      </c>
      <c r="C54" s="14" t="s">
        <v>245</v>
      </c>
      <c r="D54" s="12" t="s">
        <v>1190</v>
      </c>
      <c r="E54" s="14" t="s">
        <v>243</v>
      </c>
      <c r="F54" s="14"/>
      <c r="G54" s="12" t="s">
        <v>2245</v>
      </c>
      <c r="H54" s="14"/>
      <c r="I54" s="14"/>
      <c r="J54" s="14" t="s">
        <v>431</v>
      </c>
      <c r="K54" s="14" t="s">
        <v>134</v>
      </c>
      <c r="L54" s="31" t="s">
        <v>568</v>
      </c>
    </row>
    <row r="55" spans="1:12">
      <c r="A55" s="14"/>
      <c r="B55" s="14" t="s">
        <v>451</v>
      </c>
      <c r="C55" s="14" t="s">
        <v>136</v>
      </c>
      <c r="D55" s="12" t="s">
        <v>1537</v>
      </c>
      <c r="E55" s="14" t="s">
        <v>243</v>
      </c>
      <c r="F55" s="14"/>
      <c r="G55" s="12" t="s">
        <v>1581</v>
      </c>
      <c r="H55" s="14"/>
      <c r="I55" s="14"/>
      <c r="J55" s="14" t="s">
        <v>431</v>
      </c>
      <c r="K55" s="14" t="s">
        <v>134</v>
      </c>
      <c r="L55" s="31" t="s">
        <v>439</v>
      </c>
    </row>
    <row r="56" spans="1:12">
      <c r="A56" s="14"/>
      <c r="B56" s="14" t="s">
        <v>454</v>
      </c>
      <c r="C56" s="14" t="s">
        <v>136</v>
      </c>
      <c r="D56" s="12" t="s">
        <v>1539</v>
      </c>
      <c r="E56" s="14" t="s">
        <v>243</v>
      </c>
      <c r="F56" s="14"/>
      <c r="G56" s="12" t="s">
        <v>917</v>
      </c>
      <c r="H56" s="14"/>
      <c r="I56" s="14"/>
      <c r="J56" s="14" t="s">
        <v>431</v>
      </c>
      <c r="K56" s="14" t="s">
        <v>134</v>
      </c>
      <c r="L56" s="31" t="s">
        <v>439</v>
      </c>
    </row>
    <row r="57" spans="1:12">
      <c r="A57" s="14"/>
      <c r="B57" s="14" t="s">
        <v>459</v>
      </c>
      <c r="C57" s="14" t="s">
        <v>136</v>
      </c>
      <c r="D57" s="12" t="s">
        <v>1541</v>
      </c>
      <c r="E57" s="14" t="s">
        <v>243</v>
      </c>
      <c r="F57" s="14"/>
      <c r="G57" s="12" t="s">
        <v>929</v>
      </c>
      <c r="H57" s="14"/>
      <c r="I57" s="14"/>
      <c r="J57" s="14" t="s">
        <v>431</v>
      </c>
      <c r="K57" s="14" t="s">
        <v>134</v>
      </c>
      <c r="L57" s="31" t="s">
        <v>439</v>
      </c>
    </row>
    <row r="58" spans="1:12">
      <c r="A58" s="14"/>
      <c r="B58" s="14" t="s">
        <v>1235</v>
      </c>
      <c r="C58" s="14" t="s">
        <v>136</v>
      </c>
      <c r="D58" s="12" t="s">
        <v>1544</v>
      </c>
      <c r="E58" s="14" t="s">
        <v>243</v>
      </c>
      <c r="F58" s="14"/>
      <c r="G58" s="12" t="s">
        <v>1436</v>
      </c>
      <c r="H58" s="14"/>
      <c r="I58" s="14"/>
      <c r="J58" s="14" t="s">
        <v>431</v>
      </c>
      <c r="K58" s="14" t="s">
        <v>134</v>
      </c>
      <c r="L58" s="31" t="s">
        <v>439</v>
      </c>
    </row>
    <row r="59" spans="1:12">
      <c r="A59" s="14"/>
      <c r="B59" s="14" t="s">
        <v>462</v>
      </c>
      <c r="C59" s="14" t="s">
        <v>136</v>
      </c>
      <c r="D59" s="12" t="s">
        <v>463</v>
      </c>
      <c r="E59" s="14" t="s">
        <v>243</v>
      </c>
      <c r="F59" s="14"/>
      <c r="G59" s="12" t="s">
        <v>1456</v>
      </c>
      <c r="H59" s="14"/>
      <c r="I59" s="14"/>
      <c r="J59" s="14" t="s">
        <v>431</v>
      </c>
      <c r="K59" s="14" t="s">
        <v>134</v>
      </c>
      <c r="L59" s="31" t="s">
        <v>439</v>
      </c>
    </row>
    <row r="60" spans="1:12" s="1" customFormat="1">
      <c r="A60" s="25"/>
      <c r="B60" s="26" t="s">
        <v>793</v>
      </c>
      <c r="C60" s="27" t="s">
        <v>136</v>
      </c>
      <c r="D60" s="20" t="s">
        <v>794</v>
      </c>
      <c r="E60" s="28" t="s">
        <v>243</v>
      </c>
      <c r="F60" s="14"/>
      <c r="G60" s="12" t="s">
        <v>1262</v>
      </c>
      <c r="H60" s="14"/>
      <c r="I60" s="33"/>
      <c r="J60" s="34" t="s">
        <v>431</v>
      </c>
      <c r="K60" s="34" t="s">
        <v>134</v>
      </c>
      <c r="L60" s="34" t="s">
        <v>439</v>
      </c>
    </row>
    <row r="61" spans="1:12" s="1" customFormat="1">
      <c r="A61" s="25"/>
      <c r="B61" s="26" t="s">
        <v>795</v>
      </c>
      <c r="C61" s="27" t="s">
        <v>136</v>
      </c>
      <c r="D61" s="20" t="s">
        <v>796</v>
      </c>
      <c r="E61" s="28" t="s">
        <v>243</v>
      </c>
      <c r="F61" s="14"/>
      <c r="G61" s="12" t="s">
        <v>1264</v>
      </c>
      <c r="H61" s="14"/>
      <c r="I61" s="33"/>
      <c r="J61" s="34" t="s">
        <v>431</v>
      </c>
      <c r="K61" s="34" t="s">
        <v>134</v>
      </c>
      <c r="L61" s="34" t="s">
        <v>439</v>
      </c>
    </row>
    <row r="62" spans="1:12" s="1" customFormat="1">
      <c r="A62" s="25"/>
      <c r="B62" s="26" t="s">
        <v>797</v>
      </c>
      <c r="C62" s="27" t="s">
        <v>136</v>
      </c>
      <c r="D62" s="20" t="s">
        <v>798</v>
      </c>
      <c r="E62" s="28" t="s">
        <v>243</v>
      </c>
      <c r="F62" s="14"/>
      <c r="G62" s="12" t="s">
        <v>1266</v>
      </c>
      <c r="H62" s="14"/>
      <c r="I62" s="33"/>
      <c r="J62" s="34" t="s">
        <v>431</v>
      </c>
      <c r="K62" s="34" t="s">
        <v>134</v>
      </c>
      <c r="L62" s="34" t="s">
        <v>439</v>
      </c>
    </row>
    <row r="63" spans="1:12" s="1" customFormat="1">
      <c r="A63" s="25"/>
      <c r="B63" s="26" t="s">
        <v>799</v>
      </c>
      <c r="C63" s="27" t="s">
        <v>136</v>
      </c>
      <c r="D63" s="20" t="s">
        <v>800</v>
      </c>
      <c r="E63" s="28" t="s">
        <v>243</v>
      </c>
      <c r="F63" s="14"/>
      <c r="G63" s="12" t="s">
        <v>1246</v>
      </c>
      <c r="H63" s="14"/>
      <c r="I63" s="33"/>
      <c r="J63" s="34" t="s">
        <v>431</v>
      </c>
      <c r="K63" s="34" t="s">
        <v>134</v>
      </c>
      <c r="L63" s="34" t="s">
        <v>439</v>
      </c>
    </row>
    <row r="64" spans="1:12" s="1" customFormat="1">
      <c r="A64" s="25"/>
      <c r="B64" s="26" t="s">
        <v>801</v>
      </c>
      <c r="C64" s="27" t="s">
        <v>136</v>
      </c>
      <c r="D64" s="20" t="s">
        <v>802</v>
      </c>
      <c r="E64" s="28" t="s">
        <v>243</v>
      </c>
      <c r="F64" s="14"/>
      <c r="G64" s="12" t="s">
        <v>1269</v>
      </c>
      <c r="H64" s="14"/>
      <c r="I64" s="33"/>
      <c r="J64" s="34" t="s">
        <v>431</v>
      </c>
      <c r="K64" s="34" t="s">
        <v>134</v>
      </c>
      <c r="L64" s="34" t="s">
        <v>439</v>
      </c>
    </row>
    <row r="65" spans="1:12" s="1" customFormat="1">
      <c r="A65" s="25"/>
      <c r="B65" s="26" t="s">
        <v>803</v>
      </c>
      <c r="C65" s="27" t="s">
        <v>136</v>
      </c>
      <c r="D65" s="20" t="s">
        <v>804</v>
      </c>
      <c r="E65" s="28" t="s">
        <v>243</v>
      </c>
      <c r="F65" s="14"/>
      <c r="G65" s="12" t="s">
        <v>1271</v>
      </c>
      <c r="H65" s="14"/>
      <c r="I65" s="33"/>
      <c r="J65" s="34" t="s">
        <v>431</v>
      </c>
      <c r="K65" s="34" t="s">
        <v>134</v>
      </c>
      <c r="L65" s="34" t="s">
        <v>439</v>
      </c>
    </row>
    <row r="66" spans="1:12" s="1" customFormat="1">
      <c r="A66" s="25"/>
      <c r="B66" s="26" t="s">
        <v>805</v>
      </c>
      <c r="C66" s="27" t="s">
        <v>136</v>
      </c>
      <c r="D66" s="20" t="s">
        <v>806</v>
      </c>
      <c r="E66" s="28" t="s">
        <v>243</v>
      </c>
      <c r="F66" s="14"/>
      <c r="G66" s="12" t="s">
        <v>1274</v>
      </c>
      <c r="H66" s="14"/>
      <c r="I66" s="33"/>
      <c r="J66" s="34" t="s">
        <v>431</v>
      </c>
      <c r="K66" s="34" t="s">
        <v>134</v>
      </c>
      <c r="L66" s="34" t="s">
        <v>439</v>
      </c>
    </row>
    <row r="67" spans="1:12" s="4" customFormat="1">
      <c r="A67" s="36"/>
      <c r="B67" s="36" t="s">
        <v>233</v>
      </c>
      <c r="C67" s="36" t="s">
        <v>139</v>
      </c>
      <c r="D67" s="37" t="s">
        <v>234</v>
      </c>
      <c r="E67" s="36"/>
      <c r="F67" s="36"/>
      <c r="G67" s="36"/>
      <c r="H67" s="36"/>
      <c r="I67" s="36"/>
      <c r="J67" s="36"/>
      <c r="K67" s="36"/>
      <c r="L67" s="38"/>
    </row>
    <row r="68" spans="1:12" s="4" customFormat="1">
      <c r="A68" s="36"/>
      <c r="B68" s="36" t="s">
        <v>235</v>
      </c>
      <c r="C68" s="36" t="s">
        <v>132</v>
      </c>
      <c r="D68" s="37" t="s">
        <v>1548</v>
      </c>
      <c r="E68" s="36"/>
      <c r="F68" s="36"/>
      <c r="G68" s="36"/>
      <c r="H68" s="36"/>
      <c r="I68" s="36"/>
      <c r="J68" s="36"/>
      <c r="K68" s="36"/>
      <c r="L68" s="38"/>
    </row>
    <row r="69" spans="1:12" s="4" customFormat="1">
      <c r="A69" s="36"/>
      <c r="B69" s="36" t="s">
        <v>237</v>
      </c>
      <c r="C69" s="36" t="s">
        <v>139</v>
      </c>
      <c r="D69" s="37" t="s">
        <v>238</v>
      </c>
      <c r="E69" s="36"/>
      <c r="F69" s="36"/>
      <c r="G69" s="36"/>
      <c r="H69" s="36"/>
      <c r="I69" s="36"/>
      <c r="J69" s="36"/>
      <c r="K69" s="36"/>
      <c r="L69" s="38"/>
    </row>
  </sheetData>
  <autoFilter ref="A14:Q69" xr:uid="{00000000-0009-0000-0000-000015000000}">
    <sortState xmlns:xlrd2="http://schemas.microsoft.com/office/spreadsheetml/2017/richdata2" ref="A14:Q69">
      <sortCondition ref="A14"/>
    </sortState>
  </autoFilter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6278-2C13-413B-AE85-4151C0E62139}">
  <dimension ref="A1:N95"/>
  <sheetViews>
    <sheetView zoomScale="85" zoomScaleNormal="85" workbookViewId="0">
      <pane ySplit="5" topLeftCell="A6" activePane="bottomLeft" state="frozen"/>
      <selection pane="bottomLeft" activeCell="D34" sqref="D34"/>
    </sheetView>
  </sheetViews>
  <sheetFormatPr defaultColWidth="9" defaultRowHeight="13.2"/>
  <cols>
    <col min="1" max="1" width="3" style="5" customWidth="1"/>
    <col min="2" max="2" width="23.6640625" style="5" customWidth="1"/>
    <col min="3" max="3" width="30.21875" style="5" customWidth="1"/>
    <col min="4" max="4" width="32.21875" style="5" customWidth="1"/>
    <col min="5" max="5" width="16.21875" style="5" customWidth="1"/>
    <col min="6" max="6" width="24.88671875" style="5" customWidth="1"/>
    <col min="7" max="7" width="39.5546875" style="6" customWidth="1"/>
    <col min="8" max="8" width="14.44140625" style="5" customWidth="1"/>
    <col min="9" max="9" width="8.33203125" style="5" customWidth="1"/>
    <col min="10" max="10" width="8.109375" style="5" customWidth="1"/>
    <col min="11" max="11" width="8.44140625" style="5" customWidth="1"/>
    <col min="12" max="12" width="13.5546875" style="3" customWidth="1"/>
    <col min="13" max="16384" width="9" style="3"/>
  </cols>
  <sheetData>
    <row r="1" spans="1:14">
      <c r="B1" s="7" t="str">
        <f>HYPERLINK("#导航!a2","返回")</f>
        <v>返回</v>
      </c>
    </row>
    <row r="2" spans="1:14">
      <c r="B2" s="156"/>
      <c r="C2" s="156"/>
      <c r="D2" s="156"/>
      <c r="E2" s="156"/>
      <c r="F2" s="156"/>
      <c r="G2" s="156"/>
      <c r="H2" s="156"/>
    </row>
    <row r="3" spans="1:14">
      <c r="B3" s="157" t="s">
        <v>106</v>
      </c>
      <c r="C3" s="157"/>
      <c r="D3" s="157"/>
      <c r="E3" s="157"/>
      <c r="F3" s="157"/>
      <c r="G3" s="157"/>
      <c r="H3" s="157"/>
      <c r="L3" s="5"/>
    </row>
    <row r="4" spans="1:14">
      <c r="B4" s="9" t="s">
        <v>9</v>
      </c>
      <c r="C4" s="9" t="s">
        <v>107</v>
      </c>
      <c r="D4" s="9" t="s">
        <v>108</v>
      </c>
      <c r="E4" s="9" t="s">
        <v>109</v>
      </c>
      <c r="F4" s="9" t="s">
        <v>110</v>
      </c>
      <c r="G4" s="10" t="s">
        <v>12</v>
      </c>
      <c r="H4" s="9" t="s">
        <v>111</v>
      </c>
    </row>
    <row r="5" spans="1:14">
      <c r="B5" s="11" t="s">
        <v>55</v>
      </c>
      <c r="C5" s="12" t="s">
        <v>2465</v>
      </c>
      <c r="D5" s="13" t="s">
        <v>2466</v>
      </c>
      <c r="E5" s="14" t="s">
        <v>383</v>
      </c>
      <c r="F5" s="15"/>
      <c r="G5" s="12"/>
      <c r="H5" s="14"/>
      <c r="N5" s="5"/>
    </row>
    <row r="6" spans="1:14">
      <c r="B6" s="8"/>
      <c r="C6" s="8"/>
      <c r="D6" s="8"/>
      <c r="E6" s="8"/>
      <c r="F6" s="8"/>
      <c r="G6" s="16"/>
      <c r="H6" s="8"/>
    </row>
    <row r="7" spans="1:14">
      <c r="B7" s="157" t="s">
        <v>113</v>
      </c>
      <c r="C7" s="157"/>
      <c r="D7" s="157"/>
      <c r="E7" s="157"/>
      <c r="F7" s="157"/>
      <c r="G7" s="157"/>
      <c r="H7" s="157"/>
    </row>
    <row r="8" spans="1:14">
      <c r="B8" s="17" t="s">
        <v>114</v>
      </c>
      <c r="C8" s="17" t="s">
        <v>115</v>
      </c>
      <c r="D8" s="17" t="s">
        <v>116</v>
      </c>
      <c r="E8" s="17" t="s">
        <v>117</v>
      </c>
      <c r="F8" s="17" t="s">
        <v>118</v>
      </c>
      <c r="G8" s="18" t="s">
        <v>22</v>
      </c>
      <c r="H8" s="17" t="s">
        <v>119</v>
      </c>
    </row>
    <row r="9" spans="1:14">
      <c r="B9" s="14"/>
      <c r="C9" s="12" t="s">
        <v>2470</v>
      </c>
      <c r="D9" s="13" t="s">
        <v>82</v>
      </c>
      <c r="E9" s="14" t="s">
        <v>243</v>
      </c>
      <c r="F9" s="19"/>
      <c r="G9" s="20"/>
      <c r="H9" s="21"/>
    </row>
    <row r="10" spans="1:14">
      <c r="B10" s="14"/>
      <c r="C10" s="12" t="s">
        <v>2472</v>
      </c>
      <c r="D10" s="12" t="s">
        <v>61</v>
      </c>
      <c r="E10" s="14" t="s">
        <v>2473</v>
      </c>
      <c r="F10" s="19"/>
      <c r="G10" s="20"/>
      <c r="H10" s="14"/>
    </row>
    <row r="11" spans="1:14">
      <c r="G11" s="22"/>
    </row>
    <row r="12" spans="1:14">
      <c r="B12" s="5" t="s">
        <v>120</v>
      </c>
    </row>
    <row r="13" spans="1:14">
      <c r="B13" s="157" t="s">
        <v>120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1:14">
      <c r="B14" s="23" t="s">
        <v>121</v>
      </c>
      <c r="C14" s="23" t="s">
        <v>122</v>
      </c>
      <c r="D14" s="23" t="s">
        <v>123</v>
      </c>
      <c r="E14" s="23" t="s">
        <v>124</v>
      </c>
      <c r="F14" s="23" t="s">
        <v>125</v>
      </c>
      <c r="G14" s="24" t="s">
        <v>126</v>
      </c>
      <c r="H14" s="23" t="s">
        <v>127</v>
      </c>
      <c r="I14" s="23" t="s">
        <v>22</v>
      </c>
      <c r="J14" s="23" t="s">
        <v>128</v>
      </c>
      <c r="K14" s="23" t="s">
        <v>129</v>
      </c>
      <c r="L14" s="23" t="s">
        <v>130</v>
      </c>
    </row>
    <row r="15" spans="1:14">
      <c r="A15" s="14"/>
      <c r="B15" s="14" t="s">
        <v>383</v>
      </c>
      <c r="C15" s="14" t="s">
        <v>132</v>
      </c>
      <c r="D15" s="12" t="s">
        <v>480</v>
      </c>
      <c r="E15" s="14" t="s">
        <v>248</v>
      </c>
      <c r="F15" s="14" t="s">
        <v>235</v>
      </c>
      <c r="G15" s="12" t="s">
        <v>250</v>
      </c>
      <c r="H15" s="14"/>
      <c r="I15" s="14"/>
      <c r="J15" s="14" t="s">
        <v>384</v>
      </c>
      <c r="K15" s="14" t="s">
        <v>134</v>
      </c>
      <c r="L15" s="31" t="s">
        <v>134</v>
      </c>
    </row>
    <row r="16" spans="1:14">
      <c r="A16" s="14"/>
      <c r="B16" s="14" t="s">
        <v>379</v>
      </c>
      <c r="C16" s="14" t="s">
        <v>139</v>
      </c>
      <c r="D16" s="12" t="s">
        <v>48</v>
      </c>
      <c r="E16" s="14" t="s">
        <v>248</v>
      </c>
      <c r="F16" s="14" t="s">
        <v>237</v>
      </c>
      <c r="G16" s="12" t="s">
        <v>250</v>
      </c>
      <c r="H16" s="14"/>
      <c r="I16" s="14"/>
      <c r="J16" s="14" t="s">
        <v>384</v>
      </c>
      <c r="K16" s="14" t="s">
        <v>134</v>
      </c>
      <c r="L16" s="31" t="s">
        <v>134</v>
      </c>
    </row>
    <row r="17" spans="1:12">
      <c r="A17" s="14"/>
      <c r="B17" s="14" t="s">
        <v>2338</v>
      </c>
      <c r="C17" s="14" t="s">
        <v>132</v>
      </c>
      <c r="D17" s="12" t="s">
        <v>285</v>
      </c>
      <c r="E17" s="14" t="s">
        <v>248</v>
      </c>
      <c r="F17" s="14" t="s">
        <v>284</v>
      </c>
      <c r="G17" s="12" t="s">
        <v>250</v>
      </c>
      <c r="H17" s="14"/>
      <c r="I17" s="14"/>
      <c r="J17" s="14" t="s">
        <v>384</v>
      </c>
      <c r="K17" s="14" t="s">
        <v>134</v>
      </c>
      <c r="L17" s="31" t="s">
        <v>134</v>
      </c>
    </row>
    <row r="18" spans="1:12" s="1" customFormat="1">
      <c r="A18" s="25"/>
      <c r="B18" s="26" t="s">
        <v>273</v>
      </c>
      <c r="C18" s="27" t="s">
        <v>139</v>
      </c>
      <c r="D18" s="20" t="s">
        <v>274</v>
      </c>
      <c r="E18" s="14" t="s">
        <v>248</v>
      </c>
      <c r="F18" s="14" t="s">
        <v>233</v>
      </c>
      <c r="G18" s="12" t="s">
        <v>250</v>
      </c>
      <c r="H18" s="14"/>
      <c r="I18" s="33"/>
      <c r="J18" s="14" t="s">
        <v>384</v>
      </c>
      <c r="K18" s="14" t="s">
        <v>134</v>
      </c>
      <c r="L18" s="31" t="s">
        <v>134</v>
      </c>
    </row>
    <row r="19" spans="1:12">
      <c r="A19" s="14"/>
      <c r="B19" s="14" t="s">
        <v>392</v>
      </c>
      <c r="C19" s="14" t="s">
        <v>132</v>
      </c>
      <c r="D19" s="12" t="s">
        <v>391</v>
      </c>
      <c r="E19" s="14" t="s">
        <v>248</v>
      </c>
      <c r="F19" s="14" t="s">
        <v>392</v>
      </c>
      <c r="G19" s="12" t="s">
        <v>250</v>
      </c>
      <c r="H19" s="14"/>
      <c r="I19" s="14"/>
      <c r="J19" s="14" t="s">
        <v>384</v>
      </c>
      <c r="K19" s="14" t="s">
        <v>134</v>
      </c>
      <c r="L19" s="31" t="s">
        <v>134</v>
      </c>
    </row>
    <row r="20" spans="1:12">
      <c r="A20" s="14"/>
      <c r="B20" s="14" t="s">
        <v>385</v>
      </c>
      <c r="C20" s="14" t="s">
        <v>139</v>
      </c>
      <c r="D20" s="12" t="s">
        <v>487</v>
      </c>
      <c r="E20" s="14" t="s">
        <v>248</v>
      </c>
      <c r="F20" s="14" t="s">
        <v>385</v>
      </c>
      <c r="G20" s="12" t="s">
        <v>250</v>
      </c>
      <c r="H20" s="14"/>
      <c r="I20" s="14"/>
      <c r="J20" s="14" t="s">
        <v>384</v>
      </c>
      <c r="K20" s="14" t="s">
        <v>134</v>
      </c>
      <c r="L20" s="31" t="s">
        <v>134</v>
      </c>
    </row>
    <row r="21" spans="1:12" s="2" customFormat="1">
      <c r="A21" s="29"/>
      <c r="B21" s="14" t="s">
        <v>395</v>
      </c>
      <c r="C21" s="14" t="s">
        <v>132</v>
      </c>
      <c r="D21" s="12" t="s">
        <v>489</v>
      </c>
      <c r="E21" s="14" t="s">
        <v>248</v>
      </c>
      <c r="F21" s="14" t="s">
        <v>395</v>
      </c>
      <c r="G21" s="12" t="s">
        <v>250</v>
      </c>
      <c r="H21" s="14"/>
      <c r="I21" s="35"/>
      <c r="J21" s="14" t="s">
        <v>384</v>
      </c>
      <c r="K21" s="14" t="s">
        <v>134</v>
      </c>
      <c r="L21" s="31" t="s">
        <v>134</v>
      </c>
    </row>
    <row r="22" spans="1:12" s="2" customFormat="1">
      <c r="A22" s="29"/>
      <c r="B22" s="14" t="s">
        <v>388</v>
      </c>
      <c r="C22" s="14" t="s">
        <v>139</v>
      </c>
      <c r="D22" s="12" t="s">
        <v>488</v>
      </c>
      <c r="E22" s="14" t="s">
        <v>248</v>
      </c>
      <c r="F22" s="14" t="s">
        <v>388</v>
      </c>
      <c r="G22" s="12" t="s">
        <v>250</v>
      </c>
      <c r="H22" s="14"/>
      <c r="I22" s="35"/>
      <c r="J22" s="14" t="s">
        <v>384</v>
      </c>
      <c r="K22" s="14" t="s">
        <v>134</v>
      </c>
      <c r="L22" s="31" t="s">
        <v>134</v>
      </c>
    </row>
    <row r="23" spans="1:12" s="2" customFormat="1">
      <c r="A23" s="29"/>
      <c r="B23" s="14" t="s">
        <v>398</v>
      </c>
      <c r="C23" s="14" t="s">
        <v>132</v>
      </c>
      <c r="D23" s="12" t="s">
        <v>490</v>
      </c>
      <c r="E23" s="14" t="s">
        <v>248</v>
      </c>
      <c r="F23" s="14" t="s">
        <v>398</v>
      </c>
      <c r="G23" s="12" t="s">
        <v>250</v>
      </c>
      <c r="H23" s="14"/>
      <c r="I23" s="35"/>
      <c r="J23" s="14" t="s">
        <v>384</v>
      </c>
      <c r="K23" s="14" t="s">
        <v>134</v>
      </c>
      <c r="L23" s="31" t="s">
        <v>134</v>
      </c>
    </row>
    <row r="24" spans="1:12">
      <c r="A24" s="14"/>
      <c r="B24" s="14" t="s">
        <v>287</v>
      </c>
      <c r="C24" s="14" t="s">
        <v>139</v>
      </c>
      <c r="D24" s="12" t="s">
        <v>808</v>
      </c>
      <c r="E24" s="14" t="s">
        <v>248</v>
      </c>
      <c r="F24" s="14" t="s">
        <v>287</v>
      </c>
      <c r="G24" s="12" t="s">
        <v>250</v>
      </c>
      <c r="H24" s="14"/>
      <c r="I24" s="14"/>
      <c r="J24" s="14" t="s">
        <v>384</v>
      </c>
      <c r="K24" s="14" t="s">
        <v>134</v>
      </c>
      <c r="L24" s="31" t="s">
        <v>134</v>
      </c>
    </row>
    <row r="25" spans="1:12">
      <c r="A25" s="14"/>
      <c r="B25" s="14" t="s">
        <v>2474</v>
      </c>
      <c r="C25" s="14" t="s">
        <v>139</v>
      </c>
      <c r="D25" s="12" t="s">
        <v>2475</v>
      </c>
      <c r="E25" s="14" t="s">
        <v>243</v>
      </c>
      <c r="F25" s="14" t="s">
        <v>2565</v>
      </c>
      <c r="G25" s="12" t="s">
        <v>250</v>
      </c>
      <c r="H25" s="14"/>
      <c r="I25" s="14"/>
      <c r="J25" s="14" t="s">
        <v>384</v>
      </c>
      <c r="K25" s="14" t="s">
        <v>134</v>
      </c>
      <c r="L25" s="31" t="s">
        <v>134</v>
      </c>
    </row>
    <row r="26" spans="1:12">
      <c r="A26" s="14"/>
      <c r="B26" s="14" t="s">
        <v>2476</v>
      </c>
      <c r="C26" s="14" t="s">
        <v>132</v>
      </c>
      <c r="D26" s="12" t="s">
        <v>2477</v>
      </c>
      <c r="E26" s="14" t="s">
        <v>243</v>
      </c>
      <c r="F26" s="14" t="s">
        <v>2476</v>
      </c>
      <c r="G26" s="12" t="s">
        <v>250</v>
      </c>
      <c r="H26" s="14"/>
      <c r="I26" s="14"/>
      <c r="J26" s="14" t="s">
        <v>384</v>
      </c>
      <c r="K26" s="14" t="s">
        <v>134</v>
      </c>
      <c r="L26" s="31" t="s">
        <v>134</v>
      </c>
    </row>
    <row r="27" spans="1:12">
      <c r="A27" s="14"/>
      <c r="B27" s="14" t="s">
        <v>251</v>
      </c>
      <c r="C27" s="14" t="s">
        <v>132</v>
      </c>
      <c r="D27" s="12" t="s">
        <v>252</v>
      </c>
      <c r="E27" s="14" t="s">
        <v>243</v>
      </c>
      <c r="F27" s="14" t="s">
        <v>251</v>
      </c>
      <c r="G27" s="12" t="s">
        <v>250</v>
      </c>
      <c r="H27" s="14"/>
      <c r="I27" s="14"/>
      <c r="J27" s="14" t="s">
        <v>384</v>
      </c>
      <c r="K27" s="14" t="s">
        <v>134</v>
      </c>
      <c r="L27" s="31" t="s">
        <v>134</v>
      </c>
    </row>
    <row r="28" spans="1:12">
      <c r="A28" s="14"/>
      <c r="B28" s="14" t="s">
        <v>211</v>
      </c>
      <c r="C28" s="14" t="s">
        <v>139</v>
      </c>
      <c r="D28" s="12" t="s">
        <v>2478</v>
      </c>
      <c r="E28" s="14" t="s">
        <v>248</v>
      </c>
      <c r="F28" s="14" t="s">
        <v>211</v>
      </c>
      <c r="G28" s="12" t="s">
        <v>250</v>
      </c>
      <c r="H28" s="14"/>
      <c r="I28" s="14"/>
      <c r="J28" s="14" t="s">
        <v>384</v>
      </c>
      <c r="K28" s="14" t="s">
        <v>134</v>
      </c>
      <c r="L28" s="31" t="s">
        <v>134</v>
      </c>
    </row>
    <row r="29" spans="1:12">
      <c r="A29" s="14"/>
      <c r="B29" s="14" t="s">
        <v>371</v>
      </c>
      <c r="C29" s="14" t="s">
        <v>139</v>
      </c>
      <c r="D29" s="12" t="s">
        <v>2479</v>
      </c>
      <c r="E29" s="14" t="s">
        <v>248</v>
      </c>
      <c r="F29" s="14" t="s">
        <v>371</v>
      </c>
      <c r="G29" s="12" t="s">
        <v>250</v>
      </c>
      <c r="H29" s="14"/>
      <c r="I29" s="14"/>
      <c r="J29" s="14" t="s">
        <v>384</v>
      </c>
      <c r="K29" s="14" t="s">
        <v>134</v>
      </c>
      <c r="L29" s="31" t="s">
        <v>134</v>
      </c>
    </row>
    <row r="30" spans="1:12">
      <c r="A30" s="14"/>
      <c r="B30" s="14" t="s">
        <v>373</v>
      </c>
      <c r="C30" s="14" t="s">
        <v>139</v>
      </c>
      <c r="D30" s="12" t="s">
        <v>2480</v>
      </c>
      <c r="E30" s="14" t="s">
        <v>248</v>
      </c>
      <c r="F30" s="14" t="s">
        <v>373</v>
      </c>
      <c r="G30" s="12" t="s">
        <v>250</v>
      </c>
      <c r="H30" s="14"/>
      <c r="I30" s="14"/>
      <c r="J30" s="14" t="s">
        <v>384</v>
      </c>
      <c r="K30" s="14" t="s">
        <v>134</v>
      </c>
      <c r="L30" s="31" t="s">
        <v>134</v>
      </c>
    </row>
    <row r="31" spans="1:12">
      <c r="A31" s="14"/>
      <c r="B31" s="14" t="s">
        <v>814</v>
      </c>
      <c r="C31" s="14" t="s">
        <v>136</v>
      </c>
      <c r="D31" s="12" t="s">
        <v>2481</v>
      </c>
      <c r="E31" s="14" t="s">
        <v>248</v>
      </c>
      <c r="F31" s="14"/>
      <c r="G31" s="12" t="s">
        <v>1307</v>
      </c>
      <c r="H31" s="14"/>
      <c r="I31" s="14"/>
      <c r="J31" s="14" t="s">
        <v>431</v>
      </c>
      <c r="K31" s="14" t="s">
        <v>134</v>
      </c>
      <c r="L31" s="31" t="s">
        <v>2530</v>
      </c>
    </row>
    <row r="32" spans="1:12">
      <c r="A32" s="14"/>
      <c r="B32" s="14" t="s">
        <v>2365</v>
      </c>
      <c r="C32" s="14" t="s">
        <v>136</v>
      </c>
      <c r="D32" s="12" t="s">
        <v>2482</v>
      </c>
      <c r="E32" s="14" t="s">
        <v>248</v>
      </c>
      <c r="F32" s="14"/>
      <c r="G32" s="12" t="s">
        <v>1309</v>
      </c>
      <c r="H32" s="14"/>
      <c r="I32" s="14"/>
      <c r="J32" s="14" t="s">
        <v>431</v>
      </c>
      <c r="K32" s="14" t="s">
        <v>134</v>
      </c>
      <c r="L32" s="31" t="s">
        <v>2529</v>
      </c>
    </row>
    <row r="33" spans="1:12">
      <c r="A33" s="14"/>
      <c r="B33" s="14" t="s">
        <v>2364</v>
      </c>
      <c r="C33" s="14" t="s">
        <v>245</v>
      </c>
      <c r="D33" s="12" t="s">
        <v>2483</v>
      </c>
      <c r="E33" s="14" t="s">
        <v>248</v>
      </c>
      <c r="F33" s="14"/>
      <c r="G33" s="12" t="s">
        <v>1308</v>
      </c>
      <c r="H33" s="14"/>
      <c r="I33" s="14"/>
      <c r="J33" s="14" t="s">
        <v>431</v>
      </c>
      <c r="K33" s="14" t="s">
        <v>134</v>
      </c>
      <c r="L33" s="31" t="s">
        <v>432</v>
      </c>
    </row>
    <row r="34" spans="1:12">
      <c r="A34" s="14"/>
      <c r="B34" s="14" t="s">
        <v>848</v>
      </c>
      <c r="C34" s="14" t="s">
        <v>136</v>
      </c>
      <c r="D34" s="12" t="s">
        <v>2484</v>
      </c>
      <c r="E34" s="14" t="s">
        <v>248</v>
      </c>
      <c r="F34" s="14"/>
      <c r="G34" s="12" t="s">
        <v>1319</v>
      </c>
      <c r="H34" s="14"/>
      <c r="I34" s="14"/>
      <c r="J34" s="14" t="s">
        <v>431</v>
      </c>
      <c r="K34" s="14" t="s">
        <v>134</v>
      </c>
      <c r="L34" s="31" t="s">
        <v>610</v>
      </c>
    </row>
    <row r="35" spans="1:12">
      <c r="A35" s="14"/>
      <c r="B35" s="14" t="s">
        <v>852</v>
      </c>
      <c r="C35" s="14" t="s">
        <v>136</v>
      </c>
      <c r="D35" s="12" t="s">
        <v>2485</v>
      </c>
      <c r="E35" s="14" t="s">
        <v>248</v>
      </c>
      <c r="F35" s="14"/>
      <c r="G35" s="12" t="s">
        <v>1321</v>
      </c>
      <c r="H35" s="14"/>
      <c r="I35" s="14"/>
      <c r="J35" s="14" t="s">
        <v>431</v>
      </c>
      <c r="K35" s="14" t="s">
        <v>134</v>
      </c>
      <c r="L35" s="31" t="s">
        <v>2529</v>
      </c>
    </row>
    <row r="36" spans="1:12">
      <c r="A36" s="14"/>
      <c r="B36" s="14" t="s">
        <v>850</v>
      </c>
      <c r="C36" s="14" t="s">
        <v>245</v>
      </c>
      <c r="D36" s="12" t="s">
        <v>2486</v>
      </c>
      <c r="E36" s="14" t="s">
        <v>248</v>
      </c>
      <c r="F36" s="14"/>
      <c r="G36" s="12" t="s">
        <v>2527</v>
      </c>
      <c r="H36" s="14"/>
      <c r="I36" s="14"/>
      <c r="J36" s="14" t="s">
        <v>431</v>
      </c>
      <c r="K36" s="14" t="s">
        <v>134</v>
      </c>
      <c r="L36" s="31" t="s">
        <v>2531</v>
      </c>
    </row>
    <row r="37" spans="1:12" s="39" customFormat="1">
      <c r="A37" s="41"/>
      <c r="B37" s="41" t="s">
        <v>895</v>
      </c>
      <c r="C37" s="41" t="s">
        <v>136</v>
      </c>
      <c r="D37" s="42" t="s">
        <v>2532</v>
      </c>
      <c r="E37" s="41" t="s">
        <v>248</v>
      </c>
      <c r="F37" s="41"/>
      <c r="G37" s="42" t="s">
        <v>2009</v>
      </c>
      <c r="H37" s="41"/>
      <c r="I37" s="41"/>
      <c r="J37" s="41" t="s">
        <v>431</v>
      </c>
      <c r="K37" s="41" t="s">
        <v>134</v>
      </c>
      <c r="L37" s="46" t="s">
        <v>439</v>
      </c>
    </row>
    <row r="38" spans="1:12">
      <c r="A38" s="14"/>
      <c r="B38" s="14" t="s">
        <v>904</v>
      </c>
      <c r="C38" s="14" t="s">
        <v>136</v>
      </c>
      <c r="D38" s="12" t="s">
        <v>1461</v>
      </c>
      <c r="E38" s="14" t="s">
        <v>248</v>
      </c>
      <c r="F38" s="14"/>
      <c r="G38" s="12" t="s">
        <v>1332</v>
      </c>
      <c r="H38" s="14"/>
      <c r="I38" s="14"/>
      <c r="J38" s="14" t="s">
        <v>431</v>
      </c>
      <c r="K38" s="14" t="s">
        <v>134</v>
      </c>
      <c r="L38" s="31" t="s">
        <v>439</v>
      </c>
    </row>
    <row r="39" spans="1:12">
      <c r="A39" s="14"/>
      <c r="B39" s="14" t="s">
        <v>2361</v>
      </c>
      <c r="C39" s="14" t="s">
        <v>136</v>
      </c>
      <c r="D39" s="12" t="s">
        <v>916</v>
      </c>
      <c r="E39" s="14" t="s">
        <v>248</v>
      </c>
      <c r="F39" s="14"/>
      <c r="G39" s="12" t="s">
        <v>1335</v>
      </c>
      <c r="H39" s="14"/>
      <c r="I39" s="14"/>
      <c r="J39" s="14" t="s">
        <v>431</v>
      </c>
      <c r="K39" s="14" t="s">
        <v>134</v>
      </c>
      <c r="L39" s="31" t="s">
        <v>439</v>
      </c>
    </row>
    <row r="40" spans="1:12">
      <c r="A40" s="14"/>
      <c r="B40" s="14" t="s">
        <v>2363</v>
      </c>
      <c r="C40" s="14" t="s">
        <v>136</v>
      </c>
      <c r="D40" s="12" t="s">
        <v>928</v>
      </c>
      <c r="E40" s="14" t="s">
        <v>248</v>
      </c>
      <c r="F40" s="14"/>
      <c r="G40" s="12" t="s">
        <v>1338</v>
      </c>
      <c r="H40" s="14"/>
      <c r="I40" s="14"/>
      <c r="J40" s="14" t="s">
        <v>431</v>
      </c>
      <c r="K40" s="14" t="s">
        <v>134</v>
      </c>
      <c r="L40" s="31" t="s">
        <v>439</v>
      </c>
    </row>
    <row r="41" spans="1:12" s="39" customFormat="1">
      <c r="A41" s="41"/>
      <c r="B41" s="41" t="s">
        <v>899</v>
      </c>
      <c r="C41" s="41" t="s">
        <v>245</v>
      </c>
      <c r="D41" s="42" t="s">
        <v>2533</v>
      </c>
      <c r="E41" s="41" t="s">
        <v>248</v>
      </c>
      <c r="F41" s="41"/>
      <c r="G41" s="42" t="s">
        <v>2011</v>
      </c>
      <c r="H41" s="41"/>
      <c r="I41" s="41"/>
      <c r="J41" s="41" t="s">
        <v>431</v>
      </c>
      <c r="K41" s="41" t="s">
        <v>134</v>
      </c>
      <c r="L41" s="46" t="s">
        <v>568</v>
      </c>
    </row>
    <row r="42" spans="1:12">
      <c r="A42" s="14"/>
      <c r="B42" s="14" t="s">
        <v>910</v>
      </c>
      <c r="C42" s="14" t="s">
        <v>245</v>
      </c>
      <c r="D42" s="12" t="s">
        <v>2487</v>
      </c>
      <c r="E42" s="14" t="s">
        <v>248</v>
      </c>
      <c r="F42" s="14"/>
      <c r="G42" s="12" t="s">
        <v>1334</v>
      </c>
      <c r="H42" s="14"/>
      <c r="I42" s="14"/>
      <c r="J42" s="14" t="s">
        <v>431</v>
      </c>
      <c r="K42" s="14" t="s">
        <v>134</v>
      </c>
      <c r="L42" s="31" t="s">
        <v>568</v>
      </c>
    </row>
    <row r="43" spans="1:12">
      <c r="A43" s="14"/>
      <c r="B43" s="14" t="s">
        <v>921</v>
      </c>
      <c r="C43" s="14" t="s">
        <v>245</v>
      </c>
      <c r="D43" s="12" t="s">
        <v>922</v>
      </c>
      <c r="E43" s="14" t="s">
        <v>248</v>
      </c>
      <c r="F43" s="14"/>
      <c r="G43" s="12" t="s">
        <v>1337</v>
      </c>
      <c r="H43" s="14"/>
      <c r="I43" s="14"/>
      <c r="J43" s="14" t="s">
        <v>431</v>
      </c>
      <c r="K43" s="14" t="s">
        <v>134</v>
      </c>
      <c r="L43" s="31" t="s">
        <v>568</v>
      </c>
    </row>
    <row r="44" spans="1:12">
      <c r="A44" s="14"/>
      <c r="B44" s="14" t="s">
        <v>933</v>
      </c>
      <c r="C44" s="14" t="s">
        <v>245</v>
      </c>
      <c r="D44" s="12" t="s">
        <v>934</v>
      </c>
      <c r="E44" s="14" t="s">
        <v>248</v>
      </c>
      <c r="F44" s="14"/>
      <c r="G44" s="12" t="s">
        <v>1619</v>
      </c>
      <c r="H44" s="14"/>
      <c r="I44" s="14"/>
      <c r="J44" s="14" t="s">
        <v>431</v>
      </c>
      <c r="K44" s="14" t="s">
        <v>134</v>
      </c>
      <c r="L44" s="31" t="s">
        <v>568</v>
      </c>
    </row>
    <row r="45" spans="1:12">
      <c r="A45" s="14"/>
      <c r="B45" s="14" t="s">
        <v>2297</v>
      </c>
      <c r="C45" s="14" t="s">
        <v>136</v>
      </c>
      <c r="D45" s="12" t="s">
        <v>2488</v>
      </c>
      <c r="E45" s="14" t="s">
        <v>248</v>
      </c>
      <c r="F45" s="14"/>
      <c r="G45" s="12" t="s">
        <v>1310</v>
      </c>
      <c r="H45" s="14"/>
      <c r="I45" s="14"/>
      <c r="J45" s="14" t="s">
        <v>431</v>
      </c>
      <c r="K45" s="14" t="s">
        <v>134</v>
      </c>
      <c r="L45" s="31" t="s">
        <v>439</v>
      </c>
    </row>
    <row r="46" spans="1:12">
      <c r="A46" s="14"/>
      <c r="B46" s="14" t="s">
        <v>826</v>
      </c>
      <c r="C46" s="14" t="s">
        <v>136</v>
      </c>
      <c r="D46" s="12" t="s">
        <v>2489</v>
      </c>
      <c r="E46" s="14" t="s">
        <v>248</v>
      </c>
      <c r="F46" s="14"/>
      <c r="G46" s="12" t="s">
        <v>1311</v>
      </c>
      <c r="H46" s="14"/>
      <c r="I46" s="14"/>
      <c r="J46" s="14" t="s">
        <v>431</v>
      </c>
      <c r="K46" s="14" t="s">
        <v>134</v>
      </c>
      <c r="L46" s="31" t="s">
        <v>439</v>
      </c>
    </row>
    <row r="47" spans="1:12">
      <c r="A47" s="14"/>
      <c r="B47" s="14" t="s">
        <v>829</v>
      </c>
      <c r="C47" s="14" t="s">
        <v>136</v>
      </c>
      <c r="D47" s="12" t="s">
        <v>2490</v>
      </c>
      <c r="E47" s="14" t="s">
        <v>248</v>
      </c>
      <c r="F47" s="14"/>
      <c r="G47" s="12" t="s">
        <v>1312</v>
      </c>
      <c r="H47" s="14"/>
      <c r="I47" s="14"/>
      <c r="J47" s="14" t="s">
        <v>431</v>
      </c>
      <c r="K47" s="14" t="s">
        <v>134</v>
      </c>
      <c r="L47" s="31" t="s">
        <v>439</v>
      </c>
    </row>
    <row r="48" spans="1:12">
      <c r="A48" s="14"/>
      <c r="B48" s="14" t="s">
        <v>832</v>
      </c>
      <c r="C48" s="14" t="s">
        <v>136</v>
      </c>
      <c r="D48" s="12" t="s">
        <v>551</v>
      </c>
      <c r="E48" s="14" t="s">
        <v>248</v>
      </c>
      <c r="F48" s="14"/>
      <c r="G48" s="12" t="s">
        <v>1313</v>
      </c>
      <c r="H48" s="14"/>
      <c r="I48" s="14"/>
      <c r="J48" s="14" t="s">
        <v>431</v>
      </c>
      <c r="K48" s="14" t="s">
        <v>134</v>
      </c>
      <c r="L48" s="31" t="s">
        <v>439</v>
      </c>
    </row>
    <row r="49" spans="1:12">
      <c r="A49" s="14"/>
      <c r="B49" s="14" t="s">
        <v>835</v>
      </c>
      <c r="C49" s="14" t="s">
        <v>136</v>
      </c>
      <c r="D49" s="12" t="s">
        <v>553</v>
      </c>
      <c r="E49" s="14" t="s">
        <v>248</v>
      </c>
      <c r="F49" s="14"/>
      <c r="G49" s="12" t="s">
        <v>1314</v>
      </c>
      <c r="H49" s="14"/>
      <c r="I49" s="14"/>
      <c r="J49" s="14" t="s">
        <v>431</v>
      </c>
      <c r="K49" s="14" t="s">
        <v>134</v>
      </c>
      <c r="L49" s="31" t="s">
        <v>439</v>
      </c>
    </row>
    <row r="50" spans="1:12">
      <c r="A50" s="14"/>
      <c r="B50" s="14" t="s">
        <v>2535</v>
      </c>
      <c r="C50" s="14" t="s">
        <v>136</v>
      </c>
      <c r="D50" s="12" t="s">
        <v>2491</v>
      </c>
      <c r="E50" s="14" t="s">
        <v>248</v>
      </c>
      <c r="F50" s="14"/>
      <c r="G50" s="12" t="s">
        <v>1315</v>
      </c>
      <c r="H50" s="14"/>
      <c r="I50" s="14"/>
      <c r="J50" s="14" t="s">
        <v>431</v>
      </c>
      <c r="K50" s="14" t="s">
        <v>134</v>
      </c>
      <c r="L50" s="31" t="s">
        <v>439</v>
      </c>
    </row>
    <row r="51" spans="1:12">
      <c r="A51" s="14"/>
      <c r="B51" s="14" t="s">
        <v>2536</v>
      </c>
      <c r="C51" s="14" t="s">
        <v>136</v>
      </c>
      <c r="D51" s="12" t="s">
        <v>2492</v>
      </c>
      <c r="E51" s="14" t="s">
        <v>248</v>
      </c>
      <c r="F51" s="14"/>
      <c r="G51" s="12" t="s">
        <v>1316</v>
      </c>
      <c r="H51" s="14"/>
      <c r="I51" s="14"/>
      <c r="J51" s="14" t="s">
        <v>431</v>
      </c>
      <c r="K51" s="14" t="s">
        <v>134</v>
      </c>
      <c r="L51" s="31" t="s">
        <v>439</v>
      </c>
    </row>
    <row r="52" spans="1:12">
      <c r="A52" s="14"/>
      <c r="B52" s="14" t="s">
        <v>2537</v>
      </c>
      <c r="C52" s="14" t="s">
        <v>136</v>
      </c>
      <c r="D52" s="12" t="s">
        <v>2493</v>
      </c>
      <c r="E52" s="14" t="s">
        <v>248</v>
      </c>
      <c r="F52" s="14"/>
      <c r="G52" s="12" t="s">
        <v>1317</v>
      </c>
      <c r="H52" s="14"/>
      <c r="I52" s="14"/>
      <c r="J52" s="14" t="s">
        <v>431</v>
      </c>
      <c r="K52" s="14" t="s">
        <v>134</v>
      </c>
      <c r="L52" s="31" t="s">
        <v>439</v>
      </c>
    </row>
    <row r="53" spans="1:12">
      <c r="A53" s="14"/>
      <c r="B53" s="14" t="s">
        <v>2538</v>
      </c>
      <c r="C53" s="14" t="s">
        <v>136</v>
      </c>
      <c r="D53" s="12" t="s">
        <v>2494</v>
      </c>
      <c r="E53" s="14" t="s">
        <v>248</v>
      </c>
      <c r="F53" s="14"/>
      <c r="G53" s="12" t="s">
        <v>1322</v>
      </c>
      <c r="H53" s="14"/>
      <c r="I53" s="14"/>
      <c r="J53" s="14" t="s">
        <v>431</v>
      </c>
      <c r="K53" s="14" t="s">
        <v>134</v>
      </c>
      <c r="L53" s="31" t="s">
        <v>439</v>
      </c>
    </row>
    <row r="54" spans="1:12">
      <c r="A54" s="14"/>
      <c r="B54" s="14" t="s">
        <v>857</v>
      </c>
      <c r="C54" s="14" t="s">
        <v>136</v>
      </c>
      <c r="D54" s="12" t="s">
        <v>2495</v>
      </c>
      <c r="E54" s="14" t="s">
        <v>248</v>
      </c>
      <c r="F54" s="14"/>
      <c r="G54" s="12" t="s">
        <v>1323</v>
      </c>
      <c r="H54" s="14"/>
      <c r="I54" s="14"/>
      <c r="J54" s="14" t="s">
        <v>431</v>
      </c>
      <c r="K54" s="14" t="s">
        <v>134</v>
      </c>
      <c r="L54" s="31" t="s">
        <v>568</v>
      </c>
    </row>
    <row r="55" spans="1:12">
      <c r="A55" s="14"/>
      <c r="B55" s="14" t="s">
        <v>860</v>
      </c>
      <c r="C55" s="14" t="s">
        <v>136</v>
      </c>
      <c r="D55" s="12" t="s">
        <v>2496</v>
      </c>
      <c r="E55" s="14" t="s">
        <v>248</v>
      </c>
      <c r="F55" s="14"/>
      <c r="G55" s="12" t="s">
        <v>1324</v>
      </c>
      <c r="H55" s="14"/>
      <c r="I55" s="14"/>
      <c r="J55" s="14" t="s">
        <v>431</v>
      </c>
      <c r="K55" s="14" t="s">
        <v>134</v>
      </c>
      <c r="L55" s="31" t="s">
        <v>439</v>
      </c>
    </row>
    <row r="56" spans="1:12">
      <c r="A56" s="14"/>
      <c r="B56" s="14" t="s">
        <v>863</v>
      </c>
      <c r="C56" s="14" t="s">
        <v>136</v>
      </c>
      <c r="D56" s="12" t="s">
        <v>2497</v>
      </c>
      <c r="E56" s="14" t="s">
        <v>248</v>
      </c>
      <c r="F56" s="14"/>
      <c r="G56" s="12" t="s">
        <v>1325</v>
      </c>
      <c r="H56" s="14"/>
      <c r="I56" s="14"/>
      <c r="J56" s="14" t="s">
        <v>431</v>
      </c>
      <c r="K56" s="14" t="s">
        <v>134</v>
      </c>
      <c r="L56" s="31" t="s">
        <v>439</v>
      </c>
    </row>
    <row r="57" spans="1:12">
      <c r="A57" s="14"/>
      <c r="B57" s="14" t="s">
        <v>866</v>
      </c>
      <c r="C57" s="14" t="s">
        <v>136</v>
      </c>
      <c r="D57" s="12" t="s">
        <v>2498</v>
      </c>
      <c r="E57" s="14" t="s">
        <v>248</v>
      </c>
      <c r="F57" s="14"/>
      <c r="G57" s="12" t="s">
        <v>1326</v>
      </c>
      <c r="H57" s="14"/>
      <c r="I57" s="14"/>
      <c r="J57" s="14" t="s">
        <v>431</v>
      </c>
      <c r="K57" s="14" t="s">
        <v>134</v>
      </c>
      <c r="L57" s="31" t="s">
        <v>439</v>
      </c>
    </row>
    <row r="58" spans="1:12">
      <c r="A58" s="14"/>
      <c r="B58" s="14" t="s">
        <v>2539</v>
      </c>
      <c r="C58" s="14" t="s">
        <v>136</v>
      </c>
      <c r="D58" s="12" t="s">
        <v>2499</v>
      </c>
      <c r="E58" s="14" t="s">
        <v>248</v>
      </c>
      <c r="F58" s="14"/>
      <c r="G58" s="12" t="s">
        <v>1327</v>
      </c>
      <c r="H58" s="14"/>
      <c r="I58" s="14"/>
      <c r="J58" s="14" t="s">
        <v>431</v>
      </c>
      <c r="K58" s="14" t="s">
        <v>134</v>
      </c>
      <c r="L58" s="31" t="s">
        <v>439</v>
      </c>
    </row>
    <row r="59" spans="1:12">
      <c r="A59" s="14"/>
      <c r="B59" s="14" t="s">
        <v>2540</v>
      </c>
      <c r="C59" s="14" t="s">
        <v>136</v>
      </c>
      <c r="D59" s="12" t="s">
        <v>2500</v>
      </c>
      <c r="E59" s="14" t="s">
        <v>248</v>
      </c>
      <c r="F59" s="14"/>
      <c r="G59" s="12" t="s">
        <v>1328</v>
      </c>
      <c r="H59" s="14"/>
      <c r="I59" s="14"/>
      <c r="J59" s="14" t="s">
        <v>431</v>
      </c>
      <c r="K59" s="14" t="s">
        <v>134</v>
      </c>
      <c r="L59" s="31" t="s">
        <v>439</v>
      </c>
    </row>
    <row r="60" spans="1:12" s="1" customFormat="1">
      <c r="A60" s="25"/>
      <c r="B60" s="26" t="s">
        <v>875</v>
      </c>
      <c r="C60" s="27" t="s">
        <v>136</v>
      </c>
      <c r="D60" s="20" t="s">
        <v>2501</v>
      </c>
      <c r="E60" s="14" t="s">
        <v>248</v>
      </c>
      <c r="F60" s="14"/>
      <c r="G60" s="12" t="s">
        <v>1329</v>
      </c>
      <c r="H60" s="14"/>
      <c r="I60" s="33"/>
      <c r="J60" s="14" t="s">
        <v>431</v>
      </c>
      <c r="K60" s="14" t="s">
        <v>134</v>
      </c>
      <c r="L60" s="34" t="s">
        <v>439</v>
      </c>
    </row>
    <row r="61" spans="1:12" s="1" customFormat="1">
      <c r="A61" s="25"/>
      <c r="B61" s="26" t="s">
        <v>948</v>
      </c>
      <c r="C61" s="27" t="s">
        <v>136</v>
      </c>
      <c r="D61" s="20" t="s">
        <v>576</v>
      </c>
      <c r="E61" s="14" t="s">
        <v>248</v>
      </c>
      <c r="F61" s="14"/>
      <c r="G61" s="12" t="s">
        <v>1344</v>
      </c>
      <c r="H61" s="14"/>
      <c r="I61" s="33"/>
      <c r="J61" s="14" t="s">
        <v>431</v>
      </c>
      <c r="K61" s="14" t="s">
        <v>134</v>
      </c>
      <c r="L61" s="34" t="s">
        <v>439</v>
      </c>
    </row>
    <row r="62" spans="1:12" s="1" customFormat="1">
      <c r="A62" s="25"/>
      <c r="B62" s="26" t="s">
        <v>951</v>
      </c>
      <c r="C62" s="27" t="s">
        <v>136</v>
      </c>
      <c r="D62" s="20" t="s">
        <v>2502</v>
      </c>
      <c r="E62" s="14" t="s">
        <v>248</v>
      </c>
      <c r="F62" s="14"/>
      <c r="G62" s="12" t="s">
        <v>1345</v>
      </c>
      <c r="H62" s="14"/>
      <c r="I62" s="33"/>
      <c r="J62" s="14" t="s">
        <v>431</v>
      </c>
      <c r="K62" s="14" t="s">
        <v>134</v>
      </c>
      <c r="L62" s="34" t="s">
        <v>439</v>
      </c>
    </row>
    <row r="63" spans="1:12" s="1" customFormat="1">
      <c r="A63" s="25"/>
      <c r="B63" s="26" t="s">
        <v>954</v>
      </c>
      <c r="C63" s="27" t="s">
        <v>136</v>
      </c>
      <c r="D63" s="20" t="s">
        <v>2503</v>
      </c>
      <c r="E63" s="14" t="s">
        <v>248</v>
      </c>
      <c r="F63" s="14"/>
      <c r="G63" s="12" t="s">
        <v>1346</v>
      </c>
      <c r="H63" s="14"/>
      <c r="I63" s="33"/>
      <c r="J63" s="14" t="s">
        <v>431</v>
      </c>
      <c r="K63" s="14" t="s">
        <v>134</v>
      </c>
      <c r="L63" s="31" t="s">
        <v>439</v>
      </c>
    </row>
    <row r="64" spans="1:12" s="1" customFormat="1">
      <c r="A64" s="25"/>
      <c r="B64" s="26" t="s">
        <v>956</v>
      </c>
      <c r="C64" s="27" t="s">
        <v>136</v>
      </c>
      <c r="D64" s="20" t="s">
        <v>2504</v>
      </c>
      <c r="E64" s="14" t="s">
        <v>248</v>
      </c>
      <c r="F64" s="14"/>
      <c r="G64" s="12" t="s">
        <v>1347</v>
      </c>
      <c r="H64" s="14"/>
      <c r="I64" s="33"/>
      <c r="J64" s="14" t="s">
        <v>431</v>
      </c>
      <c r="K64" s="14" t="s">
        <v>134</v>
      </c>
      <c r="L64" s="31" t="s">
        <v>439</v>
      </c>
    </row>
    <row r="65" spans="1:12" s="1" customFormat="1">
      <c r="A65" s="25"/>
      <c r="B65" s="26" t="s">
        <v>958</v>
      </c>
      <c r="C65" s="27" t="s">
        <v>136</v>
      </c>
      <c r="D65" s="20" t="s">
        <v>2505</v>
      </c>
      <c r="E65" s="14" t="s">
        <v>248</v>
      </c>
      <c r="F65" s="14"/>
      <c r="G65" s="12" t="s">
        <v>1348</v>
      </c>
      <c r="H65" s="14"/>
      <c r="I65" s="33"/>
      <c r="J65" s="14" t="s">
        <v>431</v>
      </c>
      <c r="K65" s="14" t="s">
        <v>134</v>
      </c>
      <c r="L65" s="31" t="s">
        <v>439</v>
      </c>
    </row>
    <row r="66" spans="1:12" s="1" customFormat="1">
      <c r="A66" s="25"/>
      <c r="B66" s="26" t="s">
        <v>960</v>
      </c>
      <c r="C66" s="27" t="s">
        <v>136</v>
      </c>
      <c r="D66" s="20" t="s">
        <v>2506</v>
      </c>
      <c r="E66" s="14" t="s">
        <v>248</v>
      </c>
      <c r="F66" s="14"/>
      <c r="G66" s="12" t="s">
        <v>1349</v>
      </c>
      <c r="H66" s="14"/>
      <c r="I66" s="33"/>
      <c r="J66" s="14" t="s">
        <v>431</v>
      </c>
      <c r="K66" s="14" t="s">
        <v>134</v>
      </c>
      <c r="L66" s="31" t="s">
        <v>439</v>
      </c>
    </row>
    <row r="67" spans="1:12" s="1" customFormat="1">
      <c r="A67" s="25"/>
      <c r="B67" s="26" t="s">
        <v>962</v>
      </c>
      <c r="C67" s="27" t="s">
        <v>136</v>
      </c>
      <c r="D67" s="20" t="s">
        <v>2507</v>
      </c>
      <c r="E67" s="14" t="s">
        <v>248</v>
      </c>
      <c r="F67" s="14"/>
      <c r="G67" s="12" t="s">
        <v>1350</v>
      </c>
      <c r="H67" s="14"/>
      <c r="I67" s="33"/>
      <c r="J67" s="14" t="s">
        <v>431</v>
      </c>
      <c r="K67" s="14" t="s">
        <v>134</v>
      </c>
      <c r="L67" s="31" t="s">
        <v>439</v>
      </c>
    </row>
    <row r="68" spans="1:12" s="1" customFormat="1">
      <c r="A68" s="25"/>
      <c r="B68" s="26" t="s">
        <v>964</v>
      </c>
      <c r="C68" s="27" t="s">
        <v>136</v>
      </c>
      <c r="D68" s="20" t="s">
        <v>2518</v>
      </c>
      <c r="E68" s="14" t="s">
        <v>248</v>
      </c>
      <c r="F68" s="14"/>
      <c r="G68" s="12" t="s">
        <v>1351</v>
      </c>
      <c r="H68" s="14"/>
      <c r="I68" s="33"/>
      <c r="J68" s="14" t="s">
        <v>431</v>
      </c>
      <c r="K68" s="14" t="s">
        <v>134</v>
      </c>
      <c r="L68" s="31" t="s">
        <v>439</v>
      </c>
    </row>
    <row r="69" spans="1:12" s="1" customFormat="1">
      <c r="A69" s="25"/>
      <c r="B69" s="26" t="s">
        <v>983</v>
      </c>
      <c r="C69" s="27" t="s">
        <v>136</v>
      </c>
      <c r="D69" s="20" t="s">
        <v>612</v>
      </c>
      <c r="E69" s="14" t="s">
        <v>248</v>
      </c>
      <c r="F69" s="14"/>
      <c r="G69" s="12" t="s">
        <v>1352</v>
      </c>
      <c r="H69" s="14"/>
      <c r="I69" s="33"/>
      <c r="J69" s="14" t="s">
        <v>431</v>
      </c>
      <c r="K69" s="14" t="s">
        <v>134</v>
      </c>
      <c r="L69" s="31" t="s">
        <v>439</v>
      </c>
    </row>
    <row r="70" spans="1:12" s="1" customFormat="1">
      <c r="A70" s="25"/>
      <c r="B70" s="26" t="s">
        <v>984</v>
      </c>
      <c r="C70" s="27" t="s">
        <v>136</v>
      </c>
      <c r="D70" s="20" t="s">
        <v>2508</v>
      </c>
      <c r="E70" s="14" t="s">
        <v>248</v>
      </c>
      <c r="F70" s="14"/>
      <c r="G70" s="12" t="s">
        <v>1353</v>
      </c>
      <c r="H70" s="14"/>
      <c r="I70" s="33"/>
      <c r="J70" s="14" t="s">
        <v>431</v>
      </c>
      <c r="K70" s="14" t="s">
        <v>134</v>
      </c>
      <c r="L70" s="31" t="s">
        <v>439</v>
      </c>
    </row>
    <row r="71" spans="1:12" s="1" customFormat="1">
      <c r="A71" s="25"/>
      <c r="B71" s="26" t="s">
        <v>985</v>
      </c>
      <c r="C71" s="27" t="s">
        <v>136</v>
      </c>
      <c r="D71" s="20" t="s">
        <v>619</v>
      </c>
      <c r="E71" s="14" t="s">
        <v>248</v>
      </c>
      <c r="F71" s="14"/>
      <c r="G71" s="12" t="s">
        <v>1354</v>
      </c>
      <c r="H71" s="14"/>
      <c r="I71" s="33"/>
      <c r="J71" s="14" t="s">
        <v>431</v>
      </c>
      <c r="K71" s="14" t="s">
        <v>134</v>
      </c>
      <c r="L71" s="31" t="s">
        <v>439</v>
      </c>
    </row>
    <row r="72" spans="1:12" s="1" customFormat="1">
      <c r="A72" s="25"/>
      <c r="B72" s="26" t="s">
        <v>986</v>
      </c>
      <c r="C72" s="27" t="s">
        <v>136</v>
      </c>
      <c r="D72" s="20" t="s">
        <v>621</v>
      </c>
      <c r="E72" s="14" t="s">
        <v>248</v>
      </c>
      <c r="F72" s="14"/>
      <c r="G72" s="12" t="s">
        <v>1355</v>
      </c>
      <c r="H72" s="14"/>
      <c r="I72" s="33"/>
      <c r="J72" s="14" t="s">
        <v>431</v>
      </c>
      <c r="K72" s="14" t="s">
        <v>134</v>
      </c>
      <c r="L72" s="31" t="s">
        <v>439</v>
      </c>
    </row>
    <row r="73" spans="1:12" s="1" customFormat="1">
      <c r="A73" s="25"/>
      <c r="B73" s="26" t="s">
        <v>987</v>
      </c>
      <c r="C73" s="27" t="s">
        <v>136</v>
      </c>
      <c r="D73" s="20" t="s">
        <v>623</v>
      </c>
      <c r="E73" s="14" t="s">
        <v>248</v>
      </c>
      <c r="F73" s="14"/>
      <c r="G73" s="12" t="s">
        <v>1356</v>
      </c>
      <c r="H73" s="14"/>
      <c r="I73" s="33"/>
      <c r="J73" s="14" t="s">
        <v>431</v>
      </c>
      <c r="K73" s="14" t="s">
        <v>134</v>
      </c>
      <c r="L73" s="31" t="s">
        <v>439</v>
      </c>
    </row>
    <row r="74" spans="1:12" s="1" customFormat="1">
      <c r="A74" s="25"/>
      <c r="B74" s="26" t="s">
        <v>988</v>
      </c>
      <c r="C74" s="27" t="s">
        <v>136</v>
      </c>
      <c r="D74" s="20" t="s">
        <v>625</v>
      </c>
      <c r="E74" s="14" t="s">
        <v>248</v>
      </c>
      <c r="F74" s="14"/>
      <c r="G74" s="12" t="s">
        <v>1357</v>
      </c>
      <c r="H74" s="14"/>
      <c r="I74" s="33"/>
      <c r="J74" s="14" t="s">
        <v>431</v>
      </c>
      <c r="K74" s="14" t="s">
        <v>134</v>
      </c>
      <c r="L74" s="31" t="s">
        <v>439</v>
      </c>
    </row>
    <row r="75" spans="1:12" s="1" customFormat="1">
      <c r="A75" s="25"/>
      <c r="B75" s="26" t="s">
        <v>989</v>
      </c>
      <c r="C75" s="27" t="s">
        <v>136</v>
      </c>
      <c r="D75" s="20" t="s">
        <v>627</v>
      </c>
      <c r="E75" s="14" t="s">
        <v>248</v>
      </c>
      <c r="F75" s="14"/>
      <c r="G75" s="12" t="s">
        <v>1358</v>
      </c>
      <c r="H75" s="14"/>
      <c r="I75" s="33"/>
      <c r="J75" s="14" t="s">
        <v>431</v>
      </c>
      <c r="K75" s="14" t="s">
        <v>134</v>
      </c>
      <c r="L75" s="31" t="s">
        <v>439</v>
      </c>
    </row>
    <row r="76" spans="1:12" s="1" customFormat="1">
      <c r="A76" s="25"/>
      <c r="B76" s="26" t="s">
        <v>990</v>
      </c>
      <c r="C76" s="27" t="s">
        <v>136</v>
      </c>
      <c r="D76" s="20" t="s">
        <v>2509</v>
      </c>
      <c r="E76" s="14" t="s">
        <v>248</v>
      </c>
      <c r="F76" s="14"/>
      <c r="G76" s="12" t="s">
        <v>1359</v>
      </c>
      <c r="H76" s="14"/>
      <c r="I76" s="33"/>
      <c r="J76" s="14" t="s">
        <v>431</v>
      </c>
      <c r="K76" s="14" t="s">
        <v>134</v>
      </c>
      <c r="L76" s="31" t="s">
        <v>439</v>
      </c>
    </row>
    <row r="77" spans="1:12" s="1" customFormat="1">
      <c r="A77" s="25"/>
      <c r="B77" s="26" t="s">
        <v>1007</v>
      </c>
      <c r="C77" s="27" t="s">
        <v>136</v>
      </c>
      <c r="D77" s="20" t="s">
        <v>1008</v>
      </c>
      <c r="E77" s="14" t="s">
        <v>248</v>
      </c>
      <c r="F77" s="14"/>
      <c r="G77" s="12" t="s">
        <v>2519</v>
      </c>
      <c r="H77" s="14"/>
      <c r="I77" s="33"/>
      <c r="J77" s="14" t="s">
        <v>431</v>
      </c>
      <c r="K77" s="14" t="s">
        <v>134</v>
      </c>
      <c r="L77" s="31" t="s">
        <v>439</v>
      </c>
    </row>
    <row r="78" spans="1:12" s="1" customFormat="1">
      <c r="A78" s="25"/>
      <c r="B78" s="26" t="s">
        <v>1009</v>
      </c>
      <c r="C78" s="27" t="s">
        <v>136</v>
      </c>
      <c r="D78" s="20" t="s">
        <v>2510</v>
      </c>
      <c r="E78" s="14" t="s">
        <v>248</v>
      </c>
      <c r="F78" s="14"/>
      <c r="G78" s="12" t="s">
        <v>2520</v>
      </c>
      <c r="H78" s="14"/>
      <c r="I78" s="33"/>
      <c r="J78" s="14" t="s">
        <v>431</v>
      </c>
      <c r="K78" s="14" t="s">
        <v>134</v>
      </c>
      <c r="L78" s="31" t="s">
        <v>439</v>
      </c>
    </row>
    <row r="79" spans="1:12" s="1" customFormat="1">
      <c r="A79" s="25"/>
      <c r="B79" s="26" t="s">
        <v>1011</v>
      </c>
      <c r="C79" s="27" t="s">
        <v>136</v>
      </c>
      <c r="D79" s="20" t="s">
        <v>2511</v>
      </c>
      <c r="E79" s="14" t="s">
        <v>248</v>
      </c>
      <c r="F79" s="14"/>
      <c r="G79" s="12" t="s">
        <v>2521</v>
      </c>
      <c r="H79" s="14"/>
      <c r="I79" s="33"/>
      <c r="J79" s="14" t="s">
        <v>431</v>
      </c>
      <c r="K79" s="14" t="s">
        <v>134</v>
      </c>
      <c r="L79" s="31" t="s">
        <v>439</v>
      </c>
    </row>
    <row r="80" spans="1:12" s="1" customFormat="1">
      <c r="A80" s="25"/>
      <c r="B80" s="26" t="s">
        <v>1013</v>
      </c>
      <c r="C80" s="27" t="s">
        <v>136</v>
      </c>
      <c r="D80" s="20" t="s">
        <v>2512</v>
      </c>
      <c r="E80" s="14" t="s">
        <v>248</v>
      </c>
      <c r="F80" s="14"/>
      <c r="G80" s="12" t="s">
        <v>2522</v>
      </c>
      <c r="H80" s="14"/>
      <c r="I80" s="33"/>
      <c r="J80" s="14" t="s">
        <v>431</v>
      </c>
      <c r="K80" s="14" t="s">
        <v>134</v>
      </c>
      <c r="L80" s="31" t="s">
        <v>439</v>
      </c>
    </row>
    <row r="81" spans="1:12" s="1" customFormat="1">
      <c r="A81" s="25"/>
      <c r="B81" s="26" t="s">
        <v>1015</v>
      </c>
      <c r="C81" s="27" t="s">
        <v>136</v>
      </c>
      <c r="D81" s="20" t="s">
        <v>2513</v>
      </c>
      <c r="E81" s="14" t="s">
        <v>248</v>
      </c>
      <c r="F81" s="14"/>
      <c r="G81" s="12" t="s">
        <v>2523</v>
      </c>
      <c r="H81" s="14"/>
      <c r="I81" s="33"/>
      <c r="J81" s="14" t="s">
        <v>431</v>
      </c>
      <c r="K81" s="14" t="s">
        <v>134</v>
      </c>
      <c r="L81" s="31" t="s">
        <v>439</v>
      </c>
    </row>
    <row r="82" spans="1:12" s="1" customFormat="1">
      <c r="A82" s="25"/>
      <c r="B82" s="26" t="s">
        <v>1017</v>
      </c>
      <c r="C82" s="27" t="s">
        <v>136</v>
      </c>
      <c r="D82" s="20" t="s">
        <v>2514</v>
      </c>
      <c r="E82" s="14" t="s">
        <v>248</v>
      </c>
      <c r="F82" s="14"/>
      <c r="G82" s="12" t="s">
        <v>2524</v>
      </c>
      <c r="H82" s="14"/>
      <c r="I82" s="33"/>
      <c r="J82" s="14" t="s">
        <v>431</v>
      </c>
      <c r="K82" s="14" t="s">
        <v>134</v>
      </c>
      <c r="L82" s="31" t="s">
        <v>439</v>
      </c>
    </row>
    <row r="83" spans="1:12" s="1" customFormat="1">
      <c r="A83" s="25"/>
      <c r="B83" s="26" t="s">
        <v>1019</v>
      </c>
      <c r="C83" s="27" t="s">
        <v>136</v>
      </c>
      <c r="D83" s="20" t="s">
        <v>2515</v>
      </c>
      <c r="E83" s="14" t="s">
        <v>248</v>
      </c>
      <c r="F83" s="14"/>
      <c r="G83" s="12" t="s">
        <v>2525</v>
      </c>
      <c r="H83" s="14"/>
      <c r="I83" s="33"/>
      <c r="J83" s="14" t="s">
        <v>431</v>
      </c>
      <c r="K83" s="14" t="s">
        <v>134</v>
      </c>
      <c r="L83" s="31" t="s">
        <v>439</v>
      </c>
    </row>
    <row r="84" spans="1:12" s="1" customFormat="1">
      <c r="A84" s="25"/>
      <c r="B84" s="26" t="s">
        <v>1021</v>
      </c>
      <c r="C84" s="27" t="s">
        <v>136</v>
      </c>
      <c r="D84" s="20" t="s">
        <v>2516</v>
      </c>
      <c r="E84" s="14" t="s">
        <v>248</v>
      </c>
      <c r="F84" s="14"/>
      <c r="G84" s="12" t="s">
        <v>2526</v>
      </c>
      <c r="H84" s="14"/>
      <c r="I84" s="33"/>
      <c r="J84" s="14" t="s">
        <v>431</v>
      </c>
      <c r="K84" s="14" t="s">
        <v>134</v>
      </c>
      <c r="L84" s="31" t="s">
        <v>439</v>
      </c>
    </row>
    <row r="85" spans="1:12" s="1" customFormat="1">
      <c r="A85" s="25"/>
      <c r="B85" s="26" t="s">
        <v>1023</v>
      </c>
      <c r="C85" s="27" t="s">
        <v>136</v>
      </c>
      <c r="D85" s="20" t="s">
        <v>666</v>
      </c>
      <c r="E85" s="14" t="s">
        <v>248</v>
      </c>
      <c r="F85" s="14"/>
      <c r="G85" s="12" t="s">
        <v>1360</v>
      </c>
      <c r="H85" s="14"/>
      <c r="I85" s="33"/>
      <c r="J85" s="14" t="s">
        <v>431</v>
      </c>
      <c r="K85" s="14" t="s">
        <v>134</v>
      </c>
      <c r="L85" s="31" t="s">
        <v>439</v>
      </c>
    </row>
    <row r="86" spans="1:12" s="1" customFormat="1">
      <c r="A86" s="25"/>
      <c r="B86" s="26" t="s">
        <v>1026</v>
      </c>
      <c r="C86" s="27" t="s">
        <v>136</v>
      </c>
      <c r="D86" s="20" t="s">
        <v>744</v>
      </c>
      <c r="E86" s="14" t="s">
        <v>248</v>
      </c>
      <c r="F86" s="14"/>
      <c r="G86" s="12" t="s">
        <v>1361</v>
      </c>
      <c r="H86" s="14"/>
      <c r="I86" s="33"/>
      <c r="J86" s="14" t="s">
        <v>431</v>
      </c>
      <c r="K86" s="14" t="s">
        <v>134</v>
      </c>
      <c r="L86" s="31" t="s">
        <v>439</v>
      </c>
    </row>
    <row r="87" spans="1:12" s="1" customFormat="1">
      <c r="A87" s="25"/>
      <c r="B87" s="26" t="s">
        <v>1029</v>
      </c>
      <c r="C87" s="27" t="s">
        <v>136</v>
      </c>
      <c r="D87" s="20" t="s">
        <v>747</v>
      </c>
      <c r="E87" s="14" t="s">
        <v>248</v>
      </c>
      <c r="F87" s="14"/>
      <c r="G87" s="12" t="s">
        <v>1362</v>
      </c>
      <c r="H87" s="14"/>
      <c r="I87" s="33"/>
      <c r="J87" s="14" t="s">
        <v>431</v>
      </c>
      <c r="K87" s="14" t="s">
        <v>134</v>
      </c>
      <c r="L87" s="31" t="s">
        <v>439</v>
      </c>
    </row>
    <row r="88" spans="1:12" s="1" customFormat="1">
      <c r="A88" s="25"/>
      <c r="B88" s="26" t="s">
        <v>1032</v>
      </c>
      <c r="C88" s="27" t="s">
        <v>136</v>
      </c>
      <c r="D88" s="20" t="s">
        <v>750</v>
      </c>
      <c r="E88" s="14" t="s">
        <v>248</v>
      </c>
      <c r="F88" s="14"/>
      <c r="G88" s="12" t="s">
        <v>1363</v>
      </c>
      <c r="H88" s="14"/>
      <c r="I88" s="33"/>
      <c r="J88" s="14" t="s">
        <v>431</v>
      </c>
      <c r="K88" s="14" t="s">
        <v>134</v>
      </c>
      <c r="L88" s="31" t="s">
        <v>439</v>
      </c>
    </row>
    <row r="89" spans="1:12" s="1" customFormat="1">
      <c r="A89" s="25"/>
      <c r="B89" s="26" t="s">
        <v>1035</v>
      </c>
      <c r="C89" s="27" t="s">
        <v>136</v>
      </c>
      <c r="D89" s="20" t="s">
        <v>753</v>
      </c>
      <c r="E89" s="14" t="s">
        <v>248</v>
      </c>
      <c r="F89" s="14"/>
      <c r="G89" s="12" t="s">
        <v>1364</v>
      </c>
      <c r="H89" s="14"/>
      <c r="I89" s="33"/>
      <c r="J89" s="14" t="s">
        <v>431</v>
      </c>
      <c r="K89" s="14" t="s">
        <v>134</v>
      </c>
      <c r="L89" s="31" t="s">
        <v>439</v>
      </c>
    </row>
    <row r="90" spans="1:12" s="1" customFormat="1">
      <c r="A90" s="25"/>
      <c r="B90" s="26" t="s">
        <v>1038</v>
      </c>
      <c r="C90" s="27" t="s">
        <v>136</v>
      </c>
      <c r="D90" s="20" t="s">
        <v>756</v>
      </c>
      <c r="E90" s="14" t="s">
        <v>248</v>
      </c>
      <c r="F90" s="14"/>
      <c r="G90" s="12" t="s">
        <v>1365</v>
      </c>
      <c r="H90" s="14"/>
      <c r="I90" s="33"/>
      <c r="J90" s="14" t="s">
        <v>431</v>
      </c>
      <c r="K90" s="14" t="s">
        <v>134</v>
      </c>
      <c r="L90" s="31" t="s">
        <v>439</v>
      </c>
    </row>
    <row r="91" spans="1:12" s="1" customFormat="1">
      <c r="A91" s="25"/>
      <c r="B91" s="26" t="s">
        <v>1041</v>
      </c>
      <c r="C91" s="27" t="s">
        <v>136</v>
      </c>
      <c r="D91" s="20" t="s">
        <v>759</v>
      </c>
      <c r="E91" s="14" t="s">
        <v>248</v>
      </c>
      <c r="F91" s="14"/>
      <c r="G91" s="12" t="s">
        <v>1366</v>
      </c>
      <c r="H91" s="14"/>
      <c r="I91" s="33"/>
      <c r="J91" s="14" t="s">
        <v>431</v>
      </c>
      <c r="K91" s="14" t="s">
        <v>134</v>
      </c>
      <c r="L91" s="31" t="s">
        <v>439</v>
      </c>
    </row>
    <row r="92" spans="1:12" s="1" customFormat="1">
      <c r="A92" s="25"/>
      <c r="B92" s="26" t="s">
        <v>1044</v>
      </c>
      <c r="C92" s="27" t="s">
        <v>136</v>
      </c>
      <c r="D92" s="20" t="s">
        <v>2517</v>
      </c>
      <c r="E92" s="14" t="s">
        <v>248</v>
      </c>
      <c r="F92" s="14"/>
      <c r="G92" s="12" t="s">
        <v>1367</v>
      </c>
      <c r="H92" s="14"/>
      <c r="I92" s="33"/>
      <c r="J92" s="14" t="s">
        <v>431</v>
      </c>
      <c r="K92" s="14" t="s">
        <v>134</v>
      </c>
      <c r="L92" s="31" t="s">
        <v>439</v>
      </c>
    </row>
    <row r="93" spans="1:12" s="4" customFormat="1">
      <c r="A93" s="36"/>
      <c r="B93" s="36" t="s">
        <v>233</v>
      </c>
      <c r="C93" s="36" t="s">
        <v>139</v>
      </c>
      <c r="D93" s="37" t="s">
        <v>234</v>
      </c>
      <c r="E93" s="36"/>
      <c r="F93" s="36"/>
      <c r="G93" s="36"/>
      <c r="H93" s="36"/>
      <c r="I93" s="36"/>
      <c r="J93" s="36"/>
      <c r="K93" s="36"/>
      <c r="L93" s="38"/>
    </row>
    <row r="94" spans="1:12" s="4" customFormat="1">
      <c r="A94" s="36"/>
      <c r="B94" s="36" t="s">
        <v>235</v>
      </c>
      <c r="C94" s="36" t="s">
        <v>132</v>
      </c>
      <c r="D94" s="37" t="s">
        <v>1548</v>
      </c>
      <c r="E94" s="36"/>
      <c r="F94" s="36"/>
      <c r="G94" s="36"/>
      <c r="H94" s="36"/>
      <c r="I94" s="36"/>
      <c r="J94" s="36"/>
      <c r="K94" s="36"/>
      <c r="L94" s="38"/>
    </row>
    <row r="95" spans="1:12" s="4" customFormat="1">
      <c r="A95" s="36"/>
      <c r="B95" s="36" t="s">
        <v>237</v>
      </c>
      <c r="C95" s="36" t="s">
        <v>139</v>
      </c>
      <c r="D95" s="37" t="s">
        <v>238</v>
      </c>
      <c r="E95" s="36"/>
      <c r="F95" s="36"/>
      <c r="G95" s="36"/>
      <c r="H95" s="36"/>
      <c r="I95" s="36"/>
      <c r="J95" s="36"/>
      <c r="K95" s="36"/>
      <c r="L95" s="38"/>
    </row>
  </sheetData>
  <autoFilter ref="A14:Q95" xr:uid="{00000000-0009-0000-0000-000015000000}">
    <sortState xmlns:xlrd2="http://schemas.microsoft.com/office/spreadsheetml/2017/richdata2" ref="A14:Q95">
      <sortCondition ref="A14"/>
    </sortState>
  </autoFilter>
  <mergeCells count="4">
    <mergeCell ref="B2:H2"/>
    <mergeCell ref="B3:H3"/>
    <mergeCell ref="B7:H7"/>
    <mergeCell ref="B13:L13"/>
  </mergeCells>
  <phoneticPr fontId="1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41</vt:i4>
      </vt:variant>
    </vt:vector>
  </HeadingPairs>
  <TitlesOfParts>
    <vt:vector size="41" baseType="lpstr">
      <vt:lpstr>0</vt:lpstr>
      <vt:lpstr>导航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13</vt:lpstr>
      <vt:lpstr>14</vt:lpstr>
      <vt:lpstr>15</vt:lpstr>
      <vt:lpstr>16</vt:lpstr>
      <vt:lpstr>17</vt:lpstr>
      <vt:lpstr>17.1</vt:lpstr>
      <vt:lpstr>17.2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LRH</dc:creator>
  <cp:lastModifiedBy>ranhua li</cp:lastModifiedBy>
  <dcterms:created xsi:type="dcterms:W3CDTF">2015-06-05T18:19:00Z</dcterms:created>
  <dcterms:modified xsi:type="dcterms:W3CDTF">2025-09-14T12:27:16Z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819565F349EA4A4C9C259F3C5D9DBBE7_12</vt:lpwstr>
  </property>
  <property fmtid="{D5CDD505-2E9C-101B-9397-08002B2CF9AE}" pid="3" name="KSOProductBuildVer">
    <vt:lpwstr>2052-12.1.0.18276</vt:lpwstr>
  </property>
</Properties>
</file>