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0000. 25年工作\2. 网络数据处理系统\51.AI Models数据整理\模型清单\AI Models模型清单\"/>
    </mc:Choice>
  </mc:AlternateContent>
  <xr:revisionPtr revIDLastSave="0" documentId="13_ncr:1_{3D26130B-22C9-4DA3-A1A1-125E0212F77B}" xr6:coauthVersionLast="47" xr6:coauthVersionMax="47" xr10:uidLastSave="{00000000-0000-0000-0000-000000000000}"/>
  <bookViews>
    <workbookView xWindow="-108" yWindow="-108" windowWidth="23256" windowHeight="13896" tabRatio="930" firstSheet="1" activeTab="1" xr2:uid="{00000000-000D-0000-FFFF-FFFF00000000}"/>
  </bookViews>
  <sheets>
    <sheet name="0" sheetId="195" r:id="rId1"/>
    <sheet name="导航" sheetId="3" r:id="rId2"/>
    <sheet name="0.1" sheetId="230" r:id="rId3"/>
    <sheet name="0.2" sheetId="233" r:id="rId4"/>
    <sheet name="0.3" sheetId="381" r:id="rId5"/>
    <sheet name="1" sheetId="199" r:id="rId6"/>
    <sheet name="2" sheetId="232" r:id="rId7"/>
    <sheet name="3" sheetId="234" r:id="rId8"/>
    <sheet name="4" sheetId="235" r:id="rId9"/>
    <sheet name="5" sheetId="237" r:id="rId10"/>
    <sheet name="5.1" sheetId="376" r:id="rId11"/>
    <sheet name="5.2" sheetId="377" r:id="rId12"/>
    <sheet name="6" sheetId="240" r:id="rId13"/>
    <sheet name="7" sheetId="241" r:id="rId14"/>
    <sheet name="8" sheetId="242" r:id="rId15"/>
    <sheet name="9" sheetId="244" r:id="rId16"/>
    <sheet name="10" sheetId="245" r:id="rId17"/>
    <sheet name="11" sheetId="247" r:id="rId18"/>
    <sheet name="12" sheetId="250" r:id="rId19"/>
    <sheet name="13" sheetId="251" r:id="rId20"/>
    <sheet name="14" sheetId="248" r:id="rId21"/>
    <sheet name="15" sheetId="252" r:id="rId22"/>
    <sheet name="16" sheetId="253" r:id="rId23"/>
    <sheet name="17" sheetId="249" r:id="rId24"/>
    <sheet name="18" sheetId="254" r:id="rId25"/>
    <sheet name="19" sheetId="255" r:id="rId26"/>
    <sheet name="20" sheetId="256" r:id="rId27"/>
    <sheet name="21" sheetId="258" r:id="rId28"/>
    <sheet name="22" sheetId="261" r:id="rId29"/>
    <sheet name="23" sheetId="264" r:id="rId30"/>
    <sheet name="24" sheetId="265" r:id="rId31"/>
    <sheet name="25" sheetId="266" r:id="rId32"/>
    <sheet name="26" sheetId="267" r:id="rId33"/>
    <sheet name="27" sheetId="269" r:id="rId34"/>
    <sheet name="28" sheetId="270" r:id="rId35"/>
    <sheet name="29" sheetId="272" r:id="rId36"/>
    <sheet name="30" sheetId="273" r:id="rId37"/>
    <sheet name="31" sheetId="274" r:id="rId38"/>
    <sheet name="32" sheetId="275" r:id="rId39"/>
    <sheet name="34" sheetId="278" r:id="rId40"/>
    <sheet name="35" sheetId="279" r:id="rId41"/>
    <sheet name="37" sheetId="282" r:id="rId42"/>
    <sheet name="39" sheetId="284" r:id="rId43"/>
    <sheet name="40" sheetId="285" r:id="rId44"/>
    <sheet name="41" sheetId="286" r:id="rId45"/>
    <sheet name="45" sheetId="290" r:id="rId46"/>
    <sheet name="49" sheetId="295" r:id="rId47"/>
    <sheet name="56" sheetId="302" r:id="rId48"/>
    <sheet name="57" sheetId="303" r:id="rId49"/>
    <sheet name="58" sheetId="305" r:id="rId50"/>
    <sheet name="59" sheetId="307" r:id="rId51"/>
    <sheet name="60" sheetId="308" r:id="rId52"/>
    <sheet name="61" sheetId="310" r:id="rId53"/>
    <sheet name="61.1" sheetId="338" r:id="rId54"/>
    <sheet name="61.2" sheetId="378" r:id="rId55"/>
    <sheet name="61.3" sheetId="379" r:id="rId56"/>
    <sheet name="61.4" sheetId="380" r:id="rId57"/>
    <sheet name="62" sheetId="311" r:id="rId58"/>
    <sheet name="63" sheetId="313" r:id="rId59"/>
    <sheet name="64" sheetId="315" r:id="rId60"/>
    <sheet name="65" sheetId="316" r:id="rId61"/>
    <sheet name="66" sheetId="312" r:id="rId62"/>
    <sheet name="67" sheetId="317" r:id="rId63"/>
    <sheet name="68" sheetId="318" r:id="rId64"/>
    <sheet name="70" sheetId="321" r:id="rId65"/>
    <sheet name="71" sheetId="322" r:id="rId66"/>
    <sheet name="72" sheetId="323" r:id="rId67"/>
    <sheet name="74" sheetId="325" r:id="rId68"/>
    <sheet name="78" sheetId="330" r:id="rId69"/>
    <sheet name="79" sheetId="334" r:id="rId70"/>
    <sheet name="80" sheetId="336" r:id="rId71"/>
    <sheet name="81" sheetId="337" r:id="rId72"/>
    <sheet name="82" sheetId="339" r:id="rId73"/>
    <sheet name="83" sheetId="341" r:id="rId74"/>
    <sheet name="84" sheetId="347" r:id="rId75"/>
    <sheet name="85" sheetId="348" r:id="rId76"/>
    <sheet name="86" sheetId="349" r:id="rId77"/>
    <sheet name="87" sheetId="351" r:id="rId78"/>
    <sheet name="88" sheetId="343" r:id="rId79"/>
    <sheet name="89" sheetId="344" r:id="rId80"/>
    <sheet name="90" sheetId="345" r:id="rId81"/>
    <sheet name="91" sheetId="346" r:id="rId82"/>
    <sheet name="92" sheetId="352" r:id="rId83"/>
    <sheet name="93" sheetId="354" r:id="rId84"/>
    <sheet name="94" sheetId="355" r:id="rId85"/>
    <sheet name="95" sheetId="356" r:id="rId86"/>
  </sheets>
  <definedNames>
    <definedName name="_xlnm._FilterDatabase" localSheetId="4" hidden="1">'0.3'!$A$15:$Q$48</definedName>
    <definedName name="_xlnm._FilterDatabase" localSheetId="5" hidden="1">'1'!$A$18:$Q$151</definedName>
    <definedName name="_xlnm._FilterDatabase" localSheetId="16" hidden="1">'10'!$A$13:$Q$28</definedName>
    <definedName name="_xlnm._FilterDatabase" localSheetId="17" hidden="1">'11'!$A$13:$Q$120</definedName>
    <definedName name="_xlnm._FilterDatabase" localSheetId="18" hidden="1">'12'!$A$13:$Q$118</definedName>
    <definedName name="_xlnm._FilterDatabase" localSheetId="19" hidden="1">'13'!$A$13:$Q$117</definedName>
    <definedName name="_xlnm._FilterDatabase" localSheetId="20" hidden="1">'14'!$A$13:$Q$106</definedName>
    <definedName name="_xlnm._FilterDatabase" localSheetId="21" hidden="1">'15'!$A$13:$Q$104</definedName>
    <definedName name="_xlnm._FilterDatabase" localSheetId="22" hidden="1">'16'!$A$13:$Q$103</definedName>
    <definedName name="_xlnm._FilterDatabase" localSheetId="23" hidden="1">'17'!$A$13:$Q$109</definedName>
    <definedName name="_xlnm._FilterDatabase" localSheetId="24" hidden="1">'18'!$A$13:$Q$107</definedName>
    <definedName name="_xlnm._FilterDatabase" localSheetId="25" hidden="1">'19'!$A$13:$Q$106</definedName>
    <definedName name="_xlnm._FilterDatabase" localSheetId="6" hidden="1">'2'!$A$13:$Q$156</definedName>
    <definedName name="_xlnm._FilterDatabase" localSheetId="26" hidden="1">'20'!$A$13:$Q$132</definedName>
    <definedName name="_xlnm._FilterDatabase" localSheetId="27" hidden="1">'21'!$A$13:$Q$121</definedName>
    <definedName name="_xlnm._FilterDatabase" localSheetId="28" hidden="1">'22'!$A$13:$Q$121</definedName>
    <definedName name="_xlnm._FilterDatabase" localSheetId="29" hidden="1">'23'!$A$13:$Q$108</definedName>
    <definedName name="_xlnm._FilterDatabase" localSheetId="30" hidden="1">'24'!$A$13:$Q$106</definedName>
    <definedName name="_xlnm._FilterDatabase" localSheetId="31" hidden="1">'25'!$A$16:$Q$47</definedName>
    <definedName name="_xlnm._FilterDatabase" localSheetId="32" hidden="1">'26'!$A$13:$Q$110</definedName>
    <definedName name="_xlnm._FilterDatabase" localSheetId="33" hidden="1">'27'!$A$13:$Q$109</definedName>
    <definedName name="_xlnm._FilterDatabase" localSheetId="34" hidden="1">'28'!$A$13:$Q$130</definedName>
    <definedName name="_xlnm._FilterDatabase" localSheetId="35" hidden="1">'29'!$A$13:$Q$127</definedName>
    <definedName name="_xlnm._FilterDatabase" localSheetId="7" hidden="1">'3'!$A$13:$Q$154</definedName>
    <definedName name="_xlnm._FilterDatabase" localSheetId="36" hidden="1">'30'!$A$13:$Q$127</definedName>
    <definedName name="_xlnm._FilterDatabase" localSheetId="37" hidden="1">'31'!$A$13:$Q$93</definedName>
    <definedName name="_xlnm._FilterDatabase" localSheetId="38" hidden="1">'32'!$A$14:$Q$105</definedName>
    <definedName name="_xlnm._FilterDatabase" localSheetId="39" hidden="1">'34'!$A$13:$Q$87</definedName>
    <definedName name="_xlnm._FilterDatabase" localSheetId="40" hidden="1">'35'!$A$14:$N$69</definedName>
    <definedName name="_xlnm._FilterDatabase" localSheetId="41" hidden="1">'37'!$A$14:$N$74</definedName>
    <definedName name="_xlnm._FilterDatabase" localSheetId="42" hidden="1">'39'!$A$13:$Q$44</definedName>
    <definedName name="_xlnm._FilterDatabase" localSheetId="8" hidden="1">'4'!$A$13:$N$134</definedName>
    <definedName name="_xlnm._FilterDatabase" localSheetId="43" hidden="1">'40'!$A$13:$Q$40</definedName>
    <definedName name="_xlnm._FilterDatabase" localSheetId="44" hidden="1">'41'!$A$13:$N$37</definedName>
    <definedName name="_xlnm._FilterDatabase" localSheetId="45" hidden="1">'45'!$A$13:$Q$45</definedName>
    <definedName name="_xlnm._FilterDatabase" localSheetId="46" hidden="1">'49'!$A$13:$Q$83</definedName>
    <definedName name="_xlnm._FilterDatabase" localSheetId="9" hidden="1">'5'!$A$13:$Q$132</definedName>
    <definedName name="_xlnm._FilterDatabase" localSheetId="10" hidden="1">'5.1'!$A$13:$Q$128</definedName>
    <definedName name="_xlnm._FilterDatabase" localSheetId="11" hidden="1">'5.2'!$A$13:$Q$126</definedName>
    <definedName name="_xlnm._FilterDatabase" localSheetId="47" hidden="1">'56'!$A$13:$Q$130</definedName>
    <definedName name="_xlnm._FilterDatabase" localSheetId="48" hidden="1">'57'!$A$16:$Q$132</definedName>
    <definedName name="_xlnm._FilterDatabase" localSheetId="49" hidden="1">'58'!$A$13:$Q$171</definedName>
    <definedName name="_xlnm._FilterDatabase" localSheetId="50" hidden="1">'59'!$A$13:$Q$169</definedName>
    <definedName name="_xlnm._FilterDatabase" localSheetId="12" hidden="1">'6'!$A$15:$Q$38</definedName>
    <definedName name="_xlnm._FilterDatabase" localSheetId="51" hidden="1">'60'!$A$13:$Q$98</definedName>
    <definedName name="_xlnm._FilterDatabase" localSheetId="52" hidden="1">'61'!$A$13:$Q$152</definedName>
    <definedName name="_xlnm._FilterDatabase" localSheetId="53" hidden="1">'61.1'!$A$15:$Q$38</definedName>
    <definedName name="_xlnm._FilterDatabase" localSheetId="54" hidden="1">'61.2'!$A$13:$Q$149</definedName>
    <definedName name="_xlnm._FilterDatabase" localSheetId="55" hidden="1">'61.3'!$A$13:$Q$145</definedName>
    <definedName name="_xlnm._FilterDatabase" localSheetId="56" hidden="1">'61.4'!$A$15:$Q$34</definedName>
    <definedName name="_xlnm._FilterDatabase" localSheetId="57" hidden="1">'62'!$A$13:$Q$147</definedName>
    <definedName name="_xlnm._FilterDatabase" localSheetId="58" hidden="1">'63'!$A$13:$Q$143</definedName>
    <definedName name="_xlnm._FilterDatabase" localSheetId="59" hidden="1">'64'!$A$13:$Q$142</definedName>
    <definedName name="_xlnm._FilterDatabase" localSheetId="60" hidden="1">'65'!$A$13:$Q$49</definedName>
    <definedName name="_xlnm._FilterDatabase" localSheetId="61" hidden="1">'66'!$A$13:$Q$151</definedName>
    <definedName name="_xlnm._FilterDatabase" localSheetId="62" hidden="1">'67'!$A$13:$Q$146</definedName>
    <definedName name="_xlnm._FilterDatabase" localSheetId="63" hidden="1">'68'!$A$13:$Q$144</definedName>
    <definedName name="_xlnm._FilterDatabase" localSheetId="13" hidden="1">'7'!$A$13:$Q$126</definedName>
    <definedName name="_xlnm._FilterDatabase" localSheetId="64" hidden="1">'70'!$A$13:$Q$145</definedName>
    <definedName name="_xlnm._FilterDatabase" localSheetId="65" hidden="1">'71'!$A$14:$Q$93</definedName>
    <definedName name="_xlnm._FilterDatabase" localSheetId="66" hidden="1">'72'!$A$13:$M$87</definedName>
    <definedName name="_xlnm._FilterDatabase" localSheetId="67" hidden="1">'74'!$A$13:$N$103</definedName>
    <definedName name="_xlnm._FilterDatabase" localSheetId="68" hidden="1">'78'!$A$17:$N$150</definedName>
    <definedName name="_xlnm._FilterDatabase" localSheetId="69" hidden="1">'79'!$A$13:$Q$120</definedName>
    <definedName name="_xlnm._FilterDatabase" localSheetId="14" hidden="1">'8'!$A$13:$Q$122</definedName>
    <definedName name="_xlnm._FilterDatabase" localSheetId="70" hidden="1">'80'!$A$13:$Q$118</definedName>
    <definedName name="_xlnm._FilterDatabase" localSheetId="71" hidden="1">'81'!$A$13:$Q$101</definedName>
    <definedName name="_xlnm._FilterDatabase" localSheetId="72" hidden="1">'82'!$A$13:$Q$109</definedName>
    <definedName name="_xlnm._FilterDatabase" localSheetId="73" hidden="1">'83'!$A$15:$Q$38</definedName>
    <definedName name="_xlnm._FilterDatabase" localSheetId="74" hidden="1">'84'!$A$13:$Q$107</definedName>
    <definedName name="_xlnm._FilterDatabase" localSheetId="75" hidden="1">'85'!$A$13:$Q$104</definedName>
    <definedName name="_xlnm._FilterDatabase" localSheetId="76" hidden="1">'86'!$A$13:$Q$100</definedName>
    <definedName name="_xlnm._FilterDatabase" localSheetId="77" hidden="1">'87'!$A$13:$Q$99</definedName>
    <definedName name="_xlnm._FilterDatabase" localSheetId="78" hidden="1">'88'!$A$29:$Y$39</definedName>
    <definedName name="_xlnm._FilterDatabase" localSheetId="79" hidden="1">'89'!#REF!</definedName>
    <definedName name="_xlnm._FilterDatabase" localSheetId="15" hidden="1">'9'!$A$13:$Q$120</definedName>
    <definedName name="_xlnm._FilterDatabase" localSheetId="80" hidden="1">'90'!#REF!</definedName>
    <definedName name="_xlnm._FilterDatabase" localSheetId="81" hidden="1">'91'!#REF!</definedName>
    <definedName name="_xlnm._FilterDatabase" localSheetId="82" hidden="1">'92'!#REF!</definedName>
    <definedName name="_xlnm._FilterDatabase" localSheetId="83" hidden="1">'93'!#REF!</definedName>
    <definedName name="_xlnm._FilterDatabase" localSheetId="84" hidden="1">'94'!#REF!</definedName>
    <definedName name="_xlnm._FilterDatabase" localSheetId="85" hidden="1">'95'!#REF!</definedName>
    <definedName name="_xlnm._FilterDatabase" localSheetId="1" hidden="1">导航!$A$1:$R$85</definedName>
    <definedName name="DT.10" comment="主小区MR详细信息AGPS">#REF!</definedName>
    <definedName name="DT.11" comment="主小区MR详细信息全量室内外">#REF!</definedName>
    <definedName name="vlookup">#REF!</definedName>
    <definedName name="主小区MR详细信息AGPS" comment="主小区MR详细信息AGPS">#REF!</definedName>
    <definedName name="主小区MR详细信息全量室内外" comment="主小区MR详细信息全量室内外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381" l="1"/>
  <c r="B4" i="3"/>
  <c r="B56" i="3"/>
  <c r="B1" i="380"/>
  <c r="B1" i="379"/>
  <c r="B1" i="378"/>
  <c r="B55" i="3"/>
  <c r="B54" i="3"/>
  <c r="B53" i="3"/>
  <c r="B1" i="377"/>
  <c r="B1" i="376"/>
  <c r="B11" i="3"/>
  <c r="B10" i="3"/>
  <c r="B1" i="356"/>
  <c r="B1" i="355"/>
  <c r="B1" i="354"/>
  <c r="B85" i="3"/>
  <c r="B84" i="3"/>
  <c r="B83" i="3"/>
  <c r="B82" i="3"/>
  <c r="B1" i="352"/>
  <c r="B1" i="351"/>
  <c r="B77" i="3"/>
  <c r="B76" i="3"/>
  <c r="B1" i="349"/>
  <c r="B1" i="348"/>
  <c r="B75" i="3"/>
  <c r="B1" i="347"/>
  <c r="B74" i="3"/>
  <c r="H23" i="346"/>
  <c r="H22" i="346"/>
  <c r="H21" i="346"/>
  <c r="H20" i="346"/>
  <c r="H19" i="346"/>
  <c r="H18" i="346"/>
  <c r="H17" i="346"/>
  <c r="H16" i="346"/>
  <c r="B1" i="346"/>
  <c r="H39" i="345"/>
  <c r="H38" i="345"/>
  <c r="H37" i="345"/>
  <c r="H36" i="345"/>
  <c r="H35" i="345"/>
  <c r="H34" i="345"/>
  <c r="H33" i="345"/>
  <c r="H32" i="345"/>
  <c r="H31" i="345"/>
  <c r="H30" i="345"/>
  <c r="H29" i="345"/>
  <c r="H28" i="345"/>
  <c r="H27" i="345"/>
  <c r="H26" i="345"/>
  <c r="H25" i="345"/>
  <c r="H24" i="345"/>
  <c r="H23" i="345"/>
  <c r="H22" i="345"/>
  <c r="H21" i="345"/>
  <c r="H20" i="345"/>
  <c r="H19" i="345"/>
  <c r="H18" i="345"/>
  <c r="H17" i="345"/>
  <c r="H16" i="345"/>
  <c r="B1" i="345"/>
  <c r="H23" i="344"/>
  <c r="H22" i="344"/>
  <c r="H21" i="344"/>
  <c r="H20" i="344"/>
  <c r="D19" i="344"/>
  <c r="H19" i="344"/>
  <c r="D18" i="344"/>
  <c r="H18" i="344"/>
  <c r="D17" i="344"/>
  <c r="H17" i="344"/>
  <c r="D16" i="344"/>
  <c r="H16" i="344"/>
  <c r="B1" i="344"/>
  <c r="H39" i="343"/>
  <c r="H38" i="343"/>
  <c r="H37" i="343"/>
  <c r="H36" i="343"/>
  <c r="H35" i="343"/>
  <c r="H34" i="343"/>
  <c r="H33" i="343"/>
  <c r="H32" i="343"/>
  <c r="H31" i="343"/>
  <c r="H30" i="343"/>
  <c r="H29" i="343"/>
  <c r="H28" i="343"/>
  <c r="H27" i="343"/>
  <c r="H26" i="343"/>
  <c r="H25" i="343"/>
  <c r="H24" i="343"/>
  <c r="H23" i="343"/>
  <c r="H22" i="343"/>
  <c r="H21" i="343"/>
  <c r="B1" i="343"/>
  <c r="B81" i="3"/>
  <c r="B80" i="3"/>
  <c r="B79" i="3"/>
  <c r="B78" i="3"/>
  <c r="B1" i="341"/>
  <c r="B73" i="3"/>
  <c r="B72" i="3"/>
  <c r="B1" i="339"/>
  <c r="B1" i="338"/>
  <c r="B71" i="3"/>
  <c r="B1" i="337"/>
  <c r="B70" i="3"/>
  <c r="B1" i="336"/>
  <c r="B1" i="334"/>
  <c r="B69" i="3"/>
  <c r="B1" i="233"/>
  <c r="B1" i="330"/>
  <c r="B68" i="3"/>
  <c r="B1" i="325"/>
  <c r="B1" i="323"/>
  <c r="B1" i="322"/>
  <c r="B1" i="321"/>
  <c r="B65" i="3"/>
  <c r="B66" i="3"/>
  <c r="B67" i="3"/>
  <c r="B1" i="318"/>
  <c r="B1" i="317"/>
  <c r="B1" i="316"/>
  <c r="B1" i="315"/>
  <c r="B1" i="313"/>
  <c r="B1" i="312"/>
  <c r="B1" i="311"/>
  <c r="B1" i="310"/>
  <c r="B50" i="3"/>
  <c r="B51" i="3"/>
  <c r="B52" i="3"/>
  <c r="B57" i="3"/>
  <c r="B58" i="3"/>
  <c r="B59" i="3"/>
  <c r="B60" i="3"/>
  <c r="B61" i="3"/>
  <c r="B62" i="3"/>
  <c r="B63" i="3"/>
  <c r="B64" i="3"/>
  <c r="B1" i="308"/>
  <c r="B1" i="307"/>
  <c r="B49" i="3"/>
  <c r="B1" i="305"/>
  <c r="B1" i="303"/>
  <c r="B48" i="3"/>
  <c r="B47" i="3"/>
  <c r="B1" i="302"/>
  <c r="B1" i="295"/>
  <c r="B1" i="290"/>
  <c r="B45" i="3"/>
  <c r="B46" i="3"/>
  <c r="B1" i="286"/>
  <c r="B1" i="285"/>
  <c r="B1" i="284"/>
  <c r="B42" i="3"/>
  <c r="B43" i="3"/>
  <c r="B44" i="3"/>
  <c r="B1" i="282"/>
  <c r="B41" i="3"/>
  <c r="B40" i="3"/>
  <c r="B39" i="3"/>
  <c r="B1" i="279"/>
  <c r="B1" i="278"/>
  <c r="B38" i="3"/>
  <c r="B1" i="275"/>
  <c r="B1" i="274"/>
  <c r="B1" i="273"/>
  <c r="B1" i="272"/>
  <c r="B35" i="3"/>
  <c r="B36" i="3"/>
  <c r="B37" i="3"/>
  <c r="B34" i="3"/>
  <c r="B1" i="270"/>
  <c r="B1" i="269"/>
  <c r="B1" i="267"/>
  <c r="B1" i="266"/>
  <c r="B1" i="265"/>
  <c r="B1" i="264"/>
  <c r="B32" i="3"/>
  <c r="B33" i="3"/>
  <c r="B31" i="3"/>
  <c r="B30" i="3"/>
  <c r="B29" i="3"/>
  <c r="B1" i="261"/>
  <c r="B28" i="3"/>
  <c r="B1" i="258"/>
  <c r="B1" i="256"/>
  <c r="B1" i="255"/>
  <c r="B1" i="254"/>
  <c r="B1" i="253"/>
  <c r="B1" i="252"/>
  <c r="B1" i="251"/>
  <c r="B1" i="250"/>
  <c r="B21" i="3"/>
  <c r="B22" i="3"/>
  <c r="B23" i="3"/>
  <c r="B24" i="3"/>
  <c r="B25" i="3"/>
  <c r="B26" i="3"/>
  <c r="B27" i="3"/>
  <c r="B20" i="3"/>
  <c r="B19" i="3"/>
  <c r="B18" i="3"/>
  <c r="B17" i="3"/>
  <c r="B1" i="249"/>
  <c r="B1" i="248"/>
  <c r="B1" i="247"/>
  <c r="B16" i="3"/>
  <c r="B15" i="3"/>
  <c r="B14" i="3"/>
  <c r="F29" i="261"/>
  <c r="F27" i="261"/>
  <c r="F28" i="261"/>
  <c r="F24" i="251"/>
  <c r="F25" i="251"/>
  <c r="F23" i="251"/>
  <c r="B1" i="245"/>
  <c r="B1" i="244"/>
  <c r="B1" i="242"/>
  <c r="B13" i="3"/>
  <c r="B12" i="3"/>
  <c r="B1" i="241"/>
  <c r="H16" i="240"/>
  <c r="B1" i="240"/>
  <c r="B9" i="3"/>
  <c r="B1" i="237"/>
  <c r="H17" i="240"/>
  <c r="H26" i="240"/>
  <c r="H25" i="240"/>
  <c r="H24" i="240"/>
  <c r="H23" i="240"/>
  <c r="H22" i="240"/>
  <c r="H21" i="240"/>
  <c r="H20" i="240"/>
  <c r="H19" i="240"/>
  <c r="H18" i="240"/>
  <c r="B8" i="3"/>
  <c r="B7" i="3"/>
  <c r="B1" i="235"/>
  <c r="B1" i="234"/>
  <c r="B3" i="3"/>
  <c r="B1" i="232"/>
  <c r="B2" i="3"/>
  <c r="B6" i="3"/>
  <c r="B1" i="230"/>
  <c r="L20" i="195"/>
  <c r="J20" i="195"/>
  <c r="B1" i="199"/>
  <c r="B5" i="3"/>
  <c r="K9" i="195"/>
</calcChain>
</file>

<file path=xl/sharedStrings.xml><?xml version="1.0" encoding="utf-8"?>
<sst xmlns="http://schemas.openxmlformats.org/spreadsheetml/2006/main" count="62247" uniqueCount="3287">
  <si>
    <t>索引</t>
  </si>
  <si>
    <t>项目名称</t>
  </si>
  <si>
    <t>数据层级</t>
  </si>
  <si>
    <t>主题域</t>
  </si>
  <si>
    <t>表英文名</t>
  </si>
  <si>
    <t>表中文名</t>
  </si>
  <si>
    <t>数据描述</t>
  </si>
  <si>
    <t>汇聚维度</t>
  </si>
  <si>
    <t>数据时间粒度</t>
  </si>
  <si>
    <t>最小时间分区</t>
  </si>
  <si>
    <t>计算位置</t>
  </si>
  <si>
    <t>是否同步</t>
  </si>
  <si>
    <t>前向表</t>
  </si>
  <si>
    <t>支撑应用/系统</t>
  </si>
  <si>
    <t>备注</t>
  </si>
  <si>
    <t>同步数据库</t>
  </si>
  <si>
    <t>网络数据处理系统</t>
  </si>
  <si>
    <t>是</t>
  </si>
  <si>
    <t>目标表基本信息描述</t>
  </si>
  <si>
    <t>目标表英文名</t>
  </si>
  <si>
    <t>目标表中文名</t>
  </si>
  <si>
    <t>数据频度</t>
  </si>
  <si>
    <t>模型主键</t>
  </si>
  <si>
    <t>推送数据库</t>
  </si>
  <si>
    <t>quarter</t>
  </si>
  <si>
    <t>源表基本信息描述</t>
  </si>
  <si>
    <t>来源系统</t>
  </si>
  <si>
    <t>源表英文名</t>
  </si>
  <si>
    <t>源表中文名</t>
  </si>
  <si>
    <t>别名</t>
  </si>
  <si>
    <t>任务描述</t>
  </si>
  <si>
    <t>是否主表</t>
  </si>
  <si>
    <t>详细字段信息</t>
  </si>
  <si>
    <t>PDM字段英文名</t>
  </si>
  <si>
    <t>PDM字段类型</t>
  </si>
  <si>
    <t>PDM字段中文名（说明）</t>
  </si>
  <si>
    <t>源表名</t>
  </si>
  <si>
    <t>源字段英文名</t>
  </si>
  <si>
    <t>算法加工逻辑</t>
  </si>
  <si>
    <t>关联与过滤条件</t>
  </si>
  <si>
    <t>字段属性</t>
  </si>
  <si>
    <t>单位</t>
  </si>
  <si>
    <t>取值范围</t>
  </si>
  <si>
    <t>string</t>
  </si>
  <si>
    <t>无</t>
  </si>
  <si>
    <t>bigint</t>
  </si>
  <si>
    <t>int</t>
  </si>
  <si>
    <t>p_provincecode</t>
  </si>
  <si>
    <t>省分区</t>
  </si>
  <si>
    <t>p_date</t>
  </si>
  <si>
    <t>天分区</t>
  </si>
  <si>
    <t>p_hour</t>
  </si>
  <si>
    <t>小时分区</t>
  </si>
  <si>
    <t>p_quarter</t>
  </si>
  <si>
    <t>15分钟分区</t>
  </si>
  <si>
    <t>A</t>
  </si>
  <si>
    <t>double</t>
  </si>
  <si>
    <t>用户imsi</t>
  </si>
  <si>
    <t>msisdn</t>
  </si>
  <si>
    <t>用户号码</t>
  </si>
  <si>
    <t>维度</t>
  </si>
  <si>
    <t>citycode</t>
  </si>
  <si>
    <t>districtcode</t>
  </si>
  <si>
    <t>省名称</t>
  </si>
  <si>
    <t>province</t>
  </si>
  <si>
    <t>city</t>
  </si>
  <si>
    <t>district</t>
  </si>
  <si>
    <t>&gt;=0</t>
  </si>
  <si>
    <t>区县名称</t>
  </si>
  <si>
    <t>数据感知</t>
    <phoneticPr fontId="16" type="noConversion"/>
  </si>
  <si>
    <t>前置</t>
    <phoneticPr fontId="16" type="noConversion"/>
  </si>
  <si>
    <t>是</t>
    <phoneticPr fontId="16" type="noConversion"/>
  </si>
  <si>
    <t>新建</t>
    <phoneticPr fontId="16" type="noConversion"/>
  </si>
  <si>
    <t>fact_nr_cm_projdata</t>
    <phoneticPr fontId="16" type="noConversion"/>
  </si>
  <si>
    <t>4G联通工参</t>
    <phoneticPr fontId="16" type="noConversion"/>
  </si>
  <si>
    <t>B1</t>
    <phoneticPr fontId="16" type="noConversion"/>
  </si>
  <si>
    <t>B3</t>
    <phoneticPr fontId="16" type="noConversion"/>
  </si>
  <si>
    <t>interface</t>
  </si>
  <si>
    <t>tai</t>
  </si>
  <si>
    <t>visitedplmnid</t>
  </si>
  <si>
    <t>rattype</t>
  </si>
  <si>
    <t>supi</t>
  </si>
  <si>
    <t>pei</t>
  </si>
  <si>
    <t>dnn_apn</t>
  </si>
  <si>
    <t>upfip</t>
  </si>
  <si>
    <t>servicetype</t>
  </si>
  <si>
    <t>gnbip</t>
  </si>
  <si>
    <t>home_province</t>
  </si>
  <si>
    <t>nssai_sst</t>
  </si>
  <si>
    <t>nssai_sd</t>
  </si>
  <si>
    <t>day</t>
    <phoneticPr fontId="16" type="noConversion"/>
  </si>
  <si>
    <t>hour</t>
    <phoneticPr fontId="16" type="noConversion"/>
  </si>
  <si>
    <t>quarter</t>
    <phoneticPr fontId="16" type="noConversion"/>
  </si>
  <si>
    <t>string</t>
    <phoneticPr fontId="16" type="noConversion"/>
  </si>
  <si>
    <t>int</t>
    <phoneticPr fontId="16" type="noConversion"/>
  </si>
  <si>
    <t>cellkey</t>
    <phoneticPr fontId="16" type="noConversion"/>
  </si>
  <si>
    <t>日期</t>
    <phoneticPr fontId="16" type="noConversion"/>
  </si>
  <si>
    <t>小时</t>
    <phoneticPr fontId="16" type="noConversion"/>
  </si>
  <si>
    <t>15分钟</t>
    <phoneticPr fontId="16" type="noConversion"/>
  </si>
  <si>
    <t>网络类型（4G：6；5G：10）</t>
  </si>
  <si>
    <t>市编码</t>
  </si>
  <si>
    <t>区编码</t>
  </si>
  <si>
    <t>地市名称</t>
  </si>
  <si>
    <t>跟踪区标识</t>
  </si>
  <si>
    <t>拜访网络标识</t>
  </si>
  <si>
    <t>用户终端</t>
  </si>
  <si>
    <t>UPF的IPv4或IPv6地址</t>
  </si>
  <si>
    <t>业务应用</t>
  </si>
  <si>
    <t>gNB的IPv4或IPv6地址</t>
  </si>
  <si>
    <t>归属省份</t>
  </si>
  <si>
    <t>Slice Service Type (SST)</t>
  </si>
  <si>
    <t>Slice Differentiator（SD）</t>
  </si>
  <si>
    <t>xdr成功条数</t>
  </si>
  <si>
    <t>接口类型</t>
    <phoneticPr fontId="16" type="noConversion"/>
  </si>
  <si>
    <t>小区cellkey</t>
    <phoneticPr fontId="16" type="noConversion"/>
  </si>
  <si>
    <t>用户访问外部网络时使用的IP类型（IPv4/IPv6）</t>
  </si>
  <si>
    <t>DNS请求次数</t>
    <phoneticPr fontId="16" type="noConversion"/>
  </si>
  <si>
    <t>l4protocol</t>
  </si>
  <si>
    <t>p_date</t>
    <phoneticPr fontId="16" type="noConversion"/>
  </si>
  <si>
    <t>p_hour</t>
    <phoneticPr fontId="16" type="noConversion"/>
  </si>
  <si>
    <t>p_quarter</t>
    <phoneticPr fontId="16" type="noConversion"/>
  </si>
  <si>
    <t>关联工参回填</t>
    <phoneticPr fontId="16" type="noConversion"/>
  </si>
  <si>
    <t>B1|B2|B3</t>
    <phoneticPr fontId="16" type="noConversion"/>
  </si>
  <si>
    <t>citycode</t>
    <phoneticPr fontId="16" type="noConversion"/>
  </si>
  <si>
    <t>districtcode</t>
    <phoneticPr fontId="16" type="noConversion"/>
  </si>
  <si>
    <t>B1/B2：province
B3：province_name</t>
    <phoneticPr fontId="16" type="noConversion"/>
  </si>
  <si>
    <t>B1/B2：city
B3：city_name</t>
    <phoneticPr fontId="16" type="noConversion"/>
  </si>
  <si>
    <t>B1/B2：district
B3：district_name</t>
    <phoneticPr fontId="16" type="noConversion"/>
  </si>
  <si>
    <t>A</t>
    <phoneticPr fontId="16" type="noConversion"/>
  </si>
  <si>
    <t>直取</t>
    <phoneticPr fontId="16" type="noConversion"/>
  </si>
  <si>
    <t>case when sourceIP regexp '^((25[0-5]|2[0-4]\\d|[01]?\\d\\d?)\\.){3}(25[0-5]|2[0-4]\\d|[01]?\\d\\d?)$' then 'ipv4' when sourceIP regexp '^([\\da-fA-F]{1,4}:){7}[\\da-fA-F]{1,4}$' then 'ipv6' else '' end as sourceip_type</t>
    <phoneticPr fontId="16" type="noConversion"/>
  </si>
  <si>
    <t>维度</t>
    <phoneticPr fontId="16" type="noConversion"/>
  </si>
  <si>
    <t>无</t>
    <phoneticPr fontId="16" type="noConversion"/>
  </si>
  <si>
    <t>指标</t>
    <phoneticPr fontId="16" type="noConversion"/>
  </si>
  <si>
    <t>&gt;=0</t>
    <phoneticPr fontId="16" type="noConversion"/>
  </si>
  <si>
    <t>网络接入技术</t>
    <phoneticPr fontId="16" type="noConversion"/>
  </si>
  <si>
    <t>provincecode</t>
    <phoneticPr fontId="16" type="noConversion"/>
  </si>
  <si>
    <t>省编码</t>
    <phoneticPr fontId="16" type="noConversion"/>
  </si>
  <si>
    <t>p_provincecode</t>
    <phoneticPr fontId="16" type="noConversion"/>
  </si>
  <si>
    <t>sourceip_type</t>
    <phoneticPr fontId="16" type="noConversion"/>
  </si>
  <si>
    <t>用户|小区|app|dnn|切片|源IP类型</t>
    <phoneticPr fontId="16" type="noConversion"/>
  </si>
  <si>
    <t>备注</t>
    <phoneticPr fontId="16" type="noConversion"/>
  </si>
  <si>
    <t>five_qi</t>
    <phoneticPr fontId="16" type="noConversion"/>
  </si>
  <si>
    <t>L4协议类型： 0：TCP；1：UDP</t>
    <phoneticPr fontId="16" type="noConversion"/>
  </si>
  <si>
    <t>服务质量等级标识</t>
  </si>
  <si>
    <t>abnormal_cnt</t>
  </si>
  <si>
    <t>质差话单数量</t>
  </si>
  <si>
    <t>TCP建链响应次数</t>
  </si>
  <si>
    <t>TCP建链响应时延_seg_1</t>
  </si>
  <si>
    <t>TCP建链响应时延_seg_2</t>
  </si>
  <si>
    <t>TCP建链响应时延_seg_3</t>
  </si>
  <si>
    <t>TCP建链响应时延_seg_4</t>
  </si>
  <si>
    <t>TCP建链响应时延_seg_5</t>
  </si>
  <si>
    <t>TCP建链确认次数</t>
  </si>
  <si>
    <t>TCP建链确认时延_seg_1</t>
  </si>
  <si>
    <t>TCP建链确认时延_seg_2</t>
  </si>
  <si>
    <t>TCP建链确认时延_seg_3</t>
  </si>
  <si>
    <t>TCP建链确认时延_seg_4</t>
  </si>
  <si>
    <t>TCP建链确认时延_seg_5</t>
  </si>
  <si>
    <t>tcpsetupdelay_sum</t>
  </si>
  <si>
    <t>下行流量(byte)</t>
  </si>
  <si>
    <t>发给用户的业务数据包数量</t>
  </si>
  <si>
    <t>用户发出的业务数据包数量</t>
  </si>
  <si>
    <t>上行TCP乱序报文数，L4协议，非TCP传输时，此字段填0</t>
  </si>
  <si>
    <t>下行TCP乱序报文数，非TCP传输时，此字段填0</t>
  </si>
  <si>
    <t>上行TCP重传报文数，非TCP传输时，此字段填0</t>
  </si>
  <si>
    <t>下行TCP重传报文数，非TCP传输时，此字段填0</t>
  </si>
  <si>
    <t>TCP上行数传时长，单位为毫秒</t>
  </si>
  <si>
    <t>TCP下行数传时长，单位为毫秒</t>
  </si>
  <si>
    <t>delay_setup_firsttransaction_sum</t>
  </si>
  <si>
    <t>delay_firsttransaction_firstrespackt_sum</t>
  </si>
  <si>
    <t>TCP连接失败次数</t>
  </si>
  <si>
    <t>上行TCP建立请求次数</t>
  </si>
  <si>
    <t>上行TCP建立成功次数</t>
  </si>
  <si>
    <t>下行TCP建立成功次数</t>
  </si>
  <si>
    <t>TCP上行数传时长条数</t>
  </si>
  <si>
    <t>TCP下行数传时长条数</t>
  </si>
  <si>
    <t>大包业务上行流量(&gt;=500KB)</t>
  </si>
  <si>
    <t>大包上行时间持续总时长(&gt;=500KB)</t>
  </si>
  <si>
    <t>大包业务下行流量(&gt;=500KB)</t>
  </si>
  <si>
    <t>大包下行时间持续总时长(&gt;=500KB)</t>
  </si>
  <si>
    <t>上行大包条数(&gt;=500KB)</t>
  </si>
  <si>
    <t>上行大包低速率条数(&lt;1M)</t>
  </si>
  <si>
    <t>上行大包高时延条数（&gt;100ms）</t>
  </si>
  <si>
    <t>下行大包条数(&gt;=500KB)</t>
  </si>
  <si>
    <t>下行大包低速率条数(&lt;1M)</t>
  </si>
  <si>
    <t>下行大包高时延条数（&gt;100ms）</t>
  </si>
  <si>
    <t>下行大包低速率条数(&lt;3M)</t>
  </si>
  <si>
    <t xml:space="preserve">count(1) </t>
  </si>
  <si>
    <t>record_cnt</t>
    <phoneticPr fontId="16" type="noConversion"/>
  </si>
  <si>
    <t>记录数</t>
    <phoneticPr fontId="16" type="noConversion"/>
  </si>
  <si>
    <t>regexp_replace(trim(msisdn),'^86','')</t>
    <phoneticPr fontId="16" type="noConversion"/>
  </si>
  <si>
    <t>speedlimit_cnt</t>
    <phoneticPr fontId="16" type="noConversion"/>
  </si>
  <si>
    <t>限速记录数</t>
    <phoneticPr fontId="16" type="noConversion"/>
  </si>
  <si>
    <t>sum(case when (ul_session_ambr&gt;0 and ul_session_ambr&lt;5000) or (dl_session_ambr&gt;0 and dl_session_ambr&lt;5000) then 1 else 0 end)</t>
    <phoneticPr fontId="16" type="noConversion"/>
  </si>
  <si>
    <t>upfip</t>
    <phoneticPr fontId="16" type="noConversion"/>
  </si>
  <si>
    <t>is_core_delimit</t>
  </si>
  <si>
    <t>is_core_delimit</t>
    <phoneticPr fontId="16" type="noConversion"/>
  </si>
  <si>
    <t>是否核心网问题</t>
    <phoneticPr fontId="16" type="noConversion"/>
  </si>
  <si>
    <t>is_wireless_delimit</t>
  </si>
  <si>
    <t>is_wireless_delimit</t>
    <phoneticPr fontId="16" type="noConversion"/>
  </si>
  <si>
    <t>是否无线网络问题</t>
    <phoneticPr fontId="16" type="noConversion"/>
  </si>
  <si>
    <t>ms</t>
  </si>
  <si>
    <t>ms</t>
    <phoneticPr fontId="16" type="noConversion"/>
  </si>
  <si>
    <t>byte</t>
  </si>
  <si>
    <t>tcpsetupresponsedelay_cnt</t>
    <phoneticPr fontId="16" type="noConversion"/>
  </si>
  <si>
    <t>tcpsetupresponsedelay_avg</t>
    <phoneticPr fontId="16" type="noConversion"/>
  </si>
  <si>
    <t>outputoctets</t>
    <phoneticPr fontId="16" type="noConversion"/>
  </si>
  <si>
    <t>inputoctets</t>
    <phoneticPr fontId="16" type="noConversion"/>
  </si>
  <si>
    <t>inputpacket</t>
    <phoneticPr fontId="16" type="noConversion"/>
  </si>
  <si>
    <t>outputpacket</t>
    <phoneticPr fontId="16" type="noConversion"/>
  </si>
  <si>
    <t>ultcpreorderingpacket</t>
    <phoneticPr fontId="16" type="noConversion"/>
  </si>
  <si>
    <t>dltcpreorderingpacket</t>
    <phoneticPr fontId="16" type="noConversion"/>
  </si>
  <si>
    <t>ultcpretranspacket</t>
    <phoneticPr fontId="16" type="noConversion"/>
  </si>
  <si>
    <t>dltcpretranspacket</t>
    <phoneticPr fontId="16" type="noConversion"/>
  </si>
  <si>
    <t>ulipfragpacks</t>
    <phoneticPr fontId="16" type="noConversion"/>
  </si>
  <si>
    <t>dlipfragpacks</t>
    <phoneticPr fontId="16" type="noConversion"/>
  </si>
  <si>
    <t>tcpconnfail_cnt</t>
    <phoneticPr fontId="16" type="noConversion"/>
  </si>
  <si>
    <t>tcpconnreq_cnt</t>
    <phoneticPr fontId="16" type="noConversion"/>
  </si>
  <si>
    <t>tcpconnulsuc_cnt</t>
    <phoneticPr fontId="16" type="noConversion"/>
  </si>
  <si>
    <t>tcpconndlsuc_cnt</t>
    <phoneticPr fontId="16" type="noConversion"/>
  </si>
  <si>
    <t>outputoctets_above500</t>
    <phoneticPr fontId="16" type="noConversion"/>
  </si>
  <si>
    <t>inputoctets_above500</t>
    <phoneticPr fontId="16" type="noConversion"/>
  </si>
  <si>
    <t>sum(inputpacket)</t>
  </si>
  <si>
    <t>sum(outputpacket)</t>
  </si>
  <si>
    <t>sum(ultcpreorderingpacket)</t>
  </si>
  <si>
    <t>sum(dltcpreorderingpacket)</t>
  </si>
  <si>
    <t>sum(ulipfragpacks)</t>
  </si>
  <si>
    <t>sum(dlipfragpacks)</t>
  </si>
  <si>
    <t>类型</t>
  </si>
  <si>
    <t>维度说明</t>
    <phoneticPr fontId="16" type="noConversion"/>
  </si>
  <si>
    <t>省份</t>
  </si>
  <si>
    <t>汇聚后记录数</t>
    <phoneticPr fontId="16" type="noConversion"/>
  </si>
  <si>
    <t>时间粒度</t>
    <phoneticPr fontId="16" type="noConversion"/>
  </si>
  <si>
    <t>增加质差定界维度后汇聚记录数</t>
    <phoneticPr fontId="16" type="noConversion"/>
  </si>
  <si>
    <t>dns</t>
    <phoneticPr fontId="16" type="noConversion"/>
  </si>
  <si>
    <t>详单数据</t>
    <phoneticPr fontId="16" type="noConversion"/>
  </si>
  <si>
    <t>interface,supi,msisdn,pei,home_province,rattype,ncgi_ecgi,dnn_apn,upfip,servicetype,gnbip,l4protocol,5qi,nssai_sst,nssai_sd,sourceip_type</t>
    <phoneticPr fontId="16" type="noConversion"/>
  </si>
  <si>
    <t>基础全维度(含sourceip_type)</t>
    <phoneticPr fontId="16" type="noConversion"/>
  </si>
  <si>
    <t>interface,supi,msisdn,pei,home_province,rattype,ncgi_ecgi,dnn_apn,upfip,servicetype,gnbip,l4protocol,5qi,nssai_sst,nssai_sd</t>
    <phoneticPr fontId="16" type="noConversion"/>
  </si>
  <si>
    <t>基础全维度(不含sourceip_type)</t>
    <phoneticPr fontId="16" type="noConversion"/>
  </si>
  <si>
    <t>usr|app|cel</t>
    <phoneticPr fontId="16" type="noConversion"/>
  </si>
  <si>
    <t>用户小区app</t>
    <phoneticPr fontId="16" type="noConversion"/>
  </si>
  <si>
    <t>/</t>
    <phoneticPr fontId="16" type="noConversion"/>
  </si>
  <si>
    <t>other</t>
    <phoneticPr fontId="16" type="noConversion"/>
  </si>
  <si>
    <t>http</t>
    <phoneticPr fontId="16" type="noConversion"/>
  </si>
  <si>
    <t>https</t>
    <phoneticPr fontId="16" type="noConversion"/>
  </si>
  <si>
    <t>video</t>
    <phoneticPr fontId="16" type="noConversion"/>
  </si>
  <si>
    <t>interface,supi,msisdn,pei,home_province,rattype,ncgi_ecgi,dnn_apn,upfip,servicetype,gnbip,l4protocol,5qi,nssai_sst,nssai_sd,video_resolution,video_type,sourceip_type</t>
    <phoneticPr fontId="16" type="noConversion"/>
  </si>
  <si>
    <t>N1N2</t>
    <phoneticPr fontId="16" type="noConversion"/>
  </si>
  <si>
    <t>interface,supi,pei,msisdn,rat,home_province,amf_ip_add,gnb_ip_add,other_cell_id,s_nssai_sst,s_nssai_sd,ci,pdu_session_dnn</t>
    <phoneticPr fontId="16" type="noConversion"/>
  </si>
  <si>
    <t>基础全维度</t>
    <phoneticPr fontId="16" type="noConversion"/>
  </si>
  <si>
    <t>interface,supi,pei,msisdn,home_province,ci</t>
    <phoneticPr fontId="16" type="noConversion"/>
  </si>
  <si>
    <t>用户小区</t>
    <phoneticPr fontId="16" type="noConversion"/>
  </si>
  <si>
    <t>duration</t>
  </si>
  <si>
    <t>duration</t>
    <phoneticPr fontId="16" type="noConversion"/>
  </si>
  <si>
    <t>B</t>
  </si>
  <si>
    <t>sum(duration)</t>
    <phoneticPr fontId="16" type="noConversion"/>
  </si>
  <si>
    <t>基础全维度(增加procedure_type,procedure_status维度)</t>
    <phoneticPr fontId="16" type="noConversion"/>
  </si>
  <si>
    <t>详单</t>
    <phoneticPr fontId="16" type="noConversion"/>
  </si>
  <si>
    <t>15分钟</t>
    <phoneticPr fontId="16" type="noConversion"/>
  </si>
  <si>
    <t>前置</t>
    <phoneticPr fontId="16" type="noConversion"/>
  </si>
  <si>
    <t>否</t>
    <phoneticPr fontId="16" type="noConversion"/>
  </si>
  <si>
    <t>5G电联工参表</t>
    <phoneticPr fontId="16" type="noConversion"/>
  </si>
  <si>
    <t>ul_session_ambr</t>
  </si>
  <si>
    <t>dl_session_ambr</t>
  </si>
  <si>
    <t>基础全维度(增加procedure_type,procedure_status,keyword,failure_cause_type,failure_cause,问题定界,问题定位维度)</t>
    <phoneticPr fontId="16" type="noConversion"/>
  </si>
  <si>
    <t>p_date,p_hour,p_provincecode,interface,supi,pei,msisdn,rat,home_province,amf_ip_add,gnb_ip_add,other_cell_id,s_nssai_sst,s_nssai_sd,ci,pdu_session_dnn,procedure_type,procedure_status,problem_demarcation,problem_position,failure_cause_type,failure_cause,keyword</t>
    <phoneticPr fontId="16" type="noConversion"/>
  </si>
  <si>
    <t>p_date,p_hour,p_provincecode,interface,supi,pei,msisdn,rat,home_province,amf_ip_add,gnb_ip_add,other_cell_id,s_nssai_sst,s_nssai_sd,ci,pdu_session_dnn,procedure_type,procedure_status,problem_demarcation,problem_position,failure_cause_type,failure_cause</t>
    <phoneticPr fontId="16" type="noConversion"/>
  </si>
  <si>
    <t>详单</t>
    <phoneticPr fontId="16" type="noConversion"/>
  </si>
  <si>
    <t>15分钟分区</t>
    <phoneticPr fontId="16" type="noConversion"/>
  </si>
  <si>
    <t>C</t>
    <phoneticPr fontId="16" type="noConversion"/>
  </si>
  <si>
    <t>district</t>
    <phoneticPr fontId="16" type="noConversion"/>
  </si>
  <si>
    <t>city</t>
    <phoneticPr fontId="16" type="noConversion"/>
  </si>
  <si>
    <t>维度层</t>
    <phoneticPr fontId="16" type="noConversion"/>
  </si>
  <si>
    <t>/</t>
    <phoneticPr fontId="16" type="noConversion"/>
  </si>
  <si>
    <t>维表</t>
  </si>
  <si>
    <t>维表数据</t>
  </si>
  <si>
    <t>整合层</t>
    <phoneticPr fontId="16" type="noConversion"/>
  </si>
  <si>
    <t>基础全维度(增加procedure_type,procedure_status,failure_cause_type,failure_cause,问题定界,问题定位维度)</t>
    <phoneticPr fontId="16" type="noConversion"/>
  </si>
  <si>
    <t>double</t>
    <phoneticPr fontId="16" type="noConversion"/>
  </si>
  <si>
    <t>0,1</t>
    <phoneticPr fontId="16" type="noConversion"/>
  </si>
  <si>
    <t/>
  </si>
  <si>
    <t>永久设备标识</t>
  </si>
  <si>
    <t>网络接入标识</t>
  </si>
  <si>
    <t>L4 protocol</t>
  </si>
  <si>
    <t>tcpsetupresponsedelay_seg_1</t>
  </si>
  <si>
    <t>tcpsetupresponsedelay_seg_2</t>
  </si>
  <si>
    <t>tcpsetupresponsedelay_seg_3</t>
  </si>
  <si>
    <t>tcpsetupresponsedelay_seg_4</t>
  </si>
  <si>
    <t>tcpsetupresponsedelay_seg_5</t>
  </si>
  <si>
    <t>tcpsetupackdelay_seg_1</t>
  </si>
  <si>
    <t>tcpsetupackdelay_seg_2</t>
  </si>
  <si>
    <t>tcpsetupackdelay_seg_3</t>
  </si>
  <si>
    <t>tcpsetupackdelay_seg_4</t>
  </si>
  <si>
    <t>tcpsetupackdelay_seg_5</t>
  </si>
  <si>
    <t>outputoctets_sum</t>
  </si>
  <si>
    <t>inputoctets_sum</t>
  </si>
  <si>
    <t>inputpacket_sum</t>
  </si>
  <si>
    <t>outputpacket_sum</t>
  </si>
  <si>
    <t>ultcpreorderingpacket_sum</t>
  </si>
  <si>
    <t>dltcpreorderingpacket_sum</t>
  </si>
  <si>
    <t>ultcpretranspacket_sum</t>
  </si>
  <si>
    <t>dltcpretranspacket_sum</t>
  </si>
  <si>
    <t>ulipfragpacks_sum</t>
  </si>
  <si>
    <t>dlipfragpacks_sum</t>
  </si>
  <si>
    <t>ul_data_transduration_sum</t>
  </si>
  <si>
    <t>tcpconnfail_sum</t>
  </si>
  <si>
    <t>tcpconnreq_sum</t>
  </si>
  <si>
    <t>tcpconnulsuc_sum</t>
  </si>
  <si>
    <t>tcpconndlsuc_sum</t>
  </si>
  <si>
    <t>outputoctets_above500_sum</t>
  </si>
  <si>
    <t>outputoctets_above500_duration_sum</t>
  </si>
  <si>
    <t>inputoctets_above500_sum</t>
  </si>
  <si>
    <t>inputoctets_above500_duration_sum</t>
  </si>
  <si>
    <t>xdr_suc_cnt_sum</t>
  </si>
  <si>
    <t>ul_data_transduration</t>
    <phoneticPr fontId="16" type="noConversion"/>
  </si>
  <si>
    <t>dl_data_transduration</t>
    <phoneticPr fontId="16" type="noConversion"/>
  </si>
  <si>
    <t>province</t>
    <phoneticPr fontId="16" type="noConversion"/>
  </si>
  <si>
    <t>sum(inputoctets)</t>
    <phoneticPr fontId="16" type="noConversion"/>
  </si>
  <si>
    <t>sum(outputoctets)</t>
    <phoneticPr fontId="16" type="noConversion"/>
  </si>
  <si>
    <t>fact_nr_dpi_http_q</t>
  </si>
  <si>
    <t>fact_nr_dpi_http_q</t>
    <phoneticPr fontId="16" type="noConversion"/>
  </si>
  <si>
    <t>5G_DPI_http整合层15分钟表</t>
  </si>
  <si>
    <t>5G_DPI_http整合层15分钟表</t>
    <phoneticPr fontId="16" type="noConversion"/>
  </si>
  <si>
    <t>lte_cm_projdata</t>
    <phoneticPr fontId="16" type="noConversion"/>
  </si>
  <si>
    <t>lte_cucc_cm_projdata</t>
    <phoneticPr fontId="16" type="noConversion"/>
  </si>
  <si>
    <t>4G电信工参</t>
    <phoneticPr fontId="16" type="noConversion"/>
  </si>
  <si>
    <t>B2</t>
    <phoneticPr fontId="16" type="noConversion"/>
  </si>
  <si>
    <t>接口</t>
  </si>
  <si>
    <t>永久用户标识</t>
  </si>
  <si>
    <t>destinationip</t>
  </si>
  <si>
    <t>用户访问的目标IPv4或IPv6地址</t>
  </si>
  <si>
    <t>destinationport</t>
  </si>
  <si>
    <t>用户访问的目标端口号</t>
  </si>
  <si>
    <t>sourceip</t>
  </si>
  <si>
    <t>用户访问外部网络时使用的IPv4或IPv6地址</t>
  </si>
  <si>
    <t>sourceport</t>
  </si>
  <si>
    <t>用户访问外部网络时使用的端口号</t>
  </si>
  <si>
    <t>ncgi_ecgi</t>
  </si>
  <si>
    <t>NCGI：NR 小区全局标识符，MCC+MNC+NRCELLID；</t>
  </si>
  <si>
    <t>用户所接入的网络类型</t>
  </si>
  <si>
    <t>protocolid</t>
  </si>
  <si>
    <t>协议类型，参见附录J</t>
  </si>
  <si>
    <t>starttime</t>
  </si>
  <si>
    <t>业务流开始时间，格式为YYYYMMDDhhmmss（24小时制），如果开启中间记录模式，每条记录都填写相同的开始时间。</t>
  </si>
  <si>
    <t>endtime</t>
  </si>
  <si>
    <t>业务流结束时间，格式为YYYYMMDDhhmmss（24小时制），如果开启中间记录模式，只在最后一条记录填写结束时间。</t>
  </si>
  <si>
    <t>持续时间，单位毫秒</t>
  </si>
  <si>
    <t>inputoctets</t>
  </si>
  <si>
    <t>发给用户的业务字节数</t>
  </si>
  <si>
    <t>outputoctets</t>
  </si>
  <si>
    <t>用户发出的业务字节数</t>
  </si>
  <si>
    <t>inputpacket</t>
  </si>
  <si>
    <t>outputpacket</t>
  </si>
  <si>
    <t>pduconnectionid</t>
  </si>
  <si>
    <t>PDU连接的ID标识号</t>
  </si>
  <si>
    <t>recordclosecause</t>
  </si>
  <si>
    <t>记录关闭原因</t>
  </si>
  <si>
    <t>gnbgtp_teid</t>
  </si>
  <si>
    <t>填写该业务对应承载的gNB侧GTP-TEID</t>
  </si>
  <si>
    <t>upfgtp_teid</t>
  </si>
  <si>
    <t>填写该业务对应承载的UPF侧GTP-TEID</t>
  </si>
  <si>
    <t>ultcpreorderingpacket</t>
  </si>
  <si>
    <t>上行TCP乱序报文数</t>
  </si>
  <si>
    <t>dltcpreorderingpacket</t>
  </si>
  <si>
    <t>下行TCP乱序报文数</t>
  </si>
  <si>
    <t>ultcp_retranspacket</t>
  </si>
  <si>
    <t>上行TCP重传报文数</t>
  </si>
  <si>
    <t>dltcp_retranspacket</t>
  </si>
  <si>
    <t>下行TCP重传报文数</t>
  </si>
  <si>
    <t>tcpsetupresponsedelay</t>
  </si>
  <si>
    <t>TCP建链响应时延（ms）</t>
  </si>
  <si>
    <t>tcpsetupackdelay</t>
  </si>
  <si>
    <t>TCP建链确认时延（ms）</t>
  </si>
  <si>
    <t>ulipfragpacks</t>
  </si>
  <si>
    <t>dlipfragpacks</t>
  </si>
  <si>
    <t>delay_setup_firsttransaction</t>
  </si>
  <si>
    <t>delay_firsttransaction_firstrespackt</t>
  </si>
  <si>
    <t>msssize</t>
  </si>
  <si>
    <t>MSS大小</t>
  </si>
  <si>
    <t>tcpsynnumber</t>
  </si>
  <si>
    <t>TCP建链尝试次数</t>
  </si>
  <si>
    <t>tcpconnectstate</t>
  </si>
  <si>
    <t>TCP连接状态指示</t>
  </si>
  <si>
    <t>sessionstopflag</t>
  </si>
  <si>
    <t>会话是否结束标志</t>
  </si>
  <si>
    <t>5qi</t>
  </si>
  <si>
    <t>userfirsttcpwindow</t>
  </si>
  <si>
    <t>用户侧初始有效TCP窗口大小</t>
  </si>
  <si>
    <t>serverfirsttcpwindow</t>
  </si>
  <si>
    <t>服务器侧初始有效TCP窗口大小</t>
  </si>
  <si>
    <t>userlasttcpwindow</t>
  </si>
  <si>
    <t>用户侧结束有效TCP窗口大小</t>
  </si>
  <si>
    <t>serverlasttcpwindow</t>
  </si>
  <si>
    <t>服务器侧结束有效TCP窗口大小</t>
  </si>
  <si>
    <t>usermintcpwindow</t>
  </si>
  <si>
    <t>用户侧最小有效TCP窗口大小</t>
  </si>
  <si>
    <t>servermintcpwindow</t>
  </si>
  <si>
    <t>服务器侧最小有效TCP窗口大小</t>
  </si>
  <si>
    <t>usermaxtcpwindow</t>
  </si>
  <si>
    <t>用户侧最大有效TCP窗口大小</t>
  </si>
  <si>
    <t>servermaxtcpwindow</t>
  </si>
  <si>
    <t>服务器侧最大有效TCP窗口大小</t>
  </si>
  <si>
    <t>ul_data_transduration</t>
  </si>
  <si>
    <t>dl_datatransduration</t>
  </si>
  <si>
    <t>ul_packet_number_stg1</t>
  </si>
  <si>
    <t>UDP上行包大小个数：包大小 &lt; 15 Byte</t>
  </si>
  <si>
    <t>ul_packet_number_stg2</t>
  </si>
  <si>
    <t>UDP上行包大小个数：15Byte&lt; 包大小 &lt; 36 Byte</t>
  </si>
  <si>
    <t>ul_packet_number_stg3</t>
  </si>
  <si>
    <t>UDP上行包大小个数：36Byte&lt;= 包大小&lt;= 56Byte</t>
  </si>
  <si>
    <t>ul_packet_number_stg4</t>
  </si>
  <si>
    <t>UDP上行包大小个数：包大小 &gt; 56 Byte</t>
  </si>
  <si>
    <t>dl_packet_number_stg1</t>
  </si>
  <si>
    <t>UDP下行包大小个数：包大小 &lt; 15 Byte</t>
  </si>
  <si>
    <t>dl_packet_number_stg2</t>
  </si>
  <si>
    <t>UDP下行包大小个数：15Byte&lt; 包大小 &lt; 36 Byte</t>
  </si>
  <si>
    <t>dl_packet_number_stg3</t>
  </si>
  <si>
    <t>UDP下行包大小个数：36Byte&lt;=包大小&lt;= 56Byte</t>
  </si>
  <si>
    <t>dl_packet_number_stg4</t>
  </si>
  <si>
    <t>UDP下行包大小个数：包大小 &gt; 56 Byte</t>
  </si>
  <si>
    <t>ul_average_packet_size</t>
  </si>
  <si>
    <t>UDP上行平均包大小</t>
  </si>
  <si>
    <t>dl_average_packet_size</t>
  </si>
  <si>
    <t>UDP下行平均包大小</t>
  </si>
  <si>
    <t>ul_average_interval</t>
  </si>
  <si>
    <t>UDP上行平均包间隔</t>
  </si>
  <si>
    <t>dl_average_interval</t>
  </si>
  <si>
    <t>UDP下行平均包间隔</t>
  </si>
  <si>
    <t>ul_average_jitter</t>
  </si>
  <si>
    <t>UDP上行平均包间隔抖动</t>
  </si>
  <si>
    <t>dl_average_jitter</t>
  </si>
  <si>
    <t>UDP下行平均包间隔抖动</t>
  </si>
  <si>
    <t>user_agent</t>
  </si>
  <si>
    <t>User Agent信息</t>
  </si>
  <si>
    <t>destination_url</t>
  </si>
  <si>
    <t>用户访问的目标网站的URL。</t>
  </si>
  <si>
    <t>domain_name</t>
  </si>
  <si>
    <t>外部网站的域名</t>
  </si>
  <si>
    <t>host</t>
  </si>
  <si>
    <t>主机名</t>
  </si>
  <si>
    <t>content_len</t>
  </si>
  <si>
    <t>内容大小</t>
  </si>
  <si>
    <t>content_type</t>
  </si>
  <si>
    <t>内容类型</t>
  </si>
  <si>
    <t>if_link</t>
  </si>
  <si>
    <t>是否是链接访问，0=否，1=是</t>
  </si>
  <si>
    <t>referer</t>
  </si>
  <si>
    <t>链接源信息</t>
  </si>
  <si>
    <t>httpaction</t>
  </si>
  <si>
    <t>HTTP操作类型（1-CONNECT,2-HEAD,3-PUT,4-DELETE,5-POST,6-GET,7-TRACE,8-OPTIONS,9-PATCH,10-MOVE,11-COPY,12-LINK,13-UNLINK,14-WRAPPED,15-其它）</t>
  </si>
  <si>
    <t>httpstatus</t>
  </si>
  <si>
    <t>HTTP状态码，请参照附录A.1 HTTPSTATUS表</t>
  </si>
  <si>
    <t>resp_delay</t>
  </si>
  <si>
    <t>响应时延，单位毫秒</t>
  </si>
  <si>
    <t>behavior_target</t>
  </si>
  <si>
    <t>目标行为，0：会话是用户主动点击的页面；1：站点目标而产生的页面。</t>
  </si>
  <si>
    <t>syntime</t>
  </si>
  <si>
    <t>SYN时间戳</t>
  </si>
  <si>
    <t>synacktime</t>
  </si>
  <si>
    <t>SYNACK时间戳</t>
  </si>
  <si>
    <t>acktime</t>
  </si>
  <si>
    <t>ACK时间戳</t>
  </si>
  <si>
    <t>action_time</t>
  </si>
  <si>
    <t>首个HTTP请求的时间戳</t>
  </si>
  <si>
    <t>first_packet_time</t>
  </si>
  <si>
    <t>第一个数据响应包的时间戳</t>
  </si>
  <si>
    <t>lastpacktime</t>
  </si>
  <si>
    <t>最后一个数据包时间戳</t>
  </si>
  <si>
    <t>http_version</t>
  </si>
  <si>
    <t>HTTP版本</t>
  </si>
  <si>
    <t>first_resptime</t>
  </si>
  <si>
    <t>第一个HTTP响应包时间戳</t>
  </si>
  <si>
    <t>last_acktime</t>
  </si>
  <si>
    <t>最后一个ACK确认包的时间戳</t>
  </si>
  <si>
    <t>cookie</t>
  </si>
  <si>
    <t>flow_id</t>
  </si>
  <si>
    <t>事务所属的流ID</t>
  </si>
  <si>
    <t>transaction_order</t>
  </si>
  <si>
    <t>事务编号</t>
  </si>
  <si>
    <t>title</t>
  </si>
  <si>
    <t>key_word</t>
  </si>
  <si>
    <t>web_browser</t>
  </si>
  <si>
    <t>浏览工具，参考附录F</t>
  </si>
  <si>
    <t>first_fin_ack_time</t>
  </si>
  <si>
    <t>第一个TCP FinAck包时间戳</t>
  </si>
  <si>
    <t>dnsquery_time</t>
  </si>
  <si>
    <t>DNS关联流的请求时间戳。无关联流，此字段填写0</t>
  </si>
  <si>
    <t>dnsresponse_time</t>
  </si>
  <si>
    <t>DNS关联流的应答时间戳。无关联流，此字段填写0</t>
  </si>
  <si>
    <t>dnsflow_id</t>
  </si>
  <si>
    <t>HTTP流与DNS流的关联ID。无关联流时，此字段填写0</t>
  </si>
  <si>
    <t>first_screen_fin_time</t>
  </si>
  <si>
    <t>首屏完成时间戳，默认值0。算法见《中国电信移动互联网业务感知质量评价细则》</t>
  </si>
  <si>
    <t>transactions</t>
  </si>
  <si>
    <t>同一个流中的事务计数</t>
  </si>
  <si>
    <t>http请求次数</t>
  </si>
  <si>
    <t>http请求成功次数</t>
  </si>
  <si>
    <t>http_complete_cnt</t>
  </si>
  <si>
    <t>http请求完成次数</t>
  </si>
  <si>
    <t>http无响应次数</t>
  </si>
  <si>
    <t>DNS建立完成到TCP握手时延</t>
  </si>
  <si>
    <t>TCP建立时延</t>
  </si>
  <si>
    <t>httpwebrspdelay</t>
  </si>
  <si>
    <t>网页首包时延，也叫网页响应时延</t>
  </si>
  <si>
    <t>网页显示时延，也叫网页完整打开时延</t>
  </si>
  <si>
    <t>business_type</t>
  </si>
  <si>
    <t>是否质差话单</t>
  </si>
  <si>
    <t>服务质量指示</t>
    <phoneticPr fontId="16" type="noConversion"/>
  </si>
  <si>
    <t>直取</t>
    <phoneticPr fontId="16" type="noConversion"/>
  </si>
  <si>
    <t>ncgi_ecgi：
4601131689682943</t>
    <phoneticPr fontId="16" type="noConversion"/>
  </si>
  <si>
    <t>tai：460-11-8527873</t>
    <phoneticPr fontId="16" type="noConversion"/>
  </si>
  <si>
    <t>cellkey</t>
    <phoneticPr fontId="16" type="noConversion"/>
  </si>
  <si>
    <t>小区cellkey</t>
    <phoneticPr fontId="16" type="noConversion"/>
  </si>
  <si>
    <t>是否核心网问题</t>
  </si>
  <si>
    <t>是否无线网络问题</t>
  </si>
  <si>
    <t>网页首包时延，也叫网页响应时延</t>
    <phoneticPr fontId="16" type="noConversion"/>
  </si>
  <si>
    <t>TCP建链成功到第一条事务请求的时延（ms）。首包请求时延</t>
    <phoneticPr fontId="16" type="noConversion"/>
  </si>
  <si>
    <t>第一条事务请求到其第一个响应包时延（ms）。首包响应时延</t>
    <phoneticPr fontId="16" type="noConversion"/>
  </si>
  <si>
    <t>地市编码</t>
    <phoneticPr fontId="16" type="noConversion"/>
  </si>
  <si>
    <t>区县编码</t>
    <phoneticPr fontId="16" type="noConversion"/>
  </si>
  <si>
    <t>省名称</t>
    <phoneticPr fontId="16" type="noConversion"/>
  </si>
  <si>
    <t>地市名称</t>
    <phoneticPr fontId="16" type="noConversion"/>
  </si>
  <si>
    <t>区县名称</t>
    <phoneticPr fontId="16" type="noConversion"/>
  </si>
  <si>
    <r>
      <t xml:space="preserve">基站ID_小区ID
</t>
    </r>
    <r>
      <rPr>
        <sz val="9"/>
        <color rgb="FFFF0000"/>
        <rFont val="微软雅黑"/>
        <family val="2"/>
        <charset val="134"/>
      </rPr>
      <t>当interface=1时：</t>
    </r>
    <r>
      <rPr>
        <sz val="9"/>
        <color theme="1"/>
        <rFont val="微软雅黑"/>
        <family val="2"/>
        <charset val="134"/>
      </rPr>
      <t xml:space="preserve">
基站ID：int(cast(substr(ncgi_ecgi,6) as bigint)/256)
小区ID：int(cast(substr(ncgi_ecgi,6) as bigint) %256)
</t>
    </r>
    <r>
      <rPr>
        <sz val="9"/>
        <color rgb="FFFF0000"/>
        <rFont val="微软雅黑"/>
        <family val="2"/>
        <charset val="134"/>
      </rPr>
      <t>当interface!=1时：</t>
    </r>
    <r>
      <rPr>
        <sz val="9"/>
        <color theme="1"/>
        <rFont val="微软雅黑"/>
        <family val="2"/>
        <charset val="134"/>
      </rPr>
      <t xml:space="preserve">
基站ID：int(cast(substr(ncgi_ecgi,6) as bigint)/4096)
小区ID：int(cast(substr(ncgi_ecgi,6) as bigint) %4096)</t>
    </r>
    <phoneticPr fontId="16" type="noConversion"/>
  </si>
  <si>
    <t>case when tcpsetupresponsedelay&gt;0 and tcpsetupresponsedelay&lt;50000  then tcpsetupresponsedelay else null  end</t>
    <phoneticPr fontId="16" type="noConversion"/>
  </si>
  <si>
    <t>case when delay_setup_firsttransaction&gt;0 and delay_setup_firsttransaction&lt;100000 then delay_setup_firsttransaction else null end</t>
    <phoneticPr fontId="16" type="noConversion"/>
  </si>
  <si>
    <t>case when delay_firsttransaction_firstrespackt&gt;0 and delay_firsttransaction_firstrespackt&lt;100000 then delay_firsttransaction_firstrespackt else null end</t>
    <phoneticPr fontId="16" type="noConversion"/>
  </si>
  <si>
    <t>resp_delay</t>
    <phoneticPr fontId="16" type="noConversion"/>
  </si>
  <si>
    <t>case when httpstatus&gt;0 and httpstatus&lt;400 and  lastpacktime&gt;0 then 1 else 0 end</t>
  </si>
  <si>
    <t>case when httpstatus&gt;0 and httpstatus&lt;400  then 1 else 0 end</t>
    <phoneticPr fontId="16" type="noConversion"/>
  </si>
  <si>
    <t>case when  dnsquery_time&gt;0 and dnsresponse_time&gt;dnsquery_time and dnsresponse_time - dnsquery_time &lt; 30000 then  dnsresponse_time-dnsquery_time else null end</t>
    <phoneticPr fontId="16" type="noConversion"/>
  </si>
  <si>
    <t>case when tcpsetupresponsedelay &gt;=0  and tcpsetupackdelay &gt;=0 and (tcpsetupresponsedelay+tcpsetupackdelay) &lt;50000 then  tcpsetupresponsedelay+tcpsetupackdelay else null end</t>
    <phoneticPr fontId="16" type="noConversion"/>
  </si>
  <si>
    <t>DNS响应时延</t>
    <phoneticPr fontId="16" type="noConversion"/>
  </si>
  <si>
    <t>dnsresponse_delay</t>
    <phoneticPr fontId="16" type="noConversion"/>
  </si>
  <si>
    <t>网页首屏时延</t>
    <phoneticPr fontId="16" type="noConversion"/>
  </si>
  <si>
    <t>ods_5gdpi_http_e2e_telecom_origin_q</t>
    <phoneticPr fontId="16" type="noConversion"/>
  </si>
  <si>
    <t>配置表</t>
    <phoneticPr fontId="16" type="noConversion"/>
  </si>
  <si>
    <t>m.weibo.cn</t>
  </si>
  <si>
    <t>xw.qq.com</t>
  </si>
  <si>
    <t>m.jd.com</t>
  </si>
  <si>
    <t>m.360.com</t>
  </si>
  <si>
    <t>3g.163.com/touch</t>
  </si>
  <si>
    <t>189.cn</t>
  </si>
  <si>
    <t>sina.cn</t>
  </si>
  <si>
    <t>m.sohu.com</t>
  </si>
  <si>
    <t>m.taobao.com</t>
  </si>
  <si>
    <t>m.baidu.com</t>
  </si>
  <si>
    <t>www.apple.com/cn</t>
  </si>
  <si>
    <t>i.ifeng.com</t>
  </si>
  <si>
    <t>www.epicc.com.cn/m</t>
  </si>
  <si>
    <t>www.mojing.cn</t>
  </si>
  <si>
    <t>m.kugou.com</t>
  </si>
  <si>
    <t>m.iqiyi.com</t>
  </si>
  <si>
    <t>hlddz.qq.com/m</t>
  </si>
  <si>
    <t>wap.eastmoney.com/iphone/default.shtml</t>
  </si>
  <si>
    <t>m.58.com</t>
  </si>
  <si>
    <t>m.tool.chinaz.com</t>
  </si>
  <si>
    <t>www.youku.com</t>
  </si>
  <si>
    <t>www.xunlei.com</t>
  </si>
  <si>
    <t>www.ijinshan.com</t>
  </si>
  <si>
    <t>www.360doc.cn</t>
  </si>
  <si>
    <t>www.oppo.cn</t>
  </si>
  <si>
    <t>www.imicang.com</t>
  </si>
  <si>
    <t>api.ixiaoyuanzhi.com</t>
  </si>
  <si>
    <t>adgomob.com</t>
  </si>
  <si>
    <t>igexin.com/wap/index.html</t>
  </si>
  <si>
    <t>m.pingan.com</t>
  </si>
  <si>
    <t>m.ce.cn</t>
  </si>
  <si>
    <t>www.umeng.com</t>
  </si>
  <si>
    <t>m.pptv.com</t>
  </si>
  <si>
    <t>m.kuwo.cn</t>
  </si>
  <si>
    <t>m.le.com</t>
  </si>
  <si>
    <t>a.vmall.com</t>
  </si>
  <si>
    <t>music.163.com/m</t>
  </si>
  <si>
    <t>tianqi.moji.com</t>
  </si>
  <si>
    <t>www.yidianzixun.com</t>
  </si>
  <si>
    <t>wap.yy.com</t>
  </si>
  <si>
    <t>m.ximalaya.com</t>
  </si>
  <si>
    <t>www.xianshuabao.com</t>
  </si>
  <si>
    <t>m.sm.cn</t>
  </si>
  <si>
    <t>m.ctrip.com</t>
  </si>
  <si>
    <t>m.pinduoduo.com</t>
  </si>
  <si>
    <t>m.365yg.com</t>
  </si>
  <si>
    <t>xiangqi.qq.com/m</t>
  </si>
  <si>
    <t>h.xiami.com</t>
  </si>
  <si>
    <t>www.xiaohongshu.com</t>
  </si>
  <si>
    <t>a.9game.cn</t>
  </si>
  <si>
    <t>speedm.qq.com/m</t>
  </si>
  <si>
    <t>waimai.baidu.com</t>
  </si>
  <si>
    <t>m.weather.com.cn</t>
  </si>
  <si>
    <t>www.samsung.com/cn</t>
  </si>
  <si>
    <t>m.qingting.fm</t>
  </si>
  <si>
    <t>www.happyelements.com</t>
  </si>
  <si>
    <t>m.kuaikanmanhua.com</t>
  </si>
  <si>
    <t>m.zhuishushenqi.com</t>
  </si>
  <si>
    <t>touch.qunar.com</t>
  </si>
  <si>
    <t>h5.mizhe.com</t>
  </si>
  <si>
    <t>www.tianya.cn/m</t>
  </si>
  <si>
    <t>m.shihuo.cn</t>
  </si>
  <si>
    <t>activity.renren.com</t>
  </si>
  <si>
    <t>m.pcauto.com.cn</t>
  </si>
  <si>
    <t>www.chelun.com</t>
  </si>
  <si>
    <t>m.39.net</t>
  </si>
  <si>
    <t>cn.bing.com/ditu</t>
  </si>
  <si>
    <t>m.gameabc.com/mobile</t>
  </si>
  <si>
    <t>cn.bing.com</t>
  </si>
  <si>
    <t>www.baidu.com</t>
  </si>
  <si>
    <t>ditu.amap.com</t>
  </si>
  <si>
    <t>weread.qq.com</t>
  </si>
  <si>
    <t>www.iqiyi.com</t>
  </si>
  <si>
    <t>www.jd.com</t>
  </si>
  <si>
    <t>www.kpd00.com</t>
  </si>
  <si>
    <t>yiyilicai.cn</t>
  </si>
  <si>
    <t>www.taobao.com</t>
  </si>
  <si>
    <t>cbox.cntv.cn</t>
  </si>
  <si>
    <t>www.eastmoney.com</t>
  </si>
  <si>
    <t>host</t>
    <phoneticPr fontId="16" type="noConversion"/>
  </si>
  <si>
    <t>host_id</t>
  </si>
  <si>
    <t>host_id</t>
    <phoneticPr fontId="16" type="noConversion"/>
  </si>
  <si>
    <t>网址ID</t>
    <phoneticPr fontId="16" type="noConversion"/>
  </si>
  <si>
    <t>网址</t>
    <phoneticPr fontId="16" type="noConversion"/>
  </si>
  <si>
    <t>httpwebscreendelay</t>
    <phoneticPr fontId="16" type="noConversion"/>
  </si>
  <si>
    <t>通过host关联C表，能关联上则取1，否则取0</t>
    <phoneticPr fontId="16" type="noConversion"/>
  </si>
  <si>
    <t>是否用于计算首屏时延的主流网址（1：是；0：否）</t>
    <phoneticPr fontId="16" type="noConversion"/>
  </si>
  <si>
    <t>业务类型（im、web、game、video、other）</t>
    <phoneticPr fontId="16" type="noConversion"/>
  </si>
  <si>
    <t>(0,50000)</t>
    <phoneticPr fontId="16" type="noConversion"/>
  </si>
  <si>
    <t>(0,100000)</t>
    <phoneticPr fontId="16" type="noConversion"/>
  </si>
  <si>
    <t>1,0</t>
    <phoneticPr fontId="16" type="noConversion"/>
  </si>
  <si>
    <t>(0,30000)</t>
    <phoneticPr fontId="16" type="noConversion"/>
  </si>
  <si>
    <t>(0,10000)</t>
    <phoneticPr fontId="16" type="noConversion"/>
  </si>
  <si>
    <t>im,web,game,video,other</t>
    <phoneticPr fontId="16" type="noConversion"/>
  </si>
  <si>
    <t>A.cellkey=B1.cellkey</t>
    <phoneticPr fontId="16" type="noConversion"/>
  </si>
  <si>
    <t>A.cellkey=B2.reportcellkey</t>
    <phoneticPr fontId="16" type="noConversion"/>
  </si>
  <si>
    <t>A.cellkey=B3.cellkey</t>
    <phoneticPr fontId="16" type="noConversion"/>
  </si>
  <si>
    <t>A.host=C.host</t>
    <phoneticPr fontId="16" type="noConversion"/>
  </si>
  <si>
    <t>用户访问外部网络时使用的IP类型（IPv4/IPv6）</t>
    <phoneticPr fontId="16" type="noConversion"/>
  </si>
  <si>
    <t>outputoctets_above500_cnt_sum</t>
  </si>
  <si>
    <t>outputoctets_above500_highdelay_sum</t>
  </si>
  <si>
    <t>inputoctets_above500_cnt_sum</t>
  </si>
  <si>
    <t>inputoctets_above500_highdelay_sum</t>
  </si>
  <si>
    <t>httpwebreqcount</t>
  </si>
  <si>
    <t>Http请求次数</t>
  </si>
  <si>
    <t>httpwebrspcount</t>
  </si>
  <si>
    <t>http_no_response_cnt_sum</t>
  </si>
  <si>
    <t>httpstatus_1xx</t>
  </si>
  <si>
    <t>httpstatus_2xx</t>
  </si>
  <si>
    <t>Http状态2xx次数</t>
  </si>
  <si>
    <t>httpstatus_3xx</t>
  </si>
  <si>
    <t>Http状态3xx次数</t>
  </si>
  <si>
    <t>httpstatus_4xx</t>
  </si>
  <si>
    <t>Http状态4xx次数</t>
  </si>
  <si>
    <t>httpstatus_5xx</t>
  </si>
  <si>
    <t>Http状态5xx次数</t>
  </si>
  <si>
    <t>tcpsetupresponsedelay_cnt_sum</t>
  </si>
  <si>
    <t>tcpsetupackdelay_cnt_sum</t>
  </si>
  <si>
    <t>delay_setup_firsttransaction_cnt_sum</t>
  </si>
  <si>
    <t>TCP事务首次请求次数</t>
  </si>
  <si>
    <t>delay_firsttransaction_firstrespackt_cnt_sum</t>
  </si>
  <si>
    <t>TCP事务首次响应次数</t>
  </si>
  <si>
    <t>httpwebscreencnt_sum</t>
  </si>
  <si>
    <t>httpwebscreendelay_sum</t>
  </si>
  <si>
    <t>respdelay_sum</t>
  </si>
  <si>
    <t>http_throughput_under500_duartion</t>
  </si>
  <si>
    <t>http_throughput_under500_suc_cnt_sum</t>
  </si>
  <si>
    <t>小页面显示成功次数（内容&lt;500KB）</t>
  </si>
  <si>
    <t>http_throughput_above500_duartion_sum</t>
  </si>
  <si>
    <t>aggr_nr_dpi_http_base_q</t>
  </si>
  <si>
    <t>aggr_nr_dpi_http_base_q</t>
    <phoneticPr fontId="16" type="noConversion"/>
  </si>
  <si>
    <t>5G_DPI_http基础维度15分钟表</t>
  </si>
  <si>
    <t>5G_DPI_http基础维度15分钟表</t>
    <phoneticPr fontId="16" type="noConversion"/>
  </si>
  <si>
    <t>根据sourceip回填属于IPV6/IPV4</t>
    <phoneticPr fontId="16" type="noConversion"/>
  </si>
  <si>
    <t>ipv4,ipv6</t>
    <phoneticPr fontId="16" type="noConversion"/>
  </si>
  <si>
    <t>yyyy-mm-dd</t>
  </si>
  <si>
    <t>0~23</t>
  </si>
  <si>
    <t>0~3</t>
  </si>
  <si>
    <t>&lt;=101</t>
  </si>
  <si>
    <t>6,10</t>
  </si>
  <si>
    <t>6位数编码</t>
  </si>
  <si>
    <t>0,1</t>
  </si>
  <si>
    <t>ul_above500_throughput_low_cnt_sum</t>
  </si>
  <si>
    <t>dl_above500_throughput_low_cnt_sum</t>
  </si>
  <si>
    <t>dl_above500_throughput_inferior_cnt_sum</t>
  </si>
  <si>
    <t>ul_data_transduration_cnt_sum</t>
  </si>
  <si>
    <t>dl_data_transduration_cnt_sum</t>
  </si>
  <si>
    <t>Http状态1xx次数</t>
  </si>
  <si>
    <t>小页面显示总时长（内容&lt;500KB）</t>
  </si>
  <si>
    <t>HTTP下载时长（s）（内容&gt;=500KB）</t>
  </si>
  <si>
    <t>http_400_cnt</t>
  </si>
  <si>
    <t>HTTP结果为400次数</t>
  </si>
  <si>
    <t>http_401_cnt</t>
  </si>
  <si>
    <t>HTTP结果为401次数</t>
  </si>
  <si>
    <t>http_402_cnt</t>
  </si>
  <si>
    <t>HTTP结果为402次数</t>
  </si>
  <si>
    <t>http_403_cnt</t>
  </si>
  <si>
    <t>HTTP结果为403次数</t>
  </si>
  <si>
    <t>http_404_cnt</t>
  </si>
  <si>
    <t>HTTP结果为404次数</t>
  </si>
  <si>
    <t>http_405_cnt</t>
  </si>
  <si>
    <t>HTTP结果为405次数</t>
  </si>
  <si>
    <t>http_406_cnt</t>
  </si>
  <si>
    <t>HTTP结果为406次数</t>
  </si>
  <si>
    <t>http_407_cnt</t>
  </si>
  <si>
    <t>HTTP结果为407次数</t>
  </si>
  <si>
    <t>http_408_cnt</t>
  </si>
  <si>
    <t>HTTP结果为408次数</t>
  </si>
  <si>
    <t>http_409_cnt</t>
  </si>
  <si>
    <t>HTTP结果为409次数</t>
  </si>
  <si>
    <t>http_410_cnt</t>
  </si>
  <si>
    <t>HTTP结果为410次数</t>
  </si>
  <si>
    <t>http_411_cnt</t>
  </si>
  <si>
    <t>HTTP结果为411次数</t>
  </si>
  <si>
    <t>http_412_cnt</t>
  </si>
  <si>
    <t>HTTP结果为412次数</t>
  </si>
  <si>
    <t>http_413_cnt</t>
  </si>
  <si>
    <t>HTTP结果为413次数</t>
  </si>
  <si>
    <t>http_414_cnt</t>
  </si>
  <si>
    <t>HTTP结果为414次数</t>
  </si>
  <si>
    <t>http_415_cnt</t>
  </si>
  <si>
    <t>HTTP结果为415次数</t>
  </si>
  <si>
    <t>http_416_cnt</t>
  </si>
  <si>
    <t>HTTP结果为416次数</t>
  </si>
  <si>
    <t>http_417_cnt</t>
  </si>
  <si>
    <t>HTTP结果为417次数</t>
  </si>
  <si>
    <t>http_421_cnt</t>
  </si>
  <si>
    <t>HTTP结果为421次数</t>
  </si>
  <si>
    <t>http_422_cnt</t>
  </si>
  <si>
    <t>HTTP结果为422次数</t>
  </si>
  <si>
    <t>http_423_cnt</t>
  </si>
  <si>
    <t>HTTP结果为423次数</t>
  </si>
  <si>
    <t>http_424_cnt</t>
  </si>
  <si>
    <t>HTTP结果为424次数</t>
  </si>
  <si>
    <t>http_425_cnt</t>
  </si>
  <si>
    <t>HTTP结果为425次数</t>
  </si>
  <si>
    <t>http_426_cnt</t>
  </si>
  <si>
    <t>HTTP结果为426次数</t>
  </si>
  <si>
    <t>http_449_cnt</t>
  </si>
  <si>
    <t>HTTP结果为449次数</t>
  </si>
  <si>
    <t>http_500_cnt</t>
  </si>
  <si>
    <t>HTTP结果为500次数</t>
  </si>
  <si>
    <t>http_501_cnt</t>
  </si>
  <si>
    <t>HTTP结果为501次数</t>
  </si>
  <si>
    <t>http_502_cnt</t>
  </si>
  <si>
    <t>HTTP结果为502次数</t>
  </si>
  <si>
    <t>http_503_cnt</t>
  </si>
  <si>
    <t>HTTP结果为503次数</t>
  </si>
  <si>
    <t>http_504_cnt</t>
  </si>
  <si>
    <t>HTTP结果为504次数</t>
  </si>
  <si>
    <t>http_505_cnt</t>
  </si>
  <si>
    <t>HTTP结果为505次数</t>
  </si>
  <si>
    <t>http_506_cnt</t>
  </si>
  <si>
    <t>HTTP结果为506次数</t>
  </si>
  <si>
    <t>http_507_cnt</t>
  </si>
  <si>
    <t>HTTP结果为507次数</t>
  </si>
  <si>
    <t>http_509_cnt</t>
  </si>
  <si>
    <t>HTTP结果为509次数</t>
  </si>
  <si>
    <t>http_510_cnt</t>
  </si>
  <si>
    <t>HTTP结果为510次数</t>
  </si>
  <si>
    <t>上行流量(byte)</t>
    <phoneticPr fontId="16" type="noConversion"/>
  </si>
  <si>
    <t>DNS建立完成到TCP握手时延</t>
    <phoneticPr fontId="16" type="noConversion"/>
  </si>
  <si>
    <t>case when  dnsresponse_time&gt;0 and syntime&gt;dnsresponse_time and syntime-dnsresponse&lt;50000 then  syntime-dnsresponse_time else null end</t>
    <phoneticPr fontId="16" type="noConversion"/>
  </si>
  <si>
    <t>s</t>
  </si>
  <si>
    <t>outputoctets_above500_cnt</t>
    <phoneticPr fontId="16" type="noConversion"/>
  </si>
  <si>
    <t>sum(case when outputoctets&gt;=500*1024 then 1  else 0 end)</t>
    <phoneticPr fontId="16" type="noConversion"/>
  </si>
  <si>
    <t>sum(case when inputoctets&gt;=500*1024 then 1  else 0 end)</t>
  </si>
  <si>
    <t>sum(ultcp_retranspacket)</t>
  </si>
  <si>
    <t>sum(dltcp_retranspacket)</t>
  </si>
  <si>
    <t>sum(http_req_cnt)</t>
  </si>
  <si>
    <t xml:space="preserve">sum(http_succ_cnt) </t>
  </si>
  <si>
    <t>sum(case when tcpconnectstate=0 or sessionstopflag=1 then 1 else 0 end)</t>
  </si>
  <si>
    <t>sum(case when tcpsetupresponsedelay&gt;0 and tcpsetupackdelay&gt;0 then  1 else 0 end)</t>
  </si>
  <si>
    <t>sum(ul_data_transduration)</t>
  </si>
  <si>
    <t>sum(case when outputoctets&gt;=500*1024 and  tcpsetupresponsedelay&gt;100  then 1  else 0 end)</t>
    <phoneticPr fontId="16" type="noConversion"/>
  </si>
  <si>
    <t>sum(case when outputoctets&gt;=500*1024 and outputoctets/ul_data_transduration*8*1000/1024/1024&lt;1  then 1 else 0 end)</t>
    <phoneticPr fontId="16" type="noConversion"/>
  </si>
  <si>
    <t>sum(case when inputoctets&gt;=500*1024  and tcpsetupackdelay&gt;100   then 1  else 0 end)</t>
    <phoneticPr fontId="16" type="noConversion"/>
  </si>
  <si>
    <t>sum(case when inputoctets&gt;=500*1024 and inputoctets/dl_data_transduration*8*1000/1024/1024&lt;1  then 1 else 0 end)</t>
  </si>
  <si>
    <t>sum(case when inputoctets&gt;=500*1024 and inputoctets/dl_data_transduration*8*1000/1024/1024&lt;3  then 1 else 0 end)</t>
  </si>
  <si>
    <t>sum(dl_data_transduration)</t>
  </si>
  <si>
    <t>sum(case when tcpconnectstate=1 then  1  else 0 end)</t>
    <phoneticPr fontId="16" type="noConversion"/>
  </si>
  <si>
    <t>sum(case when tcpsynnumber&gt;0 then 1 else 0 end)</t>
    <phoneticPr fontId="16" type="noConversion"/>
  </si>
  <si>
    <t>sum(case when ul_data_transduration&gt;0 then 1 else 0 end)</t>
    <phoneticPr fontId="16" type="noConversion"/>
  </si>
  <si>
    <t>sum(case when dl_data_transduration&gt;0 then 1 else 0 end)</t>
    <phoneticPr fontId="16" type="noConversion"/>
  </si>
  <si>
    <t>sum(case when ul_data_transduration&gt;0 and  outputoctets&gt;=500*1024 then ul_data_transduration else 0 end)</t>
    <phoneticPr fontId="16" type="noConversion"/>
  </si>
  <si>
    <t>sum(case when ul_data_transduration&gt;0 and  outputoctets&gt;=500*1024 then outputoctets else 0 end)</t>
    <phoneticPr fontId="16" type="noConversion"/>
  </si>
  <si>
    <t>sum(case when dl_data_transduration&gt;0 and  inputoctets&gt;=500*1024 then dl_data_transduration else 0 end)</t>
    <phoneticPr fontId="16" type="noConversion"/>
  </si>
  <si>
    <t>sum(case when dl_data_transduration&gt;0 and  inputoctets&gt;=500*1024 then inputoctets else 0 end)</t>
    <phoneticPr fontId="16" type="noConversion"/>
  </si>
  <si>
    <t>count(case when tcpsetupresponsedelay&gt;=0 and tcpsetupresponsedelay&lt;50 then 1 else null end)</t>
    <phoneticPr fontId="16" type="noConversion"/>
  </si>
  <si>
    <t>count(case when tcpsetupresponsedelay&gt;=50 and tcpsetupresponsedelay&lt;100 then 1 else null end)</t>
    <phoneticPr fontId="16" type="noConversion"/>
  </si>
  <si>
    <t>count(case when tcpsetupresponsedelay&gt;=100 and tcpsetupresponsedelay&lt;150 then 1 else null end)</t>
    <phoneticPr fontId="16" type="noConversion"/>
  </si>
  <si>
    <t>count(case when tcpsetupresponsedelay&gt;=150 and tcpsetupresponsedelay&lt;200 then 1 else null end)</t>
    <phoneticPr fontId="16" type="noConversion"/>
  </si>
  <si>
    <t>count(case when tcpsetupresponsedelay&gt;=200 and tcpsetupresponsedelay&lt;50000 then 1 else null end)</t>
    <phoneticPr fontId="16" type="noConversion"/>
  </si>
  <si>
    <t>count(case when tcpsetupackdelay&gt;=0 and tcpsetupackdelay&lt;50 then 1 else null end)</t>
  </si>
  <si>
    <t>count(case when tcpsetupackdelay&gt;=50 and tcpsetupackdelay&lt;100 then 1 else null end)</t>
  </si>
  <si>
    <t>count(case when tcpsetupackdelay&gt;=100 and tcpsetupackdelay&lt;150 then 1 else null end)</t>
  </si>
  <si>
    <t>count(case when tcpsetupackdelay&gt;=150 and tcpsetupackdelay&lt;200 then 1 else null end)</t>
  </si>
  <si>
    <t>count(case when tcpsetupackdelay&gt;=200 and tcpsetupackdelay&lt;50000 then 1 else null end)</t>
  </si>
  <si>
    <t>count(httpwebscreendelay)</t>
    <phoneticPr fontId="16" type="noConversion"/>
  </si>
  <si>
    <t>http_throughput_under500_duartion</t>
    <phoneticPr fontId="16" type="noConversion"/>
  </si>
  <si>
    <t>httpwebdspdelay</t>
    <phoneticPr fontId="16" type="noConversion"/>
  </si>
  <si>
    <t>sum(case when  inputoctets&lt;500*1024 and httpwebdspdelay&lt;3600000  then httpwebdspdelay else 0 end)</t>
    <phoneticPr fontId="16" type="noConversion"/>
  </si>
  <si>
    <t>sum(case when InputOctets&lt;500*1024 and httpwebdspdelay&lt;3600000 then 1 else 0 end)</t>
    <phoneticPr fontId="16" type="noConversion"/>
  </si>
  <si>
    <t>sum(case when inputoctets&gt;=500*1024 then  httpwebdspdelay else 0 end)</t>
    <phoneticPr fontId="16" type="noConversion"/>
  </si>
  <si>
    <t>outputoctets_above500_highdelay_cnt</t>
    <phoneticPr fontId="16" type="noConversion"/>
  </si>
  <si>
    <t>ul_above500_throughput_low_cnt</t>
    <phoneticPr fontId="16" type="noConversion"/>
  </si>
  <si>
    <t>inputoctets_above500_cnt</t>
    <phoneticPr fontId="16" type="noConversion"/>
  </si>
  <si>
    <t>inputoctets_above500_highdelay_cnt</t>
    <phoneticPr fontId="16" type="noConversion"/>
  </si>
  <si>
    <t>dl_above500_throughput_low_cnt</t>
    <phoneticPr fontId="16" type="noConversion"/>
  </si>
  <si>
    <t>dl_above500_throughput_inferior_cnt</t>
    <phoneticPr fontId="16" type="noConversion"/>
  </si>
  <si>
    <t>ul_data_transduration_cnt</t>
    <phoneticPr fontId="16" type="noConversion"/>
  </si>
  <si>
    <t>dl_data_transduration_cnt</t>
    <phoneticPr fontId="16" type="noConversion"/>
  </si>
  <si>
    <t>http_req_cnt</t>
    <phoneticPr fontId="16" type="noConversion"/>
  </si>
  <si>
    <t>http_succ_cnt</t>
    <phoneticPr fontId="16" type="noConversion"/>
  </si>
  <si>
    <t>Http请求成功次数</t>
    <phoneticPr fontId="16" type="noConversion"/>
  </si>
  <si>
    <t>http_complete_cnt</t>
    <phoneticPr fontId="16" type="noConversion"/>
  </si>
  <si>
    <t>sum(http_complete_cnt)</t>
    <phoneticPr fontId="16" type="noConversion"/>
  </si>
  <si>
    <t>delay_setup_firsttransaction</t>
    <phoneticPr fontId="16" type="noConversion"/>
  </si>
  <si>
    <t>delay_setup_firsttransaction_cnt</t>
    <phoneticPr fontId="16" type="noConversion"/>
  </si>
  <si>
    <t>delay_firsttransaction_firstrespackt</t>
    <phoneticPr fontId="16" type="noConversion"/>
  </si>
  <si>
    <t>delay_firsttransaction_firstrespackt_cnt</t>
    <phoneticPr fontId="16" type="noConversion"/>
  </si>
  <si>
    <t>TCP建链响应时延_avg</t>
    <phoneticPr fontId="16" type="noConversion"/>
  </si>
  <si>
    <t>avg(tcpsetupresponsedelay)</t>
    <phoneticPr fontId="16" type="noConversion"/>
  </si>
  <si>
    <t>avg(tcpsetupackdelay)</t>
    <phoneticPr fontId="16" type="noConversion"/>
  </si>
  <si>
    <t>tcpsetupackdelay_avg</t>
    <phoneticPr fontId="16" type="noConversion"/>
  </si>
  <si>
    <t>TOP网址首屏时延分析配置表</t>
    <phoneticPr fontId="16" type="noConversion"/>
  </si>
  <si>
    <t>TOP网址网页首屏完成次数</t>
    <phoneticPr fontId="16" type="noConversion"/>
  </si>
  <si>
    <t>TOP网址网页首屏时延</t>
    <phoneticPr fontId="16" type="noConversion"/>
  </si>
  <si>
    <t>is_topweb_first_screen_host</t>
    <phoneticPr fontId="16" type="noConversion"/>
  </si>
  <si>
    <t>cfg_topweb_first_screen_host_list</t>
    <phoneticPr fontId="16" type="noConversion"/>
  </si>
  <si>
    <t>httpwebrspdelay</t>
    <phoneticPr fontId="16" type="noConversion"/>
  </si>
  <si>
    <t>httpwebscreen_cnt</t>
    <phoneticPr fontId="16" type="noConversion"/>
  </si>
  <si>
    <t>top_httpwebscreen_cnt</t>
    <phoneticPr fontId="16" type="noConversion"/>
  </si>
  <si>
    <t>avg(httpwebscreendelay)</t>
    <phoneticPr fontId="16" type="noConversion"/>
  </si>
  <si>
    <t>响应时延</t>
    <phoneticPr fontId="16" type="noConversion"/>
  </si>
  <si>
    <t>respdelay</t>
    <phoneticPr fontId="16" type="noConversion"/>
  </si>
  <si>
    <t>avg(delay_firsttransaction_firstrespackt)</t>
    <phoneticPr fontId="16" type="noConversion"/>
  </si>
  <si>
    <t>网页首屏时延(ms)</t>
    <phoneticPr fontId="16" type="noConversion"/>
  </si>
  <si>
    <t>网页首屏完成次数</t>
    <phoneticPr fontId="16" type="noConversion"/>
  </si>
  <si>
    <t>avg(delay_setup_firsttransaction)</t>
    <phoneticPr fontId="16" type="noConversion"/>
  </si>
  <si>
    <t>TCP建链成功到第一条事务请求的时延（ms）</t>
    <phoneticPr fontId="16" type="noConversion"/>
  </si>
  <si>
    <t>avg(tcpsetupdelay)</t>
    <phoneticPr fontId="16" type="noConversion"/>
  </si>
  <si>
    <t>TCP建立时延(ms)</t>
    <phoneticPr fontId="16" type="noConversion"/>
  </si>
  <si>
    <t>第一条事务请求到其第一个响应包时延（ms）</t>
    <phoneticPr fontId="16" type="noConversion"/>
  </si>
  <si>
    <t>avg(httpwebrspdelay)</t>
    <phoneticPr fontId="16" type="noConversion"/>
  </si>
  <si>
    <t>avg(httpwebdspdelay)</t>
    <phoneticPr fontId="16" type="noConversion"/>
  </si>
  <si>
    <t>dnsresponse_delay</t>
    <phoneticPr fontId="16" type="noConversion"/>
  </si>
  <si>
    <t>DNS响应时延</t>
    <phoneticPr fontId="16" type="noConversion"/>
  </si>
  <si>
    <t>avg(dnsresponse_delay)</t>
    <phoneticPr fontId="16" type="noConversion"/>
  </si>
  <si>
    <t>dnsresponse_cnt</t>
    <phoneticPr fontId="16" type="noConversion"/>
  </si>
  <si>
    <t>dnsquery_cnt</t>
    <phoneticPr fontId="16" type="noConversion"/>
  </si>
  <si>
    <t>DNS响应次数</t>
    <phoneticPr fontId="16" type="noConversion"/>
  </si>
  <si>
    <t>dnsquery_time</t>
    <phoneticPr fontId="16" type="noConversion"/>
  </si>
  <si>
    <t>dnsresponse_time</t>
    <phoneticPr fontId="16" type="noConversion"/>
  </si>
  <si>
    <t>sum(case when dnsquery_time&gt;0 then 1 else 0 end)</t>
    <phoneticPr fontId="16" type="noConversion"/>
  </si>
  <si>
    <t>syntime_dnsresponse_delay</t>
  </si>
  <si>
    <t>syntime_dnsresponse_delay</t>
    <phoneticPr fontId="16" type="noConversion"/>
  </si>
  <si>
    <t>syntime_dnsresponse_cnt</t>
    <phoneticPr fontId="16" type="noConversion"/>
  </si>
  <si>
    <t>DNS建立完成到TCP握手次数</t>
    <phoneticPr fontId="16" type="noConversion"/>
  </si>
  <si>
    <t>avg(syntime_dnsresponse_delay)</t>
    <phoneticPr fontId="16" type="noConversion"/>
  </si>
  <si>
    <t>首屏时延优秀次数</t>
  </si>
  <si>
    <t>首屏时延质差次数</t>
  </si>
  <si>
    <t>首屏时延良好次数</t>
  </si>
  <si>
    <t>打开时延优秀次数</t>
  </si>
  <si>
    <t>打开时延质差次数</t>
  </si>
  <si>
    <t>打开时延良好次数</t>
  </si>
  <si>
    <t>游戏交互时延优秀次数</t>
  </si>
  <si>
    <t>游戏交互时延劣质次数</t>
  </si>
  <si>
    <t>游戏交互时延良好次数</t>
  </si>
  <si>
    <t>excellentrspdelay_cnt</t>
    <phoneticPr fontId="16" type="noConversion"/>
  </si>
  <si>
    <t>inferiorrspdelay_cnt</t>
  </si>
  <si>
    <t>wellrspdelay_cnt</t>
  </si>
  <si>
    <t>topweb_excellentrspdelay_cnt</t>
  </si>
  <si>
    <t>topweb_inferiorrspdelay_cnt</t>
  </si>
  <si>
    <t>topweb_wellrspdelay_cnt</t>
  </si>
  <si>
    <t>excellentcmpltdelay_cnt</t>
  </si>
  <si>
    <t>inferiorcmpltdelay_cnt</t>
  </si>
  <si>
    <t>wellcmpltdelay_cnt</t>
  </si>
  <si>
    <t>excellentgamedelay_cnt</t>
  </si>
  <si>
    <t>inferiorgamedelay_cnt</t>
  </si>
  <si>
    <t>wellgamedelay_cnt</t>
  </si>
  <si>
    <t>TOP网址首屏时延优秀次数</t>
    <phoneticPr fontId="16" type="noConversion"/>
  </si>
  <si>
    <t>TOP网址首屏时延质差次数</t>
    <phoneticPr fontId="16" type="noConversion"/>
  </si>
  <si>
    <t>TOP网址首屏时延良好次数</t>
    <phoneticPr fontId="16" type="noConversion"/>
  </si>
  <si>
    <t>sum(case when httpwebscreendelay&gt;0 and httpwebscreendelay&lt;=1000 then 1 else 0 end)</t>
    <phoneticPr fontId="16" type="noConversion"/>
  </si>
  <si>
    <t>sum(case when httpwebscreendelay&gt;3000 then 1 else 0 end)</t>
    <phoneticPr fontId="16" type="noConversion"/>
  </si>
  <si>
    <t>sum(case when httpwebscreendelay&gt;1000 and httpwebscreendelay&lt;=3000 then 1 else 0 end)</t>
    <phoneticPr fontId="16" type="noConversion"/>
  </si>
  <si>
    <t>sum(case when httpwebdspdelay&gt;0 and httpwebdspdelay&lt;=500 then 1 else 0 end)</t>
    <phoneticPr fontId="16" type="noConversion"/>
  </si>
  <si>
    <t>sum(case when httpwebdspdelay&gt;500 and httpwebdspdelay&lt;=1200 then 1 else 0 end)</t>
    <phoneticPr fontId="16" type="noConversion"/>
  </si>
  <si>
    <t>sum(case when httpwebdspdelay&gt;1200 then 1 else 0 end)</t>
    <phoneticPr fontId="16" type="noConversion"/>
  </si>
  <si>
    <t>tcpsetupdelay</t>
    <phoneticPr fontId="16" type="noConversion"/>
  </si>
  <si>
    <t>sum(case when tcpsetupdelay&gt;0 and tcpsetupdelay&lt;=100 then 1 else 0 end)</t>
    <phoneticPr fontId="16" type="noConversion"/>
  </si>
  <si>
    <t>sum(case when tcpsetupdelay&gt;100 and tcpsetupdelay&lt;=120 then 1 else 0 end)</t>
    <phoneticPr fontId="16" type="noConversion"/>
  </si>
  <si>
    <t>sum(case when tcpsetupdelay&gt;120 then 1 else 0 end)</t>
    <phoneticPr fontId="16" type="noConversion"/>
  </si>
  <si>
    <t>TOP网址首屏时延分析URL配置表</t>
  </si>
  <si>
    <t>TOP网址首屏时延分析URL配置表</t>
    <phoneticPr fontId="16" type="noConversion"/>
  </si>
  <si>
    <t>case when (tcpsetupresponsedelay&gt;110 and tcpsetupresponsedelay&lt;50000)  or ultcp_retranspacket/outputpacket&gt;0.15 then 1 else 0 end</t>
    <phoneticPr fontId="16" type="noConversion"/>
  </si>
  <si>
    <t>case when (tcpsetupackdelay&gt;110 and tcpsetupackdelay&lt;50000)  or dltcp_retranspacket/inputpacket&gt;0.15 then 1 else 0 end</t>
    <phoneticPr fontId="16" type="noConversion"/>
  </si>
  <si>
    <t>A</t>
    <phoneticPr fontId="16" type="noConversion"/>
  </si>
  <si>
    <t>count(case when tcpsetupdelay&gt;=50 and tcpsetupdelay&lt;100 then 1 else null end)</t>
  </si>
  <si>
    <t>count(case when tcpsetupdelay&gt;=100 and tcpsetupdelay&lt;150 then 1 else null end)</t>
  </si>
  <si>
    <t>count(case when tcpsetupdelay&gt;=150 and tcpsetupdelay&lt;200 then 1 else null end)</t>
  </si>
  <si>
    <t>count(case when tcpsetupdelay&gt;=200 and tcpsetupdelay&lt;50000 then 1 else null end)</t>
  </si>
  <si>
    <t>ms</t>
    <phoneticPr fontId="16" type="noConversion"/>
  </si>
  <si>
    <t>次</t>
    <phoneticPr fontId="16" type="noConversion"/>
  </si>
  <si>
    <t>servicetype</t>
    <phoneticPr fontId="16" type="noConversion"/>
  </si>
  <si>
    <t>case when destination_url  like '%short.pay.weixin.qq.com%' then 88888888 else servicetype end</t>
    <phoneticPr fontId="16" type="noConversion"/>
  </si>
  <si>
    <t>business_type</t>
    <phoneticPr fontId="16" type="noConversion"/>
  </si>
  <si>
    <t>five_qi</t>
    <phoneticPr fontId="16" type="noConversion"/>
  </si>
  <si>
    <t>ncgi_ecgi</t>
    <phoneticPr fontId="16" type="noConversion"/>
  </si>
  <si>
    <t>dpi</t>
  </si>
  <si>
    <t>cfg_http_status_type</t>
  </si>
  <si>
    <t>http-status状态码表</t>
  </si>
  <si>
    <t>status_code</t>
  </si>
  <si>
    <t>4G/5G httpstatus码相同</t>
  </si>
  <si>
    <t>HTTP状态码</t>
  </si>
  <si>
    <t>status_explain</t>
  </si>
  <si>
    <t>HTTP状态码描述</t>
  </si>
  <si>
    <t>problem_demarcation</t>
  </si>
  <si>
    <t>HTTP状态码问题定界</t>
  </si>
  <si>
    <t>problem_position</t>
  </si>
  <si>
    <t>HTTP状态码问题定位</t>
  </si>
  <si>
    <t>normal_flag</t>
  </si>
  <si>
    <t>正常话单标志（1：正常，0：异常）</t>
  </si>
  <si>
    <t>是否正常</t>
  </si>
  <si>
    <t>成功(200)</t>
  </si>
  <si>
    <t>成功</t>
  </si>
  <si>
    <t>已创建(201)</t>
  </si>
  <si>
    <t>已创建</t>
  </si>
  <si>
    <t>已接受(202)</t>
  </si>
  <si>
    <t>已接受</t>
  </si>
  <si>
    <t>非权威性信息(203)</t>
  </si>
  <si>
    <t>非权威性信息</t>
  </si>
  <si>
    <t>无内容(204)</t>
  </si>
  <si>
    <t>无内容</t>
  </si>
  <si>
    <t>重置内容(205)</t>
  </si>
  <si>
    <t>重置内容</t>
  </si>
  <si>
    <t>部分内容(206)</t>
  </si>
  <si>
    <t>部分内容</t>
  </si>
  <si>
    <t>对象已移动(302)</t>
  </si>
  <si>
    <t>对象已移动</t>
  </si>
  <si>
    <t>未修改(304)</t>
  </si>
  <si>
    <t>未修改</t>
  </si>
  <si>
    <t>临时重定向(306)</t>
  </si>
  <si>
    <t>临时重定向</t>
  </si>
  <si>
    <t>错误的请求(400)</t>
  </si>
  <si>
    <t>用户</t>
  </si>
  <si>
    <t>错误的请求</t>
  </si>
  <si>
    <t>访问被拒绝(401)</t>
  </si>
  <si>
    <t>访问被拒绝</t>
  </si>
  <si>
    <t>禁止访问(403)</t>
  </si>
  <si>
    <t>禁止访问</t>
  </si>
  <si>
    <t>未找到(404)</t>
  </si>
  <si>
    <t>未找到</t>
  </si>
  <si>
    <t>方法不被允许(405)</t>
  </si>
  <si>
    <t>方法不被允许</t>
  </si>
  <si>
    <t>不接受所请求页面的 MIME 类型(406)</t>
  </si>
  <si>
    <t>不接受所请求页面的 MIME 类型</t>
  </si>
  <si>
    <t>要求进行代理身份验证(407)</t>
  </si>
  <si>
    <t>要求进行代理身份验证</t>
  </si>
  <si>
    <t>请求超时(408)</t>
  </si>
  <si>
    <t>请求超时</t>
  </si>
  <si>
    <t>前提条件失败(412)</t>
  </si>
  <si>
    <t>前提条件失败</t>
  </si>
  <si>
    <t>请求实体太大(413)</t>
  </si>
  <si>
    <t>请求实体太大</t>
  </si>
  <si>
    <t>请求URI太长(414)</t>
  </si>
  <si>
    <t>请求URI太长</t>
  </si>
  <si>
    <t>不支持的媒体类型(415)</t>
  </si>
  <si>
    <t>不支持的媒体类型</t>
  </si>
  <si>
    <t>所请求的范围无法满足(416)</t>
  </si>
  <si>
    <t>所请求的范围无法满足</t>
  </si>
  <si>
    <t>执行失败(417)</t>
  </si>
  <si>
    <t>执行失败</t>
  </si>
  <si>
    <t>锁定的错误(423)</t>
  </si>
  <si>
    <t>锁定的错误</t>
  </si>
  <si>
    <t>内部服务器错误(500)</t>
  </si>
  <si>
    <t>SP服务商</t>
  </si>
  <si>
    <t>内部服务器错误</t>
  </si>
  <si>
    <t>页眉值指定了未实现的配置(501)</t>
  </si>
  <si>
    <t>页眉值指定了未实现的配置</t>
  </si>
  <si>
    <t>收到了无效响应(502)</t>
  </si>
  <si>
    <t>收到了无效响应</t>
  </si>
  <si>
    <t>服务不可用(503)</t>
  </si>
  <si>
    <t>服务不可用</t>
  </si>
  <si>
    <t>网关超时(504)</t>
  </si>
  <si>
    <t>网关超时</t>
  </si>
  <si>
    <t>HTTP 版本不受支持(506)</t>
  </si>
  <si>
    <t>HTTP 版本不受支持</t>
  </si>
  <si>
    <t>未知</t>
  </si>
  <si>
    <t>超时内没有响应</t>
  </si>
  <si>
    <t>httpstatus_position</t>
  </si>
  <si>
    <t>string</t>
    <phoneticPr fontId="16" type="noConversion"/>
  </si>
  <si>
    <t>int</t>
    <phoneticPr fontId="16" type="noConversion"/>
  </si>
  <si>
    <t>C</t>
  </si>
  <si>
    <t>直取</t>
  </si>
  <si>
    <t>直取</t>
    <phoneticPr fontId="16" type="noConversion"/>
  </si>
  <si>
    <t>D</t>
    <phoneticPr fontId="16" type="noConversion"/>
  </si>
  <si>
    <t>status_code</t>
    <phoneticPr fontId="16" type="noConversion"/>
  </si>
  <si>
    <t>A.httpstatus=D.status_code</t>
    <phoneticPr fontId="16" type="noConversion"/>
  </si>
  <si>
    <t>case when (tcpsetupresponsedelay&gt;= 110  and tcpsetupresponsedelay&lt;50000) or (tcpsetupackdelay&gt;=110  and tcpsetupackdelay&lt;50000)  or  ultcp_retranspacket/outputpacket&gt;=0.15 or dltcp_retranspacket/inputpacket&gt;=0.15 or httpstatus&gt;=400 or httpstatus&lt;0  then 1 else 0 end</t>
    <phoneticPr fontId="16" type="noConversion"/>
  </si>
  <si>
    <t>is_core_delimit</t>
    <phoneticPr fontId="16" type="noConversion"/>
  </si>
  <si>
    <t>is_usr_delimit</t>
  </si>
  <si>
    <t>is_usr_delimit</t>
    <phoneticPr fontId="16" type="noConversion"/>
  </si>
  <si>
    <t>是否用户问题</t>
    <phoneticPr fontId="16" type="noConversion"/>
  </si>
  <si>
    <t>is_sp_delimit</t>
  </si>
  <si>
    <t>is_sp_delimit</t>
    <phoneticPr fontId="16" type="noConversion"/>
  </si>
  <si>
    <t>httpstatus_position</t>
    <phoneticPr fontId="16" type="noConversion"/>
  </si>
  <si>
    <t>是否sp服务器问题</t>
    <phoneticPr fontId="16" type="noConversion"/>
  </si>
  <si>
    <t>http状态码原因定位</t>
    <phoneticPr fontId="16" type="noConversion"/>
  </si>
  <si>
    <t>用户</t>
    <phoneticPr fontId="16" type="noConversion"/>
  </si>
  <si>
    <t>SP服务商</t>
    <phoneticPr fontId="16" type="noConversion"/>
  </si>
  <si>
    <t>A表与D表关联，取D表problem_demarcation。
case when problem_demarcation='SP服务商' then 1 else 0 end</t>
    <phoneticPr fontId="16" type="noConversion"/>
  </si>
  <si>
    <t>A表与D表关联，取D表problem_demarcation。
case when problem_demarcation='用户' then 1 else 0 end</t>
    <phoneticPr fontId="16" type="noConversion"/>
  </si>
  <si>
    <t>problem_position</t>
    <phoneticPr fontId="16" type="noConversion"/>
  </si>
  <si>
    <t>tcpsetupresponsedelay_cnt_50_100</t>
  </si>
  <si>
    <t>tcpsetupresponsedelay_cnt_100_150</t>
  </si>
  <si>
    <t>tcpsetupresponsedelay_cnt_150_200</t>
  </si>
  <si>
    <t>tcpsetupresponsedelay_cnt_greater_200</t>
  </si>
  <si>
    <t>TCP建链响应时延在(0,50]的次数</t>
  </si>
  <si>
    <t>TCP建链响应时延在(50,100]的次数</t>
  </si>
  <si>
    <t>TCP建链响应时延在(100,150]的次数</t>
  </si>
  <si>
    <t>TCP建链响应时延在(150,200]的次数</t>
  </si>
  <si>
    <t>tcpsetupresponsedelay_cnt_0_50</t>
    <phoneticPr fontId="16" type="noConversion"/>
  </si>
  <si>
    <t>tcpsetupackdelay_cnt_50_100</t>
  </si>
  <si>
    <t>tcpsetupackdelay_cnt_100_150</t>
  </si>
  <si>
    <t>tcpsetupackdelay_cnt_greater_200</t>
  </si>
  <si>
    <t>TCP建链确认时延在(0,50]的次数</t>
  </si>
  <si>
    <t>TCP建链确认时延在(50,100]的次数</t>
  </si>
  <si>
    <t>TCP建链确认时延在(100,150]的次数</t>
  </si>
  <si>
    <t>TCP建链确认时延在(150,200]的次数</t>
  </si>
  <si>
    <t>tcpsetupackdelay_cnt_0_50</t>
    <phoneticPr fontId="16" type="noConversion"/>
  </si>
  <si>
    <t>count(case when tcpsetupdelay&gt;=0 and tcpsetupdelay&lt;50 then 1 else null end)</t>
    <phoneticPr fontId="16" type="noConversion"/>
  </si>
  <si>
    <t>tcpsetupackdelay_cnt_150_200</t>
    <phoneticPr fontId="16" type="noConversion"/>
  </si>
  <si>
    <t>tcpsetupdelay_cnt_0_50</t>
  </si>
  <si>
    <t>tcpsetupdelay_cnt_50_100</t>
  </si>
  <si>
    <t>tcpsetupdelay_cnt_100_150</t>
  </si>
  <si>
    <t>tcpsetupdelay_cnt_150_200</t>
  </si>
  <si>
    <t>tcpsetupdelay_cnt_greater_200</t>
  </si>
  <si>
    <t>TCP建立时延在(0,50]的次数</t>
  </si>
  <si>
    <t>TCP建立时延在(50,100]的次数</t>
  </si>
  <si>
    <t>TCP建立时延在(100,150]的次数</t>
  </si>
  <si>
    <t>TCP建立时延在(150,200]的次数</t>
  </si>
  <si>
    <t>TCP建链响应时延在(200,50000]的次数</t>
    <phoneticPr fontId="16" type="noConversion"/>
  </si>
  <si>
    <t>TCP建链确认时延在(200,50000]的次数</t>
    <phoneticPr fontId="16" type="noConversion"/>
  </si>
  <si>
    <t>TCP建立时延在(200,50000]的次数</t>
    <phoneticPr fontId="16" type="noConversion"/>
  </si>
  <si>
    <t>count(delay_setup_firsttransaction)</t>
    <phoneticPr fontId="16" type="noConversion"/>
  </si>
  <si>
    <t>count(delay_firsttransaction_firstrespackt)</t>
    <phoneticPr fontId="16" type="noConversion"/>
  </si>
  <si>
    <t>sum(case when tcpsetupresponsedelay&gt;0 then 1 else 0 end)</t>
    <phoneticPr fontId="16" type="noConversion"/>
  </si>
  <si>
    <t>sum(case when tcpsetupackdelay&gt;0 then 1 else 0 end)</t>
    <phoneticPr fontId="16" type="noConversion"/>
  </si>
  <si>
    <t>tcpsetupackdelay_cnt</t>
    <phoneticPr fontId="16" type="noConversion"/>
  </si>
  <si>
    <t>httpstatus</t>
    <phoneticPr fontId="16" type="noConversion"/>
  </si>
  <si>
    <t>http状态码</t>
    <phoneticPr fontId="16" type="noConversion"/>
  </si>
  <si>
    <t>is_abnormal</t>
    <phoneticPr fontId="16" type="noConversion"/>
  </si>
  <si>
    <t xml:space="preserve">sum(is_abnormal) </t>
    <phoneticPr fontId="16" type="noConversion"/>
  </si>
  <si>
    <t>http_throughput_under500_suc_cnt</t>
    <phoneticPr fontId="16" type="noConversion"/>
  </si>
  <si>
    <t>下行包数</t>
    <phoneticPr fontId="16" type="noConversion"/>
  </si>
  <si>
    <t>上行包数</t>
    <phoneticPr fontId="16" type="noConversion"/>
  </si>
  <si>
    <t>sum(case when tcpsetupresponsedelay&gt;0 then 1 else 0 end)</t>
    <phoneticPr fontId="16" type="noConversion"/>
  </si>
  <si>
    <t>sum(case when is_topweb_first_screen_host=1 and httpwebscreendelay&gt;0 and httpwebscreendelay&lt;=1000 then 1 else 0 end)</t>
    <phoneticPr fontId="16" type="noConversion"/>
  </si>
  <si>
    <t>sum(case when is_topweb_first_screen_host=1 and httpwebscreendelay&gt;3000 then 1 else 0 end)</t>
    <phoneticPr fontId="16" type="noConversion"/>
  </si>
  <si>
    <t>sum(case when is_topweb_first_screen_host=1 and httpwebscreendelay&gt;1000 and httpwebscreendelay&lt;=3000 then 1 else 0 end)</t>
    <phoneticPr fontId="16" type="noConversion"/>
  </si>
  <si>
    <t>sum(case when is_topweb_first_screen_host=1 and httpwebscreendelay&gt;0 then 1 else 0 end)</t>
    <phoneticPr fontId="16" type="noConversion"/>
  </si>
  <si>
    <t>avg(case when is_topweb_first_screen_host=1 and httpwebscreendelay&gt;0 then httpwebscreendelay else null end)</t>
    <phoneticPr fontId="16" type="noConversion"/>
  </si>
  <si>
    <t>avg(case when httpstatus&lt;400 and httpstatus&gt;0 then  resp_delay else null end)</t>
    <phoneticPr fontId="16" type="noConversion"/>
  </si>
  <si>
    <t>http_throughput_above500_duartion</t>
    <phoneticPr fontId="16" type="noConversion"/>
  </si>
  <si>
    <t>aggr_nr_dpi_http_base_h</t>
    <phoneticPr fontId="16" type="noConversion"/>
  </si>
  <si>
    <t>5G_DPI_http基础维度小时表</t>
    <phoneticPr fontId="16" type="noConversion"/>
  </si>
  <si>
    <t>hour</t>
  </si>
  <si>
    <t>provincecode</t>
  </si>
  <si>
    <t>cellkey</t>
  </si>
  <si>
    <t>five_qi</t>
  </si>
  <si>
    <t>sourceip_type</t>
  </si>
  <si>
    <t>abnormal_cnt</t>
    <phoneticPr fontId="16" type="noConversion"/>
  </si>
  <si>
    <t xml:space="preserve">sum(abnormal_cnt) </t>
    <phoneticPr fontId="16" type="noConversion"/>
  </si>
  <si>
    <t>sum(speedlimit_cnt)</t>
    <phoneticPr fontId="16" type="noConversion"/>
  </si>
  <si>
    <t>sum(outputoctets_above500_cnt)</t>
  </si>
  <si>
    <t>sum(outputoctets_above500_cnt)</t>
    <phoneticPr fontId="16" type="noConversion"/>
  </si>
  <si>
    <t>sum(outputoctets_above500_highdelay_cnt)</t>
  </si>
  <si>
    <t>sum(outputoctets_above500_highdelay_cnt)</t>
    <phoneticPr fontId="16" type="noConversion"/>
  </si>
  <si>
    <t>sum(ul_above500_throughput_low_cnt)</t>
  </si>
  <si>
    <t>sum(ul_above500_throughput_low_cnt)</t>
    <phoneticPr fontId="16" type="noConversion"/>
  </si>
  <si>
    <t>sum(tcpsetupresponsedelay_avg*tcpsetupresponsedelay_cnt)/sum(tcpsetupresponsedelay_cnt)</t>
    <phoneticPr fontId="16" type="noConversion"/>
  </si>
  <si>
    <t>sum(tcpsetupackdelay_avg*tcpsetupackdelay_cnt)/sum(tcpsetupackdelay_cnt)</t>
    <phoneticPr fontId="16" type="noConversion"/>
  </si>
  <si>
    <t>tcpsetupdelay_avg</t>
    <phoneticPr fontId="16" type="noConversion"/>
  </si>
  <si>
    <t>tcpsetupdelay_cnt</t>
    <phoneticPr fontId="16" type="noConversion"/>
  </si>
  <si>
    <t>sum(case when tcpsetupdelay&gt;0 then 1 else 0 end)</t>
    <phoneticPr fontId="16" type="noConversion"/>
  </si>
  <si>
    <t>TCP建立次数</t>
    <phoneticPr fontId="16" type="noConversion"/>
  </si>
  <si>
    <t>sum(tcpsetupdelay_cnt)</t>
    <phoneticPr fontId="16" type="noConversion"/>
  </si>
  <si>
    <t>sum(delay_setup_firsttransaction*delay_setup_firsttransaction_cnt)/sum(delay_setup_firsttransaction_cnt)</t>
    <phoneticPr fontId="16" type="noConversion"/>
  </si>
  <si>
    <t>sum(delay_setup_firsttransaction_cnt)</t>
  </si>
  <si>
    <t>sum(delay_setup_firsttransaction_cnt)</t>
    <phoneticPr fontId="16" type="noConversion"/>
  </si>
  <si>
    <t>sum(delay_firsttransaction_firstrespackt*delay_firsttransaction_firstrespackt_cnt)/sum(delay_firsttransaction_firstrespackt_cnt)</t>
    <phoneticPr fontId="16" type="noConversion"/>
  </si>
  <si>
    <t>sum(delay_firsttransaction_firstrespackt_cnt)</t>
  </si>
  <si>
    <t>sum(delay_firsttransaction_firstrespackt_cnt)</t>
    <phoneticPr fontId="16" type="noConversion"/>
  </si>
  <si>
    <t>sum(httpwebrspdelay*http_succ_cnt)/sum(http_succ_cnt)</t>
    <phoneticPr fontId="16" type="noConversion"/>
  </si>
  <si>
    <t>sum(httpwebdspdelay*http_succ_cnt)/sum(http_succ_cnt)</t>
    <phoneticPr fontId="16" type="noConversion"/>
  </si>
  <si>
    <t>sum(httpwebscreen_cnt)</t>
  </si>
  <si>
    <t>sum(httpwebscreen_cnt)</t>
    <phoneticPr fontId="16" type="noConversion"/>
  </si>
  <si>
    <t>top_httpwebscreendelay</t>
    <phoneticPr fontId="16" type="noConversion"/>
  </si>
  <si>
    <t>sum(httpwebscreendelay*httpwebscreen_cnt)/sum(httpwebscreen_cnt)</t>
    <phoneticPr fontId="16" type="noConversion"/>
  </si>
  <si>
    <t>sum(top_httpwebscreen_cnt)</t>
    <phoneticPr fontId="16" type="noConversion"/>
  </si>
  <si>
    <t>sum(top_httpwebscreendelay*top_httpwebscreen_cnt)/sum(top_httpwebscreen_cnt)</t>
    <phoneticPr fontId="16" type="noConversion"/>
  </si>
  <si>
    <t>sum(respdelay*http_succ_cnt)/sum(http_succ_cnt)</t>
    <phoneticPr fontId="16" type="noConversion"/>
  </si>
  <si>
    <t>sum(dnsresponse_delay*dnsresponse_cnt)/sum(dnsresponse_cnt)</t>
    <phoneticPr fontId="16" type="noConversion"/>
  </si>
  <si>
    <t>sum(dnsresponse_cnt)</t>
    <phoneticPr fontId="16" type="noConversion"/>
  </si>
  <si>
    <t>sum(dnsquery_cnt)</t>
    <phoneticPr fontId="16" type="noConversion"/>
  </si>
  <si>
    <t>sum(syntime_dnsresponse_cnt)</t>
    <phoneticPr fontId="16" type="noConversion"/>
  </si>
  <si>
    <t>sum(syntime_dnsresponse_delay*syntime_dnsresponse_cnt)/sum(syntime_dnsresponse_cnt)</t>
    <phoneticPr fontId="16" type="noConversion"/>
  </si>
  <si>
    <t>sum(http_throughput_under500_duartion)</t>
  </si>
  <si>
    <t>sum(http_throughput_under500_duartion)</t>
    <phoneticPr fontId="16" type="noConversion"/>
  </si>
  <si>
    <t>sum(inputoctets_above500_cnt)</t>
  </si>
  <si>
    <t>sum(inputoctets_above500_highdelay_cnt)</t>
  </si>
  <si>
    <t>sum(dl_above500_throughput_low_cnt)</t>
  </si>
  <si>
    <t>sum(dl_above500_throughput_inferior_cnt)</t>
  </si>
  <si>
    <t>sum(ultcpretranspacket)</t>
  </si>
  <si>
    <t>sum(dltcpretranspacket)</t>
  </si>
  <si>
    <t>sum(tcpconnfail_cnt)</t>
  </si>
  <si>
    <t>sum(tcpconnreq_cnt)</t>
  </si>
  <si>
    <t>sum(tcpconnulsuc_cnt)</t>
  </si>
  <si>
    <t>sum(tcpconndlsuc_cnt)</t>
  </si>
  <si>
    <t>sum(ul_data_transduration_cnt)</t>
  </si>
  <si>
    <t>sum(dl_data_transduration_cnt)</t>
  </si>
  <si>
    <t>sum(outputoctets_above500)</t>
  </si>
  <si>
    <t>sum(inputoctets_above500)</t>
  </si>
  <si>
    <t>sum(http_succ_cnt)</t>
  </si>
  <si>
    <t>sum(http_complete_cnt)</t>
  </si>
  <si>
    <t>sum(tcpsetupresponsedelay_cnt)</t>
  </si>
  <si>
    <t>sum(tcpsetupresponsedelay_cnt_0_50)</t>
  </si>
  <si>
    <t>sum(tcpsetupresponsedelay_cnt_50_100)</t>
  </si>
  <si>
    <t>sum(tcpsetupresponsedelay_cnt_100_150)</t>
  </si>
  <si>
    <t>sum(tcpsetupresponsedelay_cnt_150_200)</t>
  </si>
  <si>
    <t>sum(tcpsetupresponsedelay_cnt_greater_200)</t>
  </si>
  <si>
    <t>sum(tcpsetupackdelay_cnt)</t>
  </si>
  <si>
    <t>sum(tcpsetupackdelay_cnt_0_50)</t>
  </si>
  <si>
    <t>sum(tcpsetupackdelay_cnt_50_100)</t>
  </si>
  <si>
    <t>sum(tcpsetupackdelay_cnt_100_150)</t>
  </si>
  <si>
    <t>sum(tcpsetupackdelay_cnt_150_200)</t>
  </si>
  <si>
    <t>sum(tcpsetupackdelay_cnt_greater_200)</t>
  </si>
  <si>
    <t>sum(tcpsetupdelay_cnt_0_50)</t>
  </si>
  <si>
    <t>sum(tcpsetupdelay_cnt_50_100)</t>
  </si>
  <si>
    <t>sum(tcpsetupdelay_cnt_100_150)</t>
  </si>
  <si>
    <t>sum(tcpsetupdelay_cnt_150_200)</t>
  </si>
  <si>
    <t>sum(tcpsetupdelay_cnt_greater_200)</t>
  </si>
  <si>
    <t>sum(http_throughput_under500_suc_cnt)</t>
  </si>
  <si>
    <t>sum(http_throughput_above500_duartion)</t>
  </si>
  <si>
    <t>sum(xdr_suc_cnt_sum)</t>
  </si>
  <si>
    <t>sum(excellentrspdelay_cnt)</t>
  </si>
  <si>
    <t>sum(inferiorrspdelay_cnt)</t>
  </si>
  <si>
    <t>sum(wellrspdelay_cnt)</t>
  </si>
  <si>
    <t>sum(topweb_excellentrspdelay_cnt)</t>
  </si>
  <si>
    <t>sum(topweb_inferiorrspdelay_cnt)</t>
  </si>
  <si>
    <t>sum(topweb_wellrspdelay_cnt)</t>
  </si>
  <si>
    <t>sum(excellentcmpltdelay_cnt)</t>
  </si>
  <si>
    <t>sum(inferiorcmpltdelay_cnt)</t>
  </si>
  <si>
    <t>sum(wellcmpltdelay_cnt)</t>
  </si>
  <si>
    <t>sum(excellentgamedelay_cnt)</t>
  </si>
  <si>
    <t>sum(inferiorgamedelay_cnt)</t>
  </si>
  <si>
    <t>sum(wellgamedelay_cnt)</t>
  </si>
  <si>
    <t>中间层</t>
    <phoneticPr fontId="16" type="noConversion"/>
  </si>
  <si>
    <t>cfg_http_status_type</t>
    <phoneticPr fontId="16" type="noConversion"/>
  </si>
  <si>
    <t>小时</t>
  </si>
  <si>
    <t>核心</t>
    <phoneticPr fontId="16" type="noConversion"/>
  </si>
  <si>
    <t>前置:7；核心:14</t>
    <phoneticPr fontId="16" type="noConversion"/>
  </si>
  <si>
    <t>生命周期（存储周期单位：天）</t>
    <phoneticPr fontId="16" type="noConversion"/>
  </si>
  <si>
    <t>aggr_nr_dpi_http_index_reduce_base_h</t>
  </si>
  <si>
    <t>5G_DPI_http基础维度指标裁剪小时表</t>
  </si>
  <si>
    <t>5G_DPI_http基础维度指标裁剪小时表</t>
    <phoneticPr fontId="16" type="noConversion"/>
  </si>
  <si>
    <t>新建(升级)</t>
    <phoneticPr fontId="16" type="noConversion"/>
  </si>
  <si>
    <t>day</t>
  </si>
  <si>
    <t>上报时间，具体到天</t>
  </si>
  <si>
    <t>拜访地省份</t>
  </si>
  <si>
    <t>拜访地地市</t>
  </si>
  <si>
    <t>无线接入类型</t>
  </si>
  <si>
    <t>RATType</t>
  </si>
  <si>
    <t>nodebid</t>
  </si>
  <si>
    <t>4G eNodeBID/5G gNBID</t>
  </si>
  <si>
    <t>cellid</t>
  </si>
  <si>
    <t>小区ID</t>
  </si>
  <si>
    <t>小区cellkey</t>
  </si>
  <si>
    <t>imsi_supi</t>
  </si>
  <si>
    <t>永久用户标识，永久用户标识。4G 填写用户IMSI。</t>
  </si>
  <si>
    <t>MS International PSTN/ISDN Number (ISDN)</t>
  </si>
  <si>
    <t>NSSAI_SST</t>
  </si>
  <si>
    <t>NSSAI_SD</t>
  </si>
  <si>
    <t>ServiceType</t>
  </si>
  <si>
    <t>上行流量(byte)</t>
  </si>
  <si>
    <t>指标</t>
  </si>
  <si>
    <t>Http请求成功次数</t>
  </si>
  <si>
    <t>tcpsetupresponsedelay_sum</t>
  </si>
  <si>
    <t>TCP建链响应时延_sum</t>
  </si>
  <si>
    <t>tcpsetupackdelay_sum</t>
  </si>
  <si>
    <t>TCP建链确认时延_sum</t>
  </si>
  <si>
    <t>TCP建立时延(ms)_sum</t>
  </si>
  <si>
    <t>TCP建链成功到第一条事务请求的时延_sum（ms）</t>
  </si>
  <si>
    <t>第一条事务请求到其第一个响应包时延_sum（ms）</t>
  </si>
  <si>
    <t>网页首屏完成次数_sum</t>
  </si>
  <si>
    <t>网页首屏时延_sum(ms)</t>
  </si>
  <si>
    <t>响应时延_sum</t>
  </si>
  <si>
    <t xml:space="preserve">split(cellkey,"_")[0] </t>
    <phoneticPr fontId="16" type="noConversion"/>
  </si>
  <si>
    <t xml:space="preserve">split(cellkey,"_")[1] </t>
    <phoneticPr fontId="16" type="noConversion"/>
  </si>
  <si>
    <t>sum(outputoctets)</t>
  </si>
  <si>
    <t>sum(inputoctets)</t>
  </si>
  <si>
    <t>double</t>
    <phoneticPr fontId="16" type="noConversion"/>
  </si>
  <si>
    <t>sum(http_req_cnt)</t>
    <phoneticPr fontId="16" type="noConversion"/>
  </si>
  <si>
    <t>sum(case when httpstatus=-1 or  httpstatus=-2 then http_req_cnt else 0 end)</t>
  </si>
  <si>
    <t>sum(case when httpstatus&gt;=100 and httpstatus&lt;200 then http_req_cnt else 0 end)</t>
    <phoneticPr fontId="16" type="noConversion"/>
  </si>
  <si>
    <t>sum(case when httpstatus&gt;=200 and httpstatus&lt;300 then http_req_cnt  else 0 end)</t>
  </si>
  <si>
    <t>sum(case when httpstatus&gt;=300 and httpstatus&lt;400 then http_req_cnt  else 0 end)</t>
  </si>
  <si>
    <t>sum(case when httpstatus&gt;=400 and httpstatus&lt;500 then http_req_cnt  else 0 end)</t>
  </si>
  <si>
    <t>sum(case when httpstatus&gt;=500  then http_req_cnt  else 0 end)</t>
  </si>
  <si>
    <t>sum(tcpsetupackdelay_avg*tcpsetupackdelay_cnt)</t>
  </si>
  <si>
    <t>sum(tcpsetupresponsedelay_avg*tcpsetupresponsedelay_cnt)</t>
  </si>
  <si>
    <t>inputoctets_above500_duration</t>
    <phoneticPr fontId="16" type="noConversion"/>
  </si>
  <si>
    <t>outputoctets_above500_duration</t>
    <phoneticPr fontId="16" type="noConversion"/>
  </si>
  <si>
    <t>sum(inputoctets_above500_duration)</t>
    <phoneticPr fontId="16" type="noConversion"/>
  </si>
  <si>
    <t>sum(outputoctets_above500_duration)</t>
    <phoneticPr fontId="16" type="noConversion"/>
  </si>
  <si>
    <t>sum(case when httpstatus = 400 then http_req_cnt else 0 end)</t>
  </si>
  <si>
    <t>sum(case when httpstatus = 401 then http_req_cnt else 0 end)</t>
  </si>
  <si>
    <t>sum(case when httpstatus = 402 then http_req_cnt else 0 end)</t>
  </si>
  <si>
    <t>sum(case when httpstatus = 403 then http_req_cnt else 0 end)</t>
  </si>
  <si>
    <t>sum(case when httpstatus = 404 then http_req_cnt else 0 end)</t>
  </si>
  <si>
    <t>sum(case when httpstatus = 405 then http_req_cnt else 0 end)</t>
  </si>
  <si>
    <t>sum(case when httpstatus = 406 then http_req_cnt else 0 end)</t>
  </si>
  <si>
    <t>sum(case when httpstatus = 407 then http_req_cnt else 0 end)</t>
  </si>
  <si>
    <t>sum(case when httpstatus = 408 then http_req_cnt else 0 end)</t>
  </si>
  <si>
    <t>sum(case when httpstatus = 409 then http_req_cnt else 0 end)</t>
  </si>
  <si>
    <t>sum(case when httpstatus = 410 then http_req_cnt else 0 end)</t>
  </si>
  <si>
    <t>sum(case when httpstatus = 411 then http_req_cnt else 0 end)</t>
  </si>
  <si>
    <t>sum(case when httpstatus = 412 then http_req_cnt else 0 end)</t>
  </si>
  <si>
    <t>sum(case when httpstatus = 413 then http_req_cnt else 0 end)</t>
  </si>
  <si>
    <t>sum(case when httpstatus = 414 then http_req_cnt else 0 end)</t>
  </si>
  <si>
    <t>sum(case when httpstatus = 415 then http_req_cnt else 0 end)</t>
  </si>
  <si>
    <t>sum(case when httpstatus = 416 then http_req_cnt else 0 end)</t>
  </si>
  <si>
    <t>sum(case when httpstatus = 417 then http_req_cnt else 0 end)</t>
  </si>
  <si>
    <t>sum(case when httpstatus = 421 then http_req_cnt else 0 end)</t>
  </si>
  <si>
    <t>sum(case when httpstatus = 422 then http_req_cnt else 0 end)</t>
  </si>
  <si>
    <t>sum(case when httpstatus = 423 then http_req_cnt else 0 end)</t>
  </si>
  <si>
    <t>sum(case when httpstatus = 424 then http_req_cnt else 0 end)</t>
  </si>
  <si>
    <t>sum(case when httpstatus = 425 then http_req_cnt else 0 end)</t>
  </si>
  <si>
    <t>sum(case when httpstatus = 426 then http_req_cnt else 0 end)</t>
  </si>
  <si>
    <t>sum(case when httpstatus = 449 then http_req_cnt else 0 end)</t>
  </si>
  <si>
    <t>sum(case when httpstatus = 500 then http_req_cnt else 0 end)</t>
  </si>
  <si>
    <t>sum(case when httpstatus = 501 then http_req_cnt else 0 end)</t>
  </si>
  <si>
    <t>sum(case when httpstatus = 502 then http_req_cnt else 0 end)</t>
  </si>
  <si>
    <t>sum(case when httpstatus = 503 then http_req_cnt else 0 end)</t>
  </si>
  <si>
    <t>sum(case when httpstatus = 504 then http_req_cnt else 0 end)</t>
  </si>
  <si>
    <t>sum(case when httpstatus = 505 then http_req_cnt else 0 end)</t>
  </si>
  <si>
    <t>sum(case when httpstatus = 506 then http_req_cnt else 0 end)</t>
  </si>
  <si>
    <t>sum(case when httpstatus = 507 then http_req_cnt else 0 end)</t>
  </si>
  <si>
    <t>sum(case when httpstatus = 509 then http_req_cnt else 0 end)</t>
  </si>
  <si>
    <t>sum(case when httpstatus = 510 then http_req_cnt else 0 end)</t>
  </si>
  <si>
    <t>aggr_nr_dpi_http_usrappcel_h</t>
  </si>
  <si>
    <t>aggr_nr_dpi_http_usrappcel_h</t>
    <phoneticPr fontId="16" type="noConversion"/>
  </si>
  <si>
    <t>5G_DPI_http用户小区app维度小时表</t>
  </si>
  <si>
    <t>5G_DPI_http用户小区app维度小时表</t>
    <phoneticPr fontId="16" type="noConversion"/>
  </si>
  <si>
    <t>用户|小区|app</t>
    <phoneticPr fontId="16" type="noConversion"/>
  </si>
  <si>
    <t>sum(outputoctets_above500)</t>
    <phoneticPr fontId="16" type="noConversion"/>
  </si>
  <si>
    <t>count(syntime_dnsresponse_delay)</t>
    <phoneticPr fontId="16" type="noConversion"/>
  </si>
  <si>
    <t>count(dnsresponse_delay)</t>
    <phoneticPr fontId="16" type="noConversion"/>
  </si>
  <si>
    <t xml:space="preserve">sum(record_cnt) </t>
    <phoneticPr fontId="16" type="noConversion"/>
  </si>
  <si>
    <t>上行IP分片包大小</t>
    <phoneticPr fontId="16" type="noConversion"/>
  </si>
  <si>
    <t>下行IP分片包大小</t>
    <phoneticPr fontId="16" type="noConversion"/>
  </si>
  <si>
    <t>sum(tcpsetupackdelay_cnt)</t>
    <phoneticPr fontId="16" type="noConversion"/>
  </si>
  <si>
    <t>5G_DPI_http车联网用户小区app维度小时表</t>
    <phoneticPr fontId="16" type="noConversion"/>
  </si>
  <si>
    <t>aggr_nr_iov_http_usrappcel_refactor_h</t>
    <phoneticPr fontId="16" type="noConversion"/>
  </si>
  <si>
    <t>日期</t>
  </si>
  <si>
    <t>接口类型</t>
  </si>
  <si>
    <t>省编码</t>
  </si>
  <si>
    <t>区县编码</t>
  </si>
  <si>
    <t>小区唯一标识："小区基站号"_"小区编号"</t>
  </si>
  <si>
    <t>imsi</t>
  </si>
  <si>
    <t>国际移动用户识别码</t>
  </si>
  <si>
    <t>imei</t>
  </si>
  <si>
    <t>终端识别码</t>
  </si>
  <si>
    <t>业务应用分类ID</t>
  </si>
  <si>
    <t>app_type</t>
  </si>
  <si>
    <t>业务应用大类</t>
  </si>
  <si>
    <t>app_name</t>
  </si>
  <si>
    <t>业务名称</t>
  </si>
  <si>
    <t>servicetype_name</t>
  </si>
  <si>
    <t>min_starttime</t>
  </si>
  <si>
    <t>最小开始时间</t>
  </si>
  <si>
    <t>min(min_starttime)</t>
  </si>
  <si>
    <t>max_endtime</t>
  </si>
  <si>
    <t>最大结束时间</t>
  </si>
  <si>
    <t>max(max_endtime)</t>
  </si>
  <si>
    <t>total_cnt</t>
  </si>
  <si>
    <t>总话单数</t>
  </si>
  <si>
    <t>总质差话单数</t>
  </si>
  <si>
    <t>sum(abnormal_cnt)</t>
  </si>
  <si>
    <t>abnormal_rate</t>
  </si>
  <si>
    <t>总质差话单占比</t>
  </si>
  <si>
    <t>[0,1]</t>
  </si>
  <si>
    <t>业务时长(ms)</t>
  </si>
  <si>
    <t>flux</t>
  </si>
  <si>
    <t>业务流量(byte)</t>
  </si>
  <si>
    <t>DPI业务码表</t>
  </si>
  <si>
    <t>A left join B，关联条件：A.servicetype = B.servicetype</t>
  </si>
  <si>
    <t>车联网用户清单配置表</t>
  </si>
  <si>
    <t>A inner join C，关联条件：A.msisdn = C.msisdn</t>
  </si>
  <si>
    <t>supi</t>
    <phoneticPr fontId="16" type="noConversion"/>
  </si>
  <si>
    <t>substr(servicetype,1,2)</t>
    <phoneticPr fontId="16" type="noConversion"/>
  </si>
  <si>
    <t>starttime</t>
    <phoneticPr fontId="16" type="noConversion"/>
  </si>
  <si>
    <t>endtime</t>
    <phoneticPr fontId="16" type="noConversion"/>
  </si>
  <si>
    <t>min(starttime)</t>
    <phoneticPr fontId="16" type="noConversion"/>
  </si>
  <si>
    <t>max(endtime)</t>
    <phoneticPr fontId="16" type="noConversion"/>
  </si>
  <si>
    <t>&gt;0</t>
    <phoneticPr fontId="16" type="noConversion"/>
  </si>
  <si>
    <t>sum(record_cnt)</t>
    <phoneticPr fontId="16" type="noConversion"/>
  </si>
  <si>
    <t>sum(abnormal_cnt)/sum(record_cnt)</t>
    <phoneticPr fontId="16" type="noConversion"/>
  </si>
  <si>
    <t>sum(nvl(outputoctets,0)+nvl(inputoctets,0))</t>
    <phoneticPr fontId="16" type="noConversion"/>
  </si>
  <si>
    <t>cfg_dpi_servicetype</t>
    <phoneticPr fontId="16" type="noConversion"/>
  </si>
  <si>
    <t>cfg_iov_usr_list</t>
    <phoneticPr fontId="16" type="noConversion"/>
  </si>
  <si>
    <t>aggr_nr_dpi_http_appcel_h</t>
  </si>
  <si>
    <t>5G_DPI_http小区app维度小时表</t>
    <phoneticPr fontId="16" type="noConversion"/>
  </si>
  <si>
    <t>小区|app</t>
    <phoneticPr fontId="16" type="noConversion"/>
  </si>
  <si>
    <t>aggr_nr_dpi_http_appcel_d</t>
    <phoneticPr fontId="16" type="noConversion"/>
  </si>
  <si>
    <t>5G_DPI_http小区app维度天表</t>
    <phoneticPr fontId="16" type="noConversion"/>
  </si>
  <si>
    <t>aggr_nr_dpi_http_cel_d</t>
  </si>
  <si>
    <t>5G_DPI_http小区维度天表</t>
    <phoneticPr fontId="16" type="noConversion"/>
  </si>
  <si>
    <t>aggr_nr_dpi_http_index_reduce_cel_d</t>
  </si>
  <si>
    <t>5G_DPI_http小区维度指标裁剪天表</t>
    <phoneticPr fontId="16" type="noConversion"/>
  </si>
  <si>
    <t>clttime</t>
  </si>
  <si>
    <t>timestamp</t>
  </si>
  <si>
    <t>接口类型：1、S1-U，4、S11，6、S5/S8，100、N3</t>
  </si>
  <si>
    <t>ne_belong</t>
  </si>
  <si>
    <t>小区网元归属方</t>
  </si>
  <si>
    <t>area</t>
  </si>
  <si>
    <t>拜访地区县</t>
  </si>
  <si>
    <t>httpstatus_abnormal_num</t>
  </si>
  <si>
    <t>HTTP状态异常</t>
  </si>
  <si>
    <t>http_request_num</t>
  </si>
  <si>
    <t>HTTP业务请求次数(页面请求次数)</t>
  </si>
  <si>
    <t>abnor_event_ratio</t>
  </si>
  <si>
    <t>异常事件比例</t>
  </si>
  <si>
    <t>置空</t>
    <phoneticPr fontId="16" type="noConversion"/>
  </si>
  <si>
    <t>sum(nvl(http_req_cnt,0)-nvl(http_succ_cnt,0))</t>
    <phoneticPr fontId="16" type="noConversion"/>
  </si>
  <si>
    <t>sum(nvl(http_req_cnt,0)-nvl(http_succ_cnt,0))/sum(http_req_cnt)</t>
    <phoneticPr fontId="16" type="noConversion"/>
  </si>
  <si>
    <t>[0,1]</t>
    <phoneticPr fontId="16" type="noConversion"/>
  </si>
  <si>
    <t>天</t>
    <phoneticPr fontId="16" type="noConversion"/>
  </si>
  <si>
    <t>aggr_nr_dpi_http_appcel_h</t>
    <phoneticPr fontId="16" type="noConversion"/>
  </si>
  <si>
    <t>小区</t>
  </si>
  <si>
    <t>小区</t>
    <phoneticPr fontId="16" type="noConversion"/>
  </si>
  <si>
    <t>aggr_nr_dpi_web_appcel_h</t>
  </si>
  <si>
    <t>过滤条件：business_type='web'</t>
    <phoneticPr fontId="16" type="noConversion"/>
  </si>
  <si>
    <t>aggr_nr_dpi_web_appcel_d</t>
  </si>
  <si>
    <t>5G_DPI_web小区app维度小时表</t>
    <phoneticPr fontId="16" type="noConversion"/>
  </si>
  <si>
    <t>5G_DPI_web小区app维度天表</t>
    <phoneticPr fontId="16" type="noConversion"/>
  </si>
  <si>
    <t>aggr_nr_dpi_web_cel_d</t>
    <phoneticPr fontId="16" type="noConversion"/>
  </si>
  <si>
    <t>5G_DPI_web小区维度天表</t>
    <phoneticPr fontId="16" type="noConversion"/>
  </si>
  <si>
    <t>aggr_nr_dpi_im_appcel_h</t>
  </si>
  <si>
    <t>5G_DPI_im小区app维度小时表</t>
  </si>
  <si>
    <t>aggr_nr_dpi_im_appcel_d</t>
  </si>
  <si>
    <t>5G_DPI_im小区app维度天表</t>
  </si>
  <si>
    <t>aggr_nr_dpi_im_cel_d</t>
  </si>
  <si>
    <t>5G_DPI_im小区维度天表</t>
  </si>
  <si>
    <t>aggr_nr_dpi_game_appcel_h</t>
  </si>
  <si>
    <t>5G_DPI_game小区app维度小时表</t>
  </si>
  <si>
    <t>aggr_nr_dpi_game_appcel_d</t>
  </si>
  <si>
    <t>5G_DPI_game小区app维度天表</t>
  </si>
  <si>
    <t>aggr_nr_dpi_game_cel_d</t>
  </si>
  <si>
    <t>5G_DPI_game小区维度天表</t>
  </si>
  <si>
    <t>过滤条件：business_type='im'</t>
    <phoneticPr fontId="16" type="noConversion"/>
  </si>
  <si>
    <t>过滤条件：business_type='game'</t>
    <phoneticPr fontId="16" type="noConversion"/>
  </si>
  <si>
    <t>aggr_nr_dpi_game_appcel_h</t>
    <phoneticPr fontId="16" type="noConversion"/>
  </si>
  <si>
    <t>5G_DPI_game小区app维度小时表</t>
    <phoneticPr fontId="16" type="noConversion"/>
  </si>
  <si>
    <t>aggr_nr_dpi_web_appcel_d</t>
    <phoneticPr fontId="16" type="noConversion"/>
  </si>
  <si>
    <t>aggr_nr_dpi_game_appcel_d</t>
    <phoneticPr fontId="16" type="noConversion"/>
  </si>
  <si>
    <t>5G_DPI_game小区app维度天表</t>
    <phoneticPr fontId="16" type="noConversion"/>
  </si>
  <si>
    <t>aggr_nr_dpi_game_cel_d</t>
    <phoneticPr fontId="16" type="noConversion"/>
  </si>
  <si>
    <t>5G_DPI_game小区维度天表</t>
    <phoneticPr fontId="16" type="noConversion"/>
  </si>
  <si>
    <t>aggr_nr_dpi_http_apptype_usrcel_h</t>
    <phoneticPr fontId="16" type="noConversion"/>
  </si>
  <si>
    <t>5G_DPI_app类型用户小区维度小时表</t>
    <phoneticPr fontId="16" type="noConversion"/>
  </si>
  <si>
    <t>用户|小区|app类型</t>
    <phoneticPr fontId="16" type="noConversion"/>
  </si>
  <si>
    <t>aggr_nr_dpi_http_usrappcel_h</t>
    <phoneticPr fontId="16" type="noConversion"/>
  </si>
  <si>
    <t>aggr_nr_dpi_web_usrcel_d</t>
    <phoneticPr fontId="16" type="noConversion"/>
  </si>
  <si>
    <t>5G_DPI_web用户小区维度天表</t>
    <phoneticPr fontId="16" type="noConversion"/>
  </si>
  <si>
    <t>用户|小区</t>
    <phoneticPr fontId="16" type="noConversion"/>
  </si>
  <si>
    <t>现网算法（算法存在变更）：case when syntime&gt;0 and (firstfinacktime-syntime)&lt;30000 and (firstfinacktime-syntime)&gt;0   then  firstfinacktime-syntime  else null end</t>
    <phoneticPr fontId="16" type="noConversion"/>
  </si>
  <si>
    <t>现网算法（算法存在变更）：case when DNSQueryTime is not null and FirstScreenFinTime&gt;DNSQueryTime and DNSQueryTime !=0  then  FirstScreenFinTime-DNSQueryTime when  SYNtime is not null and FirstScreenFinTime&gt;SYNtime then FirstScreenFinTime-SYNtime  else 0 end</t>
    <phoneticPr fontId="16" type="noConversion"/>
  </si>
  <si>
    <t>现网算法（无明显变更）：case when  DNSResponseTime is not null and SYNtime&gt;DNSResponseTime then  SYNtime-DNSResponseTime else null end</t>
    <phoneticPr fontId="16" type="noConversion"/>
  </si>
  <si>
    <t>现网算法（无明显变更）：case when tcpsetupresponsedelay&lt;50000 and tcpsetupackdelay&lt;50000 then (tcpsetupresponsedelay+tcpsetupackdelay) else null end</t>
    <phoneticPr fontId="16" type="noConversion"/>
  </si>
  <si>
    <t>现网算法（无明显变更）：case when syntime&gt;0 and (firstpackettime-syntime)&lt;100000 and (firstpackettime-syntime)&gt;0   then  firstpackettime-syntime  else null end</t>
    <phoneticPr fontId="16" type="noConversion"/>
  </si>
  <si>
    <t>现网算法（无明显变更）：case when dnsquerytime&gt;0 and dnsresponsetime&gt;0 and (dnsresponsetime-dnsquerytime)&gt;=0 then (dnsresponsetime-dnsquerytime) else null end</t>
    <phoneticPr fontId="16" type="noConversion"/>
  </si>
  <si>
    <t>duration_sum</t>
  </si>
  <si>
    <t>httpwebreqcount</t>
    <phoneticPr fontId="16" type="noConversion"/>
  </si>
  <si>
    <t>httpwebrspcount</t>
    <phoneticPr fontId="16" type="noConversion"/>
  </si>
  <si>
    <t>httpwebdspcount</t>
    <phoneticPr fontId="16" type="noConversion"/>
  </si>
  <si>
    <t>tcpsetupresponsedelay_seg_1</t>
    <phoneticPr fontId="16" type="noConversion"/>
  </si>
  <si>
    <t>tcpsetupresponsedelay_seg_2</t>
    <phoneticPr fontId="16" type="noConversion"/>
  </si>
  <si>
    <t>tcpsetupresponsedelay_seg_3</t>
    <phoneticPr fontId="16" type="noConversion"/>
  </si>
  <si>
    <t>tcpsetupresponsedelay_seg_4</t>
    <phoneticPr fontId="16" type="noConversion"/>
  </si>
  <si>
    <t>tcpsetupresponsedelay_seg_5</t>
    <phoneticPr fontId="16" type="noConversion"/>
  </si>
  <si>
    <t>tcpsetupackdelay_seg_1</t>
    <phoneticPr fontId="16" type="noConversion"/>
  </si>
  <si>
    <t>tcpsetupackdelay_seg_2</t>
    <phoneticPr fontId="16" type="noConversion"/>
  </si>
  <si>
    <t>tcpsetupackdelay_seg_3</t>
    <phoneticPr fontId="16" type="noConversion"/>
  </si>
  <si>
    <t>tcpsetupackdelay_seg_4</t>
    <phoneticPr fontId="16" type="noConversion"/>
  </si>
  <si>
    <t>tcpsetupackdelay_seg_5</t>
    <phoneticPr fontId="16" type="noConversion"/>
  </si>
  <si>
    <t>tcpsetupdelay_seg_1</t>
    <phoneticPr fontId="16" type="noConversion"/>
  </si>
  <si>
    <t>tcpsetupdelay_seg_2</t>
    <phoneticPr fontId="16" type="noConversion"/>
  </si>
  <si>
    <t>tcpsetupdelay_seg_3</t>
    <phoneticPr fontId="16" type="noConversion"/>
  </si>
  <si>
    <t>tcpsetupdelay_seg_4</t>
    <phoneticPr fontId="16" type="noConversion"/>
  </si>
  <si>
    <t>tcpsetupdelay_seg_5</t>
    <phoneticPr fontId="16" type="noConversion"/>
  </si>
  <si>
    <t>dnsquerydelay_avg</t>
    <phoneticPr fontId="16" type="noConversion"/>
  </si>
  <si>
    <t>httpwebrspdelay_avg</t>
    <phoneticPr fontId="16" type="noConversion"/>
  </si>
  <si>
    <t>httpwebdspdelay_avg</t>
    <phoneticPr fontId="16" type="noConversion"/>
  </si>
  <si>
    <t>httpwebscreendelay_avg</t>
    <phoneticPr fontId="16" type="noConversion"/>
  </si>
  <si>
    <t>respdelay_avg</t>
    <phoneticPr fontId="16" type="noConversion"/>
  </si>
  <si>
    <t>delay_syntime_dnsresponsetime_avg</t>
    <phoneticPr fontId="16" type="noConversion"/>
  </si>
  <si>
    <t>times_excellentrspdelay</t>
    <phoneticPr fontId="16" type="noConversion"/>
  </si>
  <si>
    <t>times_inferiorrspdelay</t>
    <phoneticPr fontId="16" type="noConversion"/>
  </si>
  <si>
    <t>times_wellrspdelay</t>
    <phoneticPr fontId="16" type="noConversion"/>
  </si>
  <si>
    <t>times_excellentcmpltdelay</t>
    <phoneticPr fontId="16" type="noConversion"/>
  </si>
  <si>
    <t>times_inferiorcmpltdelay</t>
    <phoneticPr fontId="16" type="noConversion"/>
  </si>
  <si>
    <t>times_wellcmpltdelay</t>
    <phoneticPr fontId="16" type="noConversion"/>
  </si>
  <si>
    <t>sum(httpwebrspdelay_avg*httpwebrspcount)/sum(httpwebrspcount)</t>
    <phoneticPr fontId="16" type="noConversion"/>
  </si>
  <si>
    <t>sum(httpwebdspdelay_avg*httpwebrspcount)/sum(httpwebrspcount)</t>
    <phoneticPr fontId="16" type="noConversion"/>
  </si>
  <si>
    <t>sum(httpwebscreendelay_avg*httpwebscreen_cnt)/sum(httpwebscreen_cnt)</t>
    <phoneticPr fontId="16" type="noConversion"/>
  </si>
  <si>
    <t>respdelay_avg</t>
  </si>
  <si>
    <t>sum(respdelay_avg*httpwebrspcount)/sum(httpwebrspcount)</t>
  </si>
  <si>
    <t>sum(respdelay_avg*httpwebrspcount)/sum(httpwebrspcount)</t>
    <phoneticPr fontId="16" type="noConversion"/>
  </si>
  <si>
    <t>dnsquerydelay_avg</t>
  </si>
  <si>
    <t>sum(dnsquerydelay_avg*dnsresponse_cnt)/sum(dnsresponse_cnt)</t>
  </si>
  <si>
    <t>sum(dnsquerydelay_avg*dnsresponse_cnt)/sum(dnsresponse_cnt)</t>
    <phoneticPr fontId="16" type="noConversion"/>
  </si>
  <si>
    <t>delay_syntime_dnsresponsetime_avg</t>
  </si>
  <si>
    <t>sum(delay_syntime_dnsresponsetime_avg*syntime_dnsresponse_cnt)/sum(syntime_dnsresponse_cnt)</t>
  </si>
  <si>
    <t>sum(delay_syntime_dnsresponsetime_avg*syntime_dnsresponse_cnt)/sum(syntime_dnsresponse_cnt)</t>
    <phoneticPr fontId="16" type="noConversion"/>
  </si>
  <si>
    <t>sum(duration_sum)</t>
  </si>
  <si>
    <t>sum(outputoctets_sum)</t>
  </si>
  <si>
    <t>sum(inputoctets_sum)</t>
  </si>
  <si>
    <t>sum(outputpacket_sum)</t>
  </si>
  <si>
    <t>sum(inputpacket_sum)</t>
  </si>
  <si>
    <t>sum(ultcpreorderingpacket_sum)</t>
  </si>
  <si>
    <t>sum(dltcpreorderingpacket_sum)</t>
  </si>
  <si>
    <t>sum(ultcpretranspacket_sum)</t>
  </si>
  <si>
    <t>sum(dltcpretranspacket_sum)</t>
  </si>
  <si>
    <t>sum(ulipfragpacks_sum)</t>
  </si>
  <si>
    <t>sum(dlipfragpacks_sum)</t>
  </si>
  <si>
    <t>sum(ul_data_transduration_sum)</t>
  </si>
  <si>
    <t>sum(httpwebreqcount)</t>
  </si>
  <si>
    <t>sum(httpwebrspcount)</t>
  </si>
  <si>
    <t>sum(httpwebdspcount)</t>
  </si>
  <si>
    <t>sum(tcpsetupresponsedelay_seg_1)</t>
  </si>
  <si>
    <t>sum(tcpsetupresponsedelay_seg_2)</t>
  </si>
  <si>
    <t>sum(tcpsetupresponsedelay_seg_3)</t>
  </si>
  <si>
    <t>sum(tcpsetupresponsedelay_seg_4)</t>
  </si>
  <si>
    <t>sum(tcpsetupresponsedelay_seg_5)</t>
  </si>
  <si>
    <t>sum(tcpsetupackdelay_seg_1)</t>
  </si>
  <si>
    <t>sum(tcpsetupackdelay_seg_2)</t>
  </si>
  <si>
    <t>sum(tcpsetupackdelay_seg_3)</t>
  </si>
  <si>
    <t>sum(tcpsetupackdelay_seg_4)</t>
  </si>
  <si>
    <t>sum(tcpsetupackdelay_seg_5)</t>
  </si>
  <si>
    <t>sum(tcpsetupdelay_seg_1)</t>
  </si>
  <si>
    <t>sum(tcpsetupdelay_seg_2)</t>
  </si>
  <si>
    <t>sum(tcpsetupdelay_seg_3)</t>
  </si>
  <si>
    <t>sum(tcpsetupdelay_seg_4)</t>
  </si>
  <si>
    <t>sum(tcpsetupdelay_seg_5)</t>
  </si>
  <si>
    <t>sum(times_excellentrspdelay)</t>
  </si>
  <si>
    <t>sum(times_inferiorrspdelay)</t>
  </si>
  <si>
    <t>sum(times_wellrspdelay)</t>
  </si>
  <si>
    <t>sum(times_excellentcmpltdelay)</t>
  </si>
  <si>
    <t>sum(times_inferiorcmpltdelay)</t>
  </si>
  <si>
    <t>sum(times_wellcmpltdelay)</t>
  </si>
  <si>
    <t>outputpacket_sum</t>
    <phoneticPr fontId="16" type="noConversion"/>
  </si>
  <si>
    <t>inputpacket_sum</t>
    <phoneticPr fontId="16" type="noConversion"/>
  </si>
  <si>
    <t>ultcpreorderingpacket_sum</t>
    <phoneticPr fontId="16" type="noConversion"/>
  </si>
  <si>
    <t>dltcpreorderingpacket_sum</t>
    <phoneticPr fontId="16" type="noConversion"/>
  </si>
  <si>
    <t>ultcpretranspacket_sum</t>
    <phoneticPr fontId="16" type="noConversion"/>
  </si>
  <si>
    <t>dltcpretranspacket_sum</t>
    <phoneticPr fontId="16" type="noConversion"/>
  </si>
  <si>
    <t>httpwebdspcount</t>
  </si>
  <si>
    <t>tcpsetupdelay_seg_1</t>
  </si>
  <si>
    <t>tcpsetupdelay_seg_2</t>
  </si>
  <si>
    <t>tcpsetupdelay_seg_3</t>
  </si>
  <si>
    <t>tcpsetupdelay_seg_4</t>
  </si>
  <si>
    <t>tcpsetupdelay_seg_5</t>
  </si>
  <si>
    <t>TCP建链确认时延_avg</t>
    <phoneticPr fontId="16" type="noConversion"/>
  </si>
  <si>
    <t>duration_sum</t>
    <phoneticPr fontId="16" type="noConversion"/>
  </si>
  <si>
    <t>outputoctets_sum</t>
    <phoneticPr fontId="16" type="noConversion"/>
  </si>
  <si>
    <t>inputoctets_sum</t>
    <phoneticPr fontId="16" type="noConversion"/>
  </si>
  <si>
    <t>ulipfragpacks_sum</t>
    <phoneticPr fontId="16" type="noConversion"/>
  </si>
  <si>
    <t>dlipfragpacks_sum</t>
    <phoneticPr fontId="16" type="noConversion"/>
  </si>
  <si>
    <t>ul_data_transduration_sum</t>
    <phoneticPr fontId="16" type="noConversion"/>
  </si>
  <si>
    <t>times_excellentgamedelay</t>
    <phoneticPr fontId="16" type="noConversion"/>
  </si>
  <si>
    <t>times_inferiorgamedelay</t>
    <phoneticPr fontId="16" type="noConversion"/>
  </si>
  <si>
    <t>times_wellgamedelay</t>
    <phoneticPr fontId="16" type="noConversion"/>
  </si>
  <si>
    <t>sum(times_excellentgamedelay)</t>
    <phoneticPr fontId="16" type="noConversion"/>
  </si>
  <si>
    <t>sum(times_inferiorgamedelay)</t>
    <phoneticPr fontId="16" type="noConversion"/>
  </si>
  <si>
    <t>sum(times_wellgamedelay)</t>
    <phoneticPr fontId="16" type="noConversion"/>
  </si>
  <si>
    <t>sum(dl_data_transduration)</t>
    <phoneticPr fontId="16" type="noConversion"/>
  </si>
  <si>
    <t>dl_data_transduration_sum</t>
    <phoneticPr fontId="16" type="noConversion"/>
  </si>
  <si>
    <t>sum(dl_data_transduration)</t>
    <phoneticPr fontId="16" type="noConversion"/>
  </si>
  <si>
    <t>dl_data_transduration_sum</t>
    <phoneticPr fontId="16" type="noConversion"/>
  </si>
  <si>
    <t>sum(dl_data_transduration_sum)</t>
    <phoneticPr fontId="16" type="noConversion"/>
  </si>
  <si>
    <t>dl_data_transduration_sum</t>
    <phoneticPr fontId="16" type="noConversion"/>
  </si>
  <si>
    <t>is_wechat_payment</t>
    <phoneticPr fontId="16" type="noConversion"/>
  </si>
  <si>
    <t>int</t>
    <phoneticPr fontId="16" type="noConversion"/>
  </si>
  <si>
    <t>是否微信支付</t>
    <phoneticPr fontId="16" type="noConversion"/>
  </si>
  <si>
    <t>servicetype</t>
    <phoneticPr fontId="16" type="noConversion"/>
  </si>
  <si>
    <t>case when servicetype='88888888' then 1 else 0 end</t>
    <phoneticPr fontId="16" type="noConversion"/>
  </si>
  <si>
    <t>0,1</t>
    <phoneticPr fontId="16" type="noConversion"/>
  </si>
  <si>
    <t>5G_DPI_web用户维度天表</t>
    <phoneticPr fontId="16" type="noConversion"/>
  </si>
  <si>
    <t>aggr_nr_dpi_web_usr_d</t>
  </si>
  <si>
    <t>沿用表aggr_5g_web_usr_e2e_d字段名称</t>
    <phoneticPr fontId="16" type="noConversion"/>
  </si>
  <si>
    <t>aggr_nr_dpi_web_usr_d</t>
    <phoneticPr fontId="16" type="noConversion"/>
  </si>
  <si>
    <t>pei</t>
    <phoneticPr fontId="16" type="noConversion"/>
  </si>
  <si>
    <t>aggr_nr_dpi_im_usrcel_d</t>
  </si>
  <si>
    <t>aggr_nr_dpi_im_usr_d</t>
  </si>
  <si>
    <t>5G_DPI_im用户小区维度天表</t>
  </si>
  <si>
    <t>5G_DPI_im用户维度天表</t>
  </si>
  <si>
    <t>沿用表aggr_5g_im_usr_e2e_d字段名称</t>
  </si>
  <si>
    <t>aggr_nr_wechat_payment_usrcel_d</t>
    <phoneticPr fontId="16" type="noConversion"/>
  </si>
  <si>
    <t>aggr_nr_dpi_game_usrcel_d</t>
  </si>
  <si>
    <t>aggr_nr_dpi_game_usrcel_d</t>
    <phoneticPr fontId="16" type="noConversion"/>
  </si>
  <si>
    <t>aggr_nr_dpi_game_usr_d</t>
  </si>
  <si>
    <t>5G_DPI_game用户小区维度天表</t>
  </si>
  <si>
    <t>5G_DPI_game用户维度天表</t>
  </si>
  <si>
    <t>aggr_nr_dpi_im_usrcel_d</t>
    <phoneticPr fontId="16" type="noConversion"/>
  </si>
  <si>
    <t>5G_DPI_im用户小区维度天表</t>
    <phoneticPr fontId="16" type="noConversion"/>
  </si>
  <si>
    <t>过滤条件：business_type='im' or is_wechat_payment=1</t>
    <phoneticPr fontId="16" type="noConversion"/>
  </si>
  <si>
    <t>aggr_nr_dpi_im_appcel_d</t>
    <phoneticPr fontId="16" type="noConversion"/>
  </si>
  <si>
    <t>5G_DPI_im小区app维度天表</t>
    <phoneticPr fontId="16" type="noConversion"/>
  </si>
  <si>
    <t>aggr_nr_dpi_im_appcel_h</t>
    <phoneticPr fontId="16" type="noConversion"/>
  </si>
  <si>
    <t>5G_DPI_im小区app维度小时表</t>
    <phoneticPr fontId="16" type="noConversion"/>
  </si>
  <si>
    <t>aggr_nr_dpi_im_usr_d</t>
    <phoneticPr fontId="16" type="noConversion"/>
  </si>
  <si>
    <t>5G_DPI_im用户维度天表</t>
    <phoneticPr fontId="16" type="noConversion"/>
  </si>
  <si>
    <t>5G微信支付用户小区天表</t>
    <phoneticPr fontId="16" type="noConversion"/>
  </si>
  <si>
    <t>httpwebrspdelay_seg_1</t>
  </si>
  <si>
    <t>网页响应(首包)时延_seg_1</t>
  </si>
  <si>
    <t>httpwebrspdelay_seg_2</t>
  </si>
  <si>
    <t>网页响应(首包)时延_seg_2</t>
  </si>
  <si>
    <t>httpwebrspdelay_seg_3</t>
  </si>
  <si>
    <t>网页响应(首包)时延_seg_3</t>
  </si>
  <si>
    <t>httpwebrspdelay_seg_4</t>
  </si>
  <si>
    <t>网页响应(首包)时延_seg_4</t>
  </si>
  <si>
    <t>httpwebrspdelay_seg_5</t>
  </si>
  <si>
    <t>网页响应(首包)时延_seg_5</t>
  </si>
  <si>
    <t>sum(case when httpwebrspdelay &gt; 500 and  httpwebrspdelay &lt;= 600 then 1 else 0 end)</t>
    <phoneticPr fontId="16" type="noConversion"/>
  </si>
  <si>
    <t>sum(case when httpwebrspdelay &gt; 600 and  httpwebrspdelay &lt;= 700 then 1 else 0 end)</t>
    <phoneticPr fontId="16" type="noConversion"/>
  </si>
  <si>
    <t>sum(case when httpwebrspdelay &gt; 700 and  httpwebrspdelay &lt;= 800 then 1 else 0 end)</t>
    <phoneticPr fontId="16" type="noConversion"/>
  </si>
  <si>
    <t>sum(case when httpwebrspdelay &gt; 800 and  httpwebrspdelay &lt;= 900 then 1 else 0 end)</t>
    <phoneticPr fontId="16" type="noConversion"/>
  </si>
  <si>
    <t>sum(case when httpwebrspdelay &gt; 900 and  httpwebrspdelay &lt;= 10000 then 1 else 0 end)</t>
    <phoneticPr fontId="16" type="noConversion"/>
  </si>
  <si>
    <t>网页显示(打开)时长_seg_1</t>
  </si>
  <si>
    <t>httpwebdspdelay_seg_2</t>
  </si>
  <si>
    <t>网页显示(打开)时长_seg_2</t>
  </si>
  <si>
    <t>httpwebdspdelay_seg_3</t>
  </si>
  <si>
    <t>网页显示(打开)时长_seg_3</t>
  </si>
  <si>
    <t>httpwebdspdelay_seg_4</t>
  </si>
  <si>
    <t>网页显示(打开)时长_seg_4</t>
  </si>
  <si>
    <t>httpwebdspdelay_seg_5</t>
  </si>
  <si>
    <t>网页显示(打开)时长_seg_5</t>
  </si>
  <si>
    <t>httpwebdspdelay_seg_1</t>
    <phoneticPr fontId="16" type="noConversion"/>
  </si>
  <si>
    <t>sum(case when httpwebdspdelay &gt; 1800 and  httpwebdspdelay &lt;= 1900 then 1 else 0 end)</t>
    <phoneticPr fontId="16" type="noConversion"/>
  </si>
  <si>
    <t>sum(case when httpwebdspdelay &gt; 1900 and  httpwebdspdelay &lt;= 2000 then 1 else 0 end)</t>
    <phoneticPr fontId="16" type="noConversion"/>
  </si>
  <si>
    <t>sum(case when httpwebdspdelay &gt; 2000 and  httpwebdspdelay &lt;= 2100 then 1 else 0 end)</t>
    <phoneticPr fontId="16" type="noConversion"/>
  </si>
  <si>
    <t>sum(case when httpwebdspdelay &gt; 2100 and  httpwebdspdelay &lt;= 2200 then 1 else 0 end)</t>
    <phoneticPr fontId="16" type="noConversion"/>
  </si>
  <si>
    <t>sum(case when httpwebdspdelay &gt; 2200 and  httpwebdspdelay &lt;= 10000 then 1 else 0 end)</t>
    <phoneticPr fontId="16" type="noConversion"/>
  </si>
  <si>
    <t>网页首屏时延_seg_1</t>
  </si>
  <si>
    <t>httpwebscreendelay_seg_2</t>
  </si>
  <si>
    <t>网页首屏时延_seg_2</t>
  </si>
  <si>
    <t>httpwebscreendelay_seg_3</t>
  </si>
  <si>
    <t>网页首屏时延_seg_3</t>
  </si>
  <si>
    <t>httpwebscreendelay_seg_4</t>
  </si>
  <si>
    <t>网页首屏时延_seg_4</t>
  </si>
  <si>
    <t>httpwebscreendelay_seg_5</t>
  </si>
  <si>
    <t>网页首屏时延_seg_5</t>
  </si>
  <si>
    <t>httpwebscreendelay_seg_1</t>
    <phoneticPr fontId="16" type="noConversion"/>
  </si>
  <si>
    <t>sum(case when httpwebscreendelay &gt; 1500 and  httpwebscreendelay &lt;= 1600 then 1 else 0 end)</t>
    <phoneticPr fontId="16" type="noConversion"/>
  </si>
  <si>
    <t>sum(case when httpwebscreendelay &gt; 1600 and  httpwebscreendelay &lt;= 1700 then 1 else 0 end)</t>
    <phoneticPr fontId="16" type="noConversion"/>
  </si>
  <si>
    <t>sum(case when httpwebscreendelay &gt; 1700 and  httpwebscreendelay &lt;= 1800 then 1 else 0 end)</t>
    <phoneticPr fontId="16" type="noConversion"/>
  </si>
  <si>
    <t>sum(case when httpwebscreendelay &gt; 1800 and  httpwebscreendelay &lt;= 2200 then 1 else 0 end)</t>
    <phoneticPr fontId="16" type="noConversion"/>
  </si>
  <si>
    <t>sum(case when httpwebscreendelay &gt; 2200 and  httpwebscreendelay &lt;= 10000 then 1 else 0 end)</t>
    <phoneticPr fontId="16" type="noConversion"/>
  </si>
  <si>
    <t>httpwebrspdelay_seg_1</t>
    <phoneticPr fontId="16" type="noConversion"/>
  </si>
  <si>
    <t>sum(httpwebrspdelay_seg_1)</t>
    <phoneticPr fontId="16" type="noConversion"/>
  </si>
  <si>
    <t>sum(httpwebrspdelay_seg_2)</t>
  </si>
  <si>
    <t>sum(httpwebrspdelay_seg_3)</t>
  </si>
  <si>
    <t>sum(httpwebrspdelay_seg_4)</t>
  </si>
  <si>
    <t>sum(httpwebrspdelay_seg_5)</t>
  </si>
  <si>
    <t>sum(httpwebdspdelay_seg_1)</t>
    <phoneticPr fontId="16" type="noConversion"/>
  </si>
  <si>
    <t>sum(httpwebdspdelay_seg_2)</t>
  </si>
  <si>
    <t>sum(httpwebdspdelay_seg_3)</t>
  </si>
  <si>
    <t>sum(httpwebdspdelay_seg_4)</t>
  </si>
  <si>
    <t>sum(httpwebdspdelay_seg_5)</t>
  </si>
  <si>
    <t>sum(httpwebscreendelay_seg_1)</t>
    <phoneticPr fontId="16" type="noConversion"/>
  </si>
  <si>
    <t>sum(httpwebscreendelay_seg_2)</t>
  </si>
  <si>
    <t>sum(httpwebscreendelay_seg_3)</t>
  </si>
  <si>
    <t>sum(httpwebscreendelay_seg_4)</t>
  </si>
  <si>
    <t>sum(httpwebscreendelay_seg_5)</t>
  </si>
  <si>
    <t>aggr_nr_wechat_payment_usrcel_d</t>
  </si>
  <si>
    <t>5G微信支付用户小区天表</t>
  </si>
  <si>
    <t>cellname</t>
  </si>
  <si>
    <t>scan_code_num</t>
  </si>
  <si>
    <t>duration_avg</t>
  </si>
  <si>
    <t>tcpsetupackdelay_avg</t>
  </si>
  <si>
    <t>ultcpretrans_rate</t>
  </si>
  <si>
    <t>dltcpretrans_rate</t>
  </si>
  <si>
    <t>ultcpreordering_rate</t>
  </si>
  <si>
    <t>dltcpreordering_rate</t>
  </si>
  <si>
    <t>基站标识</t>
  </si>
  <si>
    <t>小区名称</t>
  </si>
  <si>
    <t>省ID</t>
  </si>
  <si>
    <t>地市ID</t>
  </si>
  <si>
    <t>区县ID</t>
  </si>
  <si>
    <t>总时延（ms）</t>
  </si>
  <si>
    <t>微信支付扫码次数</t>
  </si>
  <si>
    <t>平均时延（ms）</t>
  </si>
  <si>
    <t>TCP二三次握手总时延（ms）</t>
  </si>
  <si>
    <t>TCP二三次握手时延（ms）</t>
  </si>
  <si>
    <t>上行重传率</t>
  </si>
  <si>
    <t>下行重传率</t>
  </si>
  <si>
    <t>上行乱序率</t>
  </si>
  <si>
    <t>下行乱序率</t>
  </si>
  <si>
    <t>p_date</t>
    <phoneticPr fontId="16" type="noConversion"/>
  </si>
  <si>
    <t>置空</t>
    <phoneticPr fontId="16" type="noConversion"/>
  </si>
  <si>
    <t>cellkey</t>
    <phoneticPr fontId="16" type="noConversion"/>
  </si>
  <si>
    <t>split(cellkey,"_")[0]</t>
    <phoneticPr fontId="16" type="noConversion"/>
  </si>
  <si>
    <t>split(cellkey,"_")[1]</t>
    <phoneticPr fontId="16" type="noConversion"/>
  </si>
  <si>
    <t>直取</t>
    <phoneticPr fontId="16" type="noConversion"/>
  </si>
  <si>
    <t>5G电联工参</t>
    <phoneticPr fontId="16" type="noConversion"/>
  </si>
  <si>
    <t>B</t>
    <phoneticPr fontId="16" type="noConversion"/>
  </si>
  <si>
    <t>B2与B3先合并，并按cellkey去重</t>
    <phoneticPr fontId="16" type="noConversion"/>
  </si>
  <si>
    <t>按照cellkey去重</t>
    <phoneticPr fontId="16" type="noConversion"/>
  </si>
  <si>
    <t>使用cellkey关联工参：A表interface=1时，关联4G工参；否则关联5G工参</t>
    <phoneticPr fontId="16" type="noConversion"/>
  </si>
  <si>
    <t>B1/B2：cellname
B3：cell_name</t>
  </si>
  <si>
    <t>关联工参回填</t>
  </si>
  <si>
    <t>duration_sum</t>
    <phoneticPr fontId="16" type="noConversion"/>
  </si>
  <si>
    <t>sum(duration_sum)</t>
    <phoneticPr fontId="16" type="noConversion"/>
  </si>
  <si>
    <t>tcpsetupdelay_avg</t>
  </si>
  <si>
    <t>sum(tcpsetupackdelay_avg*tcpsetupackdelay_cnt)</t>
    <phoneticPr fontId="16" type="noConversion"/>
  </si>
  <si>
    <t>sum(tcpsetupackdelay_avg*tcpsetupackdelay_cnt)/sum(tcpsetupackdelay_cnt)</t>
  </si>
  <si>
    <t>sum(ultcpretranspacket_sum)</t>
    <phoneticPr fontId="16" type="noConversion"/>
  </si>
  <si>
    <t>sum(dltcpretranspacket_sum)</t>
    <phoneticPr fontId="16" type="noConversion"/>
  </si>
  <si>
    <t>sum(ultcpreorderingpacket_sum)</t>
    <phoneticPr fontId="16" type="noConversion"/>
  </si>
  <si>
    <t>sum(dltcpreorderingpacket_sum)</t>
    <phoneticPr fontId="16" type="noConversion"/>
  </si>
  <si>
    <t>outputoctets_sum</t>
    <phoneticPr fontId="16" type="noConversion"/>
  </si>
  <si>
    <t>inputoctets_sum</t>
    <phoneticPr fontId="16" type="noConversion"/>
  </si>
  <si>
    <t>sum(outputpacket_sum)</t>
    <phoneticPr fontId="16" type="noConversion"/>
  </si>
  <si>
    <t>sum(inputpacket_sum)</t>
    <phoneticPr fontId="16" type="noConversion"/>
  </si>
  <si>
    <t>sum(ultcpretranspacket_sum)/sum(outputpacket_sum)</t>
    <phoneticPr fontId="16" type="noConversion"/>
  </si>
  <si>
    <t>sum(dltcpretranspacket_sum)/sum(inputpacket_sum)</t>
    <phoneticPr fontId="16" type="noConversion"/>
  </si>
  <si>
    <t>sum(ultcpreorderingpacket_sum)/sum(outputpacket_sum)</t>
    <phoneticPr fontId="16" type="noConversion"/>
  </si>
  <si>
    <t>sum(dltcpreorderingpacket_sum)/sum(inputpacket_sum)</t>
    <phoneticPr fontId="16" type="noConversion"/>
  </si>
  <si>
    <t>次</t>
  </si>
  <si>
    <t>过滤条件：is_wechat_payment = 1</t>
    <phoneticPr fontId="16" type="noConversion"/>
  </si>
  <si>
    <t>5G_DPI_game用户小区维度天表</t>
    <phoneticPr fontId="16" type="noConversion"/>
  </si>
  <si>
    <t>dnsqueryreqcount</t>
  </si>
  <si>
    <t>dnsqueryrspcount</t>
  </si>
  <si>
    <t>httpwebrsprate</t>
  </si>
  <si>
    <t>httpwebcmpltrate</t>
  </si>
  <si>
    <t>gameinteractdelay_sum</t>
  </si>
  <si>
    <t>times_excellentgamedelay</t>
  </si>
  <si>
    <t>times_inferiorgamedelay</t>
  </si>
  <si>
    <t>times_wellgamedelay</t>
  </si>
  <si>
    <t>tcpsetupresponsedelay_avg</t>
  </si>
  <si>
    <t>gameinteractdelay_avg</t>
  </si>
  <si>
    <t>gameinteractdelay_seg_2</t>
  </si>
  <si>
    <t>gameinteractdelay_seg_3</t>
  </si>
  <si>
    <t>gameinteractdelay_seg_4</t>
  </si>
  <si>
    <t>gameinteractdelay_seg_5</t>
  </si>
  <si>
    <t>dnsquerydelay_seg_1</t>
  </si>
  <si>
    <t>dnsquerydelay_seg_2</t>
  </si>
  <si>
    <t>dnsquerydelay_seg_3</t>
  </si>
  <si>
    <t>dnsquerydelay_seg_4</t>
  </si>
  <si>
    <t>dnsquerydelay_seg_5</t>
  </si>
  <si>
    <t>httpwebrspdelay_avg</t>
  </si>
  <si>
    <t>httpwebdspdelay_avg</t>
  </si>
  <si>
    <t>httpwebdspdelay_seg_1</t>
  </si>
  <si>
    <t>httpwebscreendelay_avg</t>
  </si>
  <si>
    <t>httpwebscreendelay_seg_1</t>
  </si>
  <si>
    <t>sum(duration)</t>
  </si>
  <si>
    <t>sum(dnsresponse_delay*dnsresponse_cnt)</t>
  </si>
  <si>
    <t>aggr_nr_dpi_http_apptype_usrappcel_q</t>
    <phoneticPr fontId="16" type="noConversion"/>
  </si>
  <si>
    <t>5G_DPI_app类型用户小区app维度15分钟表</t>
    <phoneticPr fontId="16" type="noConversion"/>
  </si>
  <si>
    <t>business_type</t>
    <phoneticPr fontId="16" type="noConversion"/>
  </si>
  <si>
    <t>过滤条件：business_type in ('web','im','game')</t>
    <phoneticPr fontId="16" type="noConversion"/>
  </si>
  <si>
    <t>1、先将微信扫码业务置为88888888，再分类
case when ((servicetype&gt;=01000101 and servicetype&lt;01999901) 
        or (servicetype&gt;=04000100 and servicetype&lt;04999901)
        or (servicetype = 88888888)) 
       and (servicetype not in (01000212,01004600,01001300)) then 'im' 
     when ((servicetype&gt;=13000100 and servicetype&lt;13999901) 
        or (servicetype&gt;=16000100 and servicetype&lt;16999901) 
        or (servicetype&gt;=10000101 and servicetype&lt;10999901) 
        or (servicetype&gt;=07000100 and servicetype&lt;07999901) 
        or (servicetype&gt;=19000100 and servicetype&lt;19999901) 
        or (servicetype&gt;=09000101 and servicetype&lt;09999901) 
        or (servicetype&gt;=06000101 and servicetype&lt;06999901) 
        or (servicetype&gt;=08000101 and servicetype&lt;08999901) 
        or (servicetype&gt;=11000101 and servicetype&lt;11999901) 
        or (servicetype&gt;=14000101 and servicetype&lt;14999901) 
        or (servicetype&gt;=17000101 and servicetype&lt;17999901) 
        or (servicetype&gt;=18000101 and servicetype&lt;18999901)) 
        and (servicetyp not in (09000101,09000601,09000701,09000801,09001800,09001900,09002000,09001202,01000212,01001300,01004600,09000603)) then 'web' 
     when servicetype&gt;=05000100 and servicetype&lt;05999901 then 'game' 
     when (servicetype&gt;=02000101 and servicetype&lt;02999901) then 'video'
     else 'other' end</t>
    <phoneticPr fontId="16" type="noConversion"/>
  </si>
  <si>
    <t>im,web,game</t>
    <phoneticPr fontId="16" type="noConversion"/>
  </si>
  <si>
    <t>刻钟</t>
    <phoneticPr fontId="16" type="noConversion"/>
  </si>
  <si>
    <t>0,1,2,3</t>
    <phoneticPr fontId="16" type="noConversion"/>
  </si>
  <si>
    <t>sum(duration_sum)/sum(record_cnt)</t>
    <phoneticPr fontId="16" type="noConversion"/>
  </si>
  <si>
    <t>15分钟</t>
  </si>
  <si>
    <t>15分钟</t>
    <phoneticPr fontId="16" type="noConversion"/>
  </si>
  <si>
    <t>编号</t>
    <phoneticPr fontId="16" type="noConversion"/>
  </si>
  <si>
    <t>5G_DPI_web类型用户小区app维度15分钟表</t>
    <phoneticPr fontId="16" type="noConversion"/>
  </si>
  <si>
    <t>过滤条件：business_type = 'web'</t>
    <phoneticPr fontId="16" type="noConversion"/>
  </si>
  <si>
    <t>aggr_nr_dpi_web_usrappcel_q</t>
    <phoneticPr fontId="16" type="noConversion"/>
  </si>
  <si>
    <t>aggr_nr_dpi_im_usrappcel_q</t>
  </si>
  <si>
    <t>aggr_nr_dpi_game_usrappcel_q</t>
  </si>
  <si>
    <t>5G_DPI_im类型用户小区app维度15分钟表</t>
    <phoneticPr fontId="16" type="noConversion"/>
  </si>
  <si>
    <t>5G_DPI_game类型用户小区app维度15分钟表</t>
    <phoneticPr fontId="16" type="noConversion"/>
  </si>
  <si>
    <t>过滤条件：business_type = 'im'</t>
    <phoneticPr fontId="16" type="noConversion"/>
  </si>
  <si>
    <t>过滤条件：business_type = 'game'</t>
    <phoneticPr fontId="16" type="noConversion"/>
  </si>
  <si>
    <t>用户|小区|区域|app</t>
    <phoneticPr fontId="16" type="noConversion"/>
  </si>
  <si>
    <t>interface=100</t>
    <phoneticPr fontId="16" type="noConversion"/>
  </si>
  <si>
    <t>aggr_nr_usrareatime_cel_refactor_d</t>
    <phoneticPr fontId="16" type="noConversion"/>
  </si>
  <si>
    <t>5G_MR用户聚区结果天表</t>
    <phoneticPr fontId="16" type="noConversion"/>
  </si>
  <si>
    <t>area_id</t>
  </si>
  <si>
    <t>area_regionid</t>
  </si>
  <si>
    <t>area_x_offset_20</t>
  </si>
  <si>
    <t>area_y_offset_20</t>
  </si>
  <si>
    <t>area_lon</t>
  </si>
  <si>
    <t>area_lat</t>
  </si>
  <si>
    <t>httpwebrspdelay_sum</t>
  </si>
  <si>
    <t>httpwebdspdelay_sum</t>
  </si>
  <si>
    <t>times_excellentrspdelay</t>
  </si>
  <si>
    <t>times_inferiorrspdelay</t>
  </si>
  <si>
    <t>times_wellrspdelay</t>
  </si>
  <si>
    <t>times_excellentcmpltdelay</t>
  </si>
  <si>
    <t>times_inferiorcmpltdelay</t>
  </si>
  <si>
    <t>times_wellcmpltdelay</t>
  </si>
  <si>
    <t>dnsquerytime_sum</t>
  </si>
  <si>
    <t>setuprsrp_avg</t>
  </si>
  <si>
    <t>setuprsrp_count</t>
  </si>
  <si>
    <t>setuprsrp_seg_2</t>
  </si>
  <si>
    <t>setuprsrp_seg_3</t>
  </si>
  <si>
    <t>setuprsrp_seg_4</t>
  </si>
  <si>
    <t>setuprsrp_seg_5</t>
  </si>
  <si>
    <t>setuprsrp_seg_6</t>
  </si>
  <si>
    <t>setuprsrp_seg_7</t>
  </si>
  <si>
    <t>setuprsrp_seg_8</t>
  </si>
  <si>
    <t>setuprsrp_seg_9</t>
  </si>
  <si>
    <t>setuprsrp_seg_10</t>
  </si>
  <si>
    <t>区域ID</t>
  </si>
  <si>
    <t>区域栅格ID</t>
  </si>
  <si>
    <t>区域栅格坐标x轴偏移</t>
  </si>
  <si>
    <t>区域栅格坐标y轴偏移</t>
  </si>
  <si>
    <t>区域经度</t>
  </si>
  <si>
    <t>区域纬度</t>
  </si>
  <si>
    <t>TCP建链响应时延_avg</t>
  </si>
  <si>
    <t>TCP建链确认时延_avg</t>
  </si>
  <si>
    <t>TCP建立时延(ms)</t>
  </si>
  <si>
    <t>平均RSRP</t>
    <phoneticPr fontId="16" type="noConversion"/>
  </si>
  <si>
    <t>setuprsrp_seg_1</t>
    <phoneticPr fontId="16" type="noConversion"/>
  </si>
  <si>
    <t>RSRP次数</t>
    <phoneticPr fontId="16" type="noConversion"/>
  </si>
  <si>
    <t>setuprsrp_seg_1次数</t>
    <phoneticPr fontId="16" type="noConversion"/>
  </si>
  <si>
    <t>setuprsrp_seg_2次数</t>
  </si>
  <si>
    <t>setuprsrp_seg_3次数</t>
  </si>
  <si>
    <t>setuprsrp_seg_4次数</t>
  </si>
  <si>
    <t>setuprsrp_seg_5次数</t>
  </si>
  <si>
    <t>setuprsrp_seg_6次数</t>
  </si>
  <si>
    <t>setuprsrp_seg_7次数</t>
  </si>
  <si>
    <t>setuprsrp_seg_8次数</t>
  </si>
  <si>
    <t>setuprsrp_seg_9次数</t>
  </si>
  <si>
    <t>setuprsrp_seg_10次数</t>
  </si>
  <si>
    <t>置NULL</t>
    <phoneticPr fontId="16" type="noConversion"/>
  </si>
  <si>
    <t>赋值：0</t>
    <phoneticPr fontId="16" type="noConversion"/>
  </si>
  <si>
    <t>网页首屏时延_seg_1</t>
    <phoneticPr fontId="16" type="noConversion"/>
  </si>
  <si>
    <t>网页首屏时延</t>
  </si>
  <si>
    <t>网页显示(打开)时长_seg_1</t>
    <phoneticPr fontId="16" type="noConversion"/>
  </si>
  <si>
    <t>网页显示(打开)时长</t>
    <phoneticPr fontId="16" type="noConversion"/>
  </si>
  <si>
    <t>网页响应(首包)时延_seg_1</t>
    <phoneticPr fontId="16" type="noConversion"/>
  </si>
  <si>
    <t>网页响应(首包)时延</t>
  </si>
  <si>
    <t>TCP建立时延_seg_1</t>
  </si>
  <si>
    <t>TCP建立时延_seg_1</t>
    <phoneticPr fontId="16" type="noConversion"/>
  </si>
  <si>
    <t>TCP建立时延_seg_2</t>
  </si>
  <si>
    <t>TCP建立时延_seg_3</t>
  </si>
  <si>
    <t>TCP建立时延_seg_4</t>
  </si>
  <si>
    <t>TCP建立时延_seg_5</t>
  </si>
  <si>
    <t>TCP建链确认时延_seg_1</t>
    <phoneticPr fontId="16" type="noConversion"/>
  </si>
  <si>
    <t>TCP建链响应时延_seg_1</t>
    <phoneticPr fontId="16" type="noConversion"/>
  </si>
  <si>
    <t>DNS请求时延_avg</t>
  </si>
  <si>
    <t>DNS请求时延_avg</t>
    <phoneticPr fontId="16" type="noConversion"/>
  </si>
  <si>
    <t>dnsquerydelay_seg_1</t>
    <phoneticPr fontId="16" type="noConversion"/>
  </si>
  <si>
    <t>DNS请求时延_seg_1</t>
  </si>
  <si>
    <t>DNS请求时延_seg_1</t>
    <phoneticPr fontId="16" type="noConversion"/>
  </si>
  <si>
    <t>DNS请求时延_seg_2</t>
  </si>
  <si>
    <t>DNS请求时延_seg_3</t>
  </si>
  <si>
    <t>DNS请求时延_seg_4</t>
  </si>
  <si>
    <t>DNS请求时延_seg_5</t>
  </si>
  <si>
    <t>DNS请求时延_sum</t>
  </si>
  <si>
    <t>DNS请求时延_sum</t>
    <phoneticPr fontId="16" type="noConversion"/>
  </si>
  <si>
    <t>DNS请求次数</t>
  </si>
  <si>
    <t>DNS响应次数</t>
  </si>
  <si>
    <t>TCP建链响应时延_sum</t>
    <phoneticPr fontId="16" type="noConversion"/>
  </si>
  <si>
    <t>TCP建链确认时延_sum</t>
    <phoneticPr fontId="16" type="noConversion"/>
  </si>
  <si>
    <t>TCP建立时延_sum</t>
  </si>
  <si>
    <t>TCP建立时延_sum</t>
    <phoneticPr fontId="16" type="noConversion"/>
  </si>
  <si>
    <t>http请求次数</t>
    <phoneticPr fontId="16" type="noConversion"/>
  </si>
  <si>
    <t>http响应次数</t>
    <phoneticPr fontId="16" type="noConversion"/>
  </si>
  <si>
    <t>http完整打开次数</t>
    <phoneticPr fontId="16" type="noConversion"/>
  </si>
  <si>
    <t>http响应成功率</t>
    <phoneticPr fontId="16" type="noConversion"/>
  </si>
  <si>
    <t>http完整打开成功率</t>
    <phoneticPr fontId="16" type="noConversion"/>
  </si>
  <si>
    <t>sum(tcpsetupresponsedelay_avg*tcpsetupresponsedelay_cnt)/sum(tcpsetupresponsedelay_cnt)</t>
  </si>
  <si>
    <t>sum(tcpsetupresponsedelay_avg*tcpsetupresponsedelay_cnt)</t>
    <phoneticPr fontId="16" type="noConversion"/>
  </si>
  <si>
    <t>sum(httpwebrspdelay*http_succ_cnt)</t>
    <phoneticPr fontId="16" type="noConversion"/>
  </si>
  <si>
    <t>sum(httpwebdspdelay*http_succ_cnt)</t>
    <phoneticPr fontId="16" type="noConversion"/>
  </si>
  <si>
    <t>sum(httpwebscreendelay*httpwebscreen_cnt)</t>
    <phoneticPr fontId="16" type="noConversion"/>
  </si>
  <si>
    <t>sum(http_succ_cnt)</t>
    <phoneticPr fontId="16" type="noConversion"/>
  </si>
  <si>
    <t>sum(http_succ_cnt)/sum(http_req_cnt)</t>
    <phoneticPr fontId="16" type="noConversion"/>
  </si>
  <si>
    <t>sum(http_complete_cnt)/sum(http_req_cnt)</t>
    <phoneticPr fontId="16" type="noConversion"/>
  </si>
  <si>
    <t>置0</t>
  </si>
  <si>
    <t>置0</t>
    <phoneticPr fontId="16" type="noConversion"/>
  </si>
  <si>
    <t>沿用表aggr_5g_game_usr_e2e_d字段名称</t>
    <phoneticPr fontId="16" type="noConversion"/>
  </si>
  <si>
    <t>5G_web类型用户小区区域app维度天</t>
    <phoneticPr fontId="16" type="noConversion"/>
  </si>
  <si>
    <t>A LEFT JOIN B。关联条件：B.cellkey=A.cellkey and B.supi=A.imsi and B.hour=A.hour and B.quarter=A.quarter</t>
    <phoneticPr fontId="16" type="noConversion"/>
  </si>
  <si>
    <t>tcpsetupackdelay_sum</t>
    <phoneticPr fontId="16" type="noConversion"/>
  </si>
  <si>
    <t>tcpsetupdelay_sum</t>
    <phoneticPr fontId="16" type="noConversion"/>
  </si>
  <si>
    <t>网络类型</t>
  </si>
  <si>
    <t>城市编码</t>
  </si>
  <si>
    <t>城市名称</t>
  </si>
  <si>
    <t>lineid</t>
  </si>
  <si>
    <t>高铁线路id</t>
  </si>
  <si>
    <t>line_name</t>
  </si>
  <si>
    <t>高铁线路名称</t>
  </si>
  <si>
    <t>持续时间，单位毫秒，根据业务流开始和结束统计得出的时间</t>
  </si>
  <si>
    <t>Http请求完成次数</t>
  </si>
  <si>
    <t>网页响应成功率(%)</t>
  </si>
  <si>
    <t>网页完整打开成功率(%)</t>
  </si>
  <si>
    <t>TCP建立时延(ms)_avg</t>
  </si>
  <si>
    <t>TCP建立时延(ms)_seg_1</t>
  </si>
  <si>
    <t>TCP建立时延(ms)_seg_2</t>
  </si>
  <si>
    <t>TCP建立时延(ms)_seg_3</t>
  </si>
  <si>
    <t>TCP建立时延(ms)_seg_4</t>
  </si>
  <si>
    <t>TCP建立时延(ms)_seg_5</t>
  </si>
  <si>
    <t>网页响应(首包)时延_avg(ms)</t>
  </si>
  <si>
    <t>网页显示(打开)时长_avg(ms)</t>
  </si>
  <si>
    <t>网页首屏时延_avg(ms)</t>
  </si>
  <si>
    <t>小时分区</t>
    <phoneticPr fontId="16" type="noConversion"/>
  </si>
  <si>
    <t>高铁用户清单结果表</t>
  </si>
  <si>
    <t>过滤条件：interface=100</t>
  </si>
  <si>
    <t>天</t>
    <phoneticPr fontId="16" type="noConversion"/>
  </si>
  <si>
    <t>line_id</t>
  </si>
  <si>
    <t>tacid</t>
    <phoneticPr fontId="16" type="noConversion"/>
  </si>
  <si>
    <t>取字段pei前8位</t>
    <phoneticPr fontId="16" type="noConversion"/>
  </si>
  <si>
    <t>sum(inputpacket)</t>
    <phoneticPr fontId="16" type="noConversion"/>
  </si>
  <si>
    <t>sum(outputpacket)</t>
    <phoneticPr fontId="16" type="noConversion"/>
  </si>
  <si>
    <t>sum(ultcpreorderingpacket)</t>
    <phoneticPr fontId="16" type="noConversion"/>
  </si>
  <si>
    <t>sum(dltcpreorderingpacket)</t>
    <phoneticPr fontId="16" type="noConversion"/>
  </si>
  <si>
    <t>sum(ultcpretranspacket)</t>
    <phoneticPr fontId="16" type="noConversion"/>
  </si>
  <si>
    <t>sum(dltcpretranspacket)</t>
    <phoneticPr fontId="16" type="noConversion"/>
  </si>
  <si>
    <t>5G_im类型用户小区区域app维度天</t>
    <phoneticPr fontId="16" type="noConversion"/>
  </si>
  <si>
    <t>高铁5G web业务用户小区小时表</t>
  </si>
  <si>
    <t>高铁优化</t>
    <phoneticPr fontId="16" type="noConversion"/>
  </si>
  <si>
    <t>高铁5G web业务用户小区小时表</t>
    <phoneticPr fontId="16" type="noConversion"/>
  </si>
  <si>
    <t>aggr_highspeedrail_usrlist_d</t>
    <phoneticPr fontId="16" type="noConversion"/>
  </si>
  <si>
    <t>times_excellentsentrate</t>
  </si>
  <si>
    <t>times_inferiorsentrate</t>
  </si>
  <si>
    <t>times_wellsentrate</t>
  </si>
  <si>
    <t>ul_text_cnt</t>
    <phoneticPr fontId="16" type="noConversion"/>
  </si>
  <si>
    <t>ul_text_succ_cnt</t>
    <phoneticPr fontId="16" type="noConversion"/>
  </si>
  <si>
    <t>dl_text_cnt</t>
    <phoneticPr fontId="16" type="noConversion"/>
  </si>
  <si>
    <t>dl_text_succ_cnt</t>
    <phoneticPr fontId="16" type="noConversion"/>
  </si>
  <si>
    <t>上行次数</t>
    <phoneticPr fontId="16" type="noConversion"/>
  </si>
  <si>
    <t>上行成功次数</t>
    <phoneticPr fontId="16" type="noConversion"/>
  </si>
  <si>
    <t>下行次数</t>
    <phoneticPr fontId="16" type="noConversion"/>
  </si>
  <si>
    <t>下行成功次数</t>
    <phoneticPr fontId="16" type="noConversion"/>
  </si>
  <si>
    <t>消息发送质差次数</t>
    <phoneticPr fontId="16" type="noConversion"/>
  </si>
  <si>
    <t>消息发送良好次数</t>
    <phoneticPr fontId="16" type="noConversion"/>
  </si>
  <si>
    <t>消息发送优秀次数</t>
    <phoneticPr fontId="16" type="noConversion"/>
  </si>
  <si>
    <t>sum(nvl(http_req_cnt,0) - nvl(http_succ_cnt,0))</t>
    <phoneticPr fontId="16" type="noConversion"/>
  </si>
  <si>
    <t>sum(dnsresponse_delay*dnsresponse_cnt)</t>
    <phoneticPr fontId="16" type="noConversion"/>
  </si>
  <si>
    <t>包</t>
    <phoneticPr fontId="16" type="noConversion"/>
  </si>
  <si>
    <t>aggr_nr_dpi_im_usrappcel_q</t>
    <phoneticPr fontId="16" type="noConversion"/>
  </si>
  <si>
    <t>aggr_nr_dpi_game_usrappcel_q</t>
    <phoneticPr fontId="16" type="noConversion"/>
  </si>
  <si>
    <t>5G_game类型用户小区区域app维度天</t>
  </si>
  <si>
    <t>5G_game类型用户小区区域app维度天</t>
    <phoneticPr fontId="16" type="noConversion"/>
  </si>
  <si>
    <t>游戏交互时延_avg</t>
    <phoneticPr fontId="16" type="noConversion"/>
  </si>
  <si>
    <t>gameinteractdelay_seg_1</t>
    <phoneticPr fontId="16" type="noConversion"/>
  </si>
  <si>
    <t>游戏交互时延_seg_1</t>
    <phoneticPr fontId="16" type="noConversion"/>
  </si>
  <si>
    <t>游戏交互时延_seg_2</t>
  </si>
  <si>
    <t>游戏交互时延_seg_3</t>
  </si>
  <si>
    <t>游戏交互时延_seg_4</t>
  </si>
  <si>
    <t>游戏交互时延_seg_5</t>
  </si>
  <si>
    <t>http请求完成次数</t>
    <phoneticPr fontId="16" type="noConversion"/>
  </si>
  <si>
    <t>游戏交互时延_sum</t>
    <phoneticPr fontId="16" type="noConversion"/>
  </si>
  <si>
    <t>游戏交互时延优秀次数</t>
    <phoneticPr fontId="16" type="noConversion"/>
  </si>
  <si>
    <t>游戏交互时延良好次数</t>
    <phoneticPr fontId="16" type="noConversion"/>
  </si>
  <si>
    <t>游戏交互时延质差次数</t>
    <phoneticPr fontId="16" type="noConversion"/>
  </si>
  <si>
    <t>sum(tcpsetupdelay_avg*tcpsetupdelay_cnt)/sum(tcpsetupdelay_cnt)</t>
    <phoneticPr fontId="16" type="noConversion"/>
  </si>
  <si>
    <t>sum(tcpsetupdelay_avg*tcpsetupdelay_cnt)</t>
    <phoneticPr fontId="16" type="noConversion"/>
  </si>
  <si>
    <t>sum(tcpsetupdelay_avg*tcpsetupdelay_cnt)</t>
    <phoneticPr fontId="16" type="noConversion"/>
  </si>
  <si>
    <t>aggr_nr_web_index_reduce_cel_d</t>
    <phoneticPr fontId="16" type="noConversion"/>
  </si>
  <si>
    <t>5G_web类型小区指标删减天表</t>
    <phoneticPr fontId="16" type="noConversion"/>
  </si>
  <si>
    <t>小区</t>
    <phoneticPr fontId="16" type="noConversion"/>
  </si>
  <si>
    <t>天</t>
    <phoneticPr fontId="16" type="noConversion"/>
  </si>
  <si>
    <t>web_flux</t>
  </si>
  <si>
    <t>网页流量</t>
  </si>
  <si>
    <t>web_good_rate</t>
  </si>
  <si>
    <t>网页感知优良率</t>
  </si>
  <si>
    <t>biginputoctets_throughput</t>
  </si>
  <si>
    <t>大包速率</t>
  </si>
  <si>
    <t>interface</t>
    <phoneticPr fontId="16" type="noConversion"/>
  </si>
  <si>
    <t>districtcode</t>
    <phoneticPr fontId="16" type="noConversion"/>
  </si>
  <si>
    <t>duration_sum</t>
    <phoneticPr fontId="16" type="noConversion"/>
  </si>
  <si>
    <t>sum(outputoctets_sum)</t>
    <phoneticPr fontId="16" type="noConversion"/>
  </si>
  <si>
    <t>sum(inputoctets_sum)</t>
    <phoneticPr fontId="16" type="noConversion"/>
  </si>
  <si>
    <t>sum(nvl(outputoctets_sum,0)+nvl(inputoctets_sum,0))</t>
    <phoneticPr fontId="16" type="noConversion"/>
  </si>
  <si>
    <t>0.7*sum(times_excellentcmpltdelay+times_wellcmpltdelay)/sum(times_excellentcmpltdelay+times_inferiorcmpltdelay+times_wellcmpltdelay)+0.3*sum(times_excellentrspdelay+times_wellrspdelay)/sum(times_excellentrspdelay+times_inferiorrspdelay+times_wellrspdelay)</t>
    <phoneticPr fontId="16" type="noConversion"/>
  </si>
  <si>
    <t>aggr_nr_im_index_reduce_cel_d</t>
    <phoneticPr fontId="16" type="noConversion"/>
  </si>
  <si>
    <t>5G_im类型小区指标删减天表</t>
    <phoneticPr fontId="16" type="noConversion"/>
  </si>
  <si>
    <t>aggr_nr_dpi_im_cel_d</t>
    <phoneticPr fontId="16" type="noConversion"/>
  </si>
  <si>
    <t>过滤条件：Interface=100</t>
    <phoneticPr fontId="16" type="noConversion"/>
  </si>
  <si>
    <t>5G_DPI_im小区维度天表</t>
    <phoneticPr fontId="16" type="noConversion"/>
  </si>
  <si>
    <t>ul_text_cnt</t>
  </si>
  <si>
    <t>ul_text_succ_cnt</t>
  </si>
  <si>
    <t>dl_text_cnt</t>
  </si>
  <si>
    <t>dl_text_succ_cnt</t>
  </si>
  <si>
    <t>im_req_cnt</t>
  </si>
  <si>
    <t>im_req_suc_cnt</t>
  </si>
  <si>
    <t>im_suc_rate</t>
  </si>
  <si>
    <t>im_flux</t>
  </si>
  <si>
    <t>byte</t>
    <phoneticPr fontId="16" type="noConversion"/>
  </si>
  <si>
    <t>sum(httpwebrspcount)</t>
    <phoneticPr fontId="16" type="noConversion"/>
  </si>
  <si>
    <t>sum(httpwebreqcount)</t>
    <phoneticPr fontId="16" type="noConversion"/>
  </si>
  <si>
    <t>sum(httpwebrspcount)/sum(httpwebreqcount)</t>
    <phoneticPr fontId="16" type="noConversion"/>
  </si>
  <si>
    <t>上行消息次数</t>
    <phoneticPr fontId="16" type="noConversion"/>
  </si>
  <si>
    <t>上行消息成功次数</t>
    <phoneticPr fontId="16" type="noConversion"/>
  </si>
  <si>
    <t>下行消息次数</t>
    <phoneticPr fontId="16" type="noConversion"/>
  </si>
  <si>
    <t>下行消息成功次数</t>
    <phoneticPr fontId="16" type="noConversion"/>
  </si>
  <si>
    <t>消息发送请求次数</t>
    <phoneticPr fontId="16" type="noConversion"/>
  </si>
  <si>
    <t>消息发送成功次数</t>
    <phoneticPr fontId="16" type="noConversion"/>
  </si>
  <si>
    <t>消息发送成功率</t>
    <phoneticPr fontId="16" type="noConversion"/>
  </si>
  <si>
    <t>即时通信流量</t>
    <phoneticPr fontId="16" type="noConversion"/>
  </si>
  <si>
    <t>aggr_nr_game_index_reduce_cel_d</t>
    <phoneticPr fontId="16" type="noConversion"/>
  </si>
  <si>
    <t>5G_game类型小区指标删减天表</t>
    <phoneticPr fontId="16" type="noConversion"/>
  </si>
  <si>
    <t>game_flux</t>
  </si>
  <si>
    <t>game_good_rate</t>
  </si>
  <si>
    <t>sum(times_excellentgamedelay)</t>
  </si>
  <si>
    <t>sum(times_inferiorgamedelay)</t>
  </si>
  <si>
    <t>sum(times_wellgamedelay)</t>
  </si>
  <si>
    <t>游戏流量</t>
    <phoneticPr fontId="16" type="noConversion"/>
  </si>
  <si>
    <t>sum(times_excellentgamedelay+times_wellgamedelay)/(sum(times_excellentgamedelay+times_inferiorgamedelay+times_wellgamedelay)</t>
    <phoneticPr fontId="16" type="noConversion"/>
  </si>
  <si>
    <t>home_province</t>
    <phoneticPr fontId="16" type="noConversion"/>
  </si>
  <si>
    <t>msisdn</t>
    <phoneticPr fontId="16" type="noConversion"/>
  </si>
  <si>
    <t>取pei前8位</t>
    <phoneticPr fontId="16" type="noConversion"/>
  </si>
  <si>
    <t>城市编码</t>
    <phoneticPr fontId="16" type="noConversion"/>
  </si>
  <si>
    <t>接入网络类型</t>
  </si>
  <si>
    <t>tacid</t>
  </si>
  <si>
    <t>aggr_nr_im_usrappcelarea_d</t>
    <phoneticPr fontId="16" type="noConversion"/>
  </si>
  <si>
    <t>aggr_nr_game_usrappcelarea_d</t>
    <phoneticPr fontId="16" type="noConversion"/>
  </si>
  <si>
    <t>aggr_nr_web_usrappcelarea_d</t>
    <phoneticPr fontId="16" type="noConversion"/>
  </si>
  <si>
    <t>aggr_nr_web_highspeedrail_usrcel_h</t>
  </si>
  <si>
    <t>aggr_nr_web_highspeedrail_cel_d</t>
  </si>
  <si>
    <t>5G微信支付小区天表</t>
    <phoneticPr fontId="16" type="noConversion"/>
  </si>
  <si>
    <t>5G_web类型用户小区区域app维度天表</t>
    <phoneticPr fontId="16" type="noConversion"/>
  </si>
  <si>
    <t>5G_im类型用户小区区域app维度天表</t>
    <phoneticPr fontId="16" type="noConversion"/>
  </si>
  <si>
    <t>5G_game类型用户小区区域app维度天表</t>
    <phoneticPr fontId="16" type="noConversion"/>
  </si>
  <si>
    <t>高铁5G web业务小区天表</t>
  </si>
  <si>
    <t>高铁5G web业务小区天表</t>
    <phoneticPr fontId="16" type="noConversion"/>
  </si>
  <si>
    <t>aggr_nr_wechat_payment_cel_d</t>
    <phoneticPr fontId="16" type="noConversion"/>
  </si>
  <si>
    <t>scan_code_usr</t>
  </si>
  <si>
    <t>scan_code_num_avg</t>
  </si>
  <si>
    <t>ultcp_retrans_rate</t>
  </si>
  <si>
    <t>dltcp_retrans_rate</t>
  </si>
  <si>
    <t>微信扫码用户数</t>
    <phoneticPr fontId="16" type="noConversion"/>
  </si>
  <si>
    <t>平均扫码次数</t>
    <phoneticPr fontId="16" type="noConversion"/>
  </si>
  <si>
    <t>上行TCP重传报文数</t>
    <phoneticPr fontId="16" type="noConversion"/>
  </si>
  <si>
    <t>下行TCP重传报文数</t>
    <phoneticPr fontId="16" type="noConversion"/>
  </si>
  <si>
    <t>上行重传率</t>
    <phoneticPr fontId="16" type="noConversion"/>
  </si>
  <si>
    <t>下行重传率</t>
    <phoneticPr fontId="16" type="noConversion"/>
  </si>
  <si>
    <t>count(distinct  msisdn)</t>
  </si>
  <si>
    <t>sum(duration_sum)/sum(scan_code_num)</t>
  </si>
  <si>
    <t>sum(tcpsetupackdelay_sum)</t>
  </si>
  <si>
    <t>sum(ultcp_retranspacket_sum)</t>
  </si>
  <si>
    <t>sum(dltcp_retranspacket_sum)</t>
  </si>
  <si>
    <t>sum(ultcp_retranspacket_sum)/sum(outputpacket_sum)</t>
  </si>
  <si>
    <t>sum(dltcp_retranspacket_sum)/sum(inputpacket_sum)</t>
  </si>
  <si>
    <t>sum(ultcpreorderingpacket_sum)/sum(outputpacket_sum)</t>
  </si>
  <si>
    <t>sum(dltcpreorderingpacket_sum)/sum(inputpacket_sum)</t>
  </si>
  <si>
    <t>sum(scan_code_num)</t>
    <phoneticPr fontId="16" type="noConversion"/>
  </si>
  <si>
    <t>sum(scan_code_num)/count(distinct  msisdn)</t>
    <phoneticPr fontId="16" type="noConversion"/>
  </si>
  <si>
    <t>包</t>
  </si>
  <si>
    <t>ms</t>
    <phoneticPr fontId="16" type="noConversion"/>
  </si>
  <si>
    <t>sum(httpwebrspdelay_seg_1)</t>
  </si>
  <si>
    <t>sum(httpwebdspdelay_seg_1)</t>
  </si>
  <si>
    <t>sum(httpwebscreendelay_seg_1)</t>
  </si>
  <si>
    <t>dnsqueryrspcount</t>
    <phoneticPr fontId="16" type="noConversion"/>
  </si>
  <si>
    <t>httpwebrspcount</t>
    <phoneticPr fontId="16" type="noConversion"/>
  </si>
  <si>
    <t>sum(tcpsetupresponsedelay_avg*httpwebrspcount)/sum(httpwebrspcount)</t>
  </si>
  <si>
    <t>sum(tcpsetupackdelay_avg*httpwebrspcount)/sum(httpwebrspcount)</t>
  </si>
  <si>
    <t>sum(tcpsetupdelay_avg*httpwebrspcount)/sum(httpwebrspcount)</t>
  </si>
  <si>
    <t>sum(httpwebrspdelay_avg*httpwebrspcount)/sum(httpwebrspcount)</t>
  </si>
  <si>
    <t>sum(httpwebdspdelay_avg*httpwebrspcount)/sum(httpwebrspcount)</t>
  </si>
  <si>
    <t>sum(httpwebscreendelay_avg*httpwebrspcount)/sum(httpwebrspcount)</t>
  </si>
  <si>
    <t>aggr_nr_web_highspeedrail_cel_d</t>
    <phoneticPr fontId="16" type="noConversion"/>
  </si>
  <si>
    <t>sum(httpwebdspcount)/sum(httpwebreqcount)</t>
  </si>
  <si>
    <t>dnsquerytime_sum</t>
    <phoneticPr fontId="16" type="noConversion"/>
  </si>
  <si>
    <t>dnsquerydelay_avg</t>
    <phoneticPr fontId="16" type="noConversion"/>
  </si>
  <si>
    <t>im、web、game、video、other</t>
  </si>
  <si>
    <t>aggr_nr_dpi_http_usrcel_h</t>
    <phoneticPr fontId="16" type="noConversion"/>
  </si>
  <si>
    <t>5G_DPI用户小区维度小时表</t>
    <phoneticPr fontId="16" type="noConversion"/>
  </si>
  <si>
    <t>5G_DPI_http协议app类型用户小区维度小时表</t>
    <phoneticPr fontId="16" type="noConversion"/>
  </si>
  <si>
    <t>fact_nr_dpi_video_q</t>
    <phoneticPr fontId="16" type="noConversion"/>
  </si>
  <si>
    <t>5G_DPI_video整合层15分钟表</t>
  </si>
  <si>
    <t>5G_DPI_video整合层15分钟表</t>
    <phoneticPr fontId="16" type="noConversion"/>
  </si>
  <si>
    <t>ods_5gdpi_video_e2e_telecom_origin_q</t>
    <phoneticPr fontId="16" type="noConversion"/>
  </si>
  <si>
    <t>video_play_success</t>
  </si>
  <si>
    <t>video_play_wait_time</t>
  </si>
  <si>
    <t>video_play_halt_count</t>
  </si>
  <si>
    <t>video_recover_time</t>
  </si>
  <si>
    <t>first_data_pkg_time</t>
  </si>
  <si>
    <t>last_data_pkg_time</t>
  </si>
  <si>
    <t>connection_count</t>
  </si>
  <si>
    <t>video_size</t>
  </si>
  <si>
    <t>video_type</t>
  </si>
  <si>
    <t>video_bit_rate</t>
  </si>
  <si>
    <t>cached_video_size</t>
  </si>
  <si>
    <t>cached_video_duration</t>
  </si>
  <si>
    <t>video_resolution_level</t>
  </si>
  <si>
    <t>video_fluency_level</t>
  </si>
  <si>
    <t>video_resolution</t>
  </si>
  <si>
    <t>视频成功播放的标识</t>
  </si>
  <si>
    <t>视频播放等待时长</t>
  </si>
  <si>
    <t>视频卡顿时长</t>
  </si>
  <si>
    <t>视频下行第一个有效数据包时间戳</t>
  </si>
  <si>
    <t>视频下行最后一个有效数据包时间戳</t>
  </si>
  <si>
    <t>总流数</t>
  </si>
  <si>
    <t>视频下载速率</t>
  </si>
  <si>
    <t>视频文件格式</t>
  </si>
  <si>
    <t>视频码率</t>
  </si>
  <si>
    <t>视频缓冲段下载速率。算法见《中国电信移动互联网业务感知质量评价细则》</t>
  </si>
  <si>
    <t>访问域名</t>
  </si>
  <si>
    <t>缓冲段视频大小</t>
  </si>
  <si>
    <t>缓冲段视频下载时长</t>
  </si>
  <si>
    <t>视频清晰度，取值范围100~500，分值越高越清晰</t>
  </si>
  <si>
    <t>视频流畅度，取值100~500，分值越高越流畅</t>
  </si>
  <si>
    <t>视频分辨率</t>
  </si>
  <si>
    <t>case when (tcpsetupresponsedelay&gt;= 110  and tcpsetupresponsedelay&lt;50000) or (tcpsetupackdelay&gt;=110  and tcpsetupackdelay&lt;50000)  or  ultcp_retranspacket/outputpacket&gt;=0.15 or dltcp_retranspacket/inputpacket&gt;=0.15 then 1 else 0 end</t>
    <phoneticPr fontId="16" type="noConversion"/>
  </si>
  <si>
    <t>根据sourceip字段结果识别
case when sourceip regexp '^((25[0-5]|2[0-4]\\d|[01]?\\d\\d?)\\.){3}(25[0-5]|2[0-4]\\d|[01]?\\d\\d?)$' then 'ipv4' when sourceIP regexp '^([\\da-fA-F]{1,4}:){7}[\\da-fA-F]{1,4}$' then 'ipv6' else '' end as sourceip_type</t>
    <phoneticPr fontId="16" type="noConversion"/>
  </si>
  <si>
    <t>视频播放卡顿次数</t>
    <phoneticPr fontId="16" type="noConversion"/>
  </si>
  <si>
    <t>video_play_halt_count</t>
    <phoneticPr fontId="16" type="noConversion"/>
  </si>
  <si>
    <t>video_throughput_custom</t>
    <phoneticPr fontId="16" type="noConversion"/>
  </si>
  <si>
    <t>video_cache_throughput_custom</t>
    <phoneticPr fontId="16" type="noConversion"/>
  </si>
  <si>
    <t>video_size</t>
    <phoneticPr fontId="16" type="noConversion"/>
  </si>
  <si>
    <t>video_play_halt_count_custom</t>
    <phoneticPr fontId="16" type="noConversion"/>
  </si>
  <si>
    <t>video_bit_rate</t>
    <phoneticPr fontId="16" type="noConversion"/>
  </si>
  <si>
    <t>分钟</t>
    <phoneticPr fontId="16" type="noConversion"/>
  </si>
  <si>
    <t>video_play_success</t>
    <phoneticPr fontId="16" type="noConversion"/>
  </si>
  <si>
    <t>aggr_nr_dpi_video_base_q</t>
    <phoneticPr fontId="16" type="noConversion"/>
  </si>
  <si>
    <t>5G_DPI_video基础维度15分钟表</t>
    <phoneticPr fontId="16" type="noConversion"/>
  </si>
  <si>
    <t>video_resolution_level</t>
    <phoneticPr fontId="16" type="noConversion"/>
  </si>
  <si>
    <t>case when video_play_success = 1 and video_throughput&gt;0 and video_throughput&lt;=1024000 and video_bit_rate&gt;0 and video_play_halt_count/(cast(inputoctets as bigint)*8/(video_bit_rate*1000)/60)&lt;=10 then video_play_halt_count else 0 end</t>
    <phoneticPr fontId="16" type="noConversion"/>
  </si>
  <si>
    <t>case when video_play_success = 1 and video_throughput&gt;0 and video_throughput&lt;=1024000 then video_throughput else null end</t>
    <phoneticPr fontId="16" type="noConversion"/>
  </si>
  <si>
    <t>case when video_play_success = 1 and video_cache_throughput&gt;0 and video_cache_throughput&lt;=1024000 then video_cache_throughput else null end</t>
    <phoneticPr fontId="16" type="noConversion"/>
  </si>
  <si>
    <t>case when video_play_success = 1 and video_cache_throughput&gt;0 and video_cache_throughput&lt;=1024000 and video_size&gt;=512000 then video_cache_throughput else null end</t>
    <phoneticPr fontId="16" type="noConversion"/>
  </si>
  <si>
    <t>case when video_play_success = 1 and video_throughput&gt;0 and video_throughput&lt;=1024000 and video_bit_rate&gt;0 and video_play_halt_count/(inputoctets*8/(videobitrate*1000)/60)&lt;=10 then (inputoctets*8/(videobitrate*1000)/60) else 0 end</t>
    <phoneticPr fontId="16" type="noConversion"/>
  </si>
  <si>
    <t>自定义视频播放卡顿次数(剔除video_size&lt;500KB)</t>
    <phoneticPr fontId="16" type="noConversion"/>
  </si>
  <si>
    <t>自定义视频缓冲段下载速率(剔除video_size&lt;500KB)</t>
    <phoneticPr fontId="16" type="noConversion"/>
  </si>
  <si>
    <t>自定义视频下载速率(剔除video_size&lt;500KB)</t>
    <phoneticPr fontId="16" type="noConversion"/>
  </si>
  <si>
    <t>videoplayhaltcount_avg</t>
  </si>
  <si>
    <t>视频播放卡顿次数_avg</t>
  </si>
  <si>
    <t>double</t>
    <phoneticPr fontId="16" type="noConversion"/>
  </si>
  <si>
    <t>avg(video_play_halt_count)</t>
    <phoneticPr fontId="16" type="noConversion"/>
  </si>
  <si>
    <t>videoplayhaltcount_seg_1</t>
  </si>
  <si>
    <t>视频播放卡顿次数_seg_1</t>
  </si>
  <si>
    <t>videoplayhaltcount_seg_2</t>
  </si>
  <si>
    <t>视频播放卡顿次数_seg_2</t>
  </si>
  <si>
    <t>videoplayhaltcount_seg_3</t>
  </si>
  <si>
    <t>视频播放卡顿次数_seg_3</t>
  </si>
  <si>
    <t>videoplayhaltcount_seg_4</t>
  </si>
  <si>
    <t>视频播放卡顿次数_seg_4</t>
  </si>
  <si>
    <t>videoplayhaltcount_seg_5</t>
  </si>
  <si>
    <t>视频播放卡顿次数_seg_5</t>
  </si>
  <si>
    <t>videoplaywaittime_avg</t>
  </si>
  <si>
    <t>视频播放等待时长_avg，单位毫秒</t>
  </si>
  <si>
    <t>videoplaywaittime_seg_1</t>
  </si>
  <si>
    <t>视频播放等待时长_seg_1</t>
  </si>
  <si>
    <t>videoplaywaittime_seg_2</t>
  </si>
  <si>
    <t>视频播放等待时长_seg_2</t>
  </si>
  <si>
    <t>videoplaywaittime_seg_3</t>
  </si>
  <si>
    <t>视频播放等待时长_seg_3</t>
  </si>
  <si>
    <t>videoplaywaittime_seg_4</t>
  </si>
  <si>
    <t>视频播放等待时长_seg_4</t>
  </si>
  <si>
    <t>videoplaywaittime_seg_5</t>
  </si>
  <si>
    <t>视频播放等待时长_seg_5</t>
  </si>
  <si>
    <t>video_play_wait_time</t>
    <phoneticPr fontId="16" type="noConversion"/>
  </si>
  <si>
    <t>avg(video_play_wait_time)</t>
  </si>
  <si>
    <t>count( case when video_play_halt_count&gt;0 and video_play_halt_count&lt;=1 then 1 else null end)</t>
  </si>
  <si>
    <t>count( case when video_play_halt_count&gt;1 and video_play_halt_count&lt;=3 then 1 else null end)</t>
  </si>
  <si>
    <t>count( case when video_play_halt_count&gt;3 and video_play_halt_count&lt;=5 then 1 else null end)</t>
  </si>
  <si>
    <t>count( case when video_play_halt_count&gt;5 and video_play_halt_count&lt;=7 then 1 else null end)</t>
  </si>
  <si>
    <t>count( case when video_play_halt_count&gt;7 and video_play_halt_count&lt;=1000 then 1 else null end)</t>
  </si>
  <si>
    <t>count( case when video_play_wait_time&gt;0 and video_play_wait_time&lt;=1000 then 1 else null end)</t>
  </si>
  <si>
    <t>count( case when video_play_wait_time&gt;1000 and video_play_wait_time&lt;=2000 then 1 else null end)</t>
  </si>
  <si>
    <t>count( case when video_play_wait_time&gt;2000 and video_play_wait_time&lt;=3000 then 1 else null end)</t>
  </si>
  <si>
    <t>count( case when video_play_wait_time&gt;3000 and video_play_wait_time&lt;=5000 then 1 else null end)</t>
  </si>
  <si>
    <t>count( case when video_play_wait_time&gt;5000 and video_play_wait_time&lt;=5000000 then 1 else null end)</t>
  </si>
  <si>
    <t>videorecovertime_avg</t>
  </si>
  <si>
    <t>videorecovertime_seg_1</t>
  </si>
  <si>
    <t>视频卡顿时长_seg_1</t>
  </si>
  <si>
    <t>videorecovertime_seg_2</t>
  </si>
  <si>
    <t>视频卡顿时长_seg_2</t>
  </si>
  <si>
    <t>videorecovertime_seg_3</t>
  </si>
  <si>
    <t>视频卡顿时长_seg_3</t>
  </si>
  <si>
    <t>videorecovertime_seg_4</t>
  </si>
  <si>
    <t>视频卡顿时长_seg_4</t>
  </si>
  <si>
    <t>videorecovertime_seg_5</t>
  </si>
  <si>
    <t>视频卡顿时长_seg_5</t>
  </si>
  <si>
    <t>video_recover_time</t>
    <phoneticPr fontId="16" type="noConversion"/>
  </si>
  <si>
    <t>avg(video_recover_time)</t>
    <phoneticPr fontId="16" type="noConversion"/>
  </si>
  <si>
    <t>count( case when video_recover_time&gt;0 and video_recover_time&lt;=2000 then 1 else null end)</t>
  </si>
  <si>
    <t>count( case when video_recover_time&gt;2000 and video_recover_time&lt;=4000 then 1 else null end)</t>
  </si>
  <si>
    <t>count( case when video_recover_time&gt;4000 and video_recover_time&lt;=6000 then 1 else null end)</t>
  </si>
  <si>
    <t>count( case when video_recover_time&gt;6000 and video_recover_time&lt;=8000 then 1 else null end)</t>
  </si>
  <si>
    <t>count( case when video_recover_time&gt;8000 and video_recover_time&lt;=1000000 then 1 else null end)</t>
  </si>
  <si>
    <t>视频下载速率_avg</t>
  </si>
  <si>
    <t>videothroughput_seg_1</t>
  </si>
  <si>
    <t>videothroughput_seg_2</t>
  </si>
  <si>
    <t>videothroughput_seg_3</t>
  </si>
  <si>
    <t>videothroughput_seg_4</t>
  </si>
  <si>
    <t>videothroughput_seg_5</t>
  </si>
  <si>
    <t>视频下载速率_seg_1</t>
  </si>
  <si>
    <t>视频下载速率_seg_2</t>
  </si>
  <si>
    <t>视频下载速率_seg_3</t>
  </si>
  <si>
    <t>视频下载速率_seg_4</t>
  </si>
  <si>
    <t>视频下载速率_seg_5</t>
  </si>
  <si>
    <t>videothroughput_avg</t>
    <phoneticPr fontId="16" type="noConversion"/>
  </si>
  <si>
    <t>video_throughput</t>
    <phoneticPr fontId="16" type="noConversion"/>
  </si>
  <si>
    <t>avg(video_throughput)</t>
    <phoneticPr fontId="16" type="noConversion"/>
  </si>
  <si>
    <t>count( case when video_throughput&gt;0 and video_throughput&lt;=1000 then 1 else null end)</t>
  </si>
  <si>
    <t>count( case when video_throughput&gt;1000 and video_throughput&lt;=2000 then 1 else null end)</t>
  </si>
  <si>
    <t>count( case when video_throughput&gt;2000 and video_throughput&lt;=3000 then 1 else null end)</t>
  </si>
  <si>
    <t>count( case when video_throughput&gt;3000 and video_throughput&lt;=5000 then 1 else null end)</t>
  </si>
  <si>
    <t>count( case when video_throughput&gt;5000 and video_throughput&lt;=5000000 then 1 else null end)</t>
  </si>
  <si>
    <t>videocachethroughput_avg</t>
  </si>
  <si>
    <t>videocachethroughput_seg_1</t>
  </si>
  <si>
    <t>视频缓冲段下载速率_根据IP报文统计_seg_1</t>
  </si>
  <si>
    <t>videocachethroughput_seg_2</t>
  </si>
  <si>
    <t>视频缓冲段下载速率_根据IP报文统计_seg_2</t>
  </si>
  <si>
    <t>videocachethroughput_seg_3</t>
  </si>
  <si>
    <t>视频缓冲段下载速率_根据IP报文统计_seg_3</t>
  </si>
  <si>
    <t>videocachethroughput_seg_4</t>
  </si>
  <si>
    <t>视频缓冲段下载速率_根据IP报文统计_seg_4</t>
  </si>
  <si>
    <t>videocachethroughput_seg_5</t>
  </si>
  <si>
    <t>视频缓冲段下载速率_根据IP报文统计_seg_5</t>
  </si>
  <si>
    <t>视频缓冲段下载速率_avg</t>
    <phoneticPr fontId="16" type="noConversion"/>
  </si>
  <si>
    <t>video_cache_throughput</t>
    <phoneticPr fontId="16" type="noConversion"/>
  </si>
  <si>
    <t>avg(video_cache_throughput)</t>
    <phoneticPr fontId="16" type="noConversion"/>
  </si>
  <si>
    <t>video_throughput_cnt</t>
    <phoneticPr fontId="16" type="noConversion"/>
  </si>
  <si>
    <t>video_cache_throughput_cnt</t>
    <phoneticPr fontId="16" type="noConversion"/>
  </si>
  <si>
    <t>视频下载速率次数</t>
    <phoneticPr fontId="16" type="noConversion"/>
  </si>
  <si>
    <t>视频缓冲段下载速率次数</t>
    <phoneticPr fontId="16" type="noConversion"/>
  </si>
  <si>
    <t>case when video_play_success = 1 and video_throughput&gt;0 and video_throughput&lt;=1024000 then 1 else 0 end</t>
    <phoneticPr fontId="16" type="noConversion"/>
  </si>
  <si>
    <t>case when video_play_success = 1 and video_cache_throughput&gt;0 and video_cache_throughput&lt;=1024000 then 1 else 0 end</t>
    <phoneticPr fontId="16" type="noConversion"/>
  </si>
  <si>
    <t>videoplayhaltcountpermin</t>
    <phoneticPr fontId="16" type="noConversion"/>
  </si>
  <si>
    <t>videoplayhaltcountpermin_custom</t>
    <phoneticPr fontId="16" type="noConversion"/>
  </si>
  <si>
    <t>视频播放卡顿频次(次/分钟)</t>
    <phoneticPr fontId="16" type="noConversion"/>
  </si>
  <si>
    <t>自定义视频播放卡顿频次(次/分钟)</t>
    <phoneticPr fontId="16" type="noConversion"/>
  </si>
  <si>
    <t>次/分钟</t>
    <phoneticPr fontId="16" type="noConversion"/>
  </si>
  <si>
    <t>case when video_play_success = 1 and video_throughput&gt;0 and video_throughput&lt;=1024000 and video_bit_rate&gt;0 and video_play_halt_count/(inputoctets*8/(videobitrate*1000)/60)&lt;=10 then video_play_halt_count/(inputoctets*8/(videobitrate*1000)/60) else 0 end</t>
    <phoneticPr fontId="16" type="noConversion"/>
  </si>
  <si>
    <t>case when video_play_success = 1 and video_throughput&gt;0 and video_throughput&lt;=1024000 and video_size&gt;=512000 and video_bit_rate&gt;0 and (video_play_halt_count)/(inputoctets*8/(videobitrate*1000)/60)&lt;=10 then (inputoctets*8/(videobitrate*1000)/60) else 0 end</t>
  </si>
  <si>
    <t>case when video_play_success = 1 and video_throughput&gt;0 and video_throughput&lt;=1024000 and video_size&gt;=512000 and video_bit_rate&gt;0 and (video_play_halt_count)/(inputoctets*8/(videobitrate*1000)/60)&lt;=10 then (video_play_halt_count)/(inputoctets*8/(videobitrate*1000)/60) else 0 end</t>
    <phoneticPr fontId="16" type="noConversion"/>
  </si>
  <si>
    <t>times_excellentdownlink</t>
  </si>
  <si>
    <t>视频下载速率优秀次数</t>
  </si>
  <si>
    <t>times_inferiordownlink</t>
  </si>
  <si>
    <t>视频下载速率劣质次数</t>
  </si>
  <si>
    <t>times_welldownlink</t>
  </si>
  <si>
    <t>视频下载速率良好次数</t>
  </si>
  <si>
    <t>times_excellentstallfrequ</t>
  </si>
  <si>
    <t>卡顿频次优秀次数</t>
  </si>
  <si>
    <t>times_inferiorstallfrequ</t>
  </si>
  <si>
    <t>卡顿频次质差次数</t>
  </si>
  <si>
    <t>times_wellstallfrequ</t>
  </si>
  <si>
    <t>卡顿频次良好次数</t>
  </si>
  <si>
    <t>sum(case when video_throughput&gt;5000 then 1 else 0 end)</t>
    <phoneticPr fontId="16" type="noConversion"/>
  </si>
  <si>
    <t>sum(case when video_throughput&gt;2000 and video_throughput&lt;=5000 then 1 else 0 end)</t>
    <phoneticPr fontId="16" type="noConversion"/>
  </si>
  <si>
    <t>sum(case when video_throughput&lt;=2000 then 1 else 0 end)</t>
    <phoneticPr fontId="16" type="noConversion"/>
  </si>
  <si>
    <t>sum(case when videoplayhaltcountpermin_custom/10000&lt;=0.1 then 1 else 0 end)</t>
    <phoneticPr fontId="16" type="noConversion"/>
  </si>
  <si>
    <t>sum(case when videoplayhaltcountpermin_custom/10000&gt;0.5 then 1 else 0 end)</t>
    <phoneticPr fontId="16" type="noConversion"/>
  </si>
  <si>
    <t>sum(case when videoplayhaltcountpermin_custom/10000&gt;0.1 and videoplayhaltcountpermin_custom/10000&lt;=0.5 then 1 else 0 end)</t>
    <phoneticPr fontId="16" type="noConversion"/>
  </si>
  <si>
    <t>视频卡顿时长_avg，单位毫秒</t>
    <phoneticPr fontId="16" type="noConversion"/>
  </si>
  <si>
    <t>videoplaywaittime_sum</t>
    <phoneticPr fontId="16" type="noConversion"/>
  </si>
  <si>
    <t>videorecovertime_sum</t>
    <phoneticPr fontId="16" type="noConversion"/>
  </si>
  <si>
    <t>视频播放等待时长_sum，单位毫秒</t>
    <phoneticPr fontId="16" type="noConversion"/>
  </si>
  <si>
    <t>视频卡顿时长_sum，单位毫秒</t>
    <phoneticPr fontId="16" type="noConversion"/>
  </si>
  <si>
    <t>sum(video_play_wait_time)</t>
    <phoneticPr fontId="16" type="noConversion"/>
  </si>
  <si>
    <t>sum(video_recover_time)</t>
    <phoneticPr fontId="16" type="noConversion"/>
  </si>
  <si>
    <t>视频播放请求次数</t>
  </si>
  <si>
    <t>视频播放成功次数</t>
  </si>
  <si>
    <t>videoplayrequest_cnt</t>
    <phoneticPr fontId="16" type="noConversion"/>
  </si>
  <si>
    <t>videoplaysuccess_cnt</t>
    <phoneticPr fontId="16" type="noConversion"/>
  </si>
  <si>
    <t>count(1)</t>
    <phoneticPr fontId="16" type="noConversion"/>
  </si>
  <si>
    <t>sum(case when video_play_success = 1 then 1 else 0 end)</t>
    <phoneticPr fontId="16" type="noConversion"/>
  </si>
  <si>
    <t>&gt;=0</t>
    <phoneticPr fontId="16" type="noConversion"/>
  </si>
  <si>
    <t>cachedvideo_req_cnt</t>
  </si>
  <si>
    <t>初始缓冲请求次数</t>
  </si>
  <si>
    <t>cachedvideo_suc_cnt</t>
  </si>
  <si>
    <t>初始缓冲成功次数</t>
  </si>
  <si>
    <t>cached_video_duration</t>
    <phoneticPr fontId="16" type="noConversion"/>
  </si>
  <si>
    <t>sum(case when cached_video_duration&gt;0 then  1  else 0 end)</t>
    <phoneticPr fontId="16" type="noConversion"/>
  </si>
  <si>
    <t>sum(case when cached_video_duration&gt;0 and video_play_success=1 then  1 end)</t>
    <phoneticPr fontId="16" type="noConversion"/>
  </si>
  <si>
    <t>cachedvideoduration_sum</t>
    <phoneticPr fontId="16" type="noConversion"/>
  </si>
  <si>
    <t>sum(cached_video_duration)</t>
    <phoneticPr fontId="16" type="noConversion"/>
  </si>
  <si>
    <t>videoplayhaltservcount</t>
  </si>
  <si>
    <t>发生卡顿业务次数</t>
  </si>
  <si>
    <t>videoservcount</t>
  </si>
  <si>
    <t>具备卡顿业务次数</t>
  </si>
  <si>
    <t>videosize_above500</t>
  </si>
  <si>
    <t>videoduration_above500</t>
  </si>
  <si>
    <t>last_data_pkg_time</t>
    <phoneticPr fontId="16" type="noConversion"/>
  </si>
  <si>
    <t>first_data_pkg_time</t>
    <phoneticPr fontId="16" type="noConversion"/>
  </si>
  <si>
    <t>视频文件大小</t>
    <phoneticPr fontId="16" type="noConversion"/>
  </si>
  <si>
    <t>视频文件大小（内容&gt;=500KB）</t>
    <phoneticPr fontId="16" type="noConversion"/>
  </si>
  <si>
    <t>视频下载时长(ms)（内容&gt;=500KB）</t>
    <phoneticPr fontId="16" type="noConversion"/>
  </si>
  <si>
    <t>sum(video_size)</t>
    <phoneticPr fontId="16" type="noConversion"/>
  </si>
  <si>
    <t>video_play_duration_custom</t>
    <phoneticPr fontId="16" type="noConversion"/>
  </si>
  <si>
    <t>video_play_duration</t>
    <phoneticPr fontId="16" type="noConversion"/>
  </si>
  <si>
    <t>自定义视频播放时长(剔除video_size&lt;500KB)-分钟(计算视频卡顿频次)</t>
    <phoneticPr fontId="16" type="noConversion"/>
  </si>
  <si>
    <t>视频播放时长-分钟(计算视频卡顿频次)</t>
    <phoneticPr fontId="16" type="noConversion"/>
  </si>
  <si>
    <t>sum(video_play_halt_count_custom)/sum(video_play_duration_custom)</t>
  </si>
  <si>
    <t>sum(video_play_halt_count)/sum(video_play_duration)</t>
    <phoneticPr fontId="16" type="noConversion"/>
  </si>
  <si>
    <t>视频下载次数</t>
  </si>
  <si>
    <t>videobit_code_good_cnt</t>
  </si>
  <si>
    <t>速率码率比优良次数</t>
  </si>
  <si>
    <t>速率码率总次数</t>
  </si>
  <si>
    <t>videobit_code_good_rate</t>
  </si>
  <si>
    <t>速率码率优良率</t>
  </si>
  <si>
    <t>videothroughput_cnt</t>
    <phoneticPr fontId="16" type="noConversion"/>
  </si>
  <si>
    <t>videothroughput_sum</t>
    <phoneticPr fontId="16" type="noConversion"/>
  </si>
  <si>
    <t>视频下载速率求和</t>
    <phoneticPr fontId="16" type="noConversion"/>
  </si>
  <si>
    <t>sum(video_throughput)</t>
    <phoneticPr fontId="16" type="noConversion"/>
  </si>
  <si>
    <t>sum(video_throughput_cnt)</t>
    <phoneticPr fontId="16" type="noConversion"/>
  </si>
  <si>
    <t>videocachethroughput_sum</t>
    <phoneticPr fontId="16" type="noConversion"/>
  </si>
  <si>
    <t>videocachethroughput_cnt</t>
    <phoneticPr fontId="16" type="noConversion"/>
  </si>
  <si>
    <t>视频缓存下载速率求和</t>
    <phoneticPr fontId="16" type="noConversion"/>
  </si>
  <si>
    <t>视频缓存下载次数</t>
    <phoneticPr fontId="16" type="noConversion"/>
  </si>
  <si>
    <t>sum(video_cache_throughput_cnt)</t>
    <phoneticPr fontId="16" type="noConversion"/>
  </si>
  <si>
    <t>sum(video_cache_throughput)</t>
    <phoneticPr fontId="16" type="noConversion"/>
  </si>
  <si>
    <t>video_throughput_custom_sum</t>
    <phoneticPr fontId="16" type="noConversion"/>
  </si>
  <si>
    <t>video_cache_throughput_custom_sum</t>
    <phoneticPr fontId="16" type="noConversion"/>
  </si>
  <si>
    <t>video_throughput_custom_cnt</t>
    <phoneticPr fontId="16" type="noConversion"/>
  </si>
  <si>
    <t>自定义视频下载速率次数(剔除video_size&lt;500KB)</t>
    <phoneticPr fontId="16" type="noConversion"/>
  </si>
  <si>
    <t>video_cache_throughput_custom_cnt</t>
    <phoneticPr fontId="16" type="noConversion"/>
  </si>
  <si>
    <t>sum(video_throughput_custom)</t>
    <phoneticPr fontId="16" type="noConversion"/>
  </si>
  <si>
    <t>sum(case when video_throughput_custom&gt;0 then 1 else 0 end)</t>
    <phoneticPr fontId="16" type="noConversion"/>
  </si>
  <si>
    <t>sum(video_cache_throughput_custom)</t>
    <phoneticPr fontId="16" type="noConversion"/>
  </si>
  <si>
    <t>sum(case when video_cache_throughput_custom&gt;0 then 1 else 0 end)</t>
    <phoneticPr fontId="16" type="noConversion"/>
  </si>
  <si>
    <t>自定义视频缓冲段下载速率次数(剔除video_size&lt;500KB)</t>
    <phoneticPr fontId="16" type="noConversion"/>
  </si>
  <si>
    <t>sum(case when video_cache_throughput/video_bit_rate&gt;1.4 and video_cache_throughput&gt;0 and video_bit_rate&gt;0 then 1 else 0 end)</t>
    <phoneticPr fontId="16" type="noConversion"/>
  </si>
  <si>
    <t>sum(case when video_cache_throughput/video_bit_rate&gt;1.4 and video_cache_throughput&gt;0 and video_bit_rate&gt;0 then 1 else 0 end)/sum(case when video_cache_throughput&gt;0 and video_bit_rate&gt;0 then 1 else 0 end)</t>
    <phoneticPr fontId="16" type="noConversion"/>
  </si>
  <si>
    <t>count( case when video_cache_throughput&gt;0 and video_cache_throughput&lt;=1000 then 1 else null end)</t>
  </si>
  <si>
    <t>count( case when video_cache_throughput&gt;1000 and video_cache_throughput&lt;=2000 then 1 else null end)</t>
  </si>
  <si>
    <t>count( case when video_cache_throughput&gt;2000 and video_cache_throughput&lt;=3000 then 1 else null end)</t>
  </si>
  <si>
    <t>count( case when video_cache_throughput&gt;3000 and video_cache_throughput&lt;=5000 then 1 else null end)</t>
  </si>
  <si>
    <t>count( case when video_cache_throughput&gt;5000 and video_cache_throughput&lt;=5000000 then 1 else null end)</t>
  </si>
  <si>
    <t>aggr_nr_dpi_video_base_h</t>
    <phoneticPr fontId="16" type="noConversion"/>
  </si>
  <si>
    <t>5G_DPI_video基础维度小时表</t>
    <phoneticPr fontId="16" type="noConversion"/>
  </si>
  <si>
    <t>kbps</t>
  </si>
  <si>
    <t>kbps</t>
    <phoneticPr fontId="16" type="noConversion"/>
  </si>
  <si>
    <t>&gt;0</t>
  </si>
  <si>
    <t>&gt;0</t>
    <phoneticPr fontId="16" type="noConversion"/>
  </si>
  <si>
    <t>次</t>
    <phoneticPr fontId="16" type="noConversion"/>
  </si>
  <si>
    <t>无</t>
    <phoneticPr fontId="16" type="noConversion"/>
  </si>
  <si>
    <t>[0,1]</t>
    <phoneticPr fontId="16" type="noConversion"/>
  </si>
  <si>
    <t>&gt;=0</t>
    <phoneticPr fontId="16" type="noConversion"/>
  </si>
  <si>
    <t>ms</t>
    <phoneticPr fontId="16" type="noConversion"/>
  </si>
  <si>
    <t>byte</t>
    <phoneticPr fontId="16" type="noConversion"/>
  </si>
  <si>
    <t>videosize</t>
    <phoneticPr fontId="16" type="noConversion"/>
  </si>
  <si>
    <t>videosize</t>
    <phoneticPr fontId="16" type="noConversion"/>
  </si>
  <si>
    <t>sum(tcpsetupresponsedelay_cnt)</t>
    <phoneticPr fontId="16" type="noConversion"/>
  </si>
  <si>
    <t>sum(tcpsetupdelay_cnt)</t>
  </si>
  <si>
    <t>sum(video_play_halt_count)</t>
    <phoneticPr fontId="16" type="noConversion"/>
  </si>
  <si>
    <t>sum(video_play_duration)</t>
    <phoneticPr fontId="16" type="noConversion"/>
  </si>
  <si>
    <t>sum(video_play_halt_count_custom)</t>
    <phoneticPr fontId="16" type="noConversion"/>
  </si>
  <si>
    <t>sum(video_play_duration_custom)</t>
    <phoneticPr fontId="16" type="noConversion"/>
  </si>
  <si>
    <t>分钟</t>
    <phoneticPr fontId="16" type="noConversion"/>
  </si>
  <si>
    <t>videobit_code_cnt</t>
    <phoneticPr fontId="16" type="noConversion"/>
  </si>
  <si>
    <t>videobit_code_good_cnt</t>
    <phoneticPr fontId="16" type="noConversion"/>
  </si>
  <si>
    <t>sum(videobit_code_good_cnt)/sum(videobit_code_cnt)</t>
    <phoneticPr fontId="16" type="noConversion"/>
  </si>
  <si>
    <t>min_starttime</t>
    <phoneticPr fontId="16" type="noConversion"/>
  </si>
  <si>
    <t>min(min_starttime)</t>
    <phoneticPr fontId="16" type="noConversion"/>
  </si>
  <si>
    <t>max_endtime</t>
    <phoneticPr fontId="16" type="noConversion"/>
  </si>
  <si>
    <t>max(max_endtime)</t>
    <phoneticPr fontId="16" type="noConversion"/>
  </si>
  <si>
    <t>videoplayhaltcount_avg</t>
    <phoneticPr fontId="16" type="noConversion"/>
  </si>
  <si>
    <t>sum(videoplayhaltcount_avg*videoplayrequest_cnt)/sum(videoplayrequest_cnt)</t>
    <phoneticPr fontId="16" type="noConversion"/>
  </si>
  <si>
    <t>videoplaywaittime_avg</t>
    <phoneticPr fontId="16" type="noConversion"/>
  </si>
  <si>
    <t>videorecovertime_avg</t>
    <phoneticPr fontId="16" type="noConversion"/>
  </si>
  <si>
    <t>sum(speedlimit_cnt)</t>
  </si>
  <si>
    <t>sum(outputoctets_above500_duration)</t>
  </si>
  <si>
    <t>sum(inputoctets_above500_duration)</t>
  </si>
  <si>
    <t>sum(videoplayrequest_cnt)</t>
  </si>
  <si>
    <t>sum(videoplaysuccess_cnt)</t>
  </si>
  <si>
    <t>sum(cachedvideoduration_sum)</t>
  </si>
  <si>
    <t>sum(cachedvideo_req_cnt)</t>
  </si>
  <si>
    <t>sum(cachedvideo_suc_cnt)</t>
  </si>
  <si>
    <t>sum(videoplayhaltservcount)</t>
  </si>
  <si>
    <t>sum(videoservcount)</t>
  </si>
  <si>
    <t>sum(videosize_above500)</t>
  </si>
  <si>
    <t>sum(videoduration_above500)</t>
  </si>
  <si>
    <t>sum(videosize)</t>
  </si>
  <si>
    <t>sum(videoplaywaittime_sum)</t>
  </si>
  <si>
    <t>sum(videorecovertime_sum)</t>
  </si>
  <si>
    <t>sum(videobit_code_good_cnt)</t>
  </si>
  <si>
    <t>sum(videobit_code_cnt)</t>
  </si>
  <si>
    <t>sum(video_throughput_custom_sum)</t>
  </si>
  <si>
    <t>sum(video_throughput_custom_cnt)</t>
  </si>
  <si>
    <t>sum(video_cache_throughput_custom_sum)</t>
  </si>
  <si>
    <t>sum(video_cache_throughput_custom_cnt)</t>
  </si>
  <si>
    <t>sum(times_excellentdownlink)</t>
  </si>
  <si>
    <t>sum(times_inferiordownlink)</t>
  </si>
  <si>
    <t>sum(times_welldownlink)</t>
  </si>
  <si>
    <t>sum(times_excellentstallfrequ)</t>
  </si>
  <si>
    <t>sum(times_inferiorstallfrequ)</t>
  </si>
  <si>
    <t>sum(times_wellstallfrequ)</t>
  </si>
  <si>
    <t>sum(videoplayhaltcount_seg_1)</t>
  </si>
  <si>
    <t>sum(videoplayhaltcount_seg_2)</t>
  </si>
  <si>
    <t>sum(videoplayhaltcount_seg_3)</t>
  </si>
  <si>
    <t>sum(videoplayhaltcount_seg_4)</t>
  </si>
  <si>
    <t>sum(videoplayhaltcount_seg_5)</t>
  </si>
  <si>
    <t>sum(videoplaywaittime_seg_1)</t>
  </si>
  <si>
    <t>sum(videoplaywaittime_seg_2)</t>
  </si>
  <si>
    <t>sum(videoplaywaittime_seg_3)</t>
  </si>
  <si>
    <t>sum(videoplaywaittime_seg_4)</t>
  </si>
  <si>
    <t>sum(videoplaywaittime_seg_5)</t>
  </si>
  <si>
    <t>sum(videorecovertime_seg_1)</t>
  </si>
  <si>
    <t>sum(videorecovertime_seg_2)</t>
  </si>
  <si>
    <t>sum(videorecovertime_seg_3)</t>
  </si>
  <si>
    <t>sum(videorecovertime_seg_4)</t>
  </si>
  <si>
    <t>sum(videorecovertime_seg_5)</t>
  </si>
  <si>
    <t>sum(videothroughput_sum)</t>
  </si>
  <si>
    <t>sum(videothroughput_seg_1)</t>
  </si>
  <si>
    <t>sum(videothroughput_seg_2)</t>
  </si>
  <si>
    <t>sum(videothroughput_seg_3)</t>
  </si>
  <si>
    <t>sum(videothroughput_seg_4)</t>
  </si>
  <si>
    <t>sum(videothroughput_seg_5)</t>
  </si>
  <si>
    <t>sum(videocachethroughput_sum)</t>
  </si>
  <si>
    <t>sum(videocachethroughput_seg_1)</t>
  </si>
  <si>
    <t>sum(videocachethroughput_seg_2)</t>
  </si>
  <si>
    <t>sum(videocachethroughput_seg_3)</t>
  </si>
  <si>
    <t>sum(videocachethroughput_seg_4)</t>
  </si>
  <si>
    <t>sum(videocachethroughput_seg_5)</t>
  </si>
  <si>
    <t>sum(videothroughput_cnt)</t>
    <phoneticPr fontId="16" type="noConversion"/>
  </si>
  <si>
    <t>sum(videothroughput_sum)/sum(videothroughput_cnt)</t>
    <phoneticPr fontId="16" type="noConversion"/>
  </si>
  <si>
    <t>sum(videocachethroughput_cnt)</t>
    <phoneticPr fontId="16" type="noConversion"/>
  </si>
  <si>
    <t>sum(videocachethroughput_sum)/sum(videocachethroughput_cnt)</t>
    <phoneticPr fontId="16" type="noConversion"/>
  </si>
  <si>
    <t>aggr_nr_dpi_video_index_reduce_base_h</t>
  </si>
  <si>
    <t>5G_DPI_video基础维度指标裁剪小时表</t>
    <phoneticPr fontId="16" type="noConversion"/>
  </si>
  <si>
    <t>aggr_nr_dpi_video_index_reduce_base_h</t>
    <phoneticPr fontId="16" type="noConversion"/>
  </si>
  <si>
    <t>videoplayhaltcount</t>
  </si>
  <si>
    <t>videoplayhaltcount</t>
    <phoneticPr fontId="16" type="noConversion"/>
  </si>
  <si>
    <t>videoplayhaltcount_custom</t>
    <phoneticPr fontId="16" type="noConversion"/>
  </si>
  <si>
    <t>sum(videoplayhaltcount)</t>
  </si>
  <si>
    <t>sum(videoplayhaltcount)</t>
    <phoneticPr fontId="16" type="noConversion"/>
  </si>
  <si>
    <t>sum(videoplayhaltcount_custom)</t>
  </si>
  <si>
    <t>sum(videoplayhaltcount_custom)</t>
    <phoneticPr fontId="16" type="noConversion"/>
  </si>
  <si>
    <t>sum(videoplayhaltcount)/sum(video_play_duration)</t>
  </si>
  <si>
    <t>sum(videoplayhaltcount_custom)/sum(video_play_duration_custom)</t>
  </si>
  <si>
    <t>timevalue</t>
  </si>
  <si>
    <t>rat</t>
  </si>
  <si>
    <t>vprovince</t>
  </si>
  <si>
    <t>vcity</t>
  </si>
  <si>
    <t>hprovince</t>
  </si>
  <si>
    <t>VideoClarity</t>
    <phoneticPr fontId="16" type="noConversion"/>
  </si>
  <si>
    <t>FileType</t>
  </si>
  <si>
    <t>S_NSSAI_SST</t>
  </si>
  <si>
    <t>S_NSSAI_SD</t>
  </si>
  <si>
    <t>APN</t>
  </si>
  <si>
    <t>PEI</t>
  </si>
  <si>
    <t>SourceIP_type</t>
    <phoneticPr fontId="16" type="noConversion"/>
  </si>
  <si>
    <t>sau_nbrVideoReq</t>
  </si>
  <si>
    <t>sau_nbrVideoResSucc</t>
  </si>
  <si>
    <t>sau_InitBufferDuration</t>
  </si>
  <si>
    <t>sau_InitBufferReq</t>
  </si>
  <si>
    <t>sau_InitBufferSucc</t>
  </si>
  <si>
    <t>sau_videoBufferDuration</t>
  </si>
  <si>
    <t>sau_videoBufferCnt</t>
  </si>
  <si>
    <t>sau_VideoBufferServCnt</t>
  </si>
  <si>
    <t>sau_VideoServCnt</t>
  </si>
  <si>
    <t>sau_VideoDlOctets</t>
  </si>
  <si>
    <t>sau_VideoDlDuration</t>
  </si>
  <si>
    <t>sum(videoduration_above500)</t>
    <phoneticPr fontId="16" type="noConversion"/>
  </si>
  <si>
    <t>sau_VideoDownOctets</t>
  </si>
  <si>
    <t>sau_FileDuration</t>
    <phoneticPr fontId="16" type="noConversion"/>
  </si>
  <si>
    <t>sau_nbrTcpConnFail</t>
  </si>
  <si>
    <t>sau_nbrTcpConn1stReq</t>
  </si>
  <si>
    <t>sau_nbrTcpConn1stSucc</t>
  </si>
  <si>
    <t>sau_nbrTcpConn2ndSucc</t>
  </si>
  <si>
    <t>sau_tcpConn1stDelay</t>
  </si>
  <si>
    <t>sau_tcpConn2ndDelay</t>
  </si>
  <si>
    <t>sau_tcpConnDelay</t>
  </si>
  <si>
    <t>sau_tcpULPacketCnt</t>
  </si>
  <si>
    <t>sau_tcpDLPacketCnt</t>
  </si>
  <si>
    <t>sau_tcpULRetransCnt</t>
  </si>
  <si>
    <t>sau_tcpDLRetransCnt</t>
  </si>
  <si>
    <t>sau_tcpUlSpiltCnt</t>
  </si>
  <si>
    <t>sau_tcpDlSpiltCnt</t>
  </si>
  <si>
    <t>sau_tcpULDISOTCnt</t>
  </si>
  <si>
    <t>sau_tcpDLDISOTCnt</t>
  </si>
  <si>
    <t>sau_nbrTcpULRtt</t>
  </si>
  <si>
    <t>sau_nbrTcpDLRtt</t>
  </si>
  <si>
    <t>sau_tcpULDuraDelay</t>
  </si>
  <si>
    <t>sau_tcpULDuraCnt</t>
  </si>
  <si>
    <t>sau_tcpDLDuraDelay</t>
  </si>
  <si>
    <t>sau_tcpDLDuraCnt</t>
  </si>
  <si>
    <t>sau_tcpFirstReqtimeDelay</t>
  </si>
  <si>
    <t>sau_tcpFirstReqtimeCnt</t>
  </si>
  <si>
    <t>sau_tcpFirstResptimeDelay</t>
  </si>
  <si>
    <t>sau_tcpFirstResptimeCnt</t>
  </si>
  <si>
    <t>sau_tcpULBigDuraDelay</t>
  </si>
  <si>
    <t>sau_ULBigTranOctets</t>
  </si>
  <si>
    <t>sau_tcpDLBigDuraDelay</t>
    <phoneticPr fontId="16" type="noConversion"/>
  </si>
  <si>
    <t>sau_DLBigTranOctets</t>
  </si>
  <si>
    <t>sau_ULTranOctets</t>
  </si>
  <si>
    <t>sau_DLTranOctets</t>
  </si>
  <si>
    <t>sau_videoThroughput_cnt</t>
  </si>
  <si>
    <t>sau_videoThroughput</t>
  </si>
  <si>
    <t>sau_VideoPlayTime</t>
    <phoneticPr fontId="16" type="noConversion"/>
  </si>
  <si>
    <t>sau_xdrsucccnt</t>
  </si>
  <si>
    <t>bigint</t>
    <phoneticPr fontId="16" type="noConversion"/>
  </si>
  <si>
    <t>基站ID</t>
    <phoneticPr fontId="16" type="noConversion"/>
  </si>
  <si>
    <t>小区ID</t>
    <phoneticPr fontId="16" type="noConversion"/>
  </si>
  <si>
    <t>videotype</t>
  </si>
  <si>
    <t>videoplayhaltservcount_sum</t>
  </si>
  <si>
    <t>videoservcount_sum</t>
  </si>
  <si>
    <t>videosize_above500_sum</t>
  </si>
  <si>
    <t>videocachethroughput_above500_sum</t>
  </si>
  <si>
    <t>videocachethroughput_above500_cnt_sum</t>
  </si>
  <si>
    <t>dl_datatransduration_sum</t>
  </si>
  <si>
    <t>dl_datatransduration_cnt_sum</t>
  </si>
  <si>
    <t>videoplaysuccesscount</t>
  </si>
  <si>
    <t>cachedvideoduration_sum</t>
  </si>
  <si>
    <t>cachedvideo_req_cnt_sum</t>
  </si>
  <si>
    <t>cachedvideo_suc_cnt_sum</t>
  </si>
  <si>
    <t>videoduration_above500_sum</t>
  </si>
  <si>
    <t>totalvideosize</t>
  </si>
  <si>
    <t>videorecovertime_sum</t>
  </si>
  <si>
    <t>videoPlayrequestcount</t>
    <phoneticPr fontId="16" type="noConversion"/>
  </si>
  <si>
    <t>TCPSetupResponseDelay_seg_1</t>
  </si>
  <si>
    <t>TCPSetupResponseDelay_seg_2</t>
  </si>
  <si>
    <t>TCPSetupResponseDelay_seg_3</t>
  </si>
  <si>
    <t>TCPSetupResponseDelay_seg_4</t>
  </si>
  <si>
    <t>TCPSetupResponseDelay_seg_5</t>
  </si>
  <si>
    <t>TCPSetupACKDelay_seg_1</t>
  </si>
  <si>
    <t>TCPSetupACKDelay_seg_2</t>
  </si>
  <si>
    <t>TCPSetupACKDelay_seg_3</t>
  </si>
  <si>
    <t>TCPSetupACKDelay_seg_4</t>
  </si>
  <si>
    <t>TCPSetupACKDelay_seg_5</t>
  </si>
  <si>
    <t>sum(delay_setup_firsttransaction*delay_setup_firsttransaction_cnt)</t>
    <phoneticPr fontId="16" type="noConversion"/>
  </si>
  <si>
    <t>sum(delay_firsttransaction_firstrespackt*delay_firsttransaction_firstrespackt_cnt)</t>
    <phoneticPr fontId="16" type="noConversion"/>
  </si>
  <si>
    <t>aggr_nr_dpi_video_usrappcel_h</t>
    <phoneticPr fontId="16" type="noConversion"/>
  </si>
  <si>
    <t>5G_DPI_video用户小区app维度小时表</t>
    <phoneticPr fontId="16" type="noConversion"/>
  </si>
  <si>
    <t>sum(video_play_duration_custom)</t>
  </si>
  <si>
    <t>aggr_nr_dpi_video_appcel_h</t>
    <phoneticPr fontId="16" type="noConversion"/>
  </si>
  <si>
    <t>5G_DPI_video小区app维度小时表</t>
    <phoneticPr fontId="16" type="noConversion"/>
  </si>
  <si>
    <t>aggr_nr_dpi_video_appcel_d</t>
  </si>
  <si>
    <t>5G_DPI_video小区app维度天表</t>
    <phoneticPr fontId="16" type="noConversion"/>
  </si>
  <si>
    <t>沿用表aggr_5g_game_usrappcel_e2e_d字段名称</t>
  </si>
  <si>
    <t>沿用表aggr_5g_game_usrappcel_e2e_d字段名称</t>
    <phoneticPr fontId="16" type="noConversion"/>
  </si>
  <si>
    <t>沿用表aggr_5g_web_usrappcel_e2e_d字段名称</t>
  </si>
  <si>
    <t>沿用表aggr_5g_im_usrappcel_e2e_d字段名称</t>
  </si>
  <si>
    <t>aggr_nr_dpi_video_cel_d</t>
    <phoneticPr fontId="16" type="noConversion"/>
  </si>
  <si>
    <t>沿用表aggr_5g_wechat_scan_code_payment_noc_usrcel_d表结构与字段名称</t>
    <phoneticPr fontId="16" type="noConversion"/>
  </si>
  <si>
    <r>
      <rPr>
        <sz val="9"/>
        <color rgb="FFFF0000"/>
        <rFont val="微软雅黑"/>
        <family val="2"/>
        <charset val="134"/>
      </rPr>
      <t>只上线用户级感知13省份，</t>
    </r>
    <r>
      <rPr>
        <sz val="9"/>
        <color theme="1"/>
        <rFont val="微软雅黑"/>
        <family val="2"/>
        <charset val="134"/>
      </rPr>
      <t>沿用表aggr_nr_usrarea_web_cel_d表结构与字段名称</t>
    </r>
    <phoneticPr fontId="16" type="noConversion"/>
  </si>
  <si>
    <r>
      <rPr>
        <sz val="9"/>
        <color rgb="FFFF0000"/>
        <rFont val="微软雅黑"/>
        <family val="2"/>
        <charset val="134"/>
      </rPr>
      <t>只上线用户级感知13省份，</t>
    </r>
    <r>
      <rPr>
        <sz val="9"/>
        <color theme="1"/>
        <rFont val="微软雅黑"/>
        <family val="2"/>
        <charset val="134"/>
      </rPr>
      <t>沿用表aggr_nr_usrarea_im_cel_d表结构与字段名称</t>
    </r>
    <phoneticPr fontId="16" type="noConversion"/>
  </si>
  <si>
    <t>沿用表aggr_nr_highspeedrail_web_base_h表结构与字段名称</t>
    <phoneticPr fontId="16" type="noConversion"/>
  </si>
  <si>
    <r>
      <rPr>
        <sz val="9"/>
        <color rgb="FFFF0000"/>
        <rFont val="微软雅黑"/>
        <family val="2"/>
        <charset val="134"/>
      </rPr>
      <t>只上线用户级感知13省份，</t>
    </r>
    <r>
      <rPr>
        <sz val="9"/>
        <color theme="1"/>
        <rFont val="微软雅黑"/>
        <family val="2"/>
        <charset val="134"/>
      </rPr>
      <t>沿用表aggr_nr_usrarea_game_cel_d表结构与字段名称</t>
    </r>
    <phoneticPr fontId="16" type="noConversion"/>
  </si>
  <si>
    <t>沿用共享给5GR的表aggr_5g_web_cel_e2e_share_d表结构与字段名称</t>
    <phoneticPr fontId="16" type="noConversion"/>
  </si>
  <si>
    <t>沿用共享给5GR的表aggr_5g_im_cel_e2e_share_d表结构与字段名称</t>
    <phoneticPr fontId="16" type="noConversion"/>
  </si>
  <si>
    <t>沿用共享给5GR的表aggr_5g_game_cel_e2e_share_d表结构与字段名称</t>
    <phoneticPr fontId="16" type="noConversion"/>
  </si>
  <si>
    <t>沿用表aggr_5g_wechat_scan_code_payment_noc_cel_d表结构与字段名称</t>
    <phoneticPr fontId="16" type="noConversion"/>
  </si>
  <si>
    <t>沿用表aggr_nr_highspeedrail_web_cel_d表结构与字段名称</t>
    <phoneticPr fontId="16" type="noConversion"/>
  </si>
  <si>
    <t>5G_DPI_video小区维度天表</t>
    <phoneticPr fontId="16" type="noConversion"/>
  </si>
  <si>
    <t>aggr_nr_video_index_reduce_cel_d</t>
    <phoneticPr fontId="16" type="noConversion"/>
  </si>
  <si>
    <t>沿用共享给5GR的表aggr_5g_video_cel_e2e_share_d表结构与字段名称</t>
    <phoneticPr fontId="16" type="noConversion"/>
  </si>
  <si>
    <t>5G_DPI_video小区维度指标裁剪天表</t>
    <phoneticPr fontId="16" type="noConversion"/>
  </si>
  <si>
    <t>aggr_nr_dpi_video_usrcel_h</t>
  </si>
  <si>
    <t>5G_DPI_video用户小区维度小时表</t>
    <phoneticPr fontId="16" type="noConversion"/>
  </si>
  <si>
    <t>aggr_nr_dpi_video_usrcel_d</t>
  </si>
  <si>
    <t>5G_DPI_video用户小区维度天表</t>
    <phoneticPr fontId="16" type="noConversion"/>
  </si>
  <si>
    <t>aggr_nr_dpi_video_usr_d</t>
  </si>
  <si>
    <t>5G_DPI_video用户维度天表</t>
    <phoneticPr fontId="16" type="noConversion"/>
  </si>
  <si>
    <t>沿用共享移动业务感知保障系统表aggr_5gdpi_http_base_reduce_h表结构及字段名称</t>
    <phoneticPr fontId="16" type="noConversion"/>
  </si>
  <si>
    <t>沿用共享给5GR系统表aggr_5gdpi_http_e2e_d表结构及字段名称</t>
    <phoneticPr fontId="16" type="noConversion"/>
  </si>
  <si>
    <t>沿用共享给共建共享表aggr_5g_web_cel_e2e_d字段名称，但表结构存在变化（删减与添加）</t>
    <phoneticPr fontId="16" type="noConversion"/>
  </si>
  <si>
    <t>沿用共享给共建共享表aggr_5g_im_cel_e2e_d字段名称，但表结构存在变化（删减与添加）</t>
    <phoneticPr fontId="16" type="noConversion"/>
  </si>
  <si>
    <t>对应共享给共建共享表aggr_5g_game_cel_e2e_d字段名称，但表结构存在变化（删减与添加）</t>
    <phoneticPr fontId="16" type="noConversion"/>
  </si>
  <si>
    <t>沿用共享给移动业务感知保障系统的表aggr_5g_video_usrappcelslice_e2e_h字段名称，但表结构存在变化</t>
    <phoneticPr fontId="16" type="noConversion"/>
  </si>
  <si>
    <t>沿用表aggr_5g_video_usrappcel_e2e_d字段名称，但表结构存在变化</t>
    <phoneticPr fontId="16" type="noConversion"/>
  </si>
  <si>
    <t>沿用共享给共建共享表aggr_5g_video_cel_e2e_d字段名称，但表结构存在变化（删减与添加）</t>
    <phoneticPr fontId="16" type="noConversion"/>
  </si>
  <si>
    <t>沿用表aggr_5g_im_usr_e2e_d字段名称，表结构存在变更</t>
    <phoneticPr fontId="16" type="noConversion"/>
  </si>
  <si>
    <t>aggr_nr_dpi_video_appcel_d</t>
    <phoneticPr fontId="16" type="noConversion"/>
  </si>
  <si>
    <t>videoplayrequestcount</t>
  </si>
  <si>
    <t>videoplayfailurecount</t>
  </si>
  <si>
    <t>videoplaynohaltcount</t>
  </si>
  <si>
    <t>videoplaytime_without_halt_sum</t>
  </si>
  <si>
    <t>videothroughput</t>
  </si>
  <si>
    <t>videobitrate</t>
  </si>
  <si>
    <t>videoplayhaltcountpermin</t>
  </si>
  <si>
    <t>videobit_code_sum_total</t>
  </si>
  <si>
    <t>视频播放失败次数</t>
  </si>
  <si>
    <t>视频播放卡顿次数</t>
  </si>
  <si>
    <t>视频播放0卡顿的次数</t>
  </si>
  <si>
    <t>视频播放时长，不含卡顿时长，单位毫秒</t>
  </si>
  <si>
    <t>视频文件大小</t>
  </si>
  <si>
    <t>视频质量，即视频平均码率，单位Kbps</t>
  </si>
  <si>
    <t>关联与过滤条件</t>
    <phoneticPr fontId="16" type="noConversion"/>
  </si>
  <si>
    <t>sum(videoplayrequestcount)</t>
  </si>
  <si>
    <t>sum(videoplaysuccesscount)</t>
  </si>
  <si>
    <t>sum(videobit_code_sum_total)</t>
    <phoneticPr fontId="16" type="noConversion"/>
  </si>
  <si>
    <t>sum(videobit_code_good_cnt)</t>
    <phoneticPr fontId="16" type="noConversion"/>
  </si>
  <si>
    <t>sum(videobit_code_good_cnt)/sum(videobit_code_sum_total)</t>
    <phoneticPr fontId="16" type="noConversion"/>
  </si>
  <si>
    <t>video_good_rate</t>
  </si>
  <si>
    <t>video_flux</t>
  </si>
  <si>
    <t>视频感知优良率</t>
  </si>
  <si>
    <t>视频流量</t>
  </si>
  <si>
    <t>sum(videosize)</t>
    <phoneticPr fontId="16" type="noConversion"/>
  </si>
  <si>
    <t>sum(videoplayrequestcount)</t>
    <phoneticPr fontId="16" type="noConversion"/>
  </si>
  <si>
    <t>sum(videoplaysuccesscount)</t>
    <phoneticPr fontId="16" type="noConversion"/>
  </si>
  <si>
    <t>sum(nvl(videoplayrequestcount,0)-nvl(videoplaysuccesscount,0))</t>
    <phoneticPr fontId="16" type="noConversion"/>
  </si>
  <si>
    <t>0.8*sum(times_excellentdownlink+times_welldownlink)/sum(times_excellentdownlink+times_inferiordownlink+times_welldownlink)+0.2*sum(times_excellentstallfrequ+times_wellstallfrequ)/sum(times_excellentstallfrequ+times_inferiorstallfrequ+times_wellstallfrequ)</t>
    <phoneticPr fontId="16" type="noConversion"/>
  </si>
  <si>
    <t>视频播放卡顿频次，单位次/分钟</t>
    <phoneticPr fontId="16" type="noConversion"/>
  </si>
  <si>
    <t>次/分钟</t>
  </si>
  <si>
    <t>aggr_nr_dpi_video_usrcel_h</t>
    <phoneticPr fontId="16" type="noConversion"/>
  </si>
  <si>
    <t>aggr_nr_dpi_video_usrcel_d</t>
    <phoneticPr fontId="16" type="noConversion"/>
  </si>
  <si>
    <t>case when video_play_success = 1 and video_throughput&gt;0 and video_throughput&lt;=1024000 and video_size&gt;=512000 and video_bit_rate&gt;0 and (video_play_halt_count)/(inputoctets*8/(videobitrate*1000)/60)&lt;=10 then video_play_halt_count else 0 end</t>
    <phoneticPr fontId="16" type="noConversion"/>
  </si>
  <si>
    <t>sum(case when video_play_success = 1 and video_throughput&gt;0 and video_throughput&lt;=1024000 and video_size&gt;=512000 and video_play_halt_count&gt;0 and video_bit_rate&gt;0 and (video_play_halt_count)/(inputoctets*8/(videobitrate*1000)/60)&lt;=10 then 1 else 0 end)</t>
    <phoneticPr fontId="16" type="noConversion"/>
  </si>
  <si>
    <t>sum(case when video_play_success = 1 and video_throughput&gt;0 and video_throughput&lt;=1024000 and video_size&gt;=512000 and video_play_halt_count&gt;=0 and (cached_video_duration&gt;0 or cached_video_duration is null) and video_bit_rate&gt;0 and (video_play_halt_count)/(inputoctets*8/(videobitrate*1000)/60)&lt;=10 then 1 else 0 end)</t>
    <phoneticPr fontId="16" type="noConversion"/>
  </si>
  <si>
    <t>sum(case when video_play_success = 1 and video_throughput&gt;0 and video_throughput&lt;=1024000 and video_size&gt;=512000 and video_play_halt_count&gt;=0 and video_bit_rate&gt;0 and (video_play_halt_count)/(inputoctets*8/(videobitrate*1000)/60)&lt;=10 then video_size else 0 end)</t>
    <phoneticPr fontId="16" type="noConversion"/>
  </si>
  <si>
    <t>sum(case when video_play_success = 1 and video_throughput&gt;0 and video_throughput&lt;=1024000 and video_size&gt;=512000 and video_play_halt_count&gt;=0 and video_bit_rate&gt;0 and (video_play_halt_count)/(inputoctets*8/(videobitrate*1000)/60)&lt;=10 and last_data_pkg_time&gt;first_data_pkg_time and  first_data_pkg_time&gt;0 then (last_data_pkg_time-first_data_pkg_time) else 0 end)</t>
    <phoneticPr fontId="16" type="noConversion"/>
  </si>
  <si>
    <t>发生卡顿业务次数（内容&gt;=500KB）</t>
    <phoneticPr fontId="16" type="noConversion"/>
  </si>
  <si>
    <t>具备卡顿业务次数（内容&gt;=500KB）</t>
    <phoneticPr fontId="16" type="noConversion"/>
  </si>
  <si>
    <t>case when video_play_success = 1 and video_throughput&gt;0 and video_throughput&lt;=1024000 and video_size&gt;=512000 and  and  then video_throughput else null end</t>
    <phoneticPr fontId="16" type="noConversion"/>
  </si>
  <si>
    <t>sum(video_throughput_custom_sum)</t>
    <phoneticPr fontId="16" type="noConversion"/>
  </si>
  <si>
    <t>videoplaytime_to_videobitrate_sum</t>
    <phoneticPr fontId="16" type="noConversion"/>
  </si>
  <si>
    <t>videobit_code_good_cnt_custom</t>
    <phoneticPr fontId="16" type="noConversion"/>
  </si>
  <si>
    <t>videobit_code_cnt_custom</t>
    <phoneticPr fontId="16" type="noConversion"/>
  </si>
  <si>
    <t>sum(case when video_throughput/video_bit_rate&gt;1.4 and video_play_success = 1 and video_throughput&gt;0 and video_throughput&lt;=1024000 and video_size&gt;=512000 and video_play_halt_count&gt;=0 and video_bit_rate&gt;0 and (video_play_halt_count)/(inputoctets*8/(videobitrate*1000)/60)&lt;=10 then 1 else 0 end)</t>
    <phoneticPr fontId="16" type="noConversion"/>
  </si>
  <si>
    <t>sum(case when video_play_success = 1 and video_throughput&gt;0 and video_throughput&lt;=1024000 and video_size&gt;=512000 and video_play_halt_count&gt;=0 and video_bit_rate&gt;0 and (video_play_halt_count)/(inputoctets*8/(videobitrate*1000)/60)&lt;=10 then 1 else 0 end)</t>
    <phoneticPr fontId="16" type="noConversion"/>
  </si>
  <si>
    <t>自定义速率码率比优良次数(大于500KB)</t>
    <phoneticPr fontId="16" type="noConversion"/>
  </si>
  <si>
    <t>自定义速率码率总次数(大于500KB)</t>
    <phoneticPr fontId="16" type="noConversion"/>
  </si>
  <si>
    <t>sum(videobit_code_good_cnt_custom)</t>
    <phoneticPr fontId="16" type="noConversion"/>
  </si>
  <si>
    <t>sum(videobit_code_cnt_custom)</t>
    <phoneticPr fontId="16" type="noConversion"/>
  </si>
  <si>
    <t>sau_videobitrate_finecnt</t>
  </si>
  <si>
    <t>sau_videobitrate_cnt</t>
  </si>
  <si>
    <t>sau_videobitrate</t>
  </si>
  <si>
    <t>自定义视频码率(大于500KB)</t>
    <phoneticPr fontId="16" type="noConversion"/>
  </si>
  <si>
    <t>videobitrate_sum</t>
    <phoneticPr fontId="16" type="noConversion"/>
  </si>
  <si>
    <t>视频码率</t>
    <phoneticPr fontId="16" type="noConversion"/>
  </si>
  <si>
    <t>kbps</t>
    <phoneticPr fontId="16" type="noConversion"/>
  </si>
  <si>
    <t>&gt;=0</t>
    <phoneticPr fontId="16" type="noConversion"/>
  </si>
  <si>
    <t>sum(video_bit_rate)</t>
    <phoneticPr fontId="16" type="noConversion"/>
  </si>
  <si>
    <t>videobitrate_cnt</t>
    <phoneticPr fontId="16" type="noConversion"/>
  </si>
  <si>
    <t>bigint</t>
    <phoneticPr fontId="16" type="noConversion"/>
  </si>
  <si>
    <t>视频码率次数</t>
    <phoneticPr fontId="16" type="noConversion"/>
  </si>
  <si>
    <t>sum(case when video_bit_rate&gt;0 then 1 else 0 end)</t>
    <phoneticPr fontId="16" type="noConversion"/>
  </si>
  <si>
    <t>videobitrate_sum_custom</t>
    <phoneticPr fontId="16" type="noConversion"/>
  </si>
  <si>
    <t>videobitrate_cnt_custom</t>
    <phoneticPr fontId="16" type="noConversion"/>
  </si>
  <si>
    <t>自定义视频码率(大于500KB)</t>
    <phoneticPr fontId="16" type="noConversion"/>
  </si>
  <si>
    <t>自定义视频码率次数(大于500KB)</t>
    <phoneticPr fontId="16" type="noConversion"/>
  </si>
  <si>
    <t>sum(case when video_play_success = 1 and video_throughput&gt;0 and video_throughput&lt;=1024000 and video_size&gt;=512000 and video_play_halt_count&gt;=0 and video_bit_rate&gt;0 and (video_play_halt_count)/(inputoctets*8/(videobitrate*1000)/60)&lt;=10 then 1 else 0 end)</t>
    <phoneticPr fontId="16" type="noConversion"/>
  </si>
  <si>
    <t>sum(case when video_cache_throughput&gt;0 and video_cache_throughput &lt; 1000*1024 and video_bit_rate&gt;0 then 1 else 0 end)</t>
    <phoneticPr fontId="16" type="noConversion"/>
  </si>
  <si>
    <t>sum(case when video_play_success = 1 and video_throughput&gt;0 and video_throughput&lt;=1024000 and video_size&gt;=512000 and video_play_halt_count&gt;=0 and video_bit_rate&gt;0 and (video_play_halt_count)/(inputoctets*8/(videobitrate*1000)/60)&lt;=10 then video_bit_rate else 0 end)</t>
    <phoneticPr fontId="16" type="noConversion"/>
  </si>
  <si>
    <t>sum(videobitrate_sum_custom)</t>
    <phoneticPr fontId="16" type="noConversion"/>
  </si>
  <si>
    <t>sum(videobitrate_cnt_custom)</t>
    <phoneticPr fontId="16" type="noConversion"/>
  </si>
  <si>
    <t>videobitrate_sum_custom</t>
    <phoneticPr fontId="16" type="noConversion"/>
  </si>
  <si>
    <t>sum(videobitrate_sum_custom)</t>
    <phoneticPr fontId="16" type="noConversion"/>
  </si>
  <si>
    <t>aggr_nr_dpi_video_usrappcel_q</t>
  </si>
  <si>
    <t>aggr_nr_video_highspeedrail_usrcel_h</t>
  </si>
  <si>
    <t>5G_DPI_video类型用户小区app维度15分钟表</t>
  </si>
  <si>
    <t>5G_video类型用户小区区域app维度天表</t>
  </si>
  <si>
    <t>5G_video类型用户小区区域app维度天</t>
  </si>
  <si>
    <t>高铁5G video业务用户小区小时表</t>
  </si>
  <si>
    <t>高铁5G video业务小区天表</t>
  </si>
  <si>
    <t>aggr_nr_dpi_video_usrappcel_q</t>
    <phoneticPr fontId="16" type="noConversion"/>
  </si>
  <si>
    <t>aggr_nr_video_highspeedrail_usrcel_h</t>
    <phoneticPr fontId="16" type="noConversion"/>
  </si>
  <si>
    <t>aggr_nr_video_highspeedrail_cel_d</t>
    <phoneticPr fontId="16" type="noConversion"/>
  </si>
  <si>
    <t>aggr_nr_video_usrappcelarea_d</t>
    <phoneticPr fontId="16" type="noConversion"/>
  </si>
  <si>
    <t>核心</t>
  </si>
  <si>
    <t>/</t>
  </si>
  <si>
    <t>新建</t>
  </si>
  <si>
    <t>新建(升级)</t>
  </si>
  <si>
    <t>天</t>
  </si>
  <si>
    <r>
      <rPr>
        <sz val="9"/>
        <color rgb="FFFF0000"/>
        <rFont val="微软雅黑"/>
        <family val="2"/>
        <charset val="134"/>
      </rPr>
      <t>只上线用户级感知13省份</t>
    </r>
    <r>
      <rPr>
        <sz val="9"/>
        <color theme="1"/>
        <rFont val="微软雅黑"/>
        <family val="2"/>
        <charset val="134"/>
      </rPr>
      <t>，沿用表aggr_nr_usrarea_video_cel_d表结构与字段名称</t>
    </r>
    <phoneticPr fontId="16" type="noConversion"/>
  </si>
  <si>
    <t>用户|小区|app</t>
  </si>
  <si>
    <t>用户|小区</t>
  </si>
  <si>
    <t>用户|小区|区域|app</t>
  </si>
  <si>
    <t>0~3</t>
    <phoneticPr fontId="16" type="noConversion"/>
  </si>
  <si>
    <t>沿用表aggr_nr_highspeedrail_video_base_h表结构与字段名称</t>
    <phoneticPr fontId="16" type="noConversion"/>
  </si>
  <si>
    <t>5G_DPI_video类型用户小区app维度15分钟表</t>
    <phoneticPr fontId="16" type="noConversion"/>
  </si>
  <si>
    <r>
      <t>参考现网任务</t>
    </r>
    <r>
      <rPr>
        <sz val="9"/>
        <color rgb="FFFF0000"/>
        <rFont val="微软雅黑"/>
        <family val="2"/>
        <charset val="134"/>
      </rPr>
      <t>aggr_nr_highspeedrail_web_base_h</t>
    </r>
    <r>
      <rPr>
        <sz val="9"/>
        <color theme="1"/>
        <rFont val="微软雅黑"/>
        <family val="2"/>
        <charset val="134"/>
      </rPr>
      <t xml:space="preserve">
A inner join B。关联条件：a.imsi=b.supi and a.p_date=b.p_date and a.hour=b.hour and a.quarter=b.quarter</t>
    </r>
    <phoneticPr fontId="16" type="noConversion"/>
  </si>
  <si>
    <r>
      <t>参考现网任务</t>
    </r>
    <r>
      <rPr>
        <sz val="9"/>
        <color rgb="FFFF0000"/>
        <rFont val="微软雅黑"/>
        <family val="2"/>
        <charset val="134"/>
      </rPr>
      <t>aggr_nr_highspeedrail_video_base_h</t>
    </r>
    <r>
      <rPr>
        <sz val="9"/>
        <color theme="1"/>
        <rFont val="微软雅黑"/>
        <family val="2"/>
        <charset val="134"/>
      </rPr>
      <t xml:space="preserve">
A inner join B。关联条件：a.imsi=b.supi and a.p_date=b.p_date and a.hour=b.hour and a.quarter=b.quarter</t>
    </r>
    <phoneticPr fontId="16" type="noConversion"/>
  </si>
  <si>
    <t>TCP建链响应时延_求和</t>
  </si>
  <si>
    <t>TCP建链确认时延_求和</t>
  </si>
  <si>
    <t>TCP建立时延(ms)_求和</t>
  </si>
  <si>
    <t>videothroughput_avg</t>
  </si>
  <si>
    <t>视频下载速率_根据IP报文统计_seg_1</t>
  </si>
  <si>
    <t>视频下载速率_根据IP报文统计_seg_2</t>
  </si>
  <si>
    <t>视频下载速率_根据IP报文统计_seg_3</t>
  </si>
  <si>
    <t>视频下载速率_根据IP报文统计_seg_4</t>
  </si>
  <si>
    <t>视频下载速率_根据IP报文统计_seg_5</t>
  </si>
  <si>
    <t>videoplayhaltcountpermin_avg</t>
  </si>
  <si>
    <t>视频播放卡顿频次_avg</t>
  </si>
  <si>
    <t>videoplayhaltcountpermin_seg_1</t>
  </si>
  <si>
    <t>视频播放卡顿频次_seg_1</t>
  </si>
  <si>
    <t>videoplayhaltcountpermin_seg_2</t>
  </si>
  <si>
    <t>视频播放卡顿频次_seg_2</t>
  </si>
  <si>
    <t>videoplayhaltcountpermin_seg_3</t>
  </si>
  <si>
    <t>视频播放卡顿频次_seg_3</t>
  </si>
  <si>
    <t>videoplayhaltcountpermin_seg_4</t>
  </si>
  <si>
    <t>视频播放卡顿频次_seg_4</t>
  </si>
  <si>
    <t>videoplayhaltcountpermin_seg_5</t>
  </si>
  <si>
    <t>视频播放卡顿频次_seg_5</t>
  </si>
  <si>
    <t>直接赋值：10</t>
    <phoneticPr fontId="16" type="noConversion"/>
  </si>
  <si>
    <t>line_id</t>
    <phoneticPr fontId="16" type="noConversion"/>
  </si>
  <si>
    <t>sum(tcpsetupdelay_avg*tcpsetupdelay_cnt)</t>
  </si>
  <si>
    <t>sum(videoplayrequest_cnt)</t>
    <phoneticPr fontId="16" type="noConversion"/>
  </si>
  <si>
    <t>sum(videoplaysuccess_cnt)</t>
    <phoneticPr fontId="16" type="noConversion"/>
  </si>
  <si>
    <t>sum(nvl(videoplayrequest_cnt,0)-nvl(videoplaysuccess_cnt,0))</t>
    <phoneticPr fontId="16" type="noConversion"/>
  </si>
  <si>
    <t>包数</t>
    <phoneticPr fontId="16" type="noConversion"/>
  </si>
  <si>
    <t>8位数</t>
    <phoneticPr fontId="16" type="noConversion"/>
  </si>
  <si>
    <t>sum(tcpsetupresponsedelay_sum)</t>
  </si>
  <si>
    <t>sum(tcpsetupdelay_sum)</t>
  </si>
  <si>
    <t>sum(videoplayfailurecount)</t>
  </si>
  <si>
    <t>sum(videoplaynohaltcount)</t>
  </si>
  <si>
    <t>sum(videothroughput*videoplayrequestcount)/sum(videoplayrequestcount)</t>
  </si>
  <si>
    <t>sum(tcpsetupresponsedelay_avg*videoplayrequestcount)/sum(videoplayrequestcount)</t>
  </si>
  <si>
    <t>sum(tcpsetupackdelay_avg*videoplayrequestcount)/sum(videoplayrequestcount)</t>
  </si>
  <si>
    <t>sum(tcpsetupdelay_avg*videoplayrequestcount)/sum(videoplayrequestcount)</t>
  </si>
  <si>
    <t>sum(videoplayhaltcount_avg*videoplayrequestcount)/sum(videoplayrequestcount)</t>
  </si>
  <si>
    <t>sum(videothroughput_avg*videoplayrequestcount)/sum(videoplayrequestcount)</t>
  </si>
  <si>
    <t>sum(videoplayhaltcountpermin_avg*videoplayrequestcount)/sum(videoplayrequestcount)</t>
  </si>
  <si>
    <t>sum(videoplayhaltcountpermin_seg_1)</t>
  </si>
  <si>
    <t>sum(videoplayhaltcountpermin_seg_2)</t>
  </si>
  <si>
    <t>sum(videoplayhaltcountpermin_seg_3)</t>
  </si>
  <si>
    <t>sum(videoplayhaltcountpermin_seg_4)</t>
  </si>
  <si>
    <t>sum(videoplayhaltcountpermin_seg_5)</t>
  </si>
  <si>
    <t>videoplaytime_sum</t>
  </si>
  <si>
    <t>videoplaywaittime_sum</t>
  </si>
  <si>
    <t>videoplaysuccessratio</t>
  </si>
  <si>
    <t>kqi_videoplayhaltcountpermin</t>
  </si>
  <si>
    <t>videoplaywaittimeratio</t>
  </si>
  <si>
    <t>cachedvideodurationratio</t>
  </si>
  <si>
    <t>sum(videoplaywaittime_sum)</t>
    <phoneticPr fontId="16" type="noConversion"/>
  </si>
  <si>
    <t>视频播放时长</t>
    <phoneticPr fontId="16" type="noConversion"/>
  </si>
  <si>
    <t>视频播放时长，不含卡顿时长</t>
    <phoneticPr fontId="16" type="noConversion"/>
  </si>
  <si>
    <t>视频播放等待时长</t>
    <phoneticPr fontId="16" type="noConversion"/>
  </si>
  <si>
    <t>视频播放卡顿时长</t>
    <phoneticPr fontId="16" type="noConversion"/>
  </si>
  <si>
    <t>缓存视频时长</t>
    <phoneticPr fontId="16" type="noConversion"/>
  </si>
  <si>
    <t>视频播放成功率</t>
    <phoneticPr fontId="16" type="noConversion"/>
  </si>
  <si>
    <t>视频卡顿频次(次/分钟)</t>
    <phoneticPr fontId="16" type="noConversion"/>
  </si>
  <si>
    <t>kqi_videorecovertimeratio</t>
    <phoneticPr fontId="16" type="noConversion"/>
  </si>
  <si>
    <t>times_excellentdownlink</t>
    <phoneticPr fontId="16" type="noConversion"/>
  </si>
  <si>
    <t>times_inferiordownlink</t>
    <phoneticPr fontId="16" type="noConversion"/>
  </si>
  <si>
    <t>times_welldownlink</t>
    <phoneticPr fontId="16" type="noConversion"/>
  </si>
  <si>
    <t>times_excellentstallfrequ</t>
    <phoneticPr fontId="16" type="noConversion"/>
  </si>
  <si>
    <t>times_inferiorstallfrequ</t>
    <phoneticPr fontId="16" type="noConversion"/>
  </si>
  <si>
    <t>times_wellstallfrequ</t>
    <phoneticPr fontId="16" type="noConversion"/>
  </si>
  <si>
    <t>tcpsetupresponsedelay_cnt_greater_200</t>
    <phoneticPr fontId="16" type="noConversion"/>
  </si>
  <si>
    <t>视频播放卡顿次数_seg_1</t>
    <phoneticPr fontId="16" type="noConversion"/>
  </si>
  <si>
    <t>videoplayhaltcount_seg_1</t>
    <phoneticPr fontId="16" type="noConversion"/>
  </si>
  <si>
    <t>视频卡顿时长_avg，单位毫秒</t>
  </si>
  <si>
    <t>视频缓冲段下载速率_avg</t>
  </si>
  <si>
    <t>videorecovertime_seg_1</t>
    <phoneticPr fontId="16" type="noConversion"/>
  </si>
  <si>
    <t>videothroughput_seg_1</t>
    <phoneticPr fontId="16" type="noConversion"/>
  </si>
  <si>
    <t>videocachethroughput_seg_1</t>
    <phoneticPr fontId="16" type="noConversion"/>
  </si>
  <si>
    <t>视频卡顿时长占比</t>
    <phoneticPr fontId="16" type="noConversion"/>
  </si>
  <si>
    <t>视频播放等待时长占比</t>
    <phoneticPr fontId="16" type="noConversion"/>
  </si>
  <si>
    <t>视频缓存时长占比</t>
    <phoneticPr fontId="16" type="noConversion"/>
  </si>
  <si>
    <t>sum(nvl(duration,0)-nvl(videorecovertime_sum,0))</t>
    <phoneticPr fontId="16" type="noConversion"/>
  </si>
  <si>
    <t>sum(videorecovertime_sum)</t>
    <phoneticPr fontId="16" type="noConversion"/>
  </si>
  <si>
    <t>sum(videothroughput_sum)</t>
    <phoneticPr fontId="16" type="noConversion"/>
  </si>
  <si>
    <t>直接赋值：0</t>
    <phoneticPr fontId="16" type="noConversion"/>
  </si>
  <si>
    <t>sum(videoplaysuccess_cnt)/sum(videoplayrequest_cnt)</t>
    <phoneticPr fontId="16" type="noConversion"/>
  </si>
  <si>
    <t>sum(videorecovertime_sum)/sum(duration)</t>
    <phoneticPr fontId="16" type="noConversion"/>
  </si>
  <si>
    <t>sum(videoplaywaittime_sum)/sum(duration)</t>
    <phoneticPr fontId="16" type="noConversion"/>
  </si>
  <si>
    <t>sum(videoplaywaittime_avg*videoplayrequest_cnt)/sum(videoplayrequest_cnt)</t>
    <phoneticPr fontId="16" type="noConversion"/>
  </si>
  <si>
    <t>sum(videorecovertime_avg*videoplayrequest_cnt)/sum(videoplayrequest_cnt)</t>
    <phoneticPr fontId="16" type="noConversion"/>
  </si>
  <si>
    <t>fact_nr_dpi_https_q</t>
    <phoneticPr fontId="16" type="noConversion"/>
  </si>
  <si>
    <t>5G_DPI_https整合层15分钟表</t>
    <phoneticPr fontId="16" type="noConversion"/>
  </si>
  <si>
    <t>ods_5gdpi_https_e2e_telecom_q</t>
    <phoneticPr fontId="16" type="noConversion"/>
  </si>
  <si>
    <t>5G_DPI_http贴源层详单表</t>
    <phoneticPr fontId="16" type="noConversion"/>
  </si>
  <si>
    <t>5G_DPI_video贴源层详单表</t>
    <phoneticPr fontId="16" type="noConversion"/>
  </si>
  <si>
    <t>5G_DPI_https贴源层详单表</t>
    <phoneticPr fontId="16" type="noConversion"/>
  </si>
  <si>
    <t>sslhandshake_start_time</t>
  </si>
  <si>
    <t>sslhandshake_end_time</t>
  </si>
  <si>
    <t>sum_hand_shake_delay</t>
  </si>
  <si>
    <t>first_hand_shake_fail_code</t>
  </si>
  <si>
    <t>SSL握手开始时间戳</t>
  </si>
  <si>
    <t>SSL握手结束时间戳</t>
  </si>
  <si>
    <t>加密握手总时延，单位毫秒</t>
  </si>
  <si>
    <t>首次加密握手失败原因码，记录首次握手失败流程中最后一个握手消息的ID。</t>
  </si>
  <si>
    <t>最后一个数据包时间
戳，UTC时间，从1970/1/1
00:00:00开始到当前的毫秒
数。</t>
  </si>
  <si>
    <t>第一个TCPFinAck包时间戳</t>
  </si>
  <si>
    <t>SYN时间戳，UTC时间，从1970/1/1 00:00:00开始到当前的毫秒数。</t>
    <phoneticPr fontId="16" type="noConversion"/>
  </si>
  <si>
    <t>SYNACK时间戳，UTC时间，从1970/1/1 00:00:00开始到当前的毫秒数。</t>
    <phoneticPr fontId="16" type="noConversion"/>
  </si>
  <si>
    <t>ACK时间戳，UTC时间，从1970/1/1 00:00:00开始到当前的毫秒数。</t>
    <phoneticPr fontId="16" type="noConversion"/>
  </si>
  <si>
    <t>case when tcpsetupresponsedelay &gt;0  and tcpsetupackdelay &gt;0 and (tcpsetupresponsedelay+tcpsetupackdelay) &lt;50000 then  tcpsetupresponsedelay+tcpsetupackdelay else null end</t>
    <phoneticPr fontId="16" type="noConversion"/>
  </si>
  <si>
    <t>action_time</t>
    <phoneticPr fontId="16" type="noConversion"/>
  </si>
  <si>
    <t>case when  syntime&gt;0 and first_resptime&gt;syntime and (first_resptime - syntime) &lt;100000 then (first_resptime - syntime)   else null end</t>
    <phoneticPr fontId="16" type="noConversion"/>
  </si>
  <si>
    <t>case when  syntime&gt;0 and first_packet_time&gt;syntime and first_packet_time - syntime &lt; 100000 then first_packet_time-syntime   else null end</t>
    <phoneticPr fontId="16" type="noConversion"/>
  </si>
  <si>
    <t>case when syntime &gt; 0 and lastpacktime &gt; syntime and lastpacktime - syntime &lt; 30000 then  lastpacktime-syntime   else null end</t>
    <phoneticPr fontId="16" type="noConversion"/>
  </si>
  <si>
    <t>case when  syntime &gt;0  and first_screen_fin_time&gt;syntime and first_screen_fin_time-syntime&lt;100000 then first_screen_fin_time-syntime   else null end</t>
    <phoneticPr fontId="16" type="noConversion"/>
  </si>
  <si>
    <t>aggr_nr_dpi_https_base_q</t>
    <phoneticPr fontId="16" type="noConversion"/>
  </si>
  <si>
    <t>5G_DPI_https基础维度15分钟表</t>
    <phoneticPr fontId="16" type="noConversion"/>
  </si>
  <si>
    <t>HTTP下载时长（s）（内容&gt;=500KB）</t>
    <phoneticPr fontId="16" type="noConversion"/>
  </si>
  <si>
    <t>aggr_nr_dpi_https_base_h</t>
  </si>
  <si>
    <t>aggr_nr_dpi_https_base_h</t>
    <phoneticPr fontId="16" type="noConversion"/>
  </si>
  <si>
    <t>5G_DPI_https基础维度小时表</t>
    <phoneticPr fontId="16" type="noConversion"/>
  </si>
  <si>
    <t>tcpsetupresponsedelay_cnt</t>
  </si>
  <si>
    <t>tcpsetupackdelay_cnt</t>
  </si>
  <si>
    <t>httpwebrspdelay_cnt</t>
    <phoneticPr fontId="16" type="noConversion"/>
  </si>
  <si>
    <t>httpwebdspdelay_cnt</t>
    <phoneticPr fontId="16" type="noConversion"/>
  </si>
  <si>
    <t>也叫网页响应时延次数</t>
    <phoneticPr fontId="16" type="noConversion"/>
  </si>
  <si>
    <t>网页显示时延，也叫网页完整打开时延</t>
    <phoneticPr fontId="16" type="noConversion"/>
  </si>
  <si>
    <t>也叫网页完整打开时延次数</t>
    <phoneticPr fontId="16" type="noConversion"/>
  </si>
  <si>
    <t>count(httpwebrspdelay)</t>
    <phoneticPr fontId="16" type="noConversion"/>
  </si>
  <si>
    <t>count(httpwebdspdelay)</t>
    <phoneticPr fontId="16" type="noConversion"/>
  </si>
  <si>
    <t>bigint</t>
    <phoneticPr fontId="16" type="noConversion"/>
  </si>
  <si>
    <t>sum(httpwebrspdelay*httpwebrspdelay_cnt)/sum(httpwebrspdelay_cnt)</t>
    <phoneticPr fontId="16" type="noConversion"/>
  </si>
  <si>
    <t>sum(httpwebdspdelay*httpwebdspdelay_cnt)/sum(httpwebdspdelay_cnt)</t>
    <phoneticPr fontId="16" type="noConversion"/>
  </si>
  <si>
    <t>sum(record_cnt)</t>
  </si>
  <si>
    <t>sum(httpwebrspdelay_cnt)</t>
  </si>
  <si>
    <t>sum(httpwebdspdelay_cnt)</t>
  </si>
  <si>
    <t>sum(top_httpwebscreen_cnt)</t>
  </si>
  <si>
    <t>sum(dnsresponse_cnt)</t>
  </si>
  <si>
    <t>sum(dnsquery_cnt)</t>
  </si>
  <si>
    <t>sum(syntime_dnsresponse_cnt)</t>
  </si>
  <si>
    <t>5G_DPI_https基础维度指标裁剪小时表</t>
    <phoneticPr fontId="16" type="noConversion"/>
  </si>
  <si>
    <t>aggr_nr_dpi_https_index_reduce_base_h</t>
    <phoneticPr fontId="16" type="noConversion"/>
  </si>
  <si>
    <t>process_num</t>
    <phoneticPr fontId="16" type="noConversion"/>
  </si>
  <si>
    <t>dl_data_transduration_sum</t>
  </si>
  <si>
    <t>delay_setup_firsttransaction_avg</t>
  </si>
  <si>
    <t>delay_firsttransaction_firstrespackt_avg</t>
  </si>
  <si>
    <t>ul_data_transduration_cnt</t>
  </si>
  <si>
    <t>dl_data_transduration_cnt</t>
  </si>
  <si>
    <t>delay_firsttransaction_firstrespackt_cnt</t>
  </si>
  <si>
    <t>firstscreenfin_cnt</t>
  </si>
  <si>
    <t>tcpsetupresponsedelay_sum</t>
    <phoneticPr fontId="16" type="noConversion"/>
  </si>
  <si>
    <t>TCP建立时延_avg(ms)</t>
    <phoneticPr fontId="16" type="noConversion"/>
  </si>
  <si>
    <t>TCP建立时延_sum(ms)</t>
    <phoneticPr fontId="16" type="noConversion"/>
  </si>
  <si>
    <t>delay_setup_firsttransaction_sum</t>
    <phoneticPr fontId="16" type="noConversion"/>
  </si>
  <si>
    <t>TCP建链成功到第一条事务请求的时延_sum（ms）</t>
    <phoneticPr fontId="16" type="noConversion"/>
  </si>
  <si>
    <t>TCP建链成功到第一条事务请求的时延_avg（ms）</t>
    <phoneticPr fontId="16" type="noConversion"/>
  </si>
  <si>
    <t>delay_firsttransaction_firstrespackt_sum</t>
    <phoneticPr fontId="16" type="noConversion"/>
  </si>
  <si>
    <t>第一条事务请求到其第一个响应包时延_sum（ms）</t>
    <phoneticPr fontId="16" type="noConversion"/>
  </si>
  <si>
    <t>第一条事务请求到其第一个响应包时延_avg（ms）</t>
    <phoneticPr fontId="16" type="noConversion"/>
  </si>
  <si>
    <t>firstscreenfindelay_sum</t>
    <phoneticPr fontId="16" type="noConversion"/>
  </si>
  <si>
    <t>网页首屏时延_sum(ms)</t>
    <phoneticPr fontId="16" type="noConversion"/>
  </si>
  <si>
    <t>5G定制网</t>
    <phoneticPr fontId="16" type="noConversion"/>
  </si>
  <si>
    <t>aggr_nr_iov_video_usrappcel_refactor_h</t>
  </si>
  <si>
    <t>沿用共享给5G定制网表aggr_nr_iov_http_usrappcel_h表结构及字段名称</t>
    <phoneticPr fontId="16" type="noConversion"/>
  </si>
  <si>
    <t>沿用共享给5G定制网表aggr_nr_iov_video_usrappcel_h表结构及字段名称</t>
    <phoneticPr fontId="16" type="noConversion"/>
  </si>
  <si>
    <t>5G_DPI_video车联网用户小区app维度小时表</t>
    <phoneticPr fontId="16" type="noConversion"/>
  </si>
  <si>
    <t>substr(servicetype,1,2)</t>
  </si>
  <si>
    <t>sum(abnormal_cnt)</t>
    <phoneticPr fontId="16" type="noConversion"/>
  </si>
  <si>
    <t>sum(abnormal_cnt)/sum(videoplayrequest_cnt)</t>
    <phoneticPr fontId="16" type="noConversion"/>
  </si>
  <si>
    <t>aggr_nr_dpi_https_usrappcel_h</t>
  </si>
  <si>
    <t>5G_DPI_https用户小区app维度小时表</t>
  </si>
  <si>
    <t>5G_DPI_https用户小区app维度小时表</t>
    <phoneticPr fontId="16" type="noConversion"/>
  </si>
  <si>
    <t>aggr_nr_iov_https_usrappcel_refactor_h</t>
  </si>
  <si>
    <t>5G_DPI_https车联网用户小区app维度小时表</t>
  </si>
  <si>
    <t>沿用共享给5G定制网表aggr_nr_iov_https_usrappcel_h表结构及字段名称</t>
    <phoneticPr fontId="16" type="noConversion"/>
  </si>
  <si>
    <t>5G DPI主要接口用户小区小时表</t>
  </si>
  <si>
    <t>aggr_5g_user_flux_d</t>
  </si>
  <si>
    <t>5G用户流量天表</t>
  </si>
  <si>
    <t>dm_qulity_n1n2_cell_d</t>
  </si>
  <si>
    <t>5G N1N2小区上报率稽核天表</t>
  </si>
  <si>
    <t>dm_qulity_n1n2_no_cell_d</t>
  </si>
  <si>
    <t>5G N1N2未上报小区清单天表</t>
  </si>
  <si>
    <t>信令感知</t>
  </si>
  <si>
    <t>5G_DPI_N1N2用户小区维度小时表</t>
  </si>
  <si>
    <t>5G_DPI_other用户小区app维度小时表</t>
  </si>
  <si>
    <t>5G_DPI_dns用户小区维度小时表</t>
  </si>
  <si>
    <t>D</t>
  </si>
  <si>
    <t>E</t>
  </si>
  <si>
    <t>F</t>
  </si>
  <si>
    <t>A|B|C|D|E|F</t>
  </si>
  <si>
    <t>用户imei</t>
  </si>
  <si>
    <t>业务时长</t>
  </si>
  <si>
    <t>&gt;=0或null</t>
  </si>
  <si>
    <t>下行流量</t>
  </si>
  <si>
    <t>上行流量</t>
  </si>
  <si>
    <t>归属省编码</t>
  </si>
  <si>
    <t>六位数编码</t>
  </si>
  <si>
    <t>ncgi</t>
  </si>
  <si>
    <t>NCGI</t>
  </si>
  <si>
    <t>records</t>
  </si>
  <si>
    <t>记录数</t>
  </si>
  <si>
    <t>data_type</t>
    <phoneticPr fontId="16" type="noConversion"/>
  </si>
  <si>
    <t>数据类型</t>
  </si>
  <si>
    <t>tac</t>
  </si>
  <si>
    <t>TAC</t>
  </si>
  <si>
    <t>gnb_ip_add</t>
  </si>
  <si>
    <t>基站IP</t>
  </si>
  <si>
    <t>过滤条件：data_type in ('n1n2','https','http','email','dns','coap','ftp','mqtt','other')</t>
  </si>
  <si>
    <t>业务流量</t>
  </si>
  <si>
    <t>sum(nvl(inputoctets,0)+nvl(outputoctets,0))</t>
  </si>
  <si>
    <t>data_type</t>
  </si>
  <si>
    <t>数据类型(N1N2:1；其他：3)</t>
  </si>
  <si>
    <t>case when data_type='n1n2' then 1 else 3 end  AS data_type</t>
  </si>
  <si>
    <t>1,3</t>
  </si>
  <si>
    <t>data_type = 'n1n2'</t>
  </si>
  <si>
    <t>fact_nr_cm_projdata</t>
  </si>
  <si>
    <t>5G电联小区工参</t>
  </si>
  <si>
    <t>fact_nr_cm_projdata_corrected</t>
  </si>
  <si>
    <t>5G纠偏表工参</t>
  </si>
  <si>
    <t>账期</t>
  </si>
  <si>
    <t>province_name</t>
  </si>
  <si>
    <t>ct_cell_cnt</t>
  </si>
  <si>
    <t>电信工参小区数</t>
  </si>
  <si>
    <t>电信小区数统计</t>
  </si>
  <si>
    <t>cu_cell_cnt</t>
  </si>
  <si>
    <t>联通工参小区数</t>
  </si>
  <si>
    <t>联通小区数统计</t>
  </si>
  <si>
    <t>ct_corrected_cell_cnt</t>
  </si>
  <si>
    <t>电信纠偏表小区数</t>
  </si>
  <si>
    <t>纠偏表小区数统计</t>
  </si>
  <si>
    <t>cell_cnt</t>
  </si>
  <si>
    <t>电联工参重复小区数</t>
  </si>
  <si>
    <t>直接赋值："0"</t>
  </si>
  <si>
    <t>n1n2_cell_cnt</t>
  </si>
  <si>
    <t>n1n2小区数</t>
  </si>
  <si>
    <t>小区去重计数</t>
  </si>
  <si>
    <t>n1n2_ct_cell_cnt</t>
  </si>
  <si>
    <t>关联电信小区数</t>
  </si>
  <si>
    <t>A|B</t>
  </si>
  <si>
    <t>能关联上的电信小区计数</t>
  </si>
  <si>
    <t>n1n2_cu_cell_cnt</t>
  </si>
  <si>
    <t>关联联通小区数</t>
  </si>
  <si>
    <t>能关联上的联通小区计数</t>
  </si>
  <si>
    <t>n1n2_ct_corrected_cell_cnt</t>
  </si>
  <si>
    <t>关联电信纠偏表小区数</t>
  </si>
  <si>
    <t>A|C</t>
  </si>
  <si>
    <t>能关联上的纠偏小区计数</t>
  </si>
  <si>
    <t>n1n2_ctcu_cell_rel_rate</t>
  </si>
  <si>
    <t>电联工参关联率</t>
  </si>
  <si>
    <t>A|B|C</t>
  </si>
  <si>
    <t>能关联上的小区除以总小区</t>
  </si>
  <si>
    <t>n1n2_cuct_cell_rate</t>
  </si>
  <si>
    <t>n1n2小区数/电联工参</t>
  </si>
  <si>
    <t>小区去重计数之后相除</t>
  </si>
  <si>
    <t>total_records</t>
  </si>
  <si>
    <t>总信令记录数</t>
  </si>
  <si>
    <t>sum(records)</t>
  </si>
  <si>
    <t>valid_cell_records</t>
  </si>
  <si>
    <t>小区非空信令记录数</t>
  </si>
  <si>
    <t>sum(if(cellkey &gt; '', records, 0))</t>
  </si>
  <si>
    <t>ct_cell_records</t>
  </si>
  <si>
    <t>关联电信小区信令记录数</t>
  </si>
  <si>
    <t>能关联上的小区，求sum(records)</t>
  </si>
  <si>
    <t>cu_cell_records</t>
  </si>
  <si>
    <t>关联联通小区信令记录数</t>
  </si>
  <si>
    <t>ct_corrected_cell_records</t>
  </si>
  <si>
    <t>关联电信纠偏表小区信令记录数</t>
  </si>
  <si>
    <t>mdn_cnt</t>
  </si>
  <si>
    <t>用户数</t>
  </si>
  <si>
    <t>用户去重计数</t>
  </si>
  <si>
    <t>ctcu_cell_mdn_cnt</t>
  </si>
  <si>
    <t>关联电联小区用户数</t>
  </si>
  <si>
    <t>先关联小区，能关联上后取用户号码去重计数</t>
  </si>
  <si>
    <t>cell_fill_rate</t>
  </si>
  <si>
    <t>小区非空率</t>
  </si>
  <si>
    <t>小区非空的记录数除以总记录数</t>
  </si>
  <si>
    <t>cell_rel_record_rate</t>
  </si>
  <si>
    <t>关联工参信令占比</t>
  </si>
  <si>
    <t>能关联上的小区记录数除以总记录数</t>
  </si>
  <si>
    <t>norel_mdn_rate</t>
  </si>
  <si>
    <t>关联工参丢失用户数占比</t>
  </si>
  <si>
    <t>未关联上的小区下的用户号码去重计数除以总用户数</t>
  </si>
  <si>
    <t>norel_mdn_cnt</t>
  </si>
  <si>
    <t>关联工参丢失用户数</t>
  </si>
  <si>
    <t>未关联上的小区下的用户号码去重计数</t>
  </si>
  <si>
    <t>取未关联上工参的小区</t>
  </si>
  <si>
    <t>gnodebid</t>
  </si>
  <si>
    <t>基站编码</t>
  </si>
  <si>
    <t>split(cellkey,"_")[0]</t>
  </si>
  <si>
    <t>扇区编码</t>
  </si>
  <si>
    <t>split(cellkey,"_")[1]</t>
  </si>
  <si>
    <t>ci</t>
  </si>
  <si>
    <t>小区CI</t>
  </si>
  <si>
    <t>小区TAC</t>
  </si>
  <si>
    <t>enodebip</t>
  </si>
  <si>
    <t>基站IP地址</t>
  </si>
  <si>
    <t>MME记录数</t>
  </si>
  <si>
    <t>aggr_nr_dpi_usrcel_h</t>
  </si>
  <si>
    <t>质量稽核</t>
    <phoneticPr fontId="16" type="noConversion"/>
  </si>
  <si>
    <t>升级</t>
    <phoneticPr fontId="16" type="noConversion"/>
  </si>
  <si>
    <t>应用层</t>
    <phoneticPr fontId="16" type="noConversion"/>
  </si>
  <si>
    <t>省</t>
    <phoneticPr fontId="16" type="noConversion"/>
  </si>
  <si>
    <t>对应一阶段重构后表fact_5g_user_ci_list_refactor_h</t>
    <phoneticPr fontId="16" type="noConversion"/>
  </si>
  <si>
    <t>5G DPI主要接口用户小区小时表</t>
    <phoneticPr fontId="16" type="noConversion"/>
  </si>
  <si>
    <t>aggr_nr_dpi_https_usrcel_h</t>
    <phoneticPr fontId="16" type="noConversion"/>
  </si>
  <si>
    <t>5G_DPI_https用户小区维度小时表</t>
    <phoneticPr fontId="16" type="noConversion"/>
  </si>
  <si>
    <t>aggr_nr_dpi_n1n2_usrcel_h</t>
    <phoneticPr fontId="16" type="noConversion"/>
  </si>
  <si>
    <t>aggr_nr_other_usrappcel_h</t>
    <phoneticPr fontId="16" type="noConversion"/>
  </si>
  <si>
    <t>aggr_nr_dpi_dns_usrcel_h</t>
    <phoneticPr fontId="16" type="noConversion"/>
  </si>
  <si>
    <r>
      <t xml:space="preserve">A:pei
B:pei
C:pei
</t>
    </r>
    <r>
      <rPr>
        <sz val="9"/>
        <color rgb="FFFF0000"/>
        <rFont val="微软雅黑"/>
        <family val="2"/>
        <charset val="134"/>
      </rPr>
      <t>D:pei
E:pei
F:pei</t>
    </r>
    <phoneticPr fontId="16" type="noConversion"/>
  </si>
  <si>
    <r>
      <t xml:space="preserve">A:msisdn
B:msisdn
C:msisdn
</t>
    </r>
    <r>
      <rPr>
        <sz val="9"/>
        <color rgb="FFFF0000"/>
        <rFont val="微软雅黑"/>
        <family val="2"/>
        <charset val="134"/>
      </rPr>
      <t>D:msisdn
E:msisdn
F:msisdn</t>
    </r>
    <phoneticPr fontId="16" type="noConversion"/>
  </si>
  <si>
    <r>
      <t xml:space="preserve">A:supi
B:supi
C:supi
</t>
    </r>
    <r>
      <rPr>
        <sz val="9"/>
        <color rgb="FFFF0000"/>
        <rFont val="微软雅黑"/>
        <family val="2"/>
        <charset val="134"/>
      </rPr>
      <t>D:supi
E:supi
F:supi</t>
    </r>
    <phoneticPr fontId="16" type="noConversion"/>
  </si>
  <si>
    <r>
      <t xml:space="preserve">A:置NULL
B:sum(duration) 
C:置NULL
</t>
    </r>
    <r>
      <rPr>
        <sz val="9"/>
        <color rgb="FFFF0000"/>
        <rFont val="微软雅黑"/>
        <family val="2"/>
        <charset val="134"/>
      </rPr>
      <t>D:sum(duration)
E:sum(duration)
F:sum(duration)</t>
    </r>
    <phoneticPr fontId="16" type="noConversion"/>
  </si>
  <si>
    <r>
      <t xml:space="preserve">A:置NULL
B:sum(inputoctets)
C:置NULL
</t>
    </r>
    <r>
      <rPr>
        <sz val="9"/>
        <color rgb="FFFF0000"/>
        <rFont val="微软雅黑"/>
        <family val="2"/>
        <charset val="134"/>
      </rPr>
      <t>D:sum(inputoctets)
E:sum(inputoctets)
F:sum(inputoctets)</t>
    </r>
    <phoneticPr fontId="16" type="noConversion"/>
  </si>
  <si>
    <r>
      <t xml:space="preserve">A:置NULL
B:sum(outputoctets)
C:置NULL
</t>
    </r>
    <r>
      <rPr>
        <sz val="9"/>
        <color rgb="FFFF0000"/>
        <rFont val="微软雅黑"/>
        <family val="2"/>
        <charset val="134"/>
      </rPr>
      <t>D:sum(outputoctets)
E:sum(outputoctets)
F:sum(outputoctets)</t>
    </r>
    <phoneticPr fontId="16" type="noConversion"/>
  </si>
  <si>
    <r>
      <t xml:space="preserve">A:home_province
B:home_province
C:home_province
</t>
    </r>
    <r>
      <rPr>
        <sz val="9"/>
        <color rgb="FFFF0000"/>
        <rFont val="微软雅黑"/>
        <family val="2"/>
        <charset val="134"/>
      </rPr>
      <t>D:home_province
E:home_province
F:home_province</t>
    </r>
    <phoneticPr fontId="16" type="noConversion"/>
  </si>
  <si>
    <r>
      <t xml:space="preserve">A:split(cellkey,"_")[0]*4096+split(cellkey,"_")[1]
B:split(cellkey,"_")[0]*4096+split(cellkey,"_")[1]
C:split(cellkey,"_")[0]*4096+split(cellkey,"_")[1]
</t>
    </r>
    <r>
      <rPr>
        <sz val="9"/>
        <color rgb="FFFF0000"/>
        <rFont val="微软雅黑"/>
        <family val="2"/>
        <charset val="134"/>
      </rPr>
      <t>D:split(cellkey,"_")[0]*4096+split(cellkey,"_")[1]
E:split(cellkey,"_")[0]*4096+split(cellkey,"_")[1]
F:split(cellkey,"_")[0]*4096+split(cellkey,"_")[1]</t>
    </r>
    <phoneticPr fontId="16" type="noConversion"/>
  </si>
  <si>
    <r>
      <t xml:space="preserve">A:cellkey
B:cellkey
C:cellkey
</t>
    </r>
    <r>
      <rPr>
        <sz val="9"/>
        <color rgb="FFFF0000"/>
        <rFont val="微软雅黑"/>
        <family val="2"/>
        <charset val="134"/>
      </rPr>
      <t>D:cellkey
E:cellkey
F:cellkey</t>
    </r>
    <phoneticPr fontId="16" type="noConversion"/>
  </si>
  <si>
    <t>sum(videoplayrequest_cnt)</t>
    <phoneticPr fontId="16" type="noConversion"/>
  </si>
  <si>
    <r>
      <t xml:space="preserve">A:sum(procedure_record_cnt)
B:sum(record_cnt)
C:sum(dns_query_cnt)
</t>
    </r>
    <r>
      <rPr>
        <sz val="9"/>
        <color rgb="FFFF0000"/>
        <rFont val="微软雅黑"/>
        <family val="2"/>
        <charset val="134"/>
      </rPr>
      <t>D:sum(record_cnt)
E:sum(record_cnt)
F:sum(videoplayrequest_cnt)</t>
    </r>
    <phoneticPr fontId="16" type="noConversion"/>
  </si>
  <si>
    <r>
      <t xml:space="preserve">A:p_provincecode
B:p_provincecode
C:p_provincecode
</t>
    </r>
    <r>
      <rPr>
        <sz val="9"/>
        <color rgb="FFFF0000"/>
        <rFont val="微软雅黑"/>
        <family val="2"/>
        <charset val="134"/>
      </rPr>
      <t>D:p_provincecode
E:p_provincecode
F:p_provincecode</t>
    </r>
    <phoneticPr fontId="16" type="noConversion"/>
  </si>
  <si>
    <r>
      <t xml:space="preserve">A:province
B:province
C:province
</t>
    </r>
    <r>
      <rPr>
        <sz val="9"/>
        <color rgb="FFFF0000"/>
        <rFont val="微软雅黑"/>
        <family val="2"/>
        <charset val="134"/>
      </rPr>
      <t>D:province
E:province
F:province</t>
    </r>
    <phoneticPr fontId="16" type="noConversion"/>
  </si>
  <si>
    <r>
      <t xml:space="preserve">A:citycode
B:citycode
C:citycode
</t>
    </r>
    <r>
      <rPr>
        <sz val="9"/>
        <color rgb="FFFF0000"/>
        <rFont val="微软雅黑"/>
        <family val="2"/>
        <charset val="134"/>
      </rPr>
      <t>D:citycode
E:citycode
F:citycode</t>
    </r>
    <phoneticPr fontId="16" type="noConversion"/>
  </si>
  <si>
    <r>
      <t xml:space="preserve">A:city
B:city
C:city
</t>
    </r>
    <r>
      <rPr>
        <sz val="9"/>
        <color rgb="FFFF0000"/>
        <rFont val="微软雅黑"/>
        <family val="2"/>
        <charset val="134"/>
      </rPr>
      <t>D:city
E:city
F:city</t>
    </r>
    <phoneticPr fontId="16" type="noConversion"/>
  </si>
  <si>
    <r>
      <t xml:space="preserve">A:district
B:district
C:district
</t>
    </r>
    <r>
      <rPr>
        <sz val="9"/>
        <color rgb="FFFF0000"/>
        <rFont val="微软雅黑"/>
        <family val="2"/>
        <charset val="134"/>
      </rPr>
      <t>D:district
E:district
F:district</t>
    </r>
    <phoneticPr fontId="16" type="noConversion"/>
  </si>
  <si>
    <r>
      <t xml:space="preserve">A:districtcode
B:districtcode
C:districtcode
</t>
    </r>
    <r>
      <rPr>
        <sz val="9"/>
        <color rgb="FFFF0000"/>
        <rFont val="微软雅黑"/>
        <family val="2"/>
        <charset val="134"/>
      </rPr>
      <t>D:districtcode
E:districtcode
F:districtcode</t>
    </r>
    <phoneticPr fontId="16" type="noConversion"/>
  </si>
  <si>
    <t>A:直接赋值："n1n2"
B:直接赋值："other"
C:直接赋值："dns"
D:直接赋值："http"
E:直接赋值："https"
F:直接赋值："video"</t>
    <phoneticPr fontId="16" type="noConversion"/>
  </si>
  <si>
    <r>
      <t xml:space="preserve">A:tac
B:split(tai,'-')[2]
C:split(tai,'-')[2]
</t>
    </r>
    <r>
      <rPr>
        <sz val="9"/>
        <color rgb="FFFF0000"/>
        <rFont val="微软雅黑"/>
        <family val="2"/>
        <charset val="134"/>
      </rPr>
      <t>D:split(tai,'-')[2]
E:split(tai,'-')[2]
F:split(tai,'-')[2]</t>
    </r>
    <phoneticPr fontId="16" type="noConversion"/>
  </si>
  <si>
    <t>gnbip</t>
    <phoneticPr fontId="16" type="noConversion"/>
  </si>
  <si>
    <r>
      <t xml:space="preserve">A:gnb_ip_add
B:gnbip
C:gnbip
</t>
    </r>
    <r>
      <rPr>
        <sz val="9"/>
        <color rgb="FFFF0000"/>
        <rFont val="微软雅黑"/>
        <family val="2"/>
        <charset val="134"/>
      </rPr>
      <t>D:gnbip
E:gnbip
F:gnbip</t>
    </r>
    <phoneticPr fontId="16" type="noConversion"/>
  </si>
  <si>
    <t>先不上线，待割接时直接升级</t>
    <phoneticPr fontId="16" type="noConversion"/>
  </si>
  <si>
    <t>aggr_nr_dpi_http_cel_d</t>
    <phoneticPr fontId="16" type="noConversion"/>
  </si>
  <si>
    <t>aggr_nr_dpi_usrcel_h</t>
    <phoneticPr fontId="16" type="noConversion"/>
  </si>
  <si>
    <t>aggr_nr_dpi_https_appcel_h</t>
    <phoneticPr fontId="16" type="noConversion"/>
  </si>
  <si>
    <t>5G_DPI_https小区app维度小时表</t>
    <phoneticPr fontId="16" type="noConversion"/>
  </si>
  <si>
    <t>aggr_nr_dpi_https_appcel_d</t>
    <phoneticPr fontId="16" type="noConversion"/>
  </si>
  <si>
    <t>5G_DPI_https小区app维度天表</t>
    <phoneticPr fontId="16" type="noConversion"/>
  </si>
  <si>
    <t>aggr_nr_dpi_https_cel_d</t>
    <phoneticPr fontId="16" type="noConversion"/>
  </si>
  <si>
    <t>5G_DPI_https小区维度天表</t>
    <phoneticPr fontId="16" type="noConversion"/>
  </si>
  <si>
    <t>5G PM逻辑小区DU天表</t>
    <phoneticPr fontId="16" type="noConversion"/>
  </si>
  <si>
    <t>aggr_nr_coverage_cel_refactor_d</t>
    <phoneticPr fontId="16" type="noConversion"/>
  </si>
  <si>
    <t>5G MR小区天表</t>
  </si>
  <si>
    <t>aggr_nr_dpi_n1n2_cel_d</t>
    <phoneticPr fontId="16" type="noConversion"/>
  </si>
  <si>
    <t>5G_DPI_N1N2小区维度天表</t>
  </si>
  <si>
    <t>aggr_nr_dpi_dns_cel_d</t>
    <phoneticPr fontId="16" type="noConversion"/>
  </si>
  <si>
    <t>5G_DPI_dns小区维度天表</t>
  </si>
  <si>
    <t>aggr_nr_dpi_mr_pm_cm_cel_d</t>
    <phoneticPr fontId="16" type="noConversion"/>
  </si>
  <si>
    <t>5G DPI/MR/CM/PM小区清单天表</t>
    <phoneticPr fontId="16" type="noConversion"/>
  </si>
  <si>
    <t>fact_pm_nr_lceldu_d</t>
    <phoneticPr fontId="16" type="noConversion"/>
  </si>
  <si>
    <t>E</t>
    <phoneticPr fontId="16" type="noConversion"/>
  </si>
  <si>
    <t>F</t>
    <phoneticPr fontId="16" type="noConversion"/>
  </si>
  <si>
    <t>G</t>
    <phoneticPr fontId="16" type="noConversion"/>
  </si>
  <si>
    <t>H</t>
    <phoneticPr fontId="16" type="noConversion"/>
  </si>
  <si>
    <t>对应现网表dq_datasouce_5g_cell_check_list_new_d</t>
    <phoneticPr fontId="16" type="noConversion"/>
  </si>
  <si>
    <t>province_code</t>
  </si>
  <si>
    <t>vendor</t>
  </si>
  <si>
    <t>city_name</t>
  </si>
  <si>
    <t>city_code</t>
  </si>
  <si>
    <t>data_source</t>
  </si>
  <si>
    <t>cell_key</t>
  </si>
  <si>
    <t>cell_name</t>
  </si>
  <si>
    <t>is_cm_cell</t>
  </si>
  <si>
    <t>is_pm_cell</t>
  </si>
  <si>
    <t>is_pm_flux_cell</t>
  </si>
  <si>
    <t>is_pm_noflux_cell</t>
  </si>
  <si>
    <t>is_mr_cell</t>
  </si>
  <si>
    <t>is_n1n2_cell</t>
  </si>
  <si>
    <t>is_cgf_local_cell</t>
  </si>
  <si>
    <t>is_cgf_roam_cell</t>
  </si>
  <si>
    <t>is_cgf_abnor_cell</t>
  </si>
  <si>
    <t>is_n3_dns_cell</t>
  </si>
  <si>
    <t>is_n3_https_cell</t>
  </si>
  <si>
    <t>is_n3_video_cell</t>
  </si>
  <si>
    <t>is_n3_other_cell</t>
  </si>
  <si>
    <t>is_n3_coap_cell</t>
  </si>
  <si>
    <t>is_n3_game_cell</t>
  </si>
  <si>
    <t>is_n3_mqtt_cell</t>
  </si>
  <si>
    <t>is_n3_ftp_cell</t>
  </si>
  <si>
    <t>is_n3_email_cell</t>
  </si>
  <si>
    <t>is_amf_cell</t>
  </si>
  <si>
    <t>is_smf_cell</t>
  </si>
  <si>
    <t>is_n8_cell</t>
  </si>
  <si>
    <t>is_n26_cell</t>
  </si>
  <si>
    <t>bandclass</t>
  </si>
  <si>
    <t>厂家</t>
  </si>
  <si>
    <t>厂家</t>
    <phoneticPr fontId="16" type="noConversion"/>
  </si>
  <si>
    <t>小区名称</t>
    <phoneticPr fontId="16" type="noConversion"/>
  </si>
  <si>
    <t>城市名称</t>
    <phoneticPr fontId="16" type="noConversion"/>
  </si>
  <si>
    <t>数据来源</t>
  </si>
  <si>
    <t>数据来源</t>
    <phoneticPr fontId="16" type="noConversion"/>
  </si>
  <si>
    <t>是否CM小区</t>
    <phoneticPr fontId="16" type="noConversion"/>
  </si>
  <si>
    <t>是否PM小区</t>
    <phoneticPr fontId="16" type="noConversion"/>
  </si>
  <si>
    <t>是否有流量的PM小区</t>
    <phoneticPr fontId="16" type="noConversion"/>
  </si>
  <si>
    <t>是否零流量PM小区</t>
    <phoneticPr fontId="16" type="noConversion"/>
  </si>
  <si>
    <t>是否MR小区</t>
    <phoneticPr fontId="16" type="noConversion"/>
  </si>
  <si>
    <t>是否N1N2小区</t>
    <phoneticPr fontId="16" type="noConversion"/>
  </si>
  <si>
    <t>是否本地CGF小区</t>
    <phoneticPr fontId="16" type="noConversion"/>
  </si>
  <si>
    <t>是否漫游CGF小区</t>
    <phoneticPr fontId="16" type="noConversion"/>
  </si>
  <si>
    <t>是否异常CGF小区</t>
    <phoneticPr fontId="16" type="noConversion"/>
  </si>
  <si>
    <t>是否N3-DNS小区</t>
    <phoneticPr fontId="16" type="noConversion"/>
  </si>
  <si>
    <t>是否N3-HTTP小区</t>
    <phoneticPr fontId="16" type="noConversion"/>
  </si>
  <si>
    <t>是否N3-HTTPS小区</t>
    <phoneticPr fontId="16" type="noConversion"/>
  </si>
  <si>
    <t>是否N3-VIDEO小区</t>
    <phoneticPr fontId="16" type="noConversion"/>
  </si>
  <si>
    <t>是否N3-OTHER小区</t>
    <phoneticPr fontId="16" type="noConversion"/>
  </si>
  <si>
    <t>是否N3-COAP小区</t>
    <phoneticPr fontId="16" type="noConversion"/>
  </si>
  <si>
    <t>是否N3-GAME小区</t>
    <phoneticPr fontId="16" type="noConversion"/>
  </si>
  <si>
    <t>是否N3-MQTT小区</t>
    <phoneticPr fontId="16" type="noConversion"/>
  </si>
  <si>
    <t>是否N3-FTP小区</t>
    <phoneticPr fontId="16" type="noConversion"/>
  </si>
  <si>
    <t>是否N3-EMAIL小区</t>
    <phoneticPr fontId="16" type="noConversion"/>
  </si>
  <si>
    <t>是否AMF小区</t>
    <phoneticPr fontId="16" type="noConversion"/>
  </si>
  <si>
    <t>是否SMF小区</t>
    <phoneticPr fontId="16" type="noConversion"/>
  </si>
  <si>
    <t>是否N8小区</t>
    <phoneticPr fontId="16" type="noConversion"/>
  </si>
  <si>
    <t>是否N26小区</t>
    <phoneticPr fontId="16" type="noConversion"/>
  </si>
  <si>
    <t>频段</t>
    <phoneticPr fontId="16" type="noConversion"/>
  </si>
  <si>
    <t>流量</t>
    <phoneticPr fontId="16" type="noConversion"/>
  </si>
  <si>
    <t>A inner join B表，取AB均有的小区为主表，再使用left join关联其他表</t>
    <phoneticPr fontId="16" type="noConversion"/>
  </si>
  <si>
    <t>A|B</t>
    <phoneticPr fontId="16" type="noConversion"/>
  </si>
  <si>
    <t>A：case when vendor='中兴' then 'ZTE' when vendor='爱立信' then 'ER' when vendor='华为' then 'HW' when vendor='诺基亚' then 'NK' when vendor='大唐' then 'DT' else null end
B：upper(vendor)</t>
    <phoneticPr fontId="16" type="noConversion"/>
  </si>
  <si>
    <t>province_name</t>
    <phoneticPr fontId="16" type="noConversion"/>
  </si>
  <si>
    <t>city_code</t>
    <phoneticPr fontId="16" type="noConversion"/>
  </si>
  <si>
    <t>cellname</t>
    <phoneticPr fontId="16" type="noConversion"/>
  </si>
  <si>
    <t>freq</t>
    <phoneticPr fontId="16" type="noConversion"/>
  </si>
  <si>
    <t>sum(nvl(rlc_rxbytesul,0)+nvl(rlc_txbytesdl,0)+nvl(nsa_rlc_rxbytesul,0)+nvl(nsa_rlc_txbytesdl,0))</t>
    <phoneticPr fontId="16" type="noConversion"/>
  </si>
  <si>
    <t>置1</t>
    <phoneticPr fontId="16" type="noConversion"/>
  </si>
  <si>
    <t>case when sum(nvl(rlc_rxbytesul,0)+nvl(rlc_txbytesdl,0)+nvl(nsa_rlc_rxbytesul,0)+nvl(nsa_rlc_txbytesdl,0)) &gt; 0 then 1 else 0 end</t>
    <phoneticPr fontId="16" type="noConversion"/>
  </si>
  <si>
    <t>case when sum(nvl(rlc_rxbytesul,0)+nvl(rlc_txbytesdl,0)+nvl(nsa_rlc_rxbytesul,0)+nvl(nsa_rlc_txbytesdl,0)) = 0 then 1 else 0 end</t>
    <phoneticPr fontId="16" type="noConversion"/>
  </si>
  <si>
    <t>能关联上则赋值1，否则为0</t>
    <phoneticPr fontId="16" type="noConversion"/>
  </si>
  <si>
    <t>A：case when data_source=0 and split(cel_id, "-")[0]=46001 then '电信共享给联通' when data_source=1 and split(cel_id, "-")[0]=46011 then '联通共享给电信' when data_source=0 and split(cel_id, "-")[0]=46011 then '电信承建给电信' when data_source=1 and split(cel_id, "-")[0]=46001 then '联通共享给联通' else null end
B：case when master_operators='电信承建' and ne_belong='电信' then '电信承建给电信' when master_operators='电信承建' and ne_belong='联通' then '电信共享给联通' when master_operators='联通承建' and ne_belong='电信' then '联通共享给电信' when master_operators='联通承建' and ne_belong='联通' then '联通共享给联通' else null end</t>
    <phoneticPr fontId="16" type="noConversion"/>
  </si>
  <si>
    <t>MB</t>
    <phoneticPr fontId="16" type="noConversion"/>
  </si>
  <si>
    <t>dq_datasouce_5g_no_cell_list_d</t>
  </si>
  <si>
    <t>aggr_5g_wireless_cellnum_audit_d</t>
  </si>
  <si>
    <t>工参主数据</t>
    <phoneticPr fontId="16" type="noConversion"/>
  </si>
  <si>
    <t>dm_5gdpi_cell_list_d</t>
    <phoneticPr fontId="16" type="noConversion"/>
  </si>
  <si>
    <t>MR未上报小区清单</t>
  </si>
  <si>
    <t>MR未上报小区清单</t>
    <phoneticPr fontId="16" type="noConversion"/>
  </si>
  <si>
    <t>start_date</t>
  </si>
  <si>
    <t>consecutive_days_cnt</t>
  </si>
  <si>
    <t>持续天数</t>
    <phoneticPr fontId="16" type="noConversion"/>
  </si>
  <si>
    <t>开始日期</t>
    <phoneticPr fontId="16" type="noConversion"/>
  </si>
  <si>
    <t>输入表由dq_datasouce_5g_cell_check_list_new_d替换为aggr_nr_dpi_mr_pm_cm_cel_d，处理逻辑不变</t>
    <phoneticPr fontId="16" type="noConversion"/>
  </si>
  <si>
    <t>过滤条件：is_pm_flux_cell = 1 and is_mr_cell = 0</t>
    <phoneticPr fontId="16" type="noConversion"/>
  </si>
  <si>
    <t>开始出现未上报MR采样点的日期</t>
    <phoneticPr fontId="16" type="noConversion"/>
  </si>
  <si>
    <t>&gt;=1</t>
    <phoneticPr fontId="16" type="noConversion"/>
  </si>
  <si>
    <t>cm_cell_num</t>
  </si>
  <si>
    <t>pm_cell_num</t>
  </si>
  <si>
    <t>pm_flux_cell_num</t>
  </si>
  <si>
    <t>pm_noflux_cell_num</t>
  </si>
  <si>
    <t>mr_cell_num</t>
  </si>
  <si>
    <t>flux_pm_cell_rate</t>
  </si>
  <si>
    <t>mr_cell_rate</t>
  </si>
  <si>
    <t>CM小区数</t>
    <phoneticPr fontId="16" type="noConversion"/>
  </si>
  <si>
    <t>PM小区数</t>
    <phoneticPr fontId="16" type="noConversion"/>
  </si>
  <si>
    <t>MR小区数</t>
    <phoneticPr fontId="16" type="noConversion"/>
  </si>
  <si>
    <t>PM非零流量小区占比</t>
    <phoneticPr fontId="16" type="noConversion"/>
  </si>
  <si>
    <t>MR小区上报率</t>
    <phoneticPr fontId="16" type="noConversion"/>
  </si>
  <si>
    <t>sum(if(is_cm_cell=1,1,0))</t>
    <phoneticPr fontId="16" type="noConversion"/>
  </si>
  <si>
    <t>sum(if(is_mr_cell=1 and is_pm_flux_cell=1,1,0))</t>
    <phoneticPr fontId="16" type="noConversion"/>
  </si>
  <si>
    <t>sum(if(is_pm_noflux_cell=1,1,0))</t>
    <phoneticPr fontId="16" type="noConversion"/>
  </si>
  <si>
    <t>sum(if(is_pm_flux_cell=1,1,0))</t>
    <phoneticPr fontId="16" type="noConversion"/>
  </si>
  <si>
    <t>PM零流量小区数</t>
    <phoneticPr fontId="16" type="noConversion"/>
  </si>
  <si>
    <t>PM有流量小区数</t>
    <phoneticPr fontId="16" type="noConversion"/>
  </si>
  <si>
    <t>sum(if(is_pm_cell=1,1,0))</t>
    <phoneticPr fontId="16" type="noConversion"/>
  </si>
  <si>
    <t>round(sum(if(is_pm_flux_cell=1,1,0))/sum(if(is_pm_cell=1,1,0))*100,4)</t>
    <phoneticPr fontId="16" type="noConversion"/>
  </si>
  <si>
    <t>round(sum(if(is_mr_cell=1 and is_pm_flux_cell=1,1,0))/sum(if(is_pm_flux_cell=1,1,0))*100,4)</t>
    <phoneticPr fontId="16" type="noConversion"/>
  </si>
  <si>
    <t>个</t>
    <phoneticPr fontId="16" type="noConversion"/>
  </si>
  <si>
    <t>5G-DPI信令面数据小区天表（滚动历史7天）</t>
    <phoneticPr fontId="16" type="noConversion"/>
  </si>
  <si>
    <t>厂家名称</t>
  </si>
  <si>
    <t>市名称</t>
  </si>
  <si>
    <t>cell名称</t>
  </si>
  <si>
    <t>UE所在小区的cellkey</t>
  </si>
  <si>
    <t>省|厂家</t>
    <phoneticPr fontId="16" type="noConversion"/>
  </si>
  <si>
    <t>sum(videobitrate_sum)</t>
    <phoneticPr fontId="16" type="noConversion"/>
  </si>
  <si>
    <t>sum(videobitrate_cnt)</t>
    <phoneticPr fontId="16" type="noConversion"/>
  </si>
  <si>
    <t>沿用共享给移动业务感知保障系统的表aggr_5gdpi_https_usrappcel_e2e_h字段名称，但表结构存在变化</t>
    <phoneticPr fontId="16" type="noConversion"/>
  </si>
  <si>
    <t>rattype</t>
    <phoneticPr fontId="16" type="noConversion"/>
  </si>
  <si>
    <t>times_inferiordownlink</t>
    <phoneticPr fontId="16" type="noConversion"/>
  </si>
  <si>
    <t>httpwebreqcount</t>
    <phoneticPr fontId="16" type="noConversion"/>
  </si>
  <si>
    <t>servicetype</t>
    <phoneticPr fontId="16" type="noConversion"/>
  </si>
  <si>
    <t>ul_data_transduration_sum</t>
    <phoneticPr fontId="16" type="noConversion"/>
  </si>
  <si>
    <t>videobit_code_sum_total</t>
    <phoneticPr fontId="16" type="noConversion"/>
  </si>
  <si>
    <t>5G_DPI_http用户app维度小时表</t>
    <phoneticPr fontId="16" type="noConversion"/>
  </si>
  <si>
    <t>5G_DPI_http用户app维度天表</t>
    <phoneticPr fontId="16" type="noConversion"/>
  </si>
  <si>
    <t>用户|app</t>
    <phoneticPr fontId="16" type="noConversion"/>
  </si>
  <si>
    <t>aggr_nr_dpi_http_usrapp_h</t>
  </si>
  <si>
    <t>aggr_nr_dpi_http_usrapp_d</t>
    <phoneticPr fontId="16" type="noConversion"/>
  </si>
  <si>
    <t>aggr_nr_dpi_video_usrapp_h</t>
  </si>
  <si>
    <t>5G_DPI_video用户app维度小时表</t>
  </si>
  <si>
    <t>aggr_nr_dpi_video_usrappcel_h</t>
  </si>
  <si>
    <t>aggr_nr_dpi_video_usrapp_d</t>
  </si>
  <si>
    <t>5G_DPI_video用户app维度天表</t>
  </si>
  <si>
    <t>aggr_nr_dpi_video_usrapp_h</t>
    <phoneticPr fontId="16" type="noConversion"/>
  </si>
  <si>
    <t>5G_DPI_video用户app维度小时表</t>
    <phoneticPr fontId="16" type="noConversion"/>
  </si>
  <si>
    <t>aggr_nr_dpi_video_usrapp_d</t>
    <phoneticPr fontId="16" type="noConversion"/>
  </si>
  <si>
    <t>5G_DPI_video用户app维度天表</t>
    <phoneticPr fontId="16" type="noConversion"/>
  </si>
  <si>
    <t>flux_sum</t>
  </si>
  <si>
    <t>业务类型</t>
  </si>
  <si>
    <t>业务应用名称</t>
  </si>
  <si>
    <t>总流量(byte)</t>
  </si>
  <si>
    <t>业务app码表</t>
    <phoneticPr fontId="16" type="noConversion"/>
  </si>
  <si>
    <t>A表：business_type
B表：赋值video</t>
    <phoneticPr fontId="16" type="noConversion"/>
  </si>
  <si>
    <t>通过servicetype关联servicetype_name</t>
  </si>
  <si>
    <t>aggr_nr_dpi_major_business_usrapp_d</t>
    <phoneticPr fontId="16" type="noConversion"/>
  </si>
  <si>
    <t>5G_DPI_四大业务用户app维度天表</t>
    <phoneticPr fontId="16" type="noConversion"/>
  </si>
  <si>
    <t>aggr_nr_dpi_http_usrapp_d</t>
    <phoneticPr fontId="16" type="noConversion"/>
  </si>
  <si>
    <t>videocachethroughput_avg</t>
    <phoneticPr fontId="16" type="noConversion"/>
  </si>
  <si>
    <t>duration_sum</t>
    <phoneticPr fontId="16" type="noConversion"/>
  </si>
  <si>
    <t>outputoctets_sum</t>
    <phoneticPr fontId="16" type="noConversion"/>
  </si>
  <si>
    <t>inputoctets_sum</t>
    <phoneticPr fontId="16" type="noConversion"/>
  </si>
  <si>
    <t>inputpacket_sum</t>
    <phoneticPr fontId="16" type="noConversion"/>
  </si>
  <si>
    <t>outputpacket_sum</t>
    <phoneticPr fontId="16" type="noConversion"/>
  </si>
  <si>
    <t>sum(videoplayhaltcount_avg*videoplaysuccess_cnt)/sum(videoplaysuccess_cnt)</t>
    <phoneticPr fontId="16" type="noConversion"/>
  </si>
  <si>
    <t>sum(videoplaywaittime_avg*videoplaysuccess_cnt)/sum(videoplaysuccess_cnt)</t>
    <phoneticPr fontId="16" type="noConversion"/>
  </si>
  <si>
    <t>sum(videorecovertime_avg*videoplaysuccess_cnt)/sum(videoplaysuccess_cnt)</t>
    <phoneticPr fontId="16" type="noConversion"/>
  </si>
  <si>
    <r>
      <t xml:space="preserve">新建/升级
</t>
    </r>
    <r>
      <rPr>
        <b/>
        <sz val="9"/>
        <color rgb="FFFF0000"/>
        <rFont val="微软雅黑"/>
        <family val="2"/>
        <charset val="134"/>
      </rPr>
      <t>新建(升级)：表结构与字段沿用原表，表名称进行调整</t>
    </r>
    <phoneticPr fontId="16" type="noConversion"/>
  </si>
  <si>
    <t>沿用表aggr_5g_video_usrappcel_e2e_d字段名称，表结构存在变更</t>
    <phoneticPr fontId="16" type="noConversion"/>
  </si>
  <si>
    <t>aggr_nr_wechat_payment_cel_d</t>
    <phoneticPr fontId="16" type="noConversion"/>
  </si>
  <si>
    <t>fact_5gdpi_5gmro_ott_h</t>
    <phoneticPr fontId="16" type="noConversion"/>
  </si>
  <si>
    <t>5G OTT定位指纹库清洗小时表</t>
    <phoneticPr fontId="16" type="noConversion"/>
  </si>
  <si>
    <t>ods_nr_mro_northctcc_q</t>
    <phoneticPr fontId="16" type="noConversion"/>
  </si>
  <si>
    <t>5G MR用户回填15分钟表</t>
    <phoneticPr fontId="16" type="noConversion"/>
  </si>
  <si>
    <t>gnbid</t>
  </si>
  <si>
    <t>nrscssrsrp</t>
  </si>
  <si>
    <t>nrscssrsrq</t>
  </si>
  <si>
    <t>nrscsssinr</t>
  </si>
  <si>
    <t>lon</t>
  </si>
  <si>
    <t>lat</t>
  </si>
  <si>
    <t>nrsctadv</t>
  </si>
  <si>
    <t>nrngnbid</t>
  </si>
  <si>
    <t>array&lt;int&gt;</t>
  </si>
  <si>
    <t>nrncellid</t>
  </si>
  <si>
    <t>nrncssrsrp</t>
  </si>
  <si>
    <t>nrncssrsrq</t>
  </si>
  <si>
    <t>nrncsssinr</t>
  </si>
  <si>
    <t>nrncarfcn</t>
  </si>
  <si>
    <t>nrncpci</t>
  </si>
  <si>
    <t>nrscarfcn</t>
  </si>
  <si>
    <t>datetime</t>
  </si>
  <si>
    <t>haoa</t>
  </si>
  <si>
    <t>vaoa</t>
  </si>
  <si>
    <t>nrscssbeamid</t>
  </si>
  <si>
    <t>smallint</t>
  </si>
  <si>
    <t>dis</t>
  </si>
  <si>
    <t>freq</t>
  </si>
  <si>
    <t>is_valid</t>
  </si>
  <si>
    <t>dis1</t>
  </si>
  <si>
    <t>基站ID</t>
  </si>
  <si>
    <t>开始时间</t>
  </si>
  <si>
    <t>结束时间</t>
  </si>
  <si>
    <t>NR服务小区的SSB参考信号接收功率</t>
  </si>
  <si>
    <t>NR服务小区的SSB参考信号接收质量</t>
  </si>
  <si>
    <t>NR服务小区的SSB参考信号信噪比</t>
  </si>
  <si>
    <t>经度</t>
  </si>
  <si>
    <t>纬度</t>
  </si>
  <si>
    <t>NR服务小区的时间提前量</t>
  </si>
  <si>
    <t>NR已定义邻区关系和未定义邻区关系小区的5G基站标识</t>
  </si>
  <si>
    <t>NR已定义邻区关系和未定义邻区关系小区的5G小区标识</t>
  </si>
  <si>
    <t>5G小区5G邻区RSRP</t>
  </si>
  <si>
    <t>5G小区5G邻区RSRQ</t>
  </si>
  <si>
    <t>5G小区5G邻区SINR</t>
  </si>
  <si>
    <t>NR已定义邻区关系和未定义邻区关系的邻区载波号</t>
  </si>
  <si>
    <t>NR已定义邻区关系和未定义邻区关系的物理小区识别码</t>
  </si>
  <si>
    <t>NR服务小区载波号</t>
  </si>
  <si>
    <t>测量时间</t>
  </si>
  <si>
    <t>水平方位</t>
  </si>
  <si>
    <t>垂直方位</t>
  </si>
  <si>
    <t>NR服务小区的SSB波束号</t>
  </si>
  <si>
    <t>距离</t>
  </si>
  <si>
    <t>频点</t>
  </si>
  <si>
    <t>是否有效</t>
  </si>
  <si>
    <t>differencetime</t>
    <phoneticPr fontId="16" type="noConversion"/>
  </si>
  <si>
    <t>web_url</t>
    <phoneticPr fontId="16" type="noConversion"/>
  </si>
  <si>
    <t>网址url信息</t>
    <phoneticPr fontId="16" type="noConversion"/>
  </si>
  <si>
    <t>时间差</t>
    <phoneticPr fontId="16" type="noConversion"/>
  </si>
  <si>
    <t>距离</t>
    <phoneticPr fontId="16" type="noConversion"/>
  </si>
  <si>
    <t>AC</t>
    <phoneticPr fontId="16" type="noConversion"/>
  </si>
  <si>
    <t>split(destination_url,'/')[2]</t>
    <phoneticPr fontId="16" type="noConversion"/>
  </si>
  <si>
    <t>cast((substr(ncgi_ecgi,6)/4096) as bigint)</t>
    <phoneticPr fontId="16" type="noConversion"/>
  </si>
  <si>
    <t>cast((substr(ncgi_ecgi,6)%4096) as bigint)</t>
    <phoneticPr fontId="16" type="noConversion"/>
  </si>
  <si>
    <t>cast(from_unixtime(unix_timestamp(starttime,'yyyyMMddHHmmss'),'yyyy-MM-dd HH:mm:ss') as TIMESTAMP)</t>
    <phoneticPr fontId="16" type="noConversion"/>
  </si>
  <si>
    <t xml:space="preserve">cast(from_unixtime(unix_timestamp(endtime,'yyyyMMddHHmmss'),'yyyy-MM-dd HH:mm:ss') as TIMESTAMP) </t>
    <phoneticPr fontId="16" type="noConversion"/>
  </si>
  <si>
    <t>regexp_extract(destination_url,'11\\d\\.\\d{4,}|12\\d\\.\\d{4,}',0)</t>
    <phoneticPr fontId="16" type="noConversion"/>
  </si>
  <si>
    <t>regexp_extract(destination_url,'[2-4]\\d\\.\\d{4,}',0)</t>
    <phoneticPr fontId="16" type="noConversion"/>
  </si>
  <si>
    <t>t1.time1-t2.time2</t>
    <phoneticPr fontId="16" type="noConversion"/>
  </si>
  <si>
    <t>case when freq='2.1G' then  nrsctadv*78.13
          when freq='3.5G' then  nrsctadv*39.06
          end</t>
    <phoneticPr fontId="16" type="noConversion"/>
  </si>
  <si>
    <t>dis</t>
    <phoneticPr fontId="16" type="noConversion"/>
  </si>
  <si>
    <t>将输入表ods_5gdpi_http_e2e_telecom_q调整为ods_5gdpi_http_e2e_telecom_origin_q，算法逻辑不变</t>
    <phoneticPr fontId="16" type="noConversion"/>
  </si>
  <si>
    <t>fact_nr_dpi_http_q</t>
    <phoneticPr fontId="16" type="noConversion"/>
  </si>
  <si>
    <t>http_req_cnt</t>
    <phoneticPr fontId="16" type="noConversion"/>
  </si>
  <si>
    <t>case when httpstatus is not null then 1 else 0 end</t>
    <phoneticPr fontId="16" type="noConversion"/>
  </si>
  <si>
    <t>supi</t>
    <phoneticPr fontId="16" type="noConversion"/>
  </si>
  <si>
    <t>dnn_apn</t>
    <phoneticPr fontId="16" type="noConversion"/>
  </si>
  <si>
    <t>网页首包时延，也叫网页响应时延</t>
    <phoneticPr fontId="16" type="noConversion"/>
  </si>
  <si>
    <t>移动业务感知保障系统</t>
    <phoneticPr fontId="16" type="noConversion"/>
  </si>
  <si>
    <t>5GR</t>
    <phoneticPr fontId="16" type="noConversion"/>
  </si>
  <si>
    <t>建维优</t>
    <phoneticPr fontId="16" type="noConversion"/>
  </si>
  <si>
    <t>建维优、共建共享</t>
    <phoneticPr fontId="16" type="noConversion"/>
  </si>
  <si>
    <t>5G_DPI_http基础维度指标裁剪小时表</t>
    <phoneticPr fontId="16" type="noConversion"/>
  </si>
  <si>
    <t>cellkey</t>
    <phoneticPr fontId="16" type="noConversion"/>
  </si>
  <si>
    <t>imsi_supi</t>
    <phoneticPr fontId="16" type="noConversion"/>
  </si>
  <si>
    <t>servicetype</t>
    <phoneticPr fontId="16" type="noConversion"/>
  </si>
  <si>
    <t>httpwebreqcount</t>
    <phoneticPr fontId="16" type="noConversion"/>
  </si>
  <si>
    <t>httpwebrspcount</t>
    <phoneticPr fontId="16" type="noConversion"/>
  </si>
  <si>
    <t>tcpsetupresponsedelay_sum</t>
    <phoneticPr fontId="16" type="noConversion"/>
  </si>
  <si>
    <t>outputoctets_sum</t>
    <phoneticPr fontId="16" type="noConversion"/>
  </si>
  <si>
    <t>inputoctets_sum</t>
    <phoneticPr fontId="16" type="noConversion"/>
  </si>
  <si>
    <t>ultcpreorderingpacket_sum</t>
    <phoneticPr fontId="16" type="noConversion"/>
  </si>
  <si>
    <t>dltcpreorderingpacket_sum</t>
    <phoneticPr fontId="16" type="noConversion"/>
  </si>
  <si>
    <t>ultcpretranspacket_sum</t>
    <phoneticPr fontId="16" type="noConversion"/>
  </si>
  <si>
    <t>dltcpretranspacket_sum</t>
    <phoneticPr fontId="16" type="noConversion"/>
  </si>
  <si>
    <t>outputoctets_above500_duration_sum</t>
    <phoneticPr fontId="16" type="noConversion"/>
  </si>
  <si>
    <t>outputoctets_above500_sum</t>
    <phoneticPr fontId="16" type="noConversion"/>
  </si>
  <si>
    <t>inputoctets_above500_duration_sum</t>
    <phoneticPr fontId="16" type="noConversion"/>
  </si>
  <si>
    <t>inputoctets_above500_sum</t>
    <phoneticPr fontId="16" type="noConversion"/>
  </si>
  <si>
    <t>tcpsetupresponsedelay_cnt_sum</t>
    <phoneticPr fontId="16" type="noConversion"/>
  </si>
  <si>
    <t>tcpsetupackdelay_sum</t>
    <phoneticPr fontId="16" type="noConversion"/>
  </si>
  <si>
    <t>tcpsetupackdelay_cnt_sum</t>
    <phoneticPr fontId="16" type="noConversion"/>
  </si>
  <si>
    <t>sum(delay_setup_firsttransaction*delay_setup_firsttransaction_cnt)</t>
    <phoneticPr fontId="16" type="noConversion"/>
  </si>
  <si>
    <t>sum(delay_firsttransaction_firstrespackt*delay_firsttransaction_firstrespackt_cnt)</t>
    <phoneticPr fontId="16" type="noConversion"/>
  </si>
  <si>
    <t>delay_setup_firsttransaction_sum</t>
    <phoneticPr fontId="16" type="noConversion"/>
  </si>
  <si>
    <t>delay_firsttransaction_firstrespackt_sum</t>
    <phoneticPr fontId="16" type="noConversion"/>
  </si>
  <si>
    <t>duration_sum</t>
    <phoneticPr fontId="16" type="noConversion"/>
  </si>
  <si>
    <t>ultcpreorderingpacket_sum</t>
    <phoneticPr fontId="16" type="noConversion"/>
  </si>
  <si>
    <t>dltcpreorderingpacket_sum</t>
    <phoneticPr fontId="16" type="noConversion"/>
  </si>
  <si>
    <t>ultcpretranspacket_sum</t>
    <phoneticPr fontId="16" type="noConversion"/>
  </si>
  <si>
    <t>dltcpretranspacket_sum</t>
    <phoneticPr fontId="16" type="noConversion"/>
  </si>
  <si>
    <t>outputpacket_sum</t>
    <phoneticPr fontId="16" type="noConversion"/>
  </si>
  <si>
    <t>inputpacket_sum</t>
    <phoneticPr fontId="16" type="noConversion"/>
  </si>
  <si>
    <t>duration_avg</t>
    <phoneticPr fontId="16" type="noConversion"/>
  </si>
  <si>
    <t>tcpsetupackdelay_avg</t>
    <phoneticPr fontId="16" type="noConversion"/>
  </si>
  <si>
    <t>TCP二三次握手时延（ms）</t>
    <phoneticPr fontId="16" type="noConversion"/>
  </si>
  <si>
    <t>msisdn</t>
    <phoneticPr fontId="16" type="noConversion"/>
  </si>
  <si>
    <t>cellkey</t>
    <phoneticPr fontId="16" type="noConversion"/>
  </si>
  <si>
    <t>scan_code_num</t>
    <phoneticPr fontId="16" type="noConversion"/>
  </si>
  <si>
    <t>sum(tcpsetupackdelay_sum)/sum(scan_code_num)</t>
    <phoneticPr fontId="16" type="noConversion"/>
  </si>
  <si>
    <t>ultcp_retranspacket_sum</t>
    <phoneticPr fontId="16" type="noConversion"/>
  </si>
  <si>
    <t>dltcp_retranspacket_sum</t>
    <phoneticPr fontId="16" type="noConversion"/>
  </si>
  <si>
    <t>imsi</t>
    <phoneticPr fontId="16" type="noConversion"/>
  </si>
  <si>
    <t>servicetype</t>
    <phoneticPr fontId="16" type="noConversion"/>
  </si>
  <si>
    <t>httpwebreqcount</t>
    <phoneticPr fontId="16" type="noConversion"/>
  </si>
  <si>
    <t>aggr_nr_web_highspeedrail_usrcel_h</t>
    <phoneticPr fontId="16" type="noConversion"/>
  </si>
  <si>
    <t>outputoctets_sum</t>
    <phoneticPr fontId="16" type="noConversion"/>
  </si>
  <si>
    <t>inputoctets_sum</t>
    <phoneticPr fontId="16" type="noConversion"/>
  </si>
  <si>
    <t>无</t>
    <phoneticPr fontId="16" type="noConversion"/>
  </si>
  <si>
    <t>1~101</t>
    <phoneticPr fontId="16" type="noConversion"/>
  </si>
  <si>
    <t>web','im','game','video'</t>
    <phoneticPr fontId="16" type="noConversion"/>
  </si>
  <si>
    <t>&gt;0</t>
    <phoneticPr fontId="16" type="noConversion"/>
  </si>
  <si>
    <t>data_source</t>
    <phoneticPr fontId="16" type="noConversion"/>
  </si>
  <si>
    <t>msisdn</t>
    <phoneticPr fontId="16" type="noConversion"/>
  </si>
  <si>
    <t>servicetype</t>
    <phoneticPr fontId="16" type="noConversion"/>
  </si>
  <si>
    <t>duration_sum</t>
    <phoneticPr fontId="16" type="noConversion"/>
  </si>
  <si>
    <t>outputoctets_sum</t>
    <phoneticPr fontId="16" type="noConversion"/>
  </si>
  <si>
    <t>inputoctets_sum</t>
    <phoneticPr fontId="16" type="noConversion"/>
  </si>
  <si>
    <t>videoplayrequestcount</t>
    <phoneticPr fontId="16" type="noConversion"/>
  </si>
  <si>
    <t>videoplaysuccesscount</t>
    <phoneticPr fontId="16" type="noConversion"/>
  </si>
  <si>
    <t>ultcpreorderingpacket_sum</t>
    <phoneticPr fontId="16" type="noConversion"/>
  </si>
  <si>
    <t>dltcpreorderingpacket_sum</t>
    <phoneticPr fontId="16" type="noConversion"/>
  </si>
  <si>
    <t>ultcpretranspacket_sum</t>
    <phoneticPr fontId="16" type="noConversion"/>
  </si>
  <si>
    <t>dltcpretranspacket_sum</t>
    <phoneticPr fontId="16" type="noConversion"/>
  </si>
  <si>
    <t>outputpacket_sum</t>
    <phoneticPr fontId="16" type="noConversion"/>
  </si>
  <si>
    <t>inputpacket_sum</t>
    <phoneticPr fontId="16" type="noConversion"/>
  </si>
  <si>
    <t>tcpsetupresponsedelay_seg_1</t>
    <phoneticPr fontId="16" type="noConversion"/>
  </si>
  <si>
    <t>tcpsetupackdelay_seg_1</t>
    <phoneticPr fontId="16" type="noConversion"/>
  </si>
  <si>
    <t>imsi</t>
    <phoneticPr fontId="16" type="noConversion"/>
  </si>
  <si>
    <t>cellkey</t>
    <phoneticPr fontId="16" type="noConversion"/>
  </si>
  <si>
    <t>沿用表aggr_nr_highspeedrail_video_cel_d表结构与字段名称</t>
    <phoneticPr fontId="16" type="noConversion"/>
  </si>
  <si>
    <t>abnormal_cnt</t>
    <phoneticPr fontId="16" type="noConversion"/>
  </si>
  <si>
    <t>5G_DPI_https整合层15分钟表</t>
    <phoneticPr fontId="16" type="noConversion"/>
  </si>
  <si>
    <t>abnormal_cnt</t>
    <phoneticPr fontId="16" type="noConversion"/>
  </si>
  <si>
    <t>ultcpreorderingpacket_sum</t>
    <phoneticPr fontId="16" type="noConversion"/>
  </si>
  <si>
    <t>dltcpreorderingpacket_sum</t>
    <phoneticPr fontId="16" type="noConversion"/>
  </si>
  <si>
    <t>ultcpretranspacket_sum</t>
    <phoneticPr fontId="16" type="noConversion"/>
  </si>
  <si>
    <t>dltcpretranspacket_sum</t>
    <phoneticPr fontId="16" type="noConversion"/>
  </si>
  <si>
    <t>outputoctets_above500_duration_sum</t>
    <phoneticPr fontId="16" type="noConversion"/>
  </si>
  <si>
    <t>outputoctets_above500_sum</t>
    <phoneticPr fontId="16" type="noConversion"/>
  </si>
  <si>
    <t>inputoctets_above500_duration_sum</t>
    <phoneticPr fontId="16" type="noConversion"/>
  </si>
  <si>
    <t>inputoctets_above500_sum</t>
    <phoneticPr fontId="16" type="noConversion"/>
  </si>
  <si>
    <t>outputoctets_above500_cnt</t>
    <phoneticPr fontId="16" type="noConversion"/>
  </si>
  <si>
    <t>ul_above500_highdelay_cnt</t>
    <phoneticPr fontId="16" type="noConversion"/>
  </si>
  <si>
    <t>ul_above500_throughput_low_cnt</t>
    <phoneticPr fontId="16" type="noConversion"/>
  </si>
  <si>
    <t>inputoctets_above500_cnt</t>
    <phoneticPr fontId="16" type="noConversion"/>
  </si>
  <si>
    <t>dl_above500_highdelay_cnt</t>
    <phoneticPr fontId="16" type="noConversion"/>
  </si>
  <si>
    <t>dl_above500_throughput_low_cnt</t>
    <phoneticPr fontId="16" type="noConversion"/>
  </si>
  <si>
    <t>dl_above500_throughput_inferior_cnt</t>
    <phoneticPr fontId="16" type="noConversion"/>
  </si>
  <si>
    <t>delay_setup_firsttransaction_cnt</t>
    <phoneticPr fontId="16" type="noConversion"/>
  </si>
  <si>
    <t>tcpsetupresponsedelay_seg_1</t>
    <phoneticPr fontId="16" type="noConversion"/>
  </si>
  <si>
    <t>tcpsetupackdelay_seg_1</t>
    <phoneticPr fontId="16" type="noConversion"/>
  </si>
  <si>
    <t>xdr_suc_cnt_sum</t>
    <phoneticPr fontId="16" type="noConversion"/>
  </si>
  <si>
    <t>aggr_nr_iov_https_usrappcel_refactor_h</t>
    <phoneticPr fontId="16" type="noConversion"/>
  </si>
  <si>
    <t>is_n3_http_cell</t>
    <phoneticPr fontId="16" type="noConversion"/>
  </si>
  <si>
    <t>cell_key</t>
    <phoneticPr fontId="16" type="noConversion"/>
  </si>
  <si>
    <t>aggr_nr_wechat_payment_usrcel_d</t>
    <phoneticPr fontId="16" type="noConversion"/>
  </si>
  <si>
    <t>videobit_code_sum_total</t>
    <phoneticPr fontId="16" type="noConversion"/>
  </si>
  <si>
    <t>fact_nr_dpi_video_q</t>
    <phoneticPr fontId="16" type="noConversion"/>
  </si>
  <si>
    <t>case when tcpsetupackdelay&gt;0 and tcpsetupackdelay&lt;50000  then tcpsetupackdelay else null  end</t>
    <phoneticPr fontId="16" type="noConversion"/>
  </si>
  <si>
    <t>aggr_nr_dpi_n1n2_cel_d</t>
  </si>
  <si>
    <t>5G_DPI_N1N2小区天表</t>
    <phoneticPr fontId="16" type="noConversion"/>
  </si>
  <si>
    <t>输入表由dq_datasouce_5g_cell_check_list_new_d替换为aggr_nr_dpi_n1n2_cel_d，处理逻辑不变</t>
    <phoneticPr fontId="16" type="noConversion"/>
  </si>
  <si>
    <t>sum(httpwebscreendelay)</t>
    <phoneticPr fontId="16" type="noConversion"/>
  </si>
  <si>
    <t>sum(respdelay*http_succ_cnt)</t>
    <phoneticPr fontId="16" type="noConversion"/>
  </si>
  <si>
    <t>5G登网</t>
    <phoneticPr fontId="16" type="noConversion"/>
  </si>
  <si>
    <t>dq_datasouce_5g_no_cell_list_d</t>
    <phoneticPr fontId="16" type="noConversion"/>
  </si>
  <si>
    <t>aggr_5g_wireless_cellnum_audit_d</t>
    <phoneticPr fontId="16" type="noConversion"/>
  </si>
  <si>
    <t>各类无线数据小区上报率指标统计天表</t>
    <phoneticPr fontId="16" type="noConversion"/>
  </si>
  <si>
    <t>ods_5gdpi_http_e2e_telecom_origin_q、fact_nr_cm_projdata、ods_nr_mro_northctcc_q</t>
  </si>
  <si>
    <t>ods_5gdpi_http_e2e_telecom_origin_q、fact_nr_cm_projdata、lte_cm_projdata、lte_cucc_cm_projdata、cfg_topweb_first_screen_host_list、cfg_http_status_type</t>
  </si>
  <si>
    <t>aggr_nr_dpi_http_usrappcel_h、cfg_dpi_servicetype、cfg_iov_usr_list</t>
  </si>
  <si>
    <t>aggr_nr_usrareatime_cel_refactor_d、aggr_nr_dpi_web_usrappcel_q</t>
  </si>
  <si>
    <t>aggr_highspeedrail_usrlist_d、aggr_nr_dpi_web_usrappcel_q</t>
  </si>
  <si>
    <t>aggr_nr_usrareatime_cel_refactor_d、aggr_nr_dpi_im_usrappcel_q</t>
  </si>
  <si>
    <t>aggr_nr_usrareatime_cel_refactor_d、aggr_nr_dpi_game_usrappcel_q</t>
  </si>
  <si>
    <t>ods_5gdpi_video_e2e_telecom_origin_q、fact_nr_cm_projdata、lte_cm_projdata、lte_cucc_cm_projdata</t>
  </si>
  <si>
    <t>aggr_nr_dpi_http_usrapp_d、aggr_nr_dpi_video_usrapp_d、cfg_dpi_servicetype</t>
  </si>
  <si>
    <t>aggr_highspeedrail_usrlist_d、aggr_nr_dpi_video_usrappcel_q</t>
  </si>
  <si>
    <t>aggr_nr_usrareatime_cel_refactor_d、aggr_nr_dpi_video_usrappcel_q</t>
  </si>
  <si>
    <t>ods_5gdpi_https_e2e_telecom_q、fact_nr_cm_projdata、lte_cm_projdata、lte_cucc_cm_projdata、cfg_topweb_first_screen_host_list</t>
  </si>
  <si>
    <t>aggr_nr_dpi_https_usrappcel_h、cfg_dpi_servicetype、cfg_iov_usr_list</t>
  </si>
  <si>
    <t>aggr_nr_dpi_n1n2_usrcel_h、aggr_nr_other_usrappcel_h、aggr_nr_dpi_dns_usrcel_h、aggr_nr_dpi_http_usrcel_h、aggr_nr_dpi_https_usrcel_h、aggr_nr_dpi_video_usrcel_h</t>
  </si>
  <si>
    <t>fact_pm_nr_lceldu_d、fact_nr_cm_projdata、aggr_nr_coverage_cel_refactor_d、aggr_nr_dpi_n1n2_cel_d、aggr_nr_dpi_http_cel_d、aggr_nr_dpi_https_cel_d、aggr_nr_dpi_video_cel_d、aggr_nr_dpi_dns_cel_d</t>
  </si>
  <si>
    <t>aggr_nr_dpi_im_usrcel_d、fact_nr_cm_projdata、lte_cm_projdata、lte_cucc_cm_projdata</t>
    <phoneticPr fontId="16" type="noConversion"/>
  </si>
  <si>
    <t>aggr_nr_dpi_video_base_q</t>
  </si>
  <si>
    <t>aggr_nr_dpi_https_base_q</t>
  </si>
  <si>
    <t>dm_qulity_n1n2_cell_d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</si>
</sst>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 * #,##0_ ;_ * \-#,##0_ ;_ * &quot;-&quot;_ ;_ @_ "/>
    <numFmt numFmtId="43" formatCode="_ * #,##0.00_ ;_ * \-#,##0.00_ ;_ * &quot;-&quot;??_ ;_ @_ "/>
    <numFmt numFmtId="176" formatCode="[$-F400]h:mm:ss\ AM/PM"/>
    <numFmt numFmtId="177" formatCode="0_);[Red]\(0\)"/>
    <numFmt numFmtId="178" formatCode="[$-F800]dddd\,\ mmmm\ dd\,\ yyyy"/>
    <numFmt numFmtId="179" formatCode="_ &quot;￥&quot;* #,##0_ ;_ &quot;￥&quot;* \-#,##0_ ;_ &quot;￥&quot;* &quot;-&quot;_ ;_ @_ "/>
    <numFmt numFmtId="180" formatCode="_ &quot;￥&quot;* #,##0.00_ ;_ &quot;￥&quot;* \-#,##0.00_ ;_ &quot;￥&quot;* &quot;-&quot;??_ ;_ @_ "/>
    <numFmt numFmtId="181" formatCode="_ \¥* #,##0_ ;_ \¥* \-#,##0_ ;_ \¥* &quot;-&quot;_ ;_ @_ "/>
    <numFmt numFmtId="182" formatCode="_ \¥* #,##0.00_ ;_ \¥* \-#,##0.00_ ;_ \¥* &quot;-&quot;??_ ;_ @_ "/>
  </numFmts>
  <fonts count="3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u/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b/>
      <i/>
      <sz val="9"/>
      <name val="微软雅黑"/>
      <family val="2"/>
      <charset val="134"/>
    </font>
    <font>
      <b/>
      <sz val="9"/>
      <name val="微软雅黑"/>
      <family val="2"/>
      <charset val="134"/>
    </font>
    <font>
      <u/>
      <sz val="9"/>
      <color rgb="FF800080"/>
      <name val="微软雅黑"/>
      <family val="2"/>
      <charset val="134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9"/>
      <color indexed="8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i/>
      <sz val="12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等线"/>
      <family val="2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等线"/>
      <family val="3"/>
      <charset val="134"/>
      <scheme val="minor"/>
    </font>
    <font>
      <u/>
      <sz val="11"/>
      <color theme="10"/>
      <name val="宋体"/>
      <family val="3"/>
      <charset val="134"/>
    </font>
    <font>
      <u/>
      <sz val="11"/>
      <color theme="10"/>
      <name val="Calibri"/>
      <family val="2"/>
    </font>
    <font>
      <u/>
      <sz val="11"/>
      <color theme="10"/>
      <name val="等线"/>
      <family val="3"/>
      <charset val="134"/>
      <scheme val="minor"/>
    </font>
    <font>
      <u/>
      <sz val="12"/>
      <color theme="10"/>
      <name val="宋体"/>
      <family val="3"/>
      <charset val="134"/>
    </font>
    <font>
      <sz val="11"/>
      <color rgb="FF9C5700"/>
      <name val="等线"/>
      <family val="3"/>
      <charset val="134"/>
      <scheme val="minor"/>
    </font>
    <font>
      <b/>
      <sz val="9"/>
      <color rgb="FFFF0000"/>
      <name val="微软雅黑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145481734672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06"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5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5" fillId="0" borderId="0"/>
    <xf numFmtId="0" fontId="15" fillId="0" borderId="0"/>
    <xf numFmtId="0" fontId="17" fillId="0" borderId="0">
      <alignment vertical="center"/>
    </xf>
    <xf numFmtId="0" fontId="5" fillId="0" borderId="0"/>
    <xf numFmtId="0" fontId="25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4" fillId="0" borderId="0"/>
    <xf numFmtId="9" fontId="1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14" fillId="0" borderId="0">
      <alignment vertical="center"/>
    </xf>
    <xf numFmtId="0" fontId="2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4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/>
    <xf numFmtId="0" fontId="26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13" fillId="0" borderId="0">
      <alignment vertical="center"/>
    </xf>
    <xf numFmtId="0" fontId="4" fillId="0" borderId="0"/>
    <xf numFmtId="0" fontId="3" fillId="0" borderId="0"/>
    <xf numFmtId="0" fontId="2" fillId="0" borderId="0"/>
    <xf numFmtId="0" fontId="13" fillId="0" borderId="0"/>
    <xf numFmtId="178" fontId="14" fillId="0" borderId="0"/>
    <xf numFmtId="0" fontId="2" fillId="0" borderId="0"/>
    <xf numFmtId="178" fontId="14" fillId="0" borderId="0"/>
    <xf numFmtId="0" fontId="13" fillId="0" borderId="0"/>
    <xf numFmtId="0" fontId="14" fillId="0" borderId="0">
      <alignment vertical="center"/>
    </xf>
    <xf numFmtId="0" fontId="13" fillId="0" borderId="0"/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41" fontId="26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43" fontId="26" fillId="0" borderId="0"/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/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179" fontId="26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3" fontId="26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9" fontId="13" fillId="0" borderId="0" applyFont="0" applyFill="0" applyBorder="0" applyProtection="0"/>
    <xf numFmtId="0" fontId="1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/>
    <xf numFmtId="0" fontId="14" fillId="0" borderId="0"/>
    <xf numFmtId="0" fontId="1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9" fontId="13" fillId="0" borderId="0" applyFont="0" applyFill="0" applyBorder="0" applyProtection="0"/>
    <xf numFmtId="41" fontId="26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41" fontId="26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41" fontId="26" fillId="0" borderId="0"/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/>
    <xf numFmtId="0" fontId="14" fillId="0" borderId="0"/>
    <xf numFmtId="41" fontId="26" fillId="0" borderId="0"/>
    <xf numFmtId="0" fontId="14" fillId="0" borderId="0"/>
    <xf numFmtId="0" fontId="14" fillId="0" borderId="0"/>
    <xf numFmtId="43" fontId="26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41" fontId="26" fillId="0" borderId="0"/>
    <xf numFmtId="41" fontId="26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3" fontId="26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3" fontId="26" fillId="0" borderId="0"/>
    <xf numFmtId="0" fontId="14" fillId="0" borderId="0">
      <alignment vertical="center"/>
    </xf>
    <xf numFmtId="0" fontId="13" fillId="0" borderId="0">
      <alignment vertical="center"/>
    </xf>
    <xf numFmtId="43" fontId="26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43" fontId="26" fillId="0" borderId="0"/>
    <xf numFmtId="43" fontId="26" fillId="0" borderId="0"/>
    <xf numFmtId="43" fontId="26" fillId="0" borderId="0"/>
    <xf numFmtId="43" fontId="26" fillId="0" borderId="0"/>
    <xf numFmtId="0" fontId="14" fillId="0" borderId="0">
      <alignment vertical="center"/>
    </xf>
    <xf numFmtId="43" fontId="26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3" fontId="26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3" fontId="26" fillId="0" borderId="0"/>
    <xf numFmtId="0" fontId="14" fillId="0" borderId="0"/>
    <xf numFmtId="0" fontId="13" fillId="0" borderId="0">
      <alignment vertical="center"/>
    </xf>
    <xf numFmtId="0" fontId="31" fillId="0" borderId="0" applyNumberFormat="0" applyFill="0" applyBorder="0">
      <protection locked="0"/>
    </xf>
    <xf numFmtId="0" fontId="14" fillId="0" borderId="0">
      <alignment vertical="center"/>
    </xf>
    <xf numFmtId="0" fontId="13" fillId="0" borderId="0">
      <alignment vertical="center"/>
    </xf>
    <xf numFmtId="43" fontId="26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3" fontId="26" fillId="0" borderId="0"/>
    <xf numFmtId="0" fontId="14" fillId="0" borderId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3" fontId="26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3" fontId="26" fillId="0" borderId="0"/>
    <xf numFmtId="0" fontId="13" fillId="0" borderId="0">
      <alignment vertical="center"/>
    </xf>
    <xf numFmtId="180" fontId="26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18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 applyNumberFormat="0" applyFill="0" applyBorder="0">
      <protection locked="0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3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2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Protection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26" fillId="0" borderId="0"/>
    <xf numFmtId="0" fontId="14" fillId="0" borderId="0"/>
    <xf numFmtId="0" fontId="14" fillId="0" borderId="0"/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4" fillId="0" borderId="0"/>
    <xf numFmtId="0" fontId="1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9" fontId="13" fillId="0" borderId="0" applyFont="0" applyFill="0" applyBorder="0" applyProtection="0"/>
    <xf numFmtId="9" fontId="13" fillId="0" borderId="0" applyFont="0" applyFill="0" applyBorder="0" applyProtection="0"/>
    <xf numFmtId="9" fontId="13" fillId="0" borderId="0" applyFont="0" applyFill="0" applyBorder="0" applyProtection="0"/>
    <xf numFmtId="0" fontId="14" fillId="0" borderId="0"/>
    <xf numFmtId="0" fontId="14" fillId="0" borderId="0"/>
    <xf numFmtId="9" fontId="13" fillId="0" borderId="0" applyFont="0" applyFill="0" applyBorder="0" applyProtection="0"/>
    <xf numFmtId="9" fontId="13" fillId="0" borderId="0" applyFont="0" applyFill="0" applyBorder="0" applyProtection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9" fontId="13" fillId="0" borderId="0" applyFont="0" applyFill="0" applyBorder="0" applyProtection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/>
    <xf numFmtId="9" fontId="13" fillId="0" borderId="0" applyFont="0" applyFill="0" applyBorder="0" applyProtection="0"/>
    <xf numFmtId="0" fontId="14" fillId="0" borderId="0"/>
    <xf numFmtId="0" fontId="14" fillId="0" borderId="0"/>
    <xf numFmtId="9" fontId="13" fillId="0" borderId="0" applyFont="0" applyFill="0" applyBorder="0" applyProtection="0"/>
    <xf numFmtId="0" fontId="13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3" fillId="0" borderId="0">
      <alignment vertical="center"/>
    </xf>
    <xf numFmtId="9" fontId="13" fillId="0" borderId="0" applyFont="0" applyFill="0" applyBorder="0" applyProtection="0"/>
    <xf numFmtId="0" fontId="13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3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/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3" fillId="0" borderId="0"/>
    <xf numFmtId="0" fontId="13" fillId="0" borderId="0">
      <alignment vertical="center"/>
    </xf>
    <xf numFmtId="0" fontId="14" fillId="0" borderId="0"/>
    <xf numFmtId="0" fontId="13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9" fontId="13" fillId="0" borderId="0" applyFont="0" applyFill="0" applyBorder="0" applyProtection="0"/>
    <xf numFmtId="9" fontId="13" fillId="0" borderId="0" applyFont="0" applyFill="0" applyBorder="0" applyProtection="0"/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9" fontId="13" fillId="0" borderId="0" applyFont="0" applyFill="0" applyBorder="0" applyProtection="0"/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Protection="0"/>
    <xf numFmtId="9" fontId="13" fillId="0" borderId="0" applyFont="0" applyFill="0" applyBorder="0" applyProtection="0"/>
    <xf numFmtId="0" fontId="31" fillId="0" borderId="0" applyNumberFormat="0" applyFill="0" applyBorder="0">
      <protection locked="0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/>
    <xf numFmtId="0" fontId="13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/>
    <xf numFmtId="0" fontId="14" fillId="0" borderId="0"/>
    <xf numFmtId="9" fontId="13" fillId="0" borderId="0" applyFont="0" applyFill="0" applyBorder="0" applyProtection="0"/>
    <xf numFmtId="0" fontId="14" fillId="0" borderId="0"/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/>
    <xf numFmtId="9" fontId="13" fillId="0" borderId="0" applyFont="0" applyFill="0" applyBorder="0" applyProtection="0"/>
    <xf numFmtId="0" fontId="14" fillId="0" borderId="0"/>
    <xf numFmtId="0" fontId="14" fillId="0" borderId="0"/>
    <xf numFmtId="0" fontId="13" fillId="0" borderId="0">
      <alignment vertical="center"/>
    </xf>
    <xf numFmtId="9" fontId="13" fillId="0" borderId="0" applyFont="0" applyFill="0" applyBorder="0" applyProtection="0"/>
    <xf numFmtId="0" fontId="14" fillId="0" borderId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9" fontId="13" fillId="0" borderId="0" applyFont="0" applyFill="0" applyBorder="0" applyProtection="0"/>
    <xf numFmtId="0" fontId="13" fillId="0" borderId="0">
      <alignment vertical="center"/>
    </xf>
    <xf numFmtId="9" fontId="13" fillId="0" borderId="0" applyFon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Protection="0"/>
    <xf numFmtId="9" fontId="13" fillId="0" borderId="0" applyFont="0" applyFill="0" applyBorder="0" applyProtection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3" fillId="0" borderId="0" applyFont="0" applyFill="0" applyBorder="0" applyProtection="0"/>
    <xf numFmtId="9" fontId="13" fillId="0" borderId="0" applyFont="0" applyFill="0" applyBorder="0" applyProtection="0"/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31" fillId="0" borderId="0" applyNumberFormat="0" applyFill="0" applyBorder="0">
      <protection locked="0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1" fillId="0" borderId="0" applyNumberFormat="0" applyFill="0" applyBorder="0">
      <protection locked="0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/>
    <xf numFmtId="0" fontId="13" fillId="13" borderId="8" applyNumberFormat="0" applyFont="0" applyAlignment="0" applyProtection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32" fillId="0" borderId="0" applyNumberFormat="0" applyFill="0" applyBorder="0" applyAlignment="0" applyProtection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 applyNumberFormat="0" applyFill="0" applyBorder="0" applyAlignment="0" applyProtection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178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3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5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31" fillId="0" borderId="0" applyNumberFormat="0" applyFill="0" applyBorder="0">
      <protection locked="0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31" fillId="0" borderId="0" applyNumberFormat="0" applyFill="0" applyBorder="0">
      <protection locked="0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1" fillId="0" borderId="0" applyNumberFormat="0" applyFill="0" applyBorder="0">
      <protection locked="0"/>
    </xf>
    <xf numFmtId="0" fontId="14" fillId="0" borderId="0">
      <alignment vertical="center"/>
    </xf>
    <xf numFmtId="0" fontId="14" fillId="0" borderId="0">
      <alignment vertical="center"/>
    </xf>
    <xf numFmtId="0" fontId="31" fillId="0" borderId="0" applyNumberFormat="0" applyFill="0" applyBorder="0">
      <protection locked="0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1" fillId="0" borderId="0" applyNumberFormat="0" applyFill="0" applyBorder="0">
      <protection locked="0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1" fillId="0" borderId="0" applyNumberFormat="0" applyFill="0" applyBorder="0">
      <protection locked="0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31" fillId="0" borderId="0" applyNumberFormat="0" applyFill="0" applyBorder="0">
      <protection locked="0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31" fillId="0" borderId="0" applyNumberFormat="0" applyFill="0" applyBorder="0">
      <protection locked="0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3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 applyNumberFormat="0" applyFill="0" applyBorder="0"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 applyNumberFormat="0" applyFill="0" applyBorder="0"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/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5" fillId="0" borderId="0"/>
    <xf numFmtId="0" fontId="13" fillId="0" borderId="0"/>
    <xf numFmtId="0" fontId="14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 applyNumberFormat="0" applyFill="0" applyBorder="0">
      <protection locked="0"/>
    </xf>
    <xf numFmtId="0" fontId="14" fillId="0" borderId="0"/>
    <xf numFmtId="0" fontId="14" fillId="0" borderId="0"/>
    <xf numFmtId="0" fontId="31" fillId="0" borderId="0" applyNumberFormat="0" applyFill="0" applyBorder="0"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 applyNumberFormat="0" applyFill="0" applyBorder="0">
      <protection locked="0"/>
    </xf>
    <xf numFmtId="0" fontId="14" fillId="0" borderId="0"/>
    <xf numFmtId="0" fontId="31" fillId="0" borderId="0" applyNumberFormat="0" applyFill="0" applyBorder="0">
      <protection locked="0"/>
    </xf>
    <xf numFmtId="0" fontId="14" fillId="0" borderId="0"/>
    <xf numFmtId="0" fontId="31" fillId="0" borderId="0" applyNumberFormat="0" applyFill="0" applyBorder="0"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2" fillId="0" borderId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12" fillId="0" borderId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12" fillId="0" borderId="0">
      <alignment vertical="center"/>
    </xf>
    <xf numFmtId="0" fontId="31" fillId="0" borderId="0" applyNumberFormat="0" applyFill="0" applyBorder="0">
      <protection locked="0"/>
    </xf>
    <xf numFmtId="0" fontId="12" fillId="0" borderId="0">
      <alignment vertical="center"/>
    </xf>
    <xf numFmtId="0" fontId="33" fillId="0" borderId="0">
      <alignment vertical="center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3" fillId="0" borderId="0">
      <alignment vertical="center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1" fillId="0" borderId="0" applyNumberFormat="0" applyFill="0" applyBorder="0"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>
      <protection locked="0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1" fillId="0" borderId="0" applyNumberFormat="0" applyFill="0" applyBorder="0">
      <protection locked="0"/>
    </xf>
    <xf numFmtId="0" fontId="35" fillId="14" borderId="0" applyNumberFormat="0" applyBorder="0" applyAlignment="0" applyProtection="0">
      <alignment vertical="center"/>
    </xf>
    <xf numFmtId="0" fontId="1" fillId="0" borderId="0"/>
    <xf numFmtId="0" fontId="25" fillId="0" borderId="0">
      <alignment vertical="center"/>
    </xf>
    <xf numFmtId="43" fontId="26" fillId="0" borderId="0"/>
    <xf numFmtId="41" fontId="26" fillId="0" borderId="0"/>
    <xf numFmtId="41" fontId="26" fillId="0" borderId="0"/>
    <xf numFmtId="43" fontId="26" fillId="0" borderId="0"/>
    <xf numFmtId="41" fontId="26" fillId="0" borderId="0"/>
    <xf numFmtId="41" fontId="26" fillId="0" borderId="0"/>
    <xf numFmtId="43" fontId="26" fillId="0" borderId="0"/>
    <xf numFmtId="41" fontId="26" fillId="0" borderId="0"/>
    <xf numFmtId="43" fontId="26" fillId="0" borderId="0"/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41" fontId="26" fillId="0" borderId="0"/>
    <xf numFmtId="43" fontId="26" fillId="0" borderId="0"/>
    <xf numFmtId="41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9">
    <xf numFmtId="0" fontId="0" fillId="0" borderId="0" xfId="0"/>
    <xf numFmtId="0" fontId="6" fillId="0" borderId="0" xfId="4" applyFont="1" applyAlignment="1">
      <alignment vertical="center"/>
    </xf>
    <xf numFmtId="0" fontId="6" fillId="0" borderId="0" xfId="2" applyFont="1">
      <alignment vertical="center"/>
    </xf>
    <xf numFmtId="0" fontId="6" fillId="2" borderId="0" xfId="2" applyFont="1" applyFill="1">
      <alignment vertical="center"/>
    </xf>
    <xf numFmtId="0" fontId="6" fillId="0" borderId="0" xfId="2" applyFont="1" applyAlignment="1">
      <alignment horizontal="center" vertical="center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4" borderId="1" xfId="2" applyFont="1" applyFill="1" applyBorder="1" applyAlignment="1">
      <alignment horizontal="center" vertical="center" wrapText="1"/>
    </xf>
    <xf numFmtId="0" fontId="10" fillId="6" borderId="1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/>
    </xf>
    <xf numFmtId="0" fontId="8" fillId="7" borderId="1" xfId="2" applyFont="1" applyFill="1" applyBorder="1" applyAlignment="1">
      <alignment horizontal="left" vertical="center"/>
    </xf>
    <xf numFmtId="0" fontId="6" fillId="0" borderId="1" xfId="2" applyFont="1" applyBorder="1" applyAlignment="1">
      <alignment horizontal="center" vertical="center"/>
    </xf>
    <xf numFmtId="0" fontId="10" fillId="6" borderId="1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left" vertical="center" wrapText="1"/>
    </xf>
    <xf numFmtId="0" fontId="8" fillId="7" borderId="2" xfId="6" applyFont="1" applyFill="1" applyBorder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8" fillId="7" borderId="1" xfId="4" applyFont="1" applyFill="1" applyBorder="1" applyAlignment="1">
      <alignment horizontal="center" vertical="center" wrapText="1"/>
    </xf>
    <xf numFmtId="0" fontId="6" fillId="0" borderId="1" xfId="2" applyFont="1" applyBorder="1">
      <alignment vertical="center"/>
    </xf>
    <xf numFmtId="0" fontId="8" fillId="7" borderId="1" xfId="4" applyFont="1" applyFill="1" applyBorder="1" applyAlignment="1">
      <alignment vertical="center" wrapText="1"/>
    </xf>
    <xf numFmtId="0" fontId="6" fillId="0" borderId="1" xfId="4" applyFont="1" applyBorder="1" applyAlignment="1">
      <alignment vertical="center"/>
    </xf>
    <xf numFmtId="0" fontId="6" fillId="0" borderId="1" xfId="4" applyFont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/>
    </xf>
    <xf numFmtId="0" fontId="6" fillId="0" borderId="1" xfId="2" applyFont="1" applyBorder="1" applyAlignment="1">
      <alignment horizontal="center" vertical="center" wrapText="1"/>
    </xf>
    <xf numFmtId="0" fontId="6" fillId="2" borderId="1" xfId="2" applyFont="1" applyFill="1" applyBorder="1" applyAlignment="1">
      <alignment vertical="center" wrapText="1"/>
    </xf>
    <xf numFmtId="0" fontId="6" fillId="2" borderId="3" xfId="2" applyFont="1" applyFill="1" applyBorder="1" applyAlignment="1">
      <alignment vertical="center" wrapText="1"/>
    </xf>
    <xf numFmtId="0" fontId="8" fillId="2" borderId="1" xfId="4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left" vertical="center"/>
    </xf>
    <xf numFmtId="0" fontId="6" fillId="0" borderId="0" xfId="3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10" fillId="8" borderId="1" xfId="7" applyFont="1" applyFill="1" applyBorder="1" applyAlignment="1">
      <alignment horizontal="center" vertical="center" wrapText="1"/>
    </xf>
    <xf numFmtId="0" fontId="10" fillId="8" borderId="1" xfId="7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0" fillId="8" borderId="1" xfId="7" applyFont="1" applyFill="1" applyBorder="1" applyAlignment="1">
      <alignment horizontal="left" vertical="center" wrapText="1"/>
    </xf>
    <xf numFmtId="0" fontId="10" fillId="3" borderId="1" xfId="7" applyFont="1" applyFill="1" applyBorder="1" applyAlignment="1">
      <alignment horizontal="center" vertical="center" wrapText="1"/>
    </xf>
    <xf numFmtId="49" fontId="6" fillId="0" borderId="1" xfId="4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0" fontId="8" fillId="7" borderId="1" xfId="2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6" fillId="2" borderId="1" xfId="2" applyFont="1" applyFill="1" applyBorder="1">
      <alignment vertical="center"/>
    </xf>
    <xf numFmtId="0" fontId="6" fillId="0" borderId="1" xfId="13" applyFont="1" applyBorder="1" applyAlignment="1">
      <alignment horizontal="left" vertical="center"/>
    </xf>
    <xf numFmtId="0" fontId="6" fillId="0" borderId="1" xfId="13" applyFont="1" applyBorder="1">
      <alignment vertical="center"/>
    </xf>
    <xf numFmtId="0" fontId="6" fillId="0" borderId="1" xfId="13" applyFont="1" applyBorder="1" applyAlignment="1">
      <alignment horizontal="center" vertical="center"/>
    </xf>
    <xf numFmtId="0" fontId="12" fillId="4" borderId="1" xfId="1" applyFill="1" applyBorder="1" applyAlignment="1">
      <alignment vertical="center" wrapText="1"/>
    </xf>
    <xf numFmtId="0" fontId="8" fillId="0" borderId="1" xfId="6" applyFont="1" applyBorder="1" applyAlignment="1">
      <alignment horizontal="center" vertical="center"/>
    </xf>
    <xf numFmtId="0" fontId="23" fillId="9" borderId="0" xfId="2" applyFont="1" applyFill="1" applyAlignment="1">
      <alignment horizontal="center" vertical="center"/>
    </xf>
    <xf numFmtId="0" fontId="21" fillId="4" borderId="1" xfId="13" applyFont="1" applyFill="1" applyBorder="1" applyAlignment="1">
      <alignment vertical="center" wrapText="1"/>
    </xf>
    <xf numFmtId="0" fontId="23" fillId="0" borderId="0" xfId="13" applyFont="1" applyAlignment="1">
      <alignment horizontal="center" vertical="center"/>
    </xf>
    <xf numFmtId="0" fontId="23" fillId="0" borderId="0" xfId="13" applyFont="1">
      <alignment vertical="center"/>
    </xf>
    <xf numFmtId="0" fontId="20" fillId="6" borderId="1" xfId="13" applyFont="1" applyFill="1" applyBorder="1" applyAlignment="1">
      <alignment horizontal="center" vertical="center" wrapText="1"/>
    </xf>
    <xf numFmtId="0" fontId="19" fillId="0" borderId="1" xfId="13" applyFont="1" applyBorder="1">
      <alignment vertical="center"/>
    </xf>
    <xf numFmtId="0" fontId="18" fillId="0" borderId="1" xfId="13" applyFont="1" applyBorder="1">
      <alignment vertical="center"/>
    </xf>
    <xf numFmtId="0" fontId="8" fillId="0" borderId="1" xfId="13" applyFont="1" applyBorder="1" applyAlignment="1">
      <alignment horizontal="center" vertical="center" wrapText="1"/>
    </xf>
    <xf numFmtId="0" fontId="21" fillId="4" borderId="1" xfId="13" applyFont="1" applyFill="1" applyBorder="1" applyAlignment="1">
      <alignment horizontal="center" vertical="center" wrapText="1"/>
    </xf>
    <xf numFmtId="0" fontId="20" fillId="6" borderId="1" xfId="13" applyFont="1" applyFill="1" applyBorder="1" applyAlignment="1">
      <alignment horizontal="center" vertical="center"/>
    </xf>
    <xf numFmtId="0" fontId="10" fillId="6" borderId="1" xfId="13" applyFont="1" applyFill="1" applyBorder="1" applyAlignment="1">
      <alignment horizontal="center" vertical="center" wrapText="1"/>
    </xf>
    <xf numFmtId="0" fontId="18" fillId="0" borderId="1" xfId="13" applyFont="1" applyBorder="1" applyAlignment="1">
      <alignment horizontal="left" vertical="center" wrapText="1"/>
    </xf>
    <xf numFmtId="0" fontId="6" fillId="0" borderId="3" xfId="2" applyFont="1" applyBorder="1" applyAlignment="1">
      <alignment horizontal="center" vertical="center" wrapText="1"/>
    </xf>
    <xf numFmtId="58" fontId="0" fillId="0" borderId="0" xfId="0" applyNumberFormat="1"/>
    <xf numFmtId="49" fontId="6" fillId="0" borderId="1" xfId="4" applyNumberFormat="1" applyFont="1" applyBorder="1" applyAlignment="1">
      <alignment horizontal="center" vertical="center" wrapText="1"/>
    </xf>
    <xf numFmtId="0" fontId="6" fillId="0" borderId="0" xfId="37" applyFont="1" applyAlignment="1">
      <alignment horizontal="center" vertical="center"/>
    </xf>
    <xf numFmtId="0" fontId="6" fillId="0" borderId="1" xfId="37" applyFont="1" applyBorder="1" applyAlignment="1">
      <alignment horizontal="center" vertical="center" wrapText="1"/>
    </xf>
    <xf numFmtId="0" fontId="6" fillId="0" borderId="1" xfId="37" applyFont="1" applyBorder="1" applyAlignment="1">
      <alignment horizontal="center" vertical="center"/>
    </xf>
    <xf numFmtId="0" fontId="6" fillId="0" borderId="0" xfId="37" applyFont="1" applyAlignment="1">
      <alignment vertical="center"/>
    </xf>
    <xf numFmtId="0" fontId="6" fillId="0" borderId="3" xfId="2" applyFont="1" applyBorder="1" applyAlignment="1">
      <alignment horizontal="center" vertical="center"/>
    </xf>
    <xf numFmtId="0" fontId="29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22" fillId="0" borderId="1" xfId="2" applyFont="1" applyBorder="1">
      <alignment vertical="center"/>
    </xf>
    <xf numFmtId="0" fontId="10" fillId="6" borderId="5" xfId="2" applyFont="1" applyFill="1" applyBorder="1" applyAlignment="1">
      <alignment horizontal="center" vertical="center" wrapText="1"/>
    </xf>
    <xf numFmtId="0" fontId="18" fillId="0" borderId="1" xfId="2" applyFont="1" applyBorder="1" applyAlignment="1">
      <alignment vertic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8" fillId="0" borderId="0" xfId="2" applyFont="1" applyAlignment="1">
      <alignment vertical="center" wrapText="1"/>
    </xf>
    <xf numFmtId="0" fontId="6" fillId="9" borderId="1" xfId="2" applyFont="1" applyFill="1" applyBorder="1">
      <alignment vertical="center"/>
    </xf>
    <xf numFmtId="0" fontId="18" fillId="0" borderId="1" xfId="2" applyFont="1" applyBorder="1">
      <alignment vertical="center"/>
    </xf>
    <xf numFmtId="0" fontId="8" fillId="4" borderId="1" xfId="2" applyFont="1" applyFill="1" applyBorder="1" applyAlignment="1">
      <alignment vertical="center" wrapText="1"/>
    </xf>
    <xf numFmtId="0" fontId="30" fillId="0" borderId="0" xfId="2" applyFont="1">
      <alignment vertical="center"/>
    </xf>
    <xf numFmtId="0" fontId="8" fillId="0" borderId="1" xfId="2" applyFont="1" applyBorder="1" applyAlignment="1">
      <alignment horizontal="left" vertical="center"/>
    </xf>
    <xf numFmtId="0" fontId="8" fillId="7" borderId="1" xfId="6" applyFont="1" applyFill="1" applyBorder="1" applyAlignment="1">
      <alignment horizontal="center" vertical="center"/>
    </xf>
    <xf numFmtId="0" fontId="6" fillId="0" borderId="1" xfId="2" applyFont="1" applyBorder="1" applyAlignment="1">
      <alignment vertical="center" wrapText="1"/>
    </xf>
    <xf numFmtId="0" fontId="8" fillId="7" borderId="1" xfId="4" applyFont="1" applyFill="1" applyBorder="1" applyAlignment="1">
      <alignment horizontal="left" vertical="center" wrapText="1"/>
    </xf>
    <xf numFmtId="0" fontId="6" fillId="0" borderId="1" xfId="4" applyFont="1" applyBorder="1" applyAlignment="1">
      <alignment horizontal="left" vertical="center"/>
    </xf>
    <xf numFmtId="177" fontId="6" fillId="0" borderId="1" xfId="2" applyNumberFormat="1" applyFont="1" applyBorder="1">
      <alignment vertical="center"/>
    </xf>
    <xf numFmtId="0" fontId="22" fillId="0" borderId="1" xfId="4" applyFont="1" applyBorder="1" applyAlignment="1">
      <alignment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3" borderId="1" xfId="2" applyFont="1" applyFill="1" applyBorder="1">
      <alignment vertical="center"/>
    </xf>
    <xf numFmtId="0" fontId="8" fillId="3" borderId="1" xfId="4" applyFont="1" applyFill="1" applyBorder="1" applyAlignment="1">
      <alignment vertical="center" wrapText="1"/>
    </xf>
    <xf numFmtId="0" fontId="8" fillId="7" borderId="1" xfId="4" applyFont="1" applyFill="1" applyBorder="1" applyAlignment="1">
      <alignment vertical="center"/>
    </xf>
    <xf numFmtId="0" fontId="8" fillId="3" borderId="1" xfId="4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8" fillId="0" borderId="1" xfId="4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8" fillId="0" borderId="1" xfId="4" applyFont="1" applyBorder="1" applyAlignment="1">
      <alignment horizontal="center" vertical="center" wrapText="1"/>
    </xf>
    <xf numFmtId="0" fontId="6" fillId="3" borderId="1" xfId="37" applyFont="1" applyFill="1" applyBorder="1" applyAlignment="1">
      <alignment horizontal="center" vertical="center" wrapText="1"/>
    </xf>
    <xf numFmtId="0" fontId="6" fillId="0" borderId="1" xfId="37" applyFont="1" applyBorder="1" applyAlignment="1">
      <alignment horizontal="left" vertical="center"/>
    </xf>
    <xf numFmtId="0" fontId="6" fillId="2" borderId="1" xfId="2" applyFont="1" applyFill="1" applyBorder="1" applyAlignment="1">
      <alignment horizontal="left" vertical="center" wrapText="1"/>
    </xf>
    <xf numFmtId="0" fontId="6" fillId="0" borderId="0" xfId="4" applyFont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8" fillId="11" borderId="1" xfId="20" applyFont="1" applyFill="1" applyBorder="1" applyAlignment="1">
      <alignment vertical="center"/>
    </xf>
    <xf numFmtId="0" fontId="8" fillId="12" borderId="1" xfId="20" applyFont="1" applyFill="1" applyBorder="1" applyAlignment="1">
      <alignment vertical="center"/>
    </xf>
    <xf numFmtId="0" fontId="6" fillId="0" borderId="1" xfId="37" applyFont="1" applyBorder="1" applyAlignment="1">
      <alignment vertical="center"/>
    </xf>
    <xf numFmtId="0" fontId="22" fillId="0" borderId="1" xfId="37" applyFont="1" applyBorder="1" applyAlignment="1">
      <alignment vertical="center"/>
    </xf>
    <xf numFmtId="0" fontId="6" fillId="0" borderId="1" xfId="20" applyFont="1" applyBorder="1" applyAlignment="1">
      <alignment vertical="center"/>
    </xf>
    <xf numFmtId="0" fontId="8" fillId="0" borderId="1" xfId="3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2" applyFont="1" applyBorder="1">
      <alignment vertical="center"/>
    </xf>
    <xf numFmtId="0" fontId="8" fillId="3" borderId="1" xfId="2" applyFont="1" applyFill="1" applyBorder="1" applyAlignment="1">
      <alignment horizontal="center" vertical="center" wrapText="1"/>
    </xf>
    <xf numFmtId="0" fontId="6" fillId="0" borderId="1" xfId="4" applyFont="1" applyBorder="1" applyAlignment="1">
      <alignment vertical="center" wrapText="1"/>
    </xf>
    <xf numFmtId="0" fontId="13" fillId="0" borderId="0" xfId="2">
      <alignment vertical="center"/>
    </xf>
    <xf numFmtId="0" fontId="6" fillId="2" borderId="1" xfId="2" applyFont="1" applyFill="1" applyBorder="1" applyAlignment="1">
      <alignment horizontal="center" vertical="center" wrapText="1"/>
    </xf>
    <xf numFmtId="0" fontId="22" fillId="0" borderId="1" xfId="2" applyFont="1" applyBorder="1" applyAlignment="1">
      <alignment horizontal="left" vertical="center"/>
    </xf>
    <xf numFmtId="0" fontId="6" fillId="0" borderId="1" xfId="4" quotePrefix="1" applyFont="1" applyBorder="1" applyAlignment="1">
      <alignment vertical="center"/>
    </xf>
    <xf numFmtId="0" fontId="24" fillId="5" borderId="1" xfId="13" applyFont="1" applyFill="1" applyBorder="1" applyAlignment="1">
      <alignment horizontal="center" vertical="center" wrapText="1"/>
    </xf>
    <xf numFmtId="0" fontId="9" fillId="10" borderId="3" xfId="13" applyFont="1" applyFill="1" applyBorder="1" applyAlignment="1">
      <alignment horizontal="center" vertical="center" wrapText="1"/>
    </xf>
    <xf numFmtId="0" fontId="9" fillId="10" borderId="4" xfId="13" applyFont="1" applyFill="1" applyBorder="1" applyAlignment="1">
      <alignment horizontal="center" vertical="center" wrapText="1"/>
    </xf>
    <xf numFmtId="0" fontId="9" fillId="10" borderId="2" xfId="13" applyFont="1" applyFill="1" applyBorder="1" applyAlignment="1">
      <alignment horizontal="center" vertical="center" wrapText="1"/>
    </xf>
    <xf numFmtId="0" fontId="9" fillId="5" borderId="1" xfId="2" applyFont="1" applyFill="1" applyBorder="1" applyAlignment="1">
      <alignment horizontal="center" vertical="center" wrapText="1"/>
    </xf>
    <xf numFmtId="0" fontId="9" fillId="10" borderId="3" xfId="2" applyFont="1" applyFill="1" applyBorder="1" applyAlignment="1">
      <alignment horizontal="center" vertical="center" wrapText="1"/>
    </xf>
    <xf numFmtId="0" fontId="9" fillId="10" borderId="4" xfId="2" applyFont="1" applyFill="1" applyBorder="1" applyAlignment="1">
      <alignment horizontal="center" vertical="center" wrapText="1"/>
    </xf>
    <xf numFmtId="0" fontId="9" fillId="10" borderId="2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left" vertical="center" wrapText="1"/>
    </xf>
    <xf numFmtId="0" fontId="6" fillId="0" borderId="7" xfId="2" applyFont="1" applyBorder="1" applyAlignment="1">
      <alignment horizontal="left" vertical="center" wrapText="1"/>
    </xf>
    <xf numFmtId="0" fontId="6" fillId="0" borderId="6" xfId="2" applyFont="1" applyBorder="1" applyAlignment="1">
      <alignment horizontal="left" vertical="center" wrapText="1"/>
    </xf>
    <xf numFmtId="0" fontId="6" fillId="0" borderId="6" xfId="2" applyFont="1" applyBorder="1" applyAlignment="1">
      <alignment horizontal="left" vertical="center"/>
    </xf>
    <xf numFmtId="0" fontId="6" fillId="0" borderId="1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</cellXfs>
  <cellStyles count="4006">
    <cellStyle name=" _x0007_LÓ_x0018_ÄþÍN^NuNVþˆHÁ_x0001__x0018_(n 7" xfId="41" xr:uid="{F9583A74-62B2-46F9-945D-022B604F0506}"/>
    <cellStyle name="0,0_x000d__x000a_NA_x000d__x000a_ 2" xfId="34" xr:uid="{DBBDC348-3F7C-4544-9862-43809E77FC6F}"/>
    <cellStyle name="60% - 着色 1 2" xfId="249" xr:uid="{38E38AE7-2CDD-421D-BAD9-DE60316DA68A}"/>
    <cellStyle name="60% - 着色 1 2 2" xfId="3982" xr:uid="{FF14642C-1BAB-4874-9E6E-7625DAF61314}"/>
    <cellStyle name="60% - 着色 2 2" xfId="260" xr:uid="{13D55EF5-D336-4D80-BF0B-BA85288E3B3C}"/>
    <cellStyle name="60% - 着色 2 2 2" xfId="3983" xr:uid="{33F05F8B-8916-440F-9EF6-82866BFA28B4}"/>
    <cellStyle name="60% - 着色 3 2" xfId="263" xr:uid="{7E3B4E4D-31DE-4702-B164-2A3D57F61B8F}"/>
    <cellStyle name="60% - 着色 3 2 2" xfId="3984" xr:uid="{667F2EEF-A8F0-40C2-A768-07ED4A3028A0}"/>
    <cellStyle name="60% - 着色 4 2" xfId="265" xr:uid="{19E82613-9B99-45C1-9CE2-83EE6A7DDE88}"/>
    <cellStyle name="60% - 着色 4 2 2" xfId="3985" xr:uid="{7864E06B-C528-4048-9A74-505FD3075262}"/>
    <cellStyle name="60% - 着色 5 2" xfId="271" xr:uid="{F2B4E44C-817F-4AC0-8F30-B64A144DA762}"/>
    <cellStyle name="60% - 着色 5 2 2" xfId="3986" xr:uid="{75DB4F59-C633-4323-9249-088341339E97}"/>
    <cellStyle name="60% - 着色 6 2" xfId="206" xr:uid="{0FBB6BEA-040E-4815-86C5-6B98F43ADAE5}"/>
    <cellStyle name="60% - 着色 6 2 2" xfId="3981" xr:uid="{F7AE6FAD-AFB7-40A3-B43C-124FF731B460}"/>
    <cellStyle name="Comma" xfId="245" xr:uid="{73FB7B70-C7E0-42C5-B659-BEF31E7C9B31}"/>
    <cellStyle name="Comma [0]" xfId="242" xr:uid="{7851BF9B-C670-4929-AF25-FB4B81291C9B}"/>
    <cellStyle name="Comma [0] 2" xfId="231" xr:uid="{81D49C89-BBA8-4928-B601-3DF9E98C84A3}"/>
    <cellStyle name="Comma [0] 2 2" xfId="275" xr:uid="{93E7CA67-B7C0-43CA-9E64-FE1303594072}"/>
    <cellStyle name="Comma [0] 2 2 2" xfId="3989" xr:uid="{67679CDF-9D46-4922-9A1E-F7D79A37A5FD}"/>
    <cellStyle name="Comma [0] 2 3" xfId="224" xr:uid="{40ED0815-7005-4616-9A2B-7469735E0AB3}"/>
    <cellStyle name="Comma [0] 2 3 2" xfId="3977" xr:uid="{AD4DEAF3-ADFC-42EB-8A11-DE92F0D76807}"/>
    <cellStyle name="Comma [0] 2 4" xfId="3973" xr:uid="{AE926521-2798-4969-957F-33822B75DD3D}"/>
    <cellStyle name="Comma [0] 3" xfId="95" xr:uid="{A793384B-3527-4011-9079-11B1A67E52B5}"/>
    <cellStyle name="Comma [0] 3 2" xfId="3976" xr:uid="{A42533AF-BE71-402F-99B9-BBAFC55D0626}"/>
    <cellStyle name="Comma [0] 4" xfId="236" xr:uid="{26BBCB87-D4E4-4E92-A768-90AB8745A5DC}"/>
    <cellStyle name="Comma [0] 4 2" xfId="3979" xr:uid="{D0EE475D-4BB7-4D57-999F-706951B449C6}"/>
    <cellStyle name="Comma [0] 5" xfId="276" xr:uid="{EB708CD7-8BC3-4A5B-A7E6-8A16038D1AC5}"/>
    <cellStyle name="Comma [0] 5 2" xfId="3987" xr:uid="{A22FFC17-A4C9-4EF5-832B-AC070FCAD654}"/>
    <cellStyle name="Comma [0] 6" xfId="3974" xr:uid="{8DD84728-64C7-4BE0-80F7-9848DCDC1B26}"/>
    <cellStyle name="Comma 10" xfId="160" xr:uid="{3ACE0E23-C27D-49FC-9DB0-5B3EB41DC3CB}"/>
    <cellStyle name="Comma 10 2" xfId="3980" xr:uid="{6D3BBA11-5B0E-4FE1-8430-437B903800C2}"/>
    <cellStyle name="Comma 11" xfId="281" xr:uid="{0DBF9352-5BB0-4095-9F73-FEDA7CF8AFFD}"/>
    <cellStyle name="Comma 11 2" xfId="3990" xr:uid="{9E5B4912-10C2-4494-AB74-1BA8D3BFA7B2}"/>
    <cellStyle name="Comma 12" xfId="287" xr:uid="{EC03B138-1CCD-43CF-BA61-FA4D0063BF01}"/>
    <cellStyle name="Comma 12 2" xfId="3991" xr:uid="{C7F9C34B-1690-499F-A67E-F7B428E69DCA}"/>
    <cellStyle name="Comma 13" xfId="290" xr:uid="{8D4223E2-6946-4D9A-A785-FAFFC06ED085}"/>
    <cellStyle name="Comma 13 2" xfId="3992" xr:uid="{ABE482E1-91F5-48B1-A9C1-8D56749A01B1}"/>
    <cellStyle name="Comma 14" xfId="294" xr:uid="{7BD87393-F44D-46EE-B19F-24BE580912CF}"/>
    <cellStyle name="Comma 14 2" xfId="3993" xr:uid="{9A44C835-EA1B-4994-B203-68C89A6909E6}"/>
    <cellStyle name="Comma 15" xfId="295" xr:uid="{64A9EF2C-1B45-4C86-989A-92A5AE9C0EDA}"/>
    <cellStyle name="Comma 15 2" xfId="3988" xr:uid="{6E12017D-A9A7-4591-9690-6A706EA78AB0}"/>
    <cellStyle name="Comma 16" xfId="3975" xr:uid="{B406DFDC-B234-44B9-893D-79F334B7DD95}"/>
    <cellStyle name="Comma 2" xfId="102" xr:uid="{52DE2F6C-E338-4EC4-9F05-A2F73541785F}"/>
    <cellStyle name="Comma 2 2" xfId="296" xr:uid="{9C92EDBE-093D-49F2-98AE-1C03312539CB}"/>
    <cellStyle name="Comma 2 2 2" xfId="3994" xr:uid="{461B6182-317D-4C01-BDA9-C6F99A06B2DB}"/>
    <cellStyle name="Comma 2 3" xfId="297" xr:uid="{5E75A816-2BB0-4E47-8C13-068598F10D67}"/>
    <cellStyle name="Comma 2 3 2" xfId="3978" xr:uid="{9A9C469E-125A-4A7A-A598-2503520C6FFF}"/>
    <cellStyle name="Comma 2 4" xfId="3972" xr:uid="{C73F36AF-0156-4679-8F82-BABBD6BBBC99}"/>
    <cellStyle name="Comma 3" xfId="299" xr:uid="{7B1D71F9-35C5-4C1B-8F68-9E0061D9C19D}"/>
    <cellStyle name="Comma 3 2" xfId="3995" xr:uid="{28222B25-10C2-4F7D-B2B3-C66CBCDE544C}"/>
    <cellStyle name="Comma 4" xfId="310" xr:uid="{BFC699F4-5166-42C6-A870-8A2F2FBA66DD}"/>
    <cellStyle name="Comma 4 2" xfId="3996" xr:uid="{1D49834E-FE5F-4061-9AD8-5E77E6724E9F}"/>
    <cellStyle name="Comma 5" xfId="314" xr:uid="{7672D4B8-9A18-493C-95C8-727441E96172}"/>
    <cellStyle name="Comma 5 2" xfId="3997" xr:uid="{4D6E83F0-943E-406D-BCB4-97019FCEDEBE}"/>
    <cellStyle name="Comma 6" xfId="320" xr:uid="{4B3F1170-310F-4D32-9619-20029DBF9B51}"/>
    <cellStyle name="Comma 6 2" xfId="3998" xr:uid="{A1485DE7-DE52-4966-946E-37944926903D}"/>
    <cellStyle name="Comma 7" xfId="328" xr:uid="{26584795-F5E8-4DF6-9960-2514319F2E03}"/>
    <cellStyle name="Comma 7 2" xfId="3999" xr:uid="{A5A735B6-9224-4FE4-99D8-67F2281554CD}"/>
    <cellStyle name="Comma 8" xfId="338" xr:uid="{C1095E6D-1C6C-4604-AE9A-39CB30AF66E1}"/>
    <cellStyle name="Comma 8 2" xfId="4000" xr:uid="{123B15EA-43AA-4E02-A6B0-5CB4ECB37754}"/>
    <cellStyle name="Comma 9" xfId="347" xr:uid="{157244B2-116A-41ED-A8FC-DBF1B5718ACE}"/>
    <cellStyle name="Comma 9 2" xfId="4001" xr:uid="{7277FF5F-5379-486A-BF65-FF5F0167BF1E}"/>
    <cellStyle name="Currency" xfId="349" xr:uid="{33736092-F64A-4694-BD3C-D33ECD5D70C8}"/>
    <cellStyle name="Currency [0]" xfId="144" xr:uid="{3E1167F6-5B3A-4FF3-8F23-80317A29BCEA}"/>
    <cellStyle name="Currency [0] 2" xfId="354" xr:uid="{3B9BAB45-439D-4980-AD2A-1A9385B848CC}"/>
    <cellStyle name="Currency 2" xfId="355" xr:uid="{D8BA39A3-AAE8-4884-BEE0-83ABFDA4C369}"/>
    <cellStyle name="Normal" xfId="28" xr:uid="{7EACC4D5-B141-47F7-8C02-58A0CC3CDB11}"/>
    <cellStyle name="Normal 2" xfId="16" xr:uid="{BA8FD3F8-075C-4AF2-AC41-777E21BBF456}"/>
    <cellStyle name="Normal 2 2" xfId="371" xr:uid="{4369D33E-6013-442F-9BC3-D58403F5E805}"/>
    <cellStyle name="Normal 2 2 2" xfId="372" xr:uid="{66E32FF7-EAE4-4D0E-9A39-89975EAE501C}"/>
    <cellStyle name="Normal 2 2 2 2" xfId="373" xr:uid="{D1E53EDD-3214-4F77-9C83-38EA2DD0A989}"/>
    <cellStyle name="Normal 2 2 2 2 2" xfId="163" xr:uid="{5B6B59B8-FF28-43FD-ACD5-AB3BD3132FB1}"/>
    <cellStyle name="Normal 2 2 2 3" xfId="374" xr:uid="{5D9D5902-7425-4A8B-A1CF-9EF7B2B7C50F}"/>
    <cellStyle name="Normal 2 2 3" xfId="375" xr:uid="{0E4F7585-8867-4234-BB25-5039CDDDF299}"/>
    <cellStyle name="Normal 2 2 3 2" xfId="376" xr:uid="{92457A0A-4458-4845-BA03-C03B6183F938}"/>
    <cellStyle name="Normal 2 2 4" xfId="377" xr:uid="{BD5FDE52-5A46-4FE6-8BB8-35BC8A64B78A}"/>
    <cellStyle name="Normal 2 3" xfId="379" xr:uid="{67FD99E5-2706-471D-BB30-504956E079B5}"/>
    <cellStyle name="Normal 2 3 2" xfId="391" xr:uid="{1EEADFEA-0684-4EA0-BE6A-C324D58C5744}"/>
    <cellStyle name="Normal 2 3 2 2" xfId="152" xr:uid="{5AE81D6A-E6C3-4DA9-8027-01ACB40FE019}"/>
    <cellStyle name="Normal 2 3 3" xfId="396" xr:uid="{2177B839-1C01-4549-85AF-B2BC2FBDAC3D}"/>
    <cellStyle name="Normal 2 4" xfId="400" xr:uid="{81F48F96-F2AD-4033-9232-8491F21CCFDD}"/>
    <cellStyle name="Normal 2 4 2" xfId="410" xr:uid="{F75A7870-30C9-42A1-B1EE-A986758C70AA}"/>
    <cellStyle name="Normal 2 5" xfId="415" xr:uid="{C3846003-510B-4B38-8907-AA205761B58B}"/>
    <cellStyle name="Normal 3" xfId="423" xr:uid="{80FF76F7-419B-4BC8-A361-3BCC6623E759}"/>
    <cellStyle name="Normal 3 2" xfId="430" xr:uid="{8486F444-ACC1-46F2-AA47-078A1B3804FE}"/>
    <cellStyle name="Normal 3 2 2" xfId="64" xr:uid="{B5B0480E-1A16-4D2F-875B-1BF20EA44EA3}"/>
    <cellStyle name="Normal 3 2 2 2" xfId="431" xr:uid="{E5E69125-3611-47C9-B190-F78606BD2146}"/>
    <cellStyle name="Normal 3 2 3" xfId="194" xr:uid="{28A2B6E9-46C4-4950-ADD6-DA5A22D631A0}"/>
    <cellStyle name="Normal 3 3" xfId="432" xr:uid="{5C4D8E9B-B30C-4F6F-8B60-DAFD46B59F5A}"/>
    <cellStyle name="Normal 3 3 2" xfId="339" xr:uid="{7A0EE85C-92AF-4F6C-ADE8-250D2BE44E41}"/>
    <cellStyle name="Normal 3 3 2 2" xfId="442" xr:uid="{62525B39-A5AF-42FF-A276-A5B1F95B79E2}"/>
    <cellStyle name="Normal 3 3 2 2 2" xfId="452" xr:uid="{C655BB54-2F97-466E-8444-8FE001BD2B85}"/>
    <cellStyle name="Normal 3 3 2 3" xfId="458" xr:uid="{E5544B89-0BCA-4171-882C-7A624D95603D}"/>
    <cellStyle name="Normal 3 3 3" xfId="348" xr:uid="{43597941-EAF6-4608-84A0-27A5BD29390A}"/>
    <cellStyle name="Normal 3 3 3 2" xfId="465" xr:uid="{3D0B8C14-0D32-4BC9-A157-43058DE14DD7}"/>
    <cellStyle name="Normal 3 3 4" xfId="470" xr:uid="{4063C37F-234D-4EA7-BBEB-BFDFD9615220}"/>
    <cellStyle name="Normal 3 4" xfId="477" xr:uid="{7E8A2394-A135-4FB5-9953-8583DB70FD7B}"/>
    <cellStyle name="Normal 3 4 2" xfId="488" xr:uid="{001951F6-0723-408A-946F-D15AC9995622}"/>
    <cellStyle name="Normal 3 4 2 2" xfId="307" xr:uid="{51BAD685-5172-4511-9869-2F8AEF5D773D}"/>
    <cellStyle name="Normal 3 4 3" xfId="497" xr:uid="{B6867857-3B87-49CE-BD13-A865F741E7B8}"/>
    <cellStyle name="Normal 3 5" xfId="499" xr:uid="{F4A88237-46B1-4097-8CB4-553611B643BC}"/>
    <cellStyle name="Normal 3 5 2" xfId="504" xr:uid="{426A571C-1581-428A-83F9-7E79EAF3399F}"/>
    <cellStyle name="Normal 3 6" xfId="507" xr:uid="{F4504A6C-FE6D-4908-B37C-2FC017AB4924}"/>
    <cellStyle name="Normal 4" xfId="511" xr:uid="{76246862-BE14-4CAE-B37F-5A2F0FBE47AF}"/>
    <cellStyle name="Normal 4 2" xfId="516" xr:uid="{0DDD4AD8-67BD-4CD5-B225-FD6E4029EF63}"/>
    <cellStyle name="Normal 4 2 2" xfId="519" xr:uid="{EA1AFDE1-C805-4562-9B6B-B63F30D790B8}"/>
    <cellStyle name="Normal 4 2 2 2" xfId="520" xr:uid="{AE33F4D3-5E09-4EB0-BF9E-F6EF5E9CB9A0}"/>
    <cellStyle name="Normal 4 2 3" xfId="522" xr:uid="{FE7B2251-9B7C-459B-B1C1-89CC03EEF871}"/>
    <cellStyle name="Normal 4 3" xfId="526" xr:uid="{A0F4DD11-C0DD-42ED-AAA5-EF1E9A080F11}"/>
    <cellStyle name="Normal 4 3 2" xfId="531" xr:uid="{8F211845-902F-46D8-8124-FB0DF16A3DA1}"/>
    <cellStyle name="Normal 4 4" xfId="532" xr:uid="{098F1B6B-0777-4D9B-A567-C836A9E632CC}"/>
    <cellStyle name="Normal 5" xfId="534" xr:uid="{AEEAFB5F-F4E6-43B5-887E-369AE0A181DD}"/>
    <cellStyle name="Normal 5 2" xfId="537" xr:uid="{F5BFFA79-7339-4D11-845A-2922249FE10B}"/>
    <cellStyle name="Normal 5 2 2" xfId="538" xr:uid="{42BF960D-44F0-421F-982B-C608A4AEB85A}"/>
    <cellStyle name="Normal 5 3" xfId="540" xr:uid="{3F33EAF7-A5C4-4309-AA22-4297E3F7EF33}"/>
    <cellStyle name="Normal 6" xfId="541" xr:uid="{B4C59085-91D5-4201-A54D-D90F67D23435}"/>
    <cellStyle name="Normal 6 2" xfId="246" xr:uid="{88D0D5DE-3B61-4CC6-A079-61220C5B970D}"/>
    <cellStyle name="Normal 7" xfId="543" xr:uid="{C398F4D9-FE45-462C-A5CF-8432E4312C93}"/>
    <cellStyle name="Normal 9" xfId="40" xr:uid="{F96F9405-C32E-4EFA-9FF5-356014163172}"/>
    <cellStyle name="Percent" xfId="547" xr:uid="{CD633447-95AE-4900-B829-910063949E53}"/>
    <cellStyle name="百分比 2" xfId="21" xr:uid="{B30BC40E-BD25-4330-BBCD-026107233B28}"/>
    <cellStyle name="百分比 2 2" xfId="550" xr:uid="{7AF66375-52E1-45C0-8967-E371B6336355}"/>
    <cellStyle name="百分比 2 2 2" xfId="558" xr:uid="{3F6865E0-FD33-4034-B03B-043ECB0EE219}"/>
    <cellStyle name="百分比 2 2 2 2" xfId="559" xr:uid="{3D6F0DD1-1C6F-483A-ADA6-832CC2C38608}"/>
    <cellStyle name="百分比 2 2 2 2 2" xfId="560" xr:uid="{302CC953-91E7-49B8-B89A-BD26A8392A8E}"/>
    <cellStyle name="百分比 2 2 2 3" xfId="563" xr:uid="{852BE080-12A4-4C8A-901E-EA9EF671B028}"/>
    <cellStyle name="百分比 2 2 3" xfId="564" xr:uid="{D8443651-12DB-4F6F-B298-1A668254ACDC}"/>
    <cellStyle name="百分比 2 2 3 2" xfId="565" xr:uid="{88D055F1-04F0-466C-BF8B-C166B303F201}"/>
    <cellStyle name="百分比 2 2 3 2 2" xfId="571" xr:uid="{2352CF7D-8F75-4AAF-8A10-1FC14CADAA97}"/>
    <cellStyle name="百分比 2 2 3 2 2 2" xfId="578" xr:uid="{C5247EB1-B3C9-43D4-9427-389806129DA2}"/>
    <cellStyle name="百分比 2 2 3 2 3" xfId="383" xr:uid="{BF82625F-E97A-470C-A300-AAA6F9385757}"/>
    <cellStyle name="百分比 2 2 3 3" xfId="581" xr:uid="{7D89E048-D733-4395-A674-A59266B3C14C}"/>
    <cellStyle name="百分比 2 2 3 3 2" xfId="587" xr:uid="{7011FF81-1B7A-43EA-A4E2-73D820225CAF}"/>
    <cellStyle name="百分比 2 2 3 4" xfId="590" xr:uid="{1E8140D5-E91E-415A-821A-B8F38E91E970}"/>
    <cellStyle name="百分比 2 2 4" xfId="596" xr:uid="{128843F3-040C-489F-A114-E812E6E9AA3B}"/>
    <cellStyle name="百分比 2 2 4 2" xfId="601" xr:uid="{8BF622A8-B494-4D78-A2AB-BCFBE3B3CF46}"/>
    <cellStyle name="百分比 2 2 4 2 2" xfId="331" xr:uid="{28959802-FEB4-479F-89A9-3776FF812F0A}"/>
    <cellStyle name="百分比 2 2 4 3" xfId="607" xr:uid="{C0812F83-4F43-4F70-89D1-CA277B0D175C}"/>
    <cellStyle name="百分比 2 2 5" xfId="614" xr:uid="{4F0F1AFB-B8E0-4569-A2BD-68B6682054F1}"/>
    <cellStyle name="百分比 2 2 5 2" xfId="619" xr:uid="{5D120920-2B87-4553-805C-AF7402D1DA42}"/>
    <cellStyle name="百分比 2 2 6" xfId="624" xr:uid="{7B5F559B-191E-4737-9863-034E3AC6196E}"/>
    <cellStyle name="百分比 2 3" xfId="627" xr:uid="{EE072FE3-A5BE-4B02-A1CF-1B66CCCB9F60}"/>
    <cellStyle name="百分比 2 3 2" xfId="630" xr:uid="{00D08590-FC7D-4D8D-9637-226825EA794C}"/>
    <cellStyle name="百分比 2 3 2 2" xfId="633" xr:uid="{06BD583B-4D36-4E17-8BEF-F7C60A80F6AE}"/>
    <cellStyle name="百分比 2 3 2 2 2" xfId="638" xr:uid="{FAF72E36-D434-49B7-92D7-E5CD068CA63F}"/>
    <cellStyle name="百分比 2 3 2 3" xfId="641" xr:uid="{A3F13DF6-CD84-4963-886F-ECA3472F9719}"/>
    <cellStyle name="百分比 2 3 3" xfId="642" xr:uid="{ACD44A4D-5730-49B5-AA5A-73B000E9E483}"/>
    <cellStyle name="百分比 2 3 3 2" xfId="647" xr:uid="{5F78A675-93B3-44BD-ACDA-7CA6AEB1584D}"/>
    <cellStyle name="百分比 2 3 4" xfId="360" xr:uid="{C40ED1D7-4D6C-4529-9B93-A0D9EB6E21BC}"/>
    <cellStyle name="百分比 2 4" xfId="652" xr:uid="{A41E8E85-7BC7-4FEB-8BDC-B76970AB9B49}"/>
    <cellStyle name="百分比 2 4 2" xfId="657" xr:uid="{B76C9D49-DAB5-4673-B392-C08EC9D77D27}"/>
    <cellStyle name="百分比 2 4 2 2" xfId="664" xr:uid="{0EA65B1B-9D76-4ACC-B1FF-65E0C85C8ABB}"/>
    <cellStyle name="百分比 2 4 3" xfId="668" xr:uid="{59BF576D-8356-494D-B955-3D23071690C5}"/>
    <cellStyle name="百分比 2 5" xfId="674" xr:uid="{9FF7D971-8DB3-437F-94F3-CA2698B33CFF}"/>
    <cellStyle name="百分比 2 5 2" xfId="678" xr:uid="{24B0AC11-2707-4992-9AFD-9654BF31CE9B}"/>
    <cellStyle name="百分比 2 6" xfId="680" xr:uid="{6845816A-22D3-4160-88A9-9F53CAB37D10}"/>
    <cellStyle name="百分比 2 7" xfId="685" xr:uid="{15E4DFFB-0B9A-4904-952D-40D8AA606A4F}"/>
    <cellStyle name="百分比 3" xfId="688" xr:uid="{3B315E07-5541-4169-968A-11DB4A06ADFA}"/>
    <cellStyle name="百分比 3 2" xfId="693" xr:uid="{5E441640-D9FE-4F05-B196-E719F7641FC0}"/>
    <cellStyle name="百分比 3 2 2" xfId="694" xr:uid="{77BE4C07-E81A-4259-B1C0-40A44433F274}"/>
    <cellStyle name="百分比 3 2 2 2" xfId="509" xr:uid="{07532C32-1AE1-4E49-A7B5-E374DC8085E2}"/>
    <cellStyle name="百分比 3 2 2 2 2" xfId="512" xr:uid="{5CF66F6A-3762-4322-9397-44770559BD6C}"/>
    <cellStyle name="百分比 3 2 2 3" xfId="533" xr:uid="{1538623F-0DE7-4E0C-8799-DB315D93612F}"/>
    <cellStyle name="百分比 3 2 3" xfId="695" xr:uid="{BFEEE306-C06B-426D-B730-FD18054B338D}"/>
    <cellStyle name="百分比 3 2 3 2" xfId="199" xr:uid="{B9BCED58-8F50-4CBA-9BBA-1A3D5D9D619E}"/>
    <cellStyle name="百分比 3 2 3 2 2" xfId="697" xr:uid="{1373FB1C-4747-42D1-9F9B-32978A332498}"/>
    <cellStyle name="百分比 3 2 3 2 2 2" xfId="700" xr:uid="{B55867DB-BB9C-4E6D-95BA-072D898010EC}"/>
    <cellStyle name="百分比 3 2 3 2 3" xfId="238" xr:uid="{996E4EEA-861B-42E4-A8C8-BE52D50359AD}"/>
    <cellStyle name="百分比 3 2 3 3" xfId="215" xr:uid="{C4A5BFD7-A643-408A-BF40-EC2B4AFCFF29}"/>
    <cellStyle name="百分比 3 2 3 3 2" xfId="703" xr:uid="{837245DF-35E5-4F0B-837E-A6E2E9DE4D24}"/>
    <cellStyle name="百分比 3 2 3 4" xfId="705" xr:uid="{48404A67-90C8-467E-A066-F1680C32D3FF}"/>
    <cellStyle name="百分比 3 2 4" xfId="710" xr:uid="{17B76EB1-03FC-4FB6-80FF-97B92ED8842C}"/>
    <cellStyle name="百分比 3 2 4 2" xfId="720" xr:uid="{C7D4B9FC-FC23-40D7-80E4-9DE5D027FBC7}"/>
    <cellStyle name="百分比 3 2 4 2 2" xfId="724" xr:uid="{8BCDA455-544F-4E2F-BA2C-AA69CA14B9B6}"/>
    <cellStyle name="百分比 3 2 4 3" xfId="61" xr:uid="{90C59275-1A88-4F66-8F9E-2F0D3185E91A}"/>
    <cellStyle name="百分比 3 2 5" xfId="729" xr:uid="{B4CD88F7-F1B1-4F52-B91B-0A70C5105E41}"/>
    <cellStyle name="百分比 3 2 5 2" xfId="735" xr:uid="{DEAF4059-1721-4D84-B972-EED731E28CAB}"/>
    <cellStyle name="百分比 3 2 6" xfId="109" xr:uid="{20DB554E-6558-445D-A0B7-E71371A8D86D}"/>
    <cellStyle name="百分比 3 3" xfId="736" xr:uid="{C7A22A6D-930E-40CB-90C5-43CB27732FF2}"/>
    <cellStyle name="百分比 3 3 2" xfId="740" xr:uid="{9EA82FFC-F231-463C-995B-764C8A0FB2FD}"/>
    <cellStyle name="百分比 3 3 2 2" xfId="743" xr:uid="{79277D0F-0A32-4187-BB64-1611FD8AF447}"/>
    <cellStyle name="百分比 3 3 2 2 2" xfId="747" xr:uid="{A7EAA363-1254-4F7F-94C5-3F650343E04F}"/>
    <cellStyle name="百分比 3 3 2 3" xfId="750" xr:uid="{5ED399D7-370A-4FCC-BF96-5184F63E89A3}"/>
    <cellStyle name="百分比 3 3 3" xfId="753" xr:uid="{4F1AB0FF-C075-442B-839B-BC356F384F01}"/>
    <cellStyle name="百分比 3 3 3 2" xfId="757" xr:uid="{7EFE0D33-01D3-4E10-8CF0-BD1F6501FDEF}"/>
    <cellStyle name="百分比 3 3 4" xfId="762" xr:uid="{AF099C90-77E0-4052-9F35-8AB070EB62E4}"/>
    <cellStyle name="百分比 3 4" xfId="767" xr:uid="{C1FD474A-1738-466C-B07F-A02B76C4C23C}"/>
    <cellStyle name="百分比 3 4 2" xfId="772" xr:uid="{35928CE3-E7E6-4E62-9559-44C805D6C291}"/>
    <cellStyle name="百分比 3 4 2 2" xfId="778" xr:uid="{6D4818DA-4FC3-46F1-B28B-1FAFFDFDDB94}"/>
    <cellStyle name="百分比 3 4 3" xfId="786" xr:uid="{CC33A191-07E7-4BB6-B7D2-12E3412544BD}"/>
    <cellStyle name="百分比 3 5" xfId="790" xr:uid="{669BC916-8125-4BC9-A209-41142DDB6CA5}"/>
    <cellStyle name="百分比 3 5 2" xfId="170" xr:uid="{B56F4582-CFAF-4E6E-9E40-B863EB6F3D55}"/>
    <cellStyle name="百分比 3 6" xfId="796" xr:uid="{0BDBEFE4-D25A-4BB2-83A3-7C856DE0E7D7}"/>
    <cellStyle name="百分比 4" xfId="115" xr:uid="{6CEBCF91-8A87-4883-9567-BEDE507B5E6D}"/>
    <cellStyle name="百分比 4 2" xfId="798" xr:uid="{A0A249B4-1CD0-4757-B96B-DC0E4EDD4702}"/>
    <cellStyle name="百分比 4 2 2" xfId="267" xr:uid="{090FA8CE-F378-4B7C-8D3A-E744F10BEC54}"/>
    <cellStyle name="百分比 4 2 2 2" xfId="803" xr:uid="{34B4E635-00C9-4755-ABB8-704BD43E9756}"/>
    <cellStyle name="百分比 4 2 2 2 2" xfId="805" xr:uid="{14C69D6E-A883-440A-9785-44E64713C990}"/>
    <cellStyle name="百分比 4 2 2 3" xfId="807" xr:uid="{29FE5ABB-5CE8-4F0A-986D-CEF6FF6B6887}"/>
    <cellStyle name="百分比 4 2 3" xfId="811" xr:uid="{29B1B3E0-A871-421A-9A5D-E843CA2F3D50}"/>
    <cellStyle name="百分比 4 2 3 2" xfId="813" xr:uid="{BFA808DD-BC42-4649-8950-AA8B06D17BBB}"/>
    <cellStyle name="百分比 4 2 3 2 2" xfId="816" xr:uid="{1FFB6CAF-D262-4D5E-B123-830DB62CCCAE}"/>
    <cellStyle name="百分比 4 2 3 2 2 2" xfId="820" xr:uid="{52FD617C-8EB8-4E94-9E40-EF37947649CE}"/>
    <cellStyle name="百分比 4 2 3 2 3" xfId="825" xr:uid="{614CF1BA-A133-44D8-858B-C3C0A44F44EC}"/>
    <cellStyle name="百分比 4 2 3 3" xfId="833" xr:uid="{755BB047-AA47-4D9D-8459-7608C525A2D4}"/>
    <cellStyle name="百分比 4 2 3 3 2" xfId="837" xr:uid="{E58D4CB3-B9B6-4525-8CEE-50352C0517E8}"/>
    <cellStyle name="百分比 4 2 3 4" xfId="841" xr:uid="{60FB38BA-7353-4D8E-B2BC-6BB14DE64177}"/>
    <cellStyle name="百分比 4 2 4" xfId="843" xr:uid="{D52B5770-D323-4779-87CE-2376E5325320}"/>
    <cellStyle name="百分比 4 2 4 2" xfId="417" xr:uid="{44E89E6C-120C-40D1-A030-9F42267C4559}"/>
    <cellStyle name="百分比 4 2 4 2 2" xfId="845" xr:uid="{57817073-6B4D-4D1F-BE87-0669A4FE322F}"/>
    <cellStyle name="百分比 4 2 4 3" xfId="847" xr:uid="{15D0DA99-9A18-4E41-B2A3-FCD4EB906212}"/>
    <cellStyle name="百分比 4 2 5" xfId="851" xr:uid="{04EC653A-2ED0-47C0-B1A1-1E6034955123}"/>
    <cellStyle name="百分比 4 2 5 2" xfId="500" xr:uid="{F908238C-3AC4-46BA-A705-60E69605E662}"/>
    <cellStyle name="百分比 4 2 6" xfId="854" xr:uid="{3B502306-B8B9-4A7E-B259-512D7EECB22C}"/>
    <cellStyle name="百分比 4 3" xfId="856" xr:uid="{F4FE0E58-034B-475C-9EEF-9E5E412CD8C1}"/>
    <cellStyle name="百分比 4 3 2" xfId="273" xr:uid="{8A36388E-A44A-496F-9E31-C55E5E29FE49}"/>
    <cellStyle name="百分比 4 3 2 2" xfId="858" xr:uid="{2D785899-8CA2-474E-83E4-B821BD3CF700}"/>
    <cellStyle name="百分比 4 3 2 2 2" xfId="192" xr:uid="{86DB71B2-D526-4559-BC94-ECAF0D96862D}"/>
    <cellStyle name="百分比 4 3 2 3" xfId="177" xr:uid="{6BB2E85F-9684-4C03-B49F-F6314AFF9072}"/>
    <cellStyle name="百分比 4 3 3" xfId="860" xr:uid="{2D725762-C0B4-495B-9351-3B2BF04AB7D0}"/>
    <cellStyle name="百分比 4 3 3 2" xfId="865" xr:uid="{433ABC9D-5064-4102-8B50-A03C33F7D0A1}"/>
    <cellStyle name="百分比 4 3 4" xfId="635" xr:uid="{D2A3B126-98E3-412C-B5D9-03B315D9D1B4}"/>
    <cellStyle name="百分比 4 4" xfId="866" xr:uid="{6BCCE32E-9555-423F-A09C-46E5F316C30D}"/>
    <cellStyle name="百分比 4 4 2" xfId="209" xr:uid="{0A8DE8CA-3060-458B-962E-1BA567CE146B}"/>
    <cellStyle name="百分比 4 4 2 2" xfId="874" xr:uid="{F7970FF9-73EB-4516-93D9-9AD5056D972A}"/>
    <cellStyle name="百分比 4 4 3" xfId="223" xr:uid="{868F2523-867E-459B-9AF9-1123AE7AF3E2}"/>
    <cellStyle name="百分比 4 5" xfId="875" xr:uid="{89A50295-BFC4-4C0D-92C4-0CA27FA83D99}"/>
    <cellStyle name="百分比 4 5 2" xfId="113" xr:uid="{244F6D84-E3BC-4CB5-9A37-480C9BFF0A6C}"/>
    <cellStyle name="百分比 4 6" xfId="876" xr:uid="{6491D45B-8D45-4E11-8636-B4224F31F45E}"/>
    <cellStyle name="常规" xfId="0" builtinId="0"/>
    <cellStyle name="常规 10" xfId="27" xr:uid="{67E2A1A5-1DFA-428B-BAE4-EE02B87F3BF3}"/>
    <cellStyle name="常规 10 2" xfId="322" xr:uid="{C0ECEAA0-DCE7-40B0-B7F3-9FEBC0458960}"/>
    <cellStyle name="常规 10 2 2" xfId="883" xr:uid="{C2ABD741-8E75-42BC-B7B7-9EDB967CE9B0}"/>
    <cellStyle name="常规 10 2 2 2" xfId="884" xr:uid="{5432FB2E-8C49-4B0A-B67B-CFCFAE1DED66}"/>
    <cellStyle name="常规 10 2 2 2 2" xfId="885" xr:uid="{E908FE5B-63C8-4B92-91C8-57C2317A9ACF}"/>
    <cellStyle name="常规 10 2 2 2 2 2" xfId="749" xr:uid="{9262042E-C088-42B9-9FC4-6C196184B5A4}"/>
    <cellStyle name="常规 10 2 2 2 3" xfId="887" xr:uid="{6C899AE7-FD05-4FC2-B8BE-9A9FE1F1EE9E}"/>
    <cellStyle name="常规 10 2 2 3" xfId="96" xr:uid="{0F609F4E-5AA8-47A2-8A89-D7843A3CDB7E}"/>
    <cellStyle name="常规 10 2 2 3 2" xfId="548" xr:uid="{25294002-08FA-448A-8F28-D6E10FB0F6C4}"/>
    <cellStyle name="常规 10 2 2 3 2 2" xfId="549" xr:uid="{C6888656-B365-4F47-A600-1EF8E2F8F840}"/>
    <cellStyle name="常规 10 2 2 3 2 2 2" xfId="556" xr:uid="{8055A0AC-2991-4848-8541-4205CE6A3831}"/>
    <cellStyle name="常规 10 2 2 3 2 3" xfId="626" xr:uid="{07F27960-BCBA-4C6A-BB44-E6E99A8F74A9}"/>
    <cellStyle name="常规 10 2 2 3 3" xfId="687" xr:uid="{21A2DAAF-B36F-4BCD-AAF0-B5000F0B4B20}"/>
    <cellStyle name="常规 10 2 2 3 3 2" xfId="692" xr:uid="{AC949044-0C3E-4559-84C2-A573226830F0}"/>
    <cellStyle name="常规 10 2 2 3 4" xfId="118" xr:uid="{2E870A94-802B-4E29-A3DF-45C592782A98}"/>
    <cellStyle name="常规 10 2 2 4" xfId="351" xr:uid="{74B72ABA-780B-4640-AE59-A0AC331B8995}"/>
    <cellStyle name="常规 10 2 2 4 2" xfId="849" xr:uid="{AF44FD21-AB1A-4951-BB80-B00FF2036A61}"/>
    <cellStyle name="常规 10 2 2 4 2 2" xfId="498" xr:uid="{964823D5-AC7A-4B22-8A0C-8EFBC79176B6}"/>
    <cellStyle name="常规 10 2 2 4 3" xfId="852" xr:uid="{4C460DCC-D239-4AB3-84B8-635AD405D68F}"/>
    <cellStyle name="常规 10 2 2 5" xfId="888" xr:uid="{984D969F-F2ED-488A-934A-0B363EA6BAA8}"/>
    <cellStyle name="常规 10 2 2 5 2" xfId="65" xr:uid="{0F340B80-C1AC-41DD-B607-B0BE5F09C048}"/>
    <cellStyle name="常规 10 2 2 6" xfId="890" xr:uid="{A3CD5909-257C-48B1-9B57-0C4308AFA0E7}"/>
    <cellStyle name="常规 10 2 3" xfId="891" xr:uid="{24B12723-BECC-4B43-9277-B9A0CB94F1E9}"/>
    <cellStyle name="常规 10 2 3 2" xfId="892" xr:uid="{9775097B-C8EB-446E-ABBC-D5347FB8C72D}"/>
    <cellStyle name="常规 10 2 3 2 2" xfId="894" xr:uid="{B8E62494-45FA-45D1-8303-42CDD18C0A54}"/>
    <cellStyle name="常规 10 2 3 2 2 2" xfId="176" xr:uid="{0F3D33EE-6372-47CE-A113-AFC6A72AC559}"/>
    <cellStyle name="常规 10 2 3 2 3" xfId="896" xr:uid="{1663B817-181B-48B4-9375-BD72E980E302}"/>
    <cellStyle name="常规 10 2 3 3" xfId="897" xr:uid="{6B577C4F-9901-4AA8-9CC7-AD018136B409}"/>
    <cellStyle name="常规 10 2 3 3 2" xfId="899" xr:uid="{EBD91D94-33F5-4F7C-B7E6-33450E45C0FC}"/>
    <cellStyle name="常规 10 2 3 3 2 2" xfId="901" xr:uid="{3F559AEA-F450-4A9D-A362-C3499A6B9BA1}"/>
    <cellStyle name="常规 10 2 3 3 2 2 2" xfId="907" xr:uid="{39807B5F-0F10-4440-B431-0DD04E0594EA}"/>
    <cellStyle name="常规 10 2 3 3 2 3" xfId="910" xr:uid="{D73B86AE-6486-4046-ACD7-903BAA6D526B}"/>
    <cellStyle name="常规 10 2 3 3 3" xfId="913" xr:uid="{D36204F5-C6CE-4B6D-BACB-EAB08C56F920}"/>
    <cellStyle name="常规 10 2 3 3 3 2" xfId="545" xr:uid="{404FC0F3-0B17-41CC-8F1E-42A8E906E573}"/>
    <cellStyle name="常规 10 2 3 3 4" xfId="577" xr:uid="{121676AA-C7AC-4683-8C5D-3EF57ABB89C4}"/>
    <cellStyle name="常规 10 2 3 4" xfId="914" xr:uid="{924FF3D4-DBFB-48DD-9D61-A37C012C2600}"/>
    <cellStyle name="常规 10 2 3 4 2" xfId="916" xr:uid="{ECC66237-0A1A-4915-B0E3-2E263B579399}"/>
    <cellStyle name="常规 10 2 3 4 2 2" xfId="919" xr:uid="{FA974615-5779-40E7-879B-BC1A3FCB4EA4}"/>
    <cellStyle name="常规 10 2 3 4 3" xfId="922" xr:uid="{3CC7A041-C6DF-4CD6-B0BD-85BC0C43090A}"/>
    <cellStyle name="常规 10 2 3 5" xfId="924" xr:uid="{530FF12D-8CDE-4A83-AF3F-021AFD9C9577}"/>
    <cellStyle name="常规 10 2 3 5 2" xfId="928" xr:uid="{06F4F04B-6708-49A6-A01D-7A0C342A442D}"/>
    <cellStyle name="常规 10 2 3 6" xfId="932" xr:uid="{727777BB-B31D-461B-889F-54BEECD964B8}"/>
    <cellStyle name="常规 10 2 4" xfId="934" xr:uid="{29E2416B-01F8-4BA8-B325-4A72233CD683}"/>
    <cellStyle name="常规 10 2 4 2" xfId="937" xr:uid="{2A7FBA77-B255-44B2-9B3C-4E25EA5E184A}"/>
    <cellStyle name="常规 10 2 4 2 2" xfId="603" xr:uid="{D5079145-DD07-4486-8F20-B86078DF72D9}"/>
    <cellStyle name="常规 10 2 4 2 2 2" xfId="939" xr:uid="{0BC35442-5CE4-41DA-89A2-B3CB4497E207}"/>
    <cellStyle name="常规 10 2 4 2 3" xfId="941" xr:uid="{05A7B463-61B7-4CD5-9BCC-916449FE9326}"/>
    <cellStyle name="常规 10 2 4 3" xfId="945" xr:uid="{10128749-4C75-47CC-B7E7-F448BC52AAFC}"/>
    <cellStyle name="常规 10 2 4 3 2" xfId="949" xr:uid="{0AFD1258-B016-4EF7-B919-34D1752CAE6B}"/>
    <cellStyle name="常规 10 2 4 4" xfId="956" xr:uid="{D737E927-C4E5-416E-A82F-C00D12BDB1B5}"/>
    <cellStyle name="常规 10 2 5" xfId="654" xr:uid="{638BF74B-14D3-49AB-995D-3CF0A1E2EA84}"/>
    <cellStyle name="常规 10 2 5 2" xfId="662" xr:uid="{C03AD58B-EB4B-4EBA-9D72-A7A24E1665EC}"/>
    <cellStyle name="常规 10 2 5 2 2" xfId="959" xr:uid="{31DC95DA-6A29-46D5-B2B3-8F098353FC08}"/>
    <cellStyle name="常规 10 2 5 3" xfId="965" xr:uid="{FC2E61CE-3C75-4349-8D7F-78B926108EBA}"/>
    <cellStyle name="常规 10 2 6" xfId="666" xr:uid="{8098F014-35CF-4F8D-A0B4-88E2C5D16450}"/>
    <cellStyle name="常规 10 2 6 2" xfId="967" xr:uid="{75C77B81-3A05-4CE0-A6C5-DCC37B11F3E7}"/>
    <cellStyle name="常规 10 2 7" xfId="968" xr:uid="{5F7D3AB5-CCB2-4BA8-8DC1-69CE661CD057}"/>
    <cellStyle name="常规 10 3" xfId="332" xr:uid="{DAF56336-6C35-4E60-9FED-E6B43F7132DC}"/>
    <cellStyle name="常规 10 3 2" xfId="969" xr:uid="{4CB6A22C-B851-460E-8BDE-6CCFD1C17690}"/>
    <cellStyle name="常规 10 3 2 2" xfId="420" xr:uid="{868B5E07-3DEE-4FB2-A7A3-5A1076090827}"/>
    <cellStyle name="常规 10 3 2 2 2" xfId="426" xr:uid="{9A038F98-A7B5-42A8-86FA-816BADB4F3F7}"/>
    <cellStyle name="常规 10 3 2 3" xfId="508" xr:uid="{5692D7A6-BEEF-4ECB-A6C4-35E6AB01E408}"/>
    <cellStyle name="常规 10 3 3" xfId="973" xr:uid="{89BA426F-BFF3-4296-AB73-E821713AA90C}"/>
    <cellStyle name="常规 10 3 3 2" xfId="190" xr:uid="{25558B45-F188-40B6-A300-CD3713351FAA}"/>
    <cellStyle name="常规 10 3 3 2 2" xfId="952" xr:uid="{625B3F87-3A36-4FA8-B299-CF1C06690272}"/>
    <cellStyle name="常规 10 3 3 2 2 2" xfId="977" xr:uid="{78D13D03-B95A-4532-BA5D-9C9FE4AC1201}"/>
    <cellStyle name="常规 10 3 3 2 3" xfId="983" xr:uid="{4F32CDEB-A2BE-4502-8541-800C74BAC315}"/>
    <cellStyle name="常规 10 3 3 3" xfId="198" xr:uid="{7035EDC4-A110-43BC-911B-0A4410FE4D77}"/>
    <cellStyle name="常规 10 3 3 3 2" xfId="696" xr:uid="{0F15F2B1-A0ED-4F53-B281-381EC930FE37}"/>
    <cellStyle name="常规 10 3 3 4" xfId="213" xr:uid="{34937DEF-575C-4897-9A8C-368FF9A3357A}"/>
    <cellStyle name="常规 10 3 4" xfId="986" xr:uid="{012DA5BE-846A-4DF7-B907-9756D4404F21}"/>
    <cellStyle name="常规 10 3 4 2" xfId="989" xr:uid="{03D52067-8C9F-435C-9A11-0BDE65F7CFAC}"/>
    <cellStyle name="常规 10 3 4 2 2" xfId="62" xr:uid="{41C2D328-23BC-4B56-BD06-BA1B63B15E75}"/>
    <cellStyle name="常规 10 3 4 3" xfId="714" xr:uid="{A4E31082-9955-4ECC-AB01-58604368C2BD}"/>
    <cellStyle name="常规 10 3 5" xfId="676" xr:uid="{DACBD4E7-76E6-4D70-8239-438FE47A8D92}"/>
    <cellStyle name="常规 10 3 5 2" xfId="992" xr:uid="{E521F1C9-FF04-48F8-939D-250E00C6F72D}"/>
    <cellStyle name="常规 10 3 6" xfId="993" xr:uid="{441BE215-0EB9-42BA-A107-445DB52864A7}"/>
    <cellStyle name="常规 10 4" xfId="341" xr:uid="{6C9797FD-66A0-42C5-BEF3-E7CB221B777A}"/>
    <cellStyle name="常规 10 4 2" xfId="437" xr:uid="{33F672FB-F957-49EB-841C-7956C03A6240}"/>
    <cellStyle name="常规 10 4 2 2" xfId="447" xr:uid="{BE7A25C1-BB51-41CF-93E2-5CCA89ADC90F}"/>
    <cellStyle name="常规 10 4 2 2 2" xfId="994" xr:uid="{A7F51EFB-CFBB-4696-8B6A-FA8637640940}"/>
    <cellStyle name="常规 10 4 2 3" xfId="741" xr:uid="{B0BDCA5E-59E6-4D4A-AE17-D208321CF4C3}"/>
    <cellStyle name="常规 10 4 3" xfId="454" xr:uid="{7B1E157F-1F97-40AB-BE00-C8E5C81FE2E9}"/>
    <cellStyle name="常规 10 4 3 2" xfId="998" xr:uid="{A4A6E9C8-5195-43B9-A373-473BEA2364AC}"/>
    <cellStyle name="常规 10 4 3 2 2" xfId="1003" xr:uid="{20639F4A-DC52-407E-AD1C-746C674A03B8}"/>
    <cellStyle name="常规 10 4 3 2 2 2" xfId="85" xr:uid="{795B6128-8EEE-4A99-940E-D64234E246E1}"/>
    <cellStyle name="常规 10 4 3 2 3" xfId="161" xr:uid="{2219CC82-8E1B-41E0-A647-B141D09CBB42}"/>
    <cellStyle name="常规 10 4 3 3" xfId="756" xr:uid="{4D11D91F-C5FC-49BD-B788-45599F81EC65}"/>
    <cellStyle name="常规 10 4 3 3 2" xfId="625" xr:uid="{5FE51069-EB45-4911-B996-613D23370273}"/>
    <cellStyle name="常规 10 4 3 4" xfId="1006" xr:uid="{53CA92CC-DBFF-4016-ADD4-CD684B062A47}"/>
    <cellStyle name="常规 10 4 4" xfId="1008" xr:uid="{E2D00F3B-9D5B-40FE-8E19-6E83ECCBB42B}"/>
    <cellStyle name="常规 10 4 4 2" xfId="1011" xr:uid="{401F6718-ECAA-4FFD-AF8B-5807920C03D6}"/>
    <cellStyle name="常规 10 4 4 2 2" xfId="848" xr:uid="{7BEE7A55-B454-4BA8-ABE0-0B74B4B11B20}"/>
    <cellStyle name="常规 10 4 4 3" xfId="1014" xr:uid="{468C9EBF-1CE2-4F30-B889-0E85FD32F6DB}"/>
    <cellStyle name="常规 10 4 5" xfId="1017" xr:uid="{85DFC408-BB2F-462F-9804-6A7268581907}"/>
    <cellStyle name="常规 10 4 5 2" xfId="1022" xr:uid="{93E8F930-088E-4FE1-98DC-B6B2152C7353}"/>
    <cellStyle name="常规 10 4 6" xfId="570" xr:uid="{6F5231A2-D9B1-4057-95E7-2698F580B6F0}"/>
    <cellStyle name="常规 10 5" xfId="343" xr:uid="{95303834-6C63-4BD0-BA15-8D584BC688EF}"/>
    <cellStyle name="常规 10 5 2" xfId="461" xr:uid="{5939602A-D122-4DDF-B263-C1D90250487C}"/>
    <cellStyle name="常规 10 5 2 2" xfId="225" xr:uid="{2CFE34B0-E0BD-478E-B40E-8FEFACB19B0E}"/>
    <cellStyle name="常规 10 5 2 2 2" xfId="1023" xr:uid="{43153B9D-E1C8-45FE-B242-63F66296D224}"/>
    <cellStyle name="常规 10 5 2 3" xfId="781" xr:uid="{81F88BD3-A69E-4AEE-B637-6D6ED8D9E5EA}"/>
    <cellStyle name="常规 10 5 3" xfId="1024" xr:uid="{F64F5B25-DBA4-4878-B844-2A0F451B1ADE}"/>
    <cellStyle name="常规 10 5 3 2" xfId="1025" xr:uid="{70046BB4-F190-4826-8B19-0DEEAC9F7E93}"/>
    <cellStyle name="常规 10 5 3 2 2" xfId="1026" xr:uid="{E67C2AB3-2F93-4645-A597-2DA5F7F60C58}"/>
    <cellStyle name="常规 10 5 3 2 2 2" xfId="1027" xr:uid="{2462B327-015F-4190-91C3-0C01EF7B1246}"/>
    <cellStyle name="常规 10 5 3 2 3" xfId="835" xr:uid="{E69DAB56-6501-408C-8A7A-96C442703B00}"/>
    <cellStyle name="常规 10 5 3 3" xfId="1032" xr:uid="{2F437661-498B-41CB-AED5-071674418E71}"/>
    <cellStyle name="常规 10 5 3 3 2" xfId="908" xr:uid="{B3936691-6762-43B9-830B-EA4FF4F999BF}"/>
    <cellStyle name="常规 10 5 3 4" xfId="691" xr:uid="{3EC444A3-DCBF-4B96-A282-224EF1CA277B}"/>
    <cellStyle name="常规 10 5 4" xfId="1033" xr:uid="{03C6E094-4B58-4C31-AF96-F6E843E46003}"/>
    <cellStyle name="常规 10 5 4 2" xfId="70" xr:uid="{63CE598A-26E0-41AB-8CBA-F5F6EEA9A04F}"/>
    <cellStyle name="常规 10 5 4 2 2" xfId="258" xr:uid="{7F9694A2-9D05-40DA-AFE2-F7AAFE63665B}"/>
    <cellStyle name="常规 10 5 4 3" xfId="1035" xr:uid="{F5514CF5-F4EA-4C51-A705-7C92930A1353}"/>
    <cellStyle name="常规 10 5 5" xfId="1038" xr:uid="{8F5551E7-4FCC-4383-ACDE-9632D553C5DB}"/>
    <cellStyle name="常规 10 5 5 2" xfId="1043" xr:uid="{A7425214-E12A-4477-955C-50C4DF36CBA3}"/>
    <cellStyle name="常规 10 5 6" xfId="585" xr:uid="{5569E8C8-768B-4971-8F81-A5AE2D76EAD8}"/>
    <cellStyle name="常规 10 6" xfId="468" xr:uid="{CEF3E206-B65D-4D8F-B929-357862CA3F75}"/>
    <cellStyle name="常规 10 6 2" xfId="1046" xr:uid="{4E9B15C7-00DD-4ABC-9636-3EE29474B00C}"/>
    <cellStyle name="常规 10 6 2 2" xfId="434" xr:uid="{CCD3A35D-DEB4-46E8-B947-5FF9E8AE0498}"/>
    <cellStyle name="常规 10 6 2 2 2" xfId="335" xr:uid="{47DA4031-D807-4E04-A06D-F17018799CCB}"/>
    <cellStyle name="常规 10 6 2 3" xfId="480" xr:uid="{A5C3ACCC-FD49-471C-9DED-E47CF32C8636}"/>
    <cellStyle name="常规 10 6 3" xfId="1048" xr:uid="{CFA5FFC9-DFD0-4702-843C-4AF5BAD23E30}"/>
    <cellStyle name="常规 10 6 3 2" xfId="528" xr:uid="{5124EE76-8245-4B9E-A388-F36CE8DB8685}"/>
    <cellStyle name="常规 10 6 4" xfId="1051" xr:uid="{5D394E6D-9912-4C34-B9F7-CD083D0C48A5}"/>
    <cellStyle name="常规 10 7" xfId="1053" xr:uid="{5E77F0FB-AA4A-4990-83C0-52DA34DE3277}"/>
    <cellStyle name="常规 10 7 2" xfId="1058" xr:uid="{F023220D-DE05-455C-91F3-5972458E3F0F}"/>
    <cellStyle name="常规 10 7 2 2" xfId="979" xr:uid="{37A00D97-6D36-4403-8685-AA2257B5E446}"/>
    <cellStyle name="常规 10 7 3" xfId="1064" xr:uid="{0E9FA70B-7332-4443-BFB3-8FAC4C3E9803}"/>
    <cellStyle name="常规 10 8" xfId="444" xr:uid="{3AAC47F1-7FA3-4578-92DA-F3EA7AEFD982}"/>
    <cellStyle name="常规 10 8 2" xfId="996" xr:uid="{49D28F4C-C369-4E78-8CB3-6022BE9932ED}"/>
    <cellStyle name="常规 10 9" xfId="742" xr:uid="{4C9E86B4-AF0C-438B-AD4F-F55C6AF31BA6}"/>
    <cellStyle name="常规 11" xfId="29" xr:uid="{AC023F1B-2873-42EB-853C-E3C2DEE19998}"/>
    <cellStyle name="常规 11 2" xfId="1065" xr:uid="{C2D922D5-D587-466F-9167-E4D163C96D95}"/>
    <cellStyle name="常规 11 2 2" xfId="1066" xr:uid="{5A859480-DB6D-434F-BDB1-5DFBB27127E3}"/>
    <cellStyle name="常规 11 2 2 2" xfId="1067" xr:uid="{593625FC-EE18-49C7-97B8-7FC489A4C440}"/>
    <cellStyle name="常规 11 2 2 2 2" xfId="1047" xr:uid="{94D541EA-6203-4CC0-8487-567C66EF5DD8}"/>
    <cellStyle name="常规 11 2 2 2 2 2" xfId="527" xr:uid="{EC6BD272-1FF6-4605-A5EA-858CF88E8D13}"/>
    <cellStyle name="常规 11 2 2 2 3" xfId="1050" xr:uid="{873A25DB-91C4-4C0E-AED7-B81F113097FC}"/>
    <cellStyle name="常规 11 2 2 3" xfId="1068" xr:uid="{F4F82DCF-7C3E-4035-A48F-1B7C13F7262A}"/>
    <cellStyle name="常规 11 2 2 3 2" xfId="1062" xr:uid="{E22779F2-1DB1-4333-8499-758E322B97EF}"/>
    <cellStyle name="常规 11 2 2 3 2 2" xfId="240" xr:uid="{5890B16E-AFEF-444D-A41E-A89684AAF96B}"/>
    <cellStyle name="常规 11 2 2 3 2 2 2" xfId="229" xr:uid="{33ED47D3-2ADD-414D-B500-21C69D2A6F01}"/>
    <cellStyle name="常规 11 2 2 3 2 3" xfId="970" xr:uid="{75CAA715-408D-49DF-9EDE-3EBA84945BFB}"/>
    <cellStyle name="常规 11 2 2 3 3" xfId="1070" xr:uid="{790B3A02-EDDF-4F97-AA20-A5161FE18F20}"/>
    <cellStyle name="常规 11 2 2 3 3 2" xfId="1072" xr:uid="{015FEB6D-7926-4E0C-A2A8-9A6AFB5D3D6C}"/>
    <cellStyle name="常规 11 2 2 3 4" xfId="1077" xr:uid="{459E0C9B-4007-4CF8-8BF5-1A6B1523EDBB}"/>
    <cellStyle name="常规 11 2 2 4" xfId="1079" xr:uid="{AD25705B-BED9-40F9-B077-3BD164FE90E1}"/>
    <cellStyle name="常规 11 2 2 4 2" xfId="1081" xr:uid="{CFBE1797-7183-4D7F-BA88-E5C856E00A50}"/>
    <cellStyle name="常规 11 2 2 4 2 2" xfId="1082" xr:uid="{E2EEBE6B-74FC-40AC-B749-5F63082B34D5}"/>
    <cellStyle name="常规 11 2 2 4 3" xfId="244" xr:uid="{4D9CC312-5ADD-4A14-862F-B20F384749C6}"/>
    <cellStyle name="常规 11 2 2 5" xfId="1085" xr:uid="{0BA027AB-4510-42CB-AF35-D52A915445B6}"/>
    <cellStyle name="常规 11 2 2 5 2" xfId="1090" xr:uid="{B45B15A5-8A74-42A5-AC1D-250B433892F0}"/>
    <cellStyle name="常规 11 2 2 6" xfId="1093" xr:uid="{1B827028-377D-4FDC-B727-C1CF9B255455}"/>
    <cellStyle name="常规 11 2 3" xfId="1094" xr:uid="{0F1DB93F-AC3F-4863-B37A-4E597588AEE6}"/>
    <cellStyle name="常规 11 2 3 2" xfId="1096" xr:uid="{782EBC66-91CA-416C-B0C0-C3E22084F193}"/>
    <cellStyle name="常规 11 2 3 2 2" xfId="1084" xr:uid="{85A01AE8-19DC-43CA-ABA2-CAE12BBA0A9D}"/>
    <cellStyle name="常规 11 2 3 2 2 2" xfId="1087" xr:uid="{52CF95DA-E0B4-4CD8-A9D5-892127FEACA5}"/>
    <cellStyle name="常规 11 2 3 2 3" xfId="1092" xr:uid="{DE26AA2D-F0DB-4652-8F70-4C30DADCD9A5}"/>
    <cellStyle name="常规 11 2 3 3" xfId="1097" xr:uid="{37B97525-C2CE-4997-B586-57EDF114BE2D}"/>
    <cellStyle name="常规 11 2 3 3 2" xfId="1099" xr:uid="{8678A285-7BAC-4DB4-B15B-45087B292E8C}"/>
    <cellStyle name="常规 11 2 3 3 2 2" xfId="651" xr:uid="{2A149E02-1946-4505-9ED8-0458160C4DAA}"/>
    <cellStyle name="常规 11 2 3 3 2 2 2" xfId="656" xr:uid="{A7937F27-D2A7-45DE-B2C3-A0886E113DFB}"/>
    <cellStyle name="常规 11 2 3 3 2 3" xfId="673" xr:uid="{48BA04A3-7624-4D10-9A4B-B088DFACADC5}"/>
    <cellStyle name="常规 11 2 3 3 3" xfId="1102" xr:uid="{77BE0B11-1AA8-44F1-9F43-91C5FB5756D4}"/>
    <cellStyle name="常规 11 2 3 3 3 2" xfId="766" xr:uid="{98BDEED6-0DB6-45D4-A9EC-30BC076EBE67}"/>
    <cellStyle name="常规 11 2 3 3 4" xfId="1104" xr:uid="{386208F2-3EEF-4BA9-BC5C-24757BBF8836}"/>
    <cellStyle name="常规 11 2 3 4" xfId="1106" xr:uid="{34C2606A-A941-43D5-9FE2-9F6D6F17EE74}"/>
    <cellStyle name="常规 11 2 3 4 2" xfId="162" xr:uid="{E12C2FEA-2193-49A7-9FF2-881A7B46031E}"/>
    <cellStyle name="常规 11 2 3 4 2 2" xfId="1107" xr:uid="{DCD07E58-1CAA-48CE-BB9F-80884AB8F5F9}"/>
    <cellStyle name="常规 11 2 3 4 3" xfId="1109" xr:uid="{573EC9C0-E784-4CF0-966A-806B389BEF41}"/>
    <cellStyle name="常规 11 2 3 5" xfId="1098" xr:uid="{DAD228C7-A3A9-47FD-8B64-2A5B44CCDD7F}"/>
    <cellStyle name="常规 11 2 3 5 2" xfId="650" xr:uid="{F2BA97BD-DBF2-4405-B1D6-88E6A01BE097}"/>
    <cellStyle name="常规 11 2 3 6" xfId="1100" xr:uid="{B8B70908-0EA1-43CF-A9B0-13A712730027}"/>
    <cellStyle name="常规 11 2 4" xfId="1112" xr:uid="{BF61BF7B-AD25-4F25-AAB6-8484377313EC}"/>
    <cellStyle name="常规 11 2 4 2" xfId="1115" xr:uid="{283A6562-866C-43EC-9CF8-76BB956EA4E0}"/>
    <cellStyle name="常规 11 2 4 2 2" xfId="132" xr:uid="{B9A55F1E-2B0D-4E25-A8B3-5892470B8344}"/>
    <cellStyle name="常规 11 2 4 2 2 2" xfId="80" xr:uid="{41B330B4-B49A-482A-AE2B-ABE575D074E5}"/>
    <cellStyle name="常规 11 2 4 2 3" xfId="1118" xr:uid="{D296208F-3B99-4220-B2AA-22F195DD52E8}"/>
    <cellStyle name="常规 11 2 4 3" xfId="1123" xr:uid="{F2A4D24A-C0BA-4837-94D2-94242B0AD371}"/>
    <cellStyle name="常规 11 2 4 3 2" xfId="842" xr:uid="{704022E1-26A0-4C1E-88C0-8226AF32C362}"/>
    <cellStyle name="常规 11 2 4 4" xfId="1002" xr:uid="{C062B5D4-DB28-44F5-BCF8-BB7E0A5CFA63}"/>
    <cellStyle name="常规 11 2 5" xfId="770" xr:uid="{7864B783-04F8-4D25-96F0-3F22A08FF067}"/>
    <cellStyle name="常规 11 2 5 2" xfId="776" xr:uid="{A6300322-6156-44D5-AA18-B4188F6CF2B6}"/>
    <cellStyle name="常规 11 2 5 2 2" xfId="186" xr:uid="{07047F12-71C9-4B83-937A-2CD6A73B01B8}"/>
    <cellStyle name="常规 11 2 5 3" xfId="555" xr:uid="{521F116B-F206-4BE2-94D2-A6E9182F7EBB}"/>
    <cellStyle name="常规 11 2 6" xfId="784" xr:uid="{999B2ABD-9E1D-4F8D-A379-7238E83B1642}"/>
    <cellStyle name="常规 11 2 6 2" xfId="1031" xr:uid="{47643E0C-B6E6-45BC-89F6-661C90B87920}"/>
    <cellStyle name="常规 11 2 7" xfId="1126" xr:uid="{ED746F03-92DB-4775-9C2B-0DFD4FED7C88}"/>
    <cellStyle name="常规 11 3" xfId="940" xr:uid="{B620B50E-9E52-4480-9670-63E46A4DB2AF}"/>
    <cellStyle name="常规 11 3 2" xfId="1129" xr:uid="{D9A4AEB5-7E81-4320-8EF7-46D32BBBCEEA}"/>
    <cellStyle name="常规 11 3 2 2" xfId="1130" xr:uid="{E994B903-5C24-4D12-9B0D-AC551299225C}"/>
    <cellStyle name="常规 11 3 2 2 2" xfId="1133" xr:uid="{4C1212BA-BFEC-431A-B547-0BD4311058B6}"/>
    <cellStyle name="常规 11 3 2 3" xfId="799" xr:uid="{559697F4-3ABF-48A9-85F2-3C8332239853}"/>
    <cellStyle name="常规 11 3 3" xfId="1139" xr:uid="{A7D8952E-D914-4132-821E-F4081DF7CF23}"/>
    <cellStyle name="常规 11 3 3 2" xfId="1143" xr:uid="{9B583621-641E-420B-AD10-BDBB18EF6A0A}"/>
    <cellStyle name="常规 11 3 3 2 2" xfId="1147" xr:uid="{4F17587E-4016-4411-87B5-D2D92C609E49}"/>
    <cellStyle name="常规 11 3 3 2 2 2" xfId="164" xr:uid="{36ADF364-486B-4173-9679-F0EF69340C0E}"/>
    <cellStyle name="常规 11 3 3 2 3" xfId="1149" xr:uid="{1F648F05-2673-4D5A-80AB-B95CED162CEC}"/>
    <cellStyle name="常规 11 3 3 3" xfId="812" xr:uid="{DCF9BA7B-98F7-4CA7-B09D-F7B4EB766BFF}"/>
    <cellStyle name="常规 11 3 3 3 2" xfId="814" xr:uid="{4C9D3E66-DD9B-4C12-BD69-589C07B45CDA}"/>
    <cellStyle name="常规 11 3 3 4" xfId="832" xr:uid="{796A34B0-35E9-4FB9-8985-0E10D2EF3E72}"/>
    <cellStyle name="常规 11 3 4" xfId="1152" xr:uid="{38490DF2-5758-4432-B045-BB1C0B9A87CD}"/>
    <cellStyle name="常规 11 3 4 2" xfId="398" xr:uid="{D40731F3-A3E8-4F16-B931-4B63F9F7EE3D}"/>
    <cellStyle name="常规 11 3 4 2 2" xfId="402" xr:uid="{5B487E0E-0450-4739-BF3C-E34E0FA85CD7}"/>
    <cellStyle name="常规 11 3 4 3" xfId="414" xr:uid="{0F3DF1AB-E460-4151-AC9C-407577E853E8}"/>
    <cellStyle name="常规 11 3 5" xfId="173" xr:uid="{E74CA1C3-90F2-44B2-A2FF-1C0006C4DAFF}"/>
    <cellStyle name="常规 11 3 5 2" xfId="476" xr:uid="{78E99005-81E0-422B-BBB8-377DA22482B6}"/>
    <cellStyle name="常规 11 3 6" xfId="182" xr:uid="{0B6D7227-8C82-4DBF-8E15-0031389711E3}"/>
    <cellStyle name="常规 11 4" xfId="482" xr:uid="{18B7B476-9314-4C2A-87F2-6146EACDDA18}"/>
    <cellStyle name="常规 11 4 2" xfId="298" xr:uid="{3BFDC321-E485-497C-8F9B-9D0C4ACE7408}"/>
    <cellStyle name="常规 11 4 2 2" xfId="1155" xr:uid="{180E3624-9BDA-4C25-B826-4B06AA80B5E3}"/>
    <cellStyle name="常规 11 4 2 2 2" xfId="1156" xr:uid="{25DFB517-B3BE-40A4-8969-276CB1A32D9E}"/>
    <cellStyle name="常规 11 4 2 3" xfId="857" xr:uid="{C25DC20E-1551-4E4F-B32C-5873994BC7A0}"/>
    <cellStyle name="常规 11 4 3" xfId="309" xr:uid="{7C195B28-6FFB-4274-99E2-F2320DEE0A33}"/>
    <cellStyle name="常规 11 4 3 2" xfId="889" xr:uid="{6BF2CEA3-CFE9-4495-977A-D6A03C1C14CE}"/>
    <cellStyle name="常规 11 4 3 2 2" xfId="1157" xr:uid="{5B740BF7-9148-4A25-9A38-F24894261FC2}"/>
    <cellStyle name="常规 11 4 3 2 2 2" xfId="1095" xr:uid="{BD1E69CB-35F3-4438-8E44-02601D9D48E4}"/>
    <cellStyle name="常规 11 4 3 2 3" xfId="1161" xr:uid="{2BB7DF18-08C8-40BB-B559-9FADBDF8B01F}"/>
    <cellStyle name="常规 11 4 3 3" xfId="863" xr:uid="{C1A9AFB5-9EAC-4E44-AE0B-E6F8D34BC00F}"/>
    <cellStyle name="常规 11 4 3 3 2" xfId="521" xr:uid="{3C088F3D-28C9-45C5-B3FE-A2D0974F7860}"/>
    <cellStyle name="常规 11 4 3 4" xfId="1166" xr:uid="{767F1B4B-1A92-4B59-9316-FF2277C3136A}"/>
    <cellStyle name="常规 11 4 4" xfId="312" xr:uid="{EAAEC4A3-85DD-432A-8872-512C599FD2E3}"/>
    <cellStyle name="常规 11 4 4 2" xfId="931" xr:uid="{0469A494-B924-4E3F-AD64-CA138C35A2FD}"/>
    <cellStyle name="常规 11 4 4 2 2" xfId="1167" xr:uid="{9B30520E-B835-4F39-83DF-A3B4FC1E7D06}"/>
    <cellStyle name="常规 11 4 4 3" xfId="1168" xr:uid="{73B6E6CA-8DE1-4F37-86C4-0F364C24C2F1}"/>
    <cellStyle name="常规 11 4 5" xfId="318" xr:uid="{866006D8-A5CE-4A11-A952-41EE15EE2B1F}"/>
    <cellStyle name="常规 11 4 5 2" xfId="882" xr:uid="{D46589D8-EA3F-406A-9F8E-4578FE2C9510}"/>
    <cellStyle name="常规 11 4 6" xfId="325" xr:uid="{BF6B2116-6C5A-417E-AAA2-78401058E6C6}"/>
    <cellStyle name="常规 11 5" xfId="489" xr:uid="{F1724E2F-397D-47AC-A832-EC75B09CD2C7}"/>
    <cellStyle name="常规 11 5 2" xfId="1169" xr:uid="{98528D0A-39B6-435F-B2B3-09F8BA1FB822}"/>
    <cellStyle name="常规 11 5 2 2" xfId="1170" xr:uid="{25EC0F76-3BF4-472D-9FD1-E0C2DC2595DD}"/>
    <cellStyle name="常规 11 5 2 2 2" xfId="1171" xr:uid="{20D0A529-C155-4B94-8AB4-CD187F668AE5}"/>
    <cellStyle name="常规 11 5 2 3" xfId="870" xr:uid="{E95C936C-B338-4C14-96D9-6ECE11E79CAC}"/>
    <cellStyle name="常规 11 5 3" xfId="1172" xr:uid="{C57C7752-B14C-437B-9F5F-445467850F8F}"/>
    <cellStyle name="常规 11 5 3 2" xfId="542" xr:uid="{50291575-38D5-4322-B13A-F60660164A4E}"/>
    <cellStyle name="常规 11 5 4" xfId="1173" xr:uid="{555A278B-086A-44FD-B277-5D18EC06C566}"/>
    <cellStyle name="常规 11 6" xfId="1176" xr:uid="{D820C127-9C45-428A-91D7-C9A008E39687}"/>
    <cellStyle name="常规 11 6 2" xfId="1078" xr:uid="{ECD88F52-CE45-43C5-B4E6-064434B76957}"/>
    <cellStyle name="常规 11 6 2 2" xfId="1080" xr:uid="{175C0A52-18B8-461A-BE22-660F32AD0FF7}"/>
    <cellStyle name="常规 11 6 3" xfId="1083" xr:uid="{257F409A-D6BF-4499-9A35-732AAA989270}"/>
    <cellStyle name="常规 11 7" xfId="1178" xr:uid="{E792870C-E8F5-4F5C-9CDD-DD18F377BABF}"/>
    <cellStyle name="常规 11 7 2" xfId="1105" xr:uid="{2F809BBA-2448-4CFA-AA3A-AC5216CF9990}"/>
    <cellStyle name="常规 11 8" xfId="999" xr:uid="{8030D143-FE4F-468E-ABDF-EB5BD583ED5C}"/>
    <cellStyle name="常规 12" xfId="44" xr:uid="{0041CBC7-BD23-49AB-87B9-E005BBF820EB}"/>
    <cellStyle name="常规 12 10" xfId="3971" xr:uid="{D6B8AA51-81B9-475A-A6C9-3D569F4CAF5A}"/>
    <cellStyle name="常规 12 11" xfId="1181" xr:uid="{54894C9A-2896-4819-93BE-8535E66EDAC3}"/>
    <cellStyle name="常规 12 2" xfId="1184" xr:uid="{1F69060E-5439-402E-972C-F2B53509ED06}"/>
    <cellStyle name="常规 12 2 2" xfId="101" xr:uid="{3343C32E-0F9C-4680-8CF2-307E37D643BF}"/>
    <cellStyle name="常规 12 2 2 2" xfId="1185" xr:uid="{1B683D2F-E6D0-49C1-A7E3-BD2E4455E12D}"/>
    <cellStyle name="常规 12 2 2 2 2" xfId="110" xr:uid="{D6973A0E-AD8A-45CE-83F7-FEA303F0CC45}"/>
    <cellStyle name="常规 12 2 2 2 2 2" xfId="122" xr:uid="{E4098769-CB16-421D-ABBB-E138D18D37DD}"/>
    <cellStyle name="常规 12 2 2 2 3" xfId="1187" xr:uid="{9166A9FB-6A1D-494D-9115-8A18AAF7FA41}"/>
    <cellStyle name="常规 12 2 2 3" xfId="99" xr:uid="{EADE7B9B-E2AB-4912-B387-E71A70FEA39E}"/>
    <cellStyle name="常规 12 2 2 3 2" xfId="1192" xr:uid="{A0CFF480-0D45-4EC4-B58D-6E75AAF09D07}"/>
    <cellStyle name="常规 12 2 2 3 2 2" xfId="1196" xr:uid="{2C7D1707-68D3-4F86-B5EB-EEC06DB05979}"/>
    <cellStyle name="常规 12 2 2 3 2 2 2" xfId="1110" xr:uid="{1E2C3C75-10B6-4B18-9F1E-5EC4C4B6858D}"/>
    <cellStyle name="常规 12 2 2 3 2 3" xfId="148" xr:uid="{1A95D791-7BCE-4978-AAAD-19C11F3E140A}"/>
    <cellStyle name="常规 12 2 2 3 3" xfId="1200" xr:uid="{CB462B2F-9C7D-416A-A834-E5F7D10D43B1}"/>
    <cellStyle name="常规 12 2 2 3 3 2" xfId="282" xr:uid="{976B8026-0806-4D0B-B449-70B457DC29FC}"/>
    <cellStyle name="常规 12 2 2 3 4" xfId="1202" xr:uid="{BC260A49-F979-4AB9-B37D-BBFCB64EBC9F}"/>
    <cellStyle name="常规 12 2 2 4" xfId="1206" xr:uid="{3D600623-D904-410F-885E-06099AA12B6E}"/>
    <cellStyle name="常规 12 2 2 4 2" xfId="1209" xr:uid="{D1D75E7B-45BA-4EAC-B49C-4896DB9B73BC}"/>
    <cellStyle name="常规 12 2 2 4 2 2" xfId="1213" xr:uid="{C0B010B7-C61B-4A94-B52B-7877B417CFEB}"/>
    <cellStyle name="常规 12 2 2 4 3" xfId="89" xr:uid="{7E517C6A-E5A9-4D4B-AE7C-9B5AE4FB71FB}"/>
    <cellStyle name="常规 12 2 2 5" xfId="1146" xr:uid="{8142EA38-9848-4A09-A33E-47A47E53ECA3}"/>
    <cellStyle name="常规 12 2 2 5 2" xfId="165" xr:uid="{0497D291-156B-48E5-BBC2-70C4E8E4EB38}"/>
    <cellStyle name="常规 12 2 2 6" xfId="1216" xr:uid="{7CB97B3A-BE1A-42E6-B4CA-9D72D7B27CEB}"/>
    <cellStyle name="常规 12 2 3" xfId="90" xr:uid="{133B97D4-314A-472D-9E5A-6F91C0F93319}"/>
    <cellStyle name="常规 12 2 3 2" xfId="1217" xr:uid="{7FFC28DB-60BE-4271-AEC4-D6178C505B18}"/>
    <cellStyle name="常规 12 2 3 2 2" xfId="853" xr:uid="{590D920C-3F5F-4B15-A40F-0CA8DBF027F7}"/>
    <cellStyle name="常规 12 2 3 2 2 2" xfId="1218" xr:uid="{430DA0EA-1F94-42B6-87C2-F5F887E8ACAE}"/>
    <cellStyle name="常规 12 2 3 2 3" xfId="1219" xr:uid="{E3FC02BD-6D44-4AD0-9B32-943EF8F53960}"/>
    <cellStyle name="常规 12 2 3 3" xfId="1222" xr:uid="{C20720A8-E358-40C7-B15E-7E9CB83BED36}"/>
    <cellStyle name="常规 12 2 3 3 2" xfId="1224" xr:uid="{F1718BA9-3F1E-45FA-8CD5-6DC19372F005}"/>
    <cellStyle name="常规 12 2 3 3 2 2" xfId="972" xr:uid="{7C7B5831-9286-4432-A6B2-66194F93AF7C}"/>
    <cellStyle name="常规 12 2 3 3 2 2 2" xfId="189" xr:uid="{E1DAA4DD-D20A-49EF-A11D-9FC388A1F1B2}"/>
    <cellStyle name="常规 12 2 3 3 2 3" xfId="985" xr:uid="{ECCDED01-1C8A-49FB-B329-2D067E8A0201}"/>
    <cellStyle name="常规 12 2 3 3 3" xfId="1228" xr:uid="{23996EBB-A325-4E7C-8A60-FBEC74807689}"/>
    <cellStyle name="常规 12 2 3 3 3 2" xfId="453" xr:uid="{46E0D843-F7D3-4733-8F6C-7B851616DA59}"/>
    <cellStyle name="常规 12 2 3 3 4" xfId="1229" xr:uid="{07310B3E-239F-493F-A6DF-E5CF28D860A6}"/>
    <cellStyle name="常规 12 2 3 4" xfId="1232" xr:uid="{D391612D-17BE-42B8-AC72-FC58AF6B7B8E}"/>
    <cellStyle name="常规 12 2 3 4 2" xfId="1163" xr:uid="{E4EB5C02-72B5-4EBE-9BCD-5A233B58EDAA}"/>
    <cellStyle name="常规 12 2 3 4 2 2" xfId="1138" xr:uid="{60B9B34C-5482-439D-A39A-B3D1B7E67D38}"/>
    <cellStyle name="常规 12 2 3 4 3" xfId="1237" xr:uid="{85B37A7D-472B-4366-AD4A-D22345D3D546}"/>
    <cellStyle name="常规 12 2 3 5" xfId="818" xr:uid="{F6C73E5B-B3EF-4EC8-9684-39927933312A}"/>
    <cellStyle name="常规 12 2 3 5 2" xfId="822" xr:uid="{9044F9A8-B5CE-421C-9706-3CEAB6EDCA44}"/>
    <cellStyle name="常规 12 2 3 6" xfId="827" xr:uid="{D4DFD16B-862C-4DF0-88C6-6CFEA1389797}"/>
    <cellStyle name="常规 12 2 4" xfId="127" xr:uid="{4A5FEE4C-4DBA-44BB-8FC0-03776486F49F}"/>
    <cellStyle name="常规 12 2 4 2" xfId="1238" xr:uid="{13111CC5-B21B-4176-BAB2-5BDD043CC62B}"/>
    <cellStyle name="常规 12 2 4 2 2" xfId="1239" xr:uid="{1F0E3A92-97C7-4F81-B0D5-B8FE6F8679A4}"/>
    <cellStyle name="常规 12 2 4 2 2 2" xfId="1241" xr:uid="{C438E68B-0ACA-464C-98E4-24C894FA2FC3}"/>
    <cellStyle name="常规 12 2 4 2 3" xfId="157" xr:uid="{B588C738-62E6-4BF9-AD9C-63F0CEBE7F05}"/>
    <cellStyle name="常规 12 2 4 3" xfId="1245" xr:uid="{59A7B7DE-6AD5-4A4B-A6CF-5057C6A43D43}"/>
    <cellStyle name="常规 12 2 4 3 2" xfId="1249" xr:uid="{983E115B-278F-4998-8A23-0B19987AD5F2}"/>
    <cellStyle name="常规 12 2 4 4" xfId="1254" xr:uid="{F1F3CDB6-6166-4FBC-913D-30D979877DB2}"/>
    <cellStyle name="常规 12 2 5" xfId="208" xr:uid="{58E71141-9F47-4A40-B7C8-A5978810EC00}"/>
    <cellStyle name="常规 12 2 5 2" xfId="873" xr:uid="{519C931F-BC75-436D-AFC5-D0262CCDDCAA}"/>
    <cellStyle name="常规 12 2 5 2 2" xfId="1257" xr:uid="{1C545935-6634-4047-ACBE-EA08F9D5E72C}"/>
    <cellStyle name="常规 12 2 5 3" xfId="905" xr:uid="{94264217-8099-45E0-9F19-CA295D27643B}"/>
    <cellStyle name="常规 12 2 6" xfId="220" xr:uid="{2FDB9554-226F-4E16-8C58-14257B2923C6}"/>
    <cellStyle name="常规 12 2 6 2" xfId="1260" xr:uid="{5961C512-EDA7-4E69-AE07-BFC26D18CCDA}"/>
    <cellStyle name="常规 12 2 7" xfId="1261" xr:uid="{4E0B7AE7-4D1E-4F1E-A878-4E90AF864315}"/>
    <cellStyle name="常规 12 3" xfId="1264" xr:uid="{E1B72A43-BF68-45D9-A713-BB91E82269D4}"/>
    <cellStyle name="常规 12 3 2" xfId="1267" xr:uid="{3690478B-E186-4FE2-A362-0C3AE1D0F1EE}"/>
    <cellStyle name="常规 12 3 2 2" xfId="1034" xr:uid="{0875842E-64B9-42CB-A195-DEB3D5BE345D}"/>
    <cellStyle name="常规 12 3 2 2 2" xfId="69" xr:uid="{EA1D521A-33CA-4529-B954-479D6DDEDC14}"/>
    <cellStyle name="常规 12 3 2 3" xfId="1039" xr:uid="{F035A3C5-0D45-4D3C-96ED-E2B104244B10}"/>
    <cellStyle name="常规 12 3 3" xfId="1269" xr:uid="{60AEEFE7-7E15-4436-B809-1DE5536BA450}"/>
    <cellStyle name="常规 12 3 3 2" xfId="1049" xr:uid="{9D906F74-DDED-46AA-BD4C-1029A0E41B62}"/>
    <cellStyle name="常规 12 3 3 2 2" xfId="539" xr:uid="{8B482E66-D29D-472D-B578-DC219EB6B7E7}"/>
    <cellStyle name="常规 12 3 3 2 2 2" xfId="1270" xr:uid="{7462C08C-0967-45AD-AF9D-71FD247B5946}"/>
    <cellStyle name="常规 12 3 3 2 3" xfId="1273" xr:uid="{153FEF47-C039-4D5A-BDCB-60B20DC8812A}"/>
    <cellStyle name="常规 12 3 3 3" xfId="74" xr:uid="{A1067E71-EF76-4ED4-939A-6B6D7ECA5613}"/>
    <cellStyle name="常规 12 3 3 3 2" xfId="1276" xr:uid="{19EB0713-A86E-4750-B1FB-C63D25F2E366}"/>
    <cellStyle name="常规 12 3 3 4" xfId="255" xr:uid="{9366A826-FCEF-43A8-AD96-3E19760BDEBF}"/>
    <cellStyle name="常规 12 3 4" xfId="1277" xr:uid="{BFBF8605-FED5-4515-806A-497ECB948128}"/>
    <cellStyle name="常规 12 3 4 2" xfId="1069" xr:uid="{9D795AE9-9E47-4B42-8EC5-D446A947E613}"/>
    <cellStyle name="常规 12 3 4 2 2" xfId="1071" xr:uid="{E485C914-C102-41A8-BCC7-B5B3C0ADCC6F}"/>
    <cellStyle name="常规 12 3 4 3" xfId="1076" xr:uid="{19FD3AEB-F121-4EBE-8C71-437F5121D683}"/>
    <cellStyle name="常规 12 3 5" xfId="112" xr:uid="{4903B2F6-DB3B-47AB-95A3-099FB6C03B8A}"/>
    <cellStyle name="常规 12 3 5 2" xfId="243" xr:uid="{C3EF15C2-C71D-4681-B60F-790934FC4410}"/>
    <cellStyle name="常规 12 3 6" xfId="1278" xr:uid="{F983073B-F3C2-4416-A47F-2215D9A3FDEC}"/>
    <cellStyle name="常规 12 4" xfId="1279" xr:uid="{320EEBD2-DD9C-4F9F-BF5A-1639FEDB8F76}"/>
    <cellStyle name="常规 12 4 2" xfId="1282" xr:uid="{FF8CAB28-127F-4F7E-993D-161499EE525A}"/>
    <cellStyle name="常规 12 4 2 2" xfId="1174" xr:uid="{1948CC7F-3061-4DC6-8CD8-B4228B0AA415}"/>
    <cellStyle name="常规 12 4 2 2 2" xfId="1283" xr:uid="{FD26EC7E-C74C-4456-A7A4-7B55E154014B}"/>
    <cellStyle name="常规 12 4 2 3" xfId="1286" xr:uid="{B2AC93EB-19D1-46DF-9DEA-230CB2D73560}"/>
    <cellStyle name="常规 12 4 3" xfId="1287" xr:uid="{9F69D121-1579-4046-9C2B-F1E7E1206FB4}"/>
    <cellStyle name="常规 12 4 3 2" xfId="1091" xr:uid="{C73E7794-6A51-4082-B071-E2C74DB5F384}"/>
    <cellStyle name="常规 12 4 3 2 2" xfId="1289" xr:uid="{8C90908C-4F97-4353-A061-9B5A8951277C}"/>
    <cellStyle name="常规 12 4 3 2 2 2" xfId="1290" xr:uid="{51D8CAD5-36BF-4315-A9F6-96CE5B646D89}"/>
    <cellStyle name="常规 12 4 3 2 3" xfId="1292" xr:uid="{60DD601F-AE87-40B9-9D11-2531B47B2A1A}"/>
    <cellStyle name="常规 12 4 3 3" xfId="1295" xr:uid="{62D45E44-9FEF-481A-A4F2-E7EFB2DCEEA4}"/>
    <cellStyle name="常规 12 4 3 3 2" xfId="1298" xr:uid="{D9232F6B-C14A-4612-8EFB-3951A2A647CE}"/>
    <cellStyle name="常规 12 4 3 4" xfId="1304" xr:uid="{F0D2F737-113E-49CA-81B9-9123BEC72397}"/>
    <cellStyle name="常规 12 4 4" xfId="1307" xr:uid="{B69E3E67-13C0-4DAF-BB72-72225B41F463}"/>
    <cellStyle name="常规 12 4 4 2" xfId="1101" xr:uid="{35D076F5-803C-4445-A9C9-9D2073C643EC}"/>
    <cellStyle name="常规 12 4 4 2 2" xfId="765" xr:uid="{5875AFA2-09B2-4AA7-B1C1-C93C28D45954}"/>
    <cellStyle name="常规 12 4 4 3" xfId="1103" xr:uid="{87DDA121-6719-47D2-BA1D-7D74E94E0EE4}"/>
    <cellStyle name="常规 12 4 5" xfId="1309" xr:uid="{C1AF5189-A0EA-48F0-AFE4-0E82E5E7D24E}"/>
    <cellStyle name="常规 12 4 5 2" xfId="1108" xr:uid="{2B41CDCF-37D4-4CB1-9C70-792A3800AA02}"/>
    <cellStyle name="常规 12 4 6" xfId="1310" xr:uid="{4D11772E-B338-412F-BE8C-A3A261FF3B35}"/>
    <cellStyle name="常规 12 5" xfId="1311" xr:uid="{3346D411-ADBD-4229-A066-84E16C66B003}"/>
    <cellStyle name="常规 12 5 2" xfId="1312" xr:uid="{2662F935-FBC7-47FD-96EC-B55E30F8D90E}"/>
    <cellStyle name="常规 12 5 2 2" xfId="1313" xr:uid="{73F5F79B-889C-46BC-AD74-3DFFAC0AE9A6}"/>
    <cellStyle name="常规 12 5 2 2 2" xfId="1315" xr:uid="{9F04D628-11BC-4EC4-9372-0DCCEF21A545}"/>
    <cellStyle name="常规 12 5 2 3" xfId="1319" xr:uid="{CD0AF4E8-20B2-4E5F-9157-4BC69DE3CF02}"/>
    <cellStyle name="常规 12 5 3" xfId="1320" xr:uid="{36B14D32-69BA-4471-9FC1-9C2C37A099F2}"/>
    <cellStyle name="常规 12 5 3 2" xfId="1117" xr:uid="{72EBFB66-CA27-4374-94A1-E2728524B3AC}"/>
    <cellStyle name="常规 12 5 4" xfId="1314" xr:uid="{A98AA425-18ED-4644-8F1C-321993FF6B24}"/>
    <cellStyle name="常规 12 6" xfId="1321" xr:uid="{2BF081B2-0274-40F9-A9E7-421B4EA43CED}"/>
    <cellStyle name="常规 12 6 2" xfId="808" xr:uid="{19D995D9-B60B-4C99-BEC3-C5C8EC71A2DE}"/>
    <cellStyle name="常规 12 6 2 2" xfId="1324" xr:uid="{120C8029-BCEC-4352-8EE8-9692002E8E50}"/>
    <cellStyle name="常规 12 6 3" xfId="134" xr:uid="{A98B4076-E6B6-460B-AFBE-BAF0DAB3AA6F}"/>
    <cellStyle name="常规 12 7" xfId="1325" xr:uid="{9DE6803C-F6FB-442C-AF5F-7FCE864A8607}"/>
    <cellStyle name="常规 12 7 2" xfId="834" xr:uid="{D0207DBC-9386-4057-9C30-F1BFFA8F39F5}"/>
    <cellStyle name="常规 12 8" xfId="1010" xr:uid="{D2183C03-FD4C-473A-A053-164A89FE6E3E}"/>
    <cellStyle name="常规 12 9" xfId="1012" xr:uid="{76D9EA3C-147B-4791-B4CF-56BD48B15F17}"/>
    <cellStyle name="常规 13" xfId="47" xr:uid="{A48D5106-A832-4693-820E-9DCD51CF0745}"/>
    <cellStyle name="常规 13 2" xfId="38" xr:uid="{FB639664-8854-43FA-A830-19487162BFF6}"/>
    <cellStyle name="常规 13 2 2" xfId="1329" xr:uid="{CAADC261-6EDF-4838-8F10-511F4B439669}"/>
    <cellStyle name="常规 13 2 2 2" xfId="1330" xr:uid="{ECEA2117-0E91-437C-97FC-9CF4DB598F16}"/>
    <cellStyle name="常规 13 2 2 2 2" xfId="868" xr:uid="{09E58377-2A9D-4B22-B069-C39F63172132}"/>
    <cellStyle name="常规 13 2 2 2 2 2" xfId="1332" xr:uid="{0187E3CD-5839-4DC3-9EDB-2869CBB0A068}"/>
    <cellStyle name="常规 13 2 2 2 3" xfId="1334" xr:uid="{347137A0-021A-4910-905A-8487BE003C99}"/>
    <cellStyle name="常规 13 2 2 3" xfId="1335" xr:uid="{D1034262-24A2-46EE-955B-4BD777C24586}"/>
    <cellStyle name="常规 13 2 2 3 2" xfId="1337" xr:uid="{67712189-D4B2-484D-A8DB-708B7A02F996}"/>
    <cellStyle name="常规 13 2 2 3 2 2" xfId="1339" xr:uid="{20CA09F6-11D6-4966-A590-97FBDB2221EA}"/>
    <cellStyle name="常规 13 2 2 3 2 2 2" xfId="1340" xr:uid="{2B9876AA-82DD-4293-A18A-AA4BD993974D}"/>
    <cellStyle name="常规 13 2 2 3 2 3" xfId="1343" xr:uid="{50858B30-AF9E-4A0D-BD29-5BBFCCDF0FAC}"/>
    <cellStyle name="常规 13 2 2 3 3" xfId="546" xr:uid="{80F0FF63-7360-4149-9FA8-7F1B794D6183}"/>
    <cellStyle name="常规 13 2 2 3 3 2" xfId="92" xr:uid="{114C6839-C596-41F5-B5C5-0CCB4C30710A}"/>
    <cellStyle name="常规 13 2 2 3 4" xfId="1345" xr:uid="{F103DEEF-A4ED-4B72-9A33-619FD46D6AC1}"/>
    <cellStyle name="常规 13 2 2 4" xfId="1346" xr:uid="{972A415D-1390-4F50-9E4F-088FA86F7C00}"/>
    <cellStyle name="常规 13 2 2 4 2" xfId="1347" xr:uid="{5D03302D-C241-4C49-B0D4-9857BE9F4F08}"/>
    <cellStyle name="常规 13 2 2 4 2 2" xfId="1348" xr:uid="{057536DE-F3B8-446C-8404-C66CC1082FD9}"/>
    <cellStyle name="常规 13 2 2 4 3" xfId="1349" xr:uid="{97485A89-67EE-48A3-A819-AC5809F42190}"/>
    <cellStyle name="常规 13 2 2 5" xfId="1350" xr:uid="{987B0126-4FD0-4659-947B-BDA0FD3D1DC7}"/>
    <cellStyle name="常规 13 2 2 5 2" xfId="1353" xr:uid="{61F97DC3-9057-49EE-8D46-6F5C8EAE9CFD}"/>
    <cellStyle name="常规 13 2 2 6" xfId="1354" xr:uid="{360E253F-B948-4AF5-BD0C-19BF34E5AE24}"/>
    <cellStyle name="常规 13 2 3" xfId="1355" xr:uid="{E6B0A022-2E39-4B64-B26B-E3075F60B916}"/>
    <cellStyle name="常规 13 2 3 2" xfId="1358" xr:uid="{7455CD63-A759-40C2-B4B8-ADB5A5002AA2}"/>
    <cellStyle name="常规 13 2 3 2 2" xfId="1362" xr:uid="{33C0397A-8D4B-4865-9531-14B0115608CF}"/>
    <cellStyle name="常规 13 2 3 2 2 2" xfId="1364" xr:uid="{C3AA6304-5D38-469B-B37F-5B8A603EF9AE}"/>
    <cellStyle name="常规 13 2 3 2 3" xfId="1366" xr:uid="{AC494148-DC47-4501-91B8-54ABF4A5600E}"/>
    <cellStyle name="常规 13 2 3 3" xfId="1367" xr:uid="{B57F793B-F91C-489E-A344-30CAD3BDCC86}"/>
    <cellStyle name="常规 13 2 3 3 2" xfId="1369" xr:uid="{36401D94-38A6-44D3-9C82-5F0326FF52D0}"/>
    <cellStyle name="常规 13 2 3 3 2 2" xfId="1370" xr:uid="{CE71C4FA-424E-4A66-886A-1F768E5814F9}"/>
    <cellStyle name="常规 13 2 3 3 2 2 2" xfId="1371" xr:uid="{0148E2A8-3CE7-4CAA-9A05-D8092810017D}"/>
    <cellStyle name="常规 13 2 3 3 2 3" xfId="1372" xr:uid="{7E056A20-001E-4367-9D11-F26785924A5B}"/>
    <cellStyle name="常规 13 2 3 3 3" xfId="1240" xr:uid="{709C06B8-76C4-4B27-AAC1-198D18DE303F}"/>
    <cellStyle name="常规 13 2 3 3 3 2" xfId="288" xr:uid="{6F011FE1-D556-4947-96CC-DAD5D4E4B0D6}"/>
    <cellStyle name="常规 13 2 3 3 4" xfId="1376" xr:uid="{7B9DA473-2DB6-4916-99E5-8DE2372288CA}"/>
    <cellStyle name="常规 13 2 3 4" xfId="1377" xr:uid="{074D2E7E-CAFA-4E7A-9612-1FA11BD039E8}"/>
    <cellStyle name="常规 13 2 3 4 2" xfId="1291" xr:uid="{F9E301D8-E1F3-4CFD-84DE-BEB0875E8072}"/>
    <cellStyle name="常规 13 2 3 4 2 2" xfId="1378" xr:uid="{1B4B17E4-80B7-4310-A7BD-AC508F3EF287}"/>
    <cellStyle name="常规 13 2 3 4 3" xfId="1379" xr:uid="{F8738FE3-8367-433D-BC8C-DF88592E8BE9}"/>
    <cellStyle name="常规 13 2 3 5" xfId="1380" xr:uid="{1C75D438-E40F-4D18-A602-49351C238F54}"/>
    <cellStyle name="常规 13 2 3 5 2" xfId="1383" xr:uid="{EA0AB1AF-2A73-437C-B1B4-008248C73D8F}"/>
    <cellStyle name="常规 13 2 3 6" xfId="1384" xr:uid="{792E2492-B42A-4A4C-9711-83E60F3172B1}"/>
    <cellStyle name="常规 13 2 4" xfId="1385" xr:uid="{5D94BC3C-802D-40E8-80F6-17D4AC952F3D}"/>
    <cellStyle name="常规 13 2 4 2" xfId="1388" xr:uid="{595C8669-434C-43DB-B9A2-1D4847A6A61A}"/>
    <cellStyle name="常规 13 2 4 2 2" xfId="1389" xr:uid="{A5313E3F-FF50-4E7C-A70F-A0EC7DAAF160}"/>
    <cellStyle name="常规 13 2 4 2 2 2" xfId="1390" xr:uid="{B9A620EF-00FF-4387-940F-7897DA5C0A59}"/>
    <cellStyle name="常规 13 2 4 2 3" xfId="1392" xr:uid="{E6D418ED-4BBA-480E-B544-EAA538C58D0B}"/>
    <cellStyle name="常规 13 2 4 3" xfId="1394" xr:uid="{EA593447-A66F-4D93-ABF7-F4BD7BC37C35}"/>
    <cellStyle name="常规 13 2 4 3 2" xfId="672" xr:uid="{79AA8C0A-5731-4C92-9A03-0608850BBC39}"/>
    <cellStyle name="常规 13 2 4 4" xfId="1396" xr:uid="{CA85548A-BB38-4E7A-A69F-A26644323354}"/>
    <cellStyle name="常规 13 2 5" xfId="1397" xr:uid="{EAC537D5-AE6F-43DF-A1DD-A39DEEC2250F}"/>
    <cellStyle name="常规 13 2 5 2" xfId="1400" xr:uid="{0AFFEE70-4960-4F1F-9CFA-D4964F1B9A38}"/>
    <cellStyle name="常规 13 2 5 2 2" xfId="1401" xr:uid="{8708EFCE-14C1-43FC-994C-21A71E5986D3}"/>
    <cellStyle name="常规 13 2 5 3" xfId="1405" xr:uid="{86DDFB33-A102-48B4-A69E-7047C987CE69}"/>
    <cellStyle name="常规 13 2 6" xfId="1406" xr:uid="{BEF1998B-3D29-4C8A-9F9A-80E9214AA9C1}"/>
    <cellStyle name="常规 13 2 6 2" xfId="1409" xr:uid="{553D7828-BF98-44D2-9739-A2C6B2106C54}"/>
    <cellStyle name="常规 13 2 7" xfId="1410" xr:uid="{357C39CA-6AB3-442E-ABBD-9F1A6A11D999}"/>
    <cellStyle name="常规 13 3" xfId="1415" xr:uid="{02143C8E-FF08-42B6-94BA-BD2D80ABF991}"/>
    <cellStyle name="常规 13 3 2" xfId="1419" xr:uid="{A4047DBA-6FD0-4DF1-8368-20A2F7A30CFE}"/>
    <cellStyle name="常规 13 3 2 2" xfId="1420" xr:uid="{D11A7DB6-C6C6-45B5-998A-279309038A12}"/>
    <cellStyle name="常规 13 3 2 2 2" xfId="1316" xr:uid="{011644DC-F2EA-4B0D-9FF4-A1F5A18B962D}"/>
    <cellStyle name="常规 13 3 2 3" xfId="1423" xr:uid="{3BF069E6-5C0B-43B6-AFBB-F6A3DD54C6A2}"/>
    <cellStyle name="常规 13 3 3" xfId="1426" xr:uid="{E89786EC-3B82-4DCE-A57A-E675023DCD5A}"/>
    <cellStyle name="常规 13 3 3 2" xfId="1431" xr:uid="{401D2F88-EA24-49F1-9D78-D6139BA739A6}"/>
    <cellStyle name="常规 13 3 3 2 2" xfId="1436" xr:uid="{66178A1E-6783-4BFB-964D-24BA62B8A250}"/>
    <cellStyle name="常规 13 3 3 2 2 2" xfId="1441" xr:uid="{4E6DEF88-FC6C-441D-9AD4-067D00D3B1CC}"/>
    <cellStyle name="常规 13 3 3 2 3" xfId="1444" xr:uid="{199E64AD-198E-477D-8F0A-5D84A4514130}"/>
    <cellStyle name="常规 13 3 3 3" xfId="1447" xr:uid="{5263B8CE-7FE6-453F-89DC-F548C2E98733}"/>
    <cellStyle name="常规 13 3 3 3 2" xfId="1449" xr:uid="{BE2D9857-FECC-47ED-BCA4-83AC0A4341E4}"/>
    <cellStyle name="常规 13 3 3 4" xfId="1455" xr:uid="{4E09B330-433D-4691-83FA-CBCA66C2D41A}"/>
    <cellStyle name="常规 13 3 4" xfId="1459" xr:uid="{01815797-424D-4CE2-B412-828AF2D7CF65}"/>
    <cellStyle name="常规 13 3 4 2" xfId="1464" xr:uid="{A923FCAC-71BA-4CE0-86CB-829A07AC9EC5}"/>
    <cellStyle name="常规 13 3 4 2 2" xfId="1467" xr:uid="{2A7CA84A-FF44-4719-8AC0-313B29881F25}"/>
    <cellStyle name="常规 13 3 4 3" xfId="1470" xr:uid="{41349347-D4A5-4EBC-BAEB-2D38E559CCA5}"/>
    <cellStyle name="常规 13 3 5" xfId="1474" xr:uid="{DB884215-90F5-432A-9552-52721CBCC3D1}"/>
    <cellStyle name="常规 13 3 5 2" xfId="1478" xr:uid="{E557BD72-5D26-4644-87DE-3A7E27C11373}"/>
    <cellStyle name="常规 13 3 6" xfId="1480" xr:uid="{58E91EE8-3507-4362-8FF0-EF935ECC4C42}"/>
    <cellStyle name="常规 13 4" xfId="1482" xr:uid="{73B42A8E-D375-4A20-81DC-B1A448EF3A3D}"/>
    <cellStyle name="常规 13 4 2" xfId="1484" xr:uid="{2F8A921F-9014-4DD7-905D-8DC731DA7B4A}"/>
    <cellStyle name="常规 13 4 2 2" xfId="1485" xr:uid="{EF885BB6-5026-4549-87C1-37AFFB721D1D}"/>
    <cellStyle name="常规 13 4 2 2 2" xfId="1487" xr:uid="{A178BED6-4909-4223-A524-9AD843D0E957}"/>
    <cellStyle name="常规 13 4 2 3" xfId="1488" xr:uid="{CBCFCBC2-1377-434E-8459-8D7B584519B3}"/>
    <cellStyle name="常规 13 4 3" xfId="1489" xr:uid="{EA3EB8CF-43F7-4F2F-968D-5B8EF9067650}"/>
    <cellStyle name="常规 13 4 3 2" xfId="1148" xr:uid="{257FADF2-363A-4ACB-B310-BCF50276D486}"/>
    <cellStyle name="常规 13 4 3 2 2" xfId="466" xr:uid="{17ABE0AB-72DF-4175-8D9F-412F1E662EB3}"/>
    <cellStyle name="常规 13 4 3 2 2 2" xfId="1045" xr:uid="{1671EFC8-4BAD-4B71-B28A-311E14496D28}"/>
    <cellStyle name="常规 13 4 3 2 3" xfId="1056" xr:uid="{316BC1A5-DE93-4A15-B1E3-AE0559B48FD3}"/>
    <cellStyle name="常规 13 4 3 3" xfId="1492" xr:uid="{7A9E175C-6945-480B-98E8-16EBF31746C2}"/>
    <cellStyle name="常规 13 4 3 3 2" xfId="1175" xr:uid="{62885AE7-8021-4C27-9CED-8390FBF34326}"/>
    <cellStyle name="常规 13 4 3 4" xfId="1496" xr:uid="{548AB810-F125-4D70-958A-48420603B268}"/>
    <cellStyle name="常规 13 4 4" xfId="804" xr:uid="{39A5836B-2129-46D7-A286-D2EC9180A5B5}"/>
    <cellStyle name="常规 13 4 4 2" xfId="1498" xr:uid="{CF065DDE-8FBD-4F32-B368-78EB7145EF81}"/>
    <cellStyle name="常规 13 4 4 2 2" xfId="1500" xr:uid="{CE184C54-B6A3-4160-9FFC-3E85AF50D21B}"/>
    <cellStyle name="常规 13 4 4 3" xfId="1501" xr:uid="{55BAB842-BBAB-4576-9335-DD5114461F1B}"/>
    <cellStyle name="常规 13 4 5" xfId="1503" xr:uid="{FADE0F8B-D7B3-46DA-AA2F-552EE33F8621}"/>
    <cellStyle name="常规 13 4 5 2" xfId="1507" xr:uid="{C3E97296-328B-4D9C-97CC-613670D4CB70}"/>
    <cellStyle name="常规 13 4 6" xfId="1509" xr:uid="{E2DBB692-8191-4E66-97B8-056B0A4BF051}"/>
    <cellStyle name="常规 13 5" xfId="135" xr:uid="{469EA6C3-D5D7-4D63-A990-5D961A1761FB}"/>
    <cellStyle name="常规 13 5 2" xfId="1510" xr:uid="{DAE77568-674F-41C6-86A7-B8634268B939}"/>
    <cellStyle name="常规 13 5 2 2" xfId="1511" xr:uid="{D4B2F207-C997-4242-A462-185BE485E600}"/>
    <cellStyle name="常规 13 5 2 2 2" xfId="1513" xr:uid="{23ADB649-8F80-4198-8855-5BB6354FDA1B}"/>
    <cellStyle name="常规 13 5 2 3" xfId="1486" xr:uid="{265B37C9-213D-489C-8242-D3BB3587043B}"/>
    <cellStyle name="常规 13 5 3" xfId="1518" xr:uid="{6C966211-3588-4285-8BB7-D994B73800FB}"/>
    <cellStyle name="常规 13 5 3 2" xfId="1520" xr:uid="{29B014B1-3F42-420D-94B9-03807610C2D0}"/>
    <cellStyle name="常规 13 5 4" xfId="1322" xr:uid="{A056DE7F-CD25-41DA-9BA3-99F82D2C1318}"/>
    <cellStyle name="常规 13 6" xfId="893" xr:uid="{5856D275-FE3B-4994-B501-21346B1AE53D}"/>
    <cellStyle name="常规 13 6 2" xfId="175" xr:uid="{C27029D3-876E-464B-BCB6-112219741AAB}"/>
    <cellStyle name="常规 13 6 2 2" xfId="344" xr:uid="{C84B90AE-78FD-4D24-9C89-7D5F0953434D}"/>
    <cellStyle name="常规 13 6 3" xfId="183" xr:uid="{F5C90E12-51D0-4BD4-97B6-0534E740F926}"/>
    <cellStyle name="常规 13 7" xfId="895" xr:uid="{2517F26F-E93A-4192-9C70-FA7D2311FB7B}"/>
    <cellStyle name="常规 13 7 2" xfId="1522" xr:uid="{B4AF91C0-71F3-4A0D-8949-4DEA717CEE28}"/>
    <cellStyle name="常规 13 8" xfId="1020" xr:uid="{F58519D8-2F00-4F53-8C1F-DB49493DE451}"/>
    <cellStyle name="常规 14" xfId="48" xr:uid="{D7D13385-B6F4-4D69-A2D8-656CF39CD8E5}"/>
    <cellStyle name="常规 14 2" xfId="1391" xr:uid="{91BBA2B6-BC55-4108-A45B-71BDEF5F13A0}"/>
    <cellStyle name="常规 14 2 2" xfId="1527" xr:uid="{7CC0135C-D1A1-4A94-88E1-E7572CDF3626}"/>
    <cellStyle name="常规 14 2 2 2" xfId="1528" xr:uid="{6AE6788F-DEAA-4E86-BD55-D93B04A8394D}"/>
    <cellStyle name="常规 14 2 2 2 2" xfId="1529" xr:uid="{55847F25-4FDA-485C-97A6-B40400A3BE84}"/>
    <cellStyle name="常规 14 2 2 2 2 2" xfId="136" xr:uid="{271E9F80-F2B3-400D-A743-F65D38BCC959}"/>
    <cellStyle name="常规 14 2 2 2 3" xfId="702" xr:uid="{4C5E8C3A-A38B-4635-917E-1EAB1AC35B2D}"/>
    <cellStyle name="常规 14 2 2 3" xfId="1532" xr:uid="{8784E994-4891-4FC9-A26B-EBE8CBCF398E}"/>
    <cellStyle name="常规 14 2 2 3 2" xfId="1535" xr:uid="{1E2ABE4A-186A-4976-9ABE-854976617568}"/>
    <cellStyle name="常规 14 2 2 3 2 2" xfId="1539" xr:uid="{DD01710E-A19C-4B14-8B06-0E52C9BB564B}"/>
    <cellStyle name="常规 14 2 2 3 2 2 2" xfId="1288" xr:uid="{996479E0-6AEE-44C9-B4A2-55EDD8C64374}"/>
    <cellStyle name="常规 14 2 2 3 2 3" xfId="1540" xr:uid="{A9C3E4B3-F5B3-449B-9786-4604CFB94732}"/>
    <cellStyle name="常规 14 2 2 3 3" xfId="228" xr:uid="{28499A0A-F0E9-4097-AD4F-7CB335B342B2}"/>
    <cellStyle name="常规 14 2 2 3 3 2" xfId="1545" xr:uid="{47F71542-F148-4B3B-9D60-0CA07B0300A3}"/>
    <cellStyle name="常规 14 2 2 3 4" xfId="91" xr:uid="{5E83E759-DFE7-40BF-8800-9FF3B7A7C022}"/>
    <cellStyle name="常规 14 2 2 4" xfId="1548" xr:uid="{75C1AA20-C253-45D3-8E5A-5AE57B0ED96D}"/>
    <cellStyle name="常规 14 2 2 4 2" xfId="1551" xr:uid="{E5C30740-235A-4B4C-82DE-486F26FE0C19}"/>
    <cellStyle name="常规 14 2 2 4 2 2" xfId="1553" xr:uid="{1FBFA504-6E6C-43D6-8992-CCB514D0A8A3}"/>
    <cellStyle name="常规 14 2 2 4 3" xfId="419" xr:uid="{A9E0C3B1-E278-4D69-B93D-9516D5AD897B}"/>
    <cellStyle name="常规 14 2 2 5" xfId="77" xr:uid="{7428B7A4-A5DD-44DC-A6CE-84A0720F8761}"/>
    <cellStyle name="常规 14 2 2 5 2" xfId="1555" xr:uid="{881A2999-D1C0-4F63-AA40-68DED536379F}"/>
    <cellStyle name="常规 14 2 2 6" xfId="1558" xr:uid="{DC143AFB-0DC6-4578-8C50-F31AF2114B90}"/>
    <cellStyle name="常规 14 2 3" xfId="1560" xr:uid="{911866F9-2820-4BCE-8EBE-2666CF562638}"/>
    <cellStyle name="常规 14 2 3 2" xfId="1563" xr:uid="{BAD757F3-FB44-4569-BBB9-370842FD51F6}"/>
    <cellStyle name="常规 14 2 3 2 2" xfId="1564" xr:uid="{F0047717-7580-4497-A801-A4ABBBA3C0CC}"/>
    <cellStyle name="常规 14 2 3 2 2 2" xfId="1566" xr:uid="{D10AA606-63CA-4755-A8BD-E3433E771AAB}"/>
    <cellStyle name="常规 14 2 3 2 3" xfId="1568" xr:uid="{BE51F04C-0896-4CB6-84DB-01FB7882787A}"/>
    <cellStyle name="常规 14 2 3 3" xfId="1572" xr:uid="{31D74038-4A0A-47F4-899A-05074770E715}"/>
    <cellStyle name="常规 14 2 3 3 2" xfId="1576" xr:uid="{77E99E18-31F7-4856-AFFA-10837CA57E25}"/>
    <cellStyle name="常规 14 2 3 3 2 2" xfId="1580" xr:uid="{8FAA5266-0E75-49F0-BCCC-AF842C50767B}"/>
    <cellStyle name="常规 14 2 3 3 2 2 2" xfId="1582" xr:uid="{61B69B7B-EC25-4B40-85D9-BED3B3898D0E}"/>
    <cellStyle name="常规 14 2 3 3 2 3" xfId="1583" xr:uid="{FA3F7520-E222-4963-9D9C-8B40CCD9C4D4}"/>
    <cellStyle name="常规 14 2 3 3 3" xfId="1585" xr:uid="{CD76D494-DAF2-4964-8AB4-C7B96F45D93B}"/>
    <cellStyle name="常规 14 2 3 3 3 2" xfId="1588" xr:uid="{CBE25F75-BDB9-4A44-A0C6-68E3100A817D}"/>
    <cellStyle name="常规 14 2 3 3 4" xfId="1589" xr:uid="{AB260B95-4566-4726-B139-D8DF464A1456}"/>
    <cellStyle name="常规 14 2 3 4" xfId="1593" xr:uid="{F1815A27-3598-4159-9AE8-5E1DB6C9B01B}"/>
    <cellStyle name="常规 14 2 3 4 2" xfId="1055" xr:uid="{9DD8CBD2-4E2A-4266-9DE1-A520D644957D}"/>
    <cellStyle name="常规 14 2 3 4 2 2" xfId="1060" xr:uid="{29D5D731-EAAE-4281-B07D-0AECEC91C5E6}"/>
    <cellStyle name="常规 14 2 3 4 3" xfId="446" xr:uid="{E805F614-EAA3-42F7-B3D2-795187A2EF83}"/>
    <cellStyle name="常规 14 2 3 5" xfId="1596" xr:uid="{42CC479D-4096-4148-BCE1-CA6E6106CBCA}"/>
    <cellStyle name="常规 14 2 3 5 2" xfId="1180" xr:uid="{9619B6E5-2719-417F-B5CD-A9AA881DAA7B}"/>
    <cellStyle name="常规 14 2 3 6" xfId="1599" xr:uid="{A4FB01CA-EEA4-49EA-BC89-6635199D24DB}"/>
    <cellStyle name="常规 14 2 4" xfId="1600" xr:uid="{0851DF31-A110-41CC-BC4D-1B11468F9E99}"/>
    <cellStyle name="常规 14 2 4 2" xfId="378" xr:uid="{9AEE23D4-E91B-4B01-8DCC-03BACC333A15}"/>
    <cellStyle name="常规 14 2 4 2 2" xfId="1601" xr:uid="{A8EC90E2-42F4-43E3-8616-F5BEB091A078}"/>
    <cellStyle name="常规 14 2 4 2 2 2" xfId="1605" xr:uid="{CB704E54-BEF5-4B7B-8CE3-232BB65DDE3E}"/>
    <cellStyle name="常规 14 2 4 2 3" xfId="1606" xr:uid="{47365004-5819-46A4-968B-D3BEFD691C01}"/>
    <cellStyle name="常规 14 2 4 3" xfId="1611" xr:uid="{6674E458-0765-4091-B554-DE1C9DC7D3EE}"/>
    <cellStyle name="常规 14 2 4 3 2" xfId="1614" xr:uid="{41FAD3BB-4A2E-4303-B6C8-2409F48D3D8B}"/>
    <cellStyle name="常规 14 2 4 4" xfId="234" xr:uid="{C1519614-5E9B-4B67-99ED-8A7E6AE0A4B1}"/>
    <cellStyle name="常规 14 2 5" xfId="1615" xr:uid="{21F118DA-7416-4A28-BBCF-82A3D025BCB5}"/>
    <cellStyle name="常规 14 2 5 2" xfId="1618" xr:uid="{EBE8A99E-6E6B-49B2-BCB0-AEACAFE4F82E}"/>
    <cellStyle name="常规 14 2 5 2 2" xfId="1624" xr:uid="{21F22195-C37C-430F-8C86-3DBCFE71CD68}"/>
    <cellStyle name="常规 14 2 5 3" xfId="370" xr:uid="{12325D24-F2EE-4665-A8EF-7AC6C9FF1CD7}"/>
    <cellStyle name="常规 14 2 6" xfId="1625" xr:uid="{6AFA1807-BF2A-4E09-8676-7C18EFC11740}"/>
    <cellStyle name="常规 14 2 6 2" xfId="145" xr:uid="{69CC3CC5-BAE1-4BC0-934A-4DB0001557BD}"/>
    <cellStyle name="常规 14 2 7" xfId="1626" xr:uid="{20AEA13A-F29C-4B76-9501-B6DE8700CFA8}"/>
    <cellStyle name="常规 14 3" xfId="1628" xr:uid="{B9C04482-B065-43CB-9003-FFF5BBB6206D}"/>
    <cellStyle name="常规 14 3 2" xfId="100" xr:uid="{63E65DB1-775D-4C46-B31A-4080B4B590E5}"/>
    <cellStyle name="常规 14 3 2 2" xfId="1188" xr:uid="{3029B6B2-08D9-4AD2-B456-3A2110EAE85C}"/>
    <cellStyle name="常规 14 3 2 2 2" xfId="1195" xr:uid="{2235C030-E484-40EB-90D0-C6E42C5F46EA}"/>
    <cellStyle name="常规 14 3 2 3" xfId="1199" xr:uid="{90D947F1-7AB8-4DCD-A2B9-1334B5583091}"/>
    <cellStyle name="常规 14 3 3" xfId="1203" xr:uid="{C85A10CB-49EA-4816-9995-8149D1459738}"/>
    <cellStyle name="常规 14 3 3 2" xfId="1207" xr:uid="{D795EF8F-A40D-4F00-ADF3-CA9C2F3F806C}"/>
    <cellStyle name="常规 14 3 3 2 2" xfId="1212" xr:uid="{45C8E6A6-3217-4166-B67A-CB679ECB510A}"/>
    <cellStyle name="常规 14 3 3 2 2 2" xfId="1635" xr:uid="{5D9A61BB-E03D-472E-9C70-A6BE2BCDE9CE}"/>
    <cellStyle name="常规 14 3 3 2 3" xfId="1638" xr:uid="{635C8EA6-890F-4181-9649-574389AA9FD7}"/>
    <cellStyle name="常规 14 3 3 3" xfId="88" xr:uid="{BC660F43-781B-4E7C-8370-D6D4F38A1026}"/>
    <cellStyle name="常规 14 3 3 3 2" xfId="1643" xr:uid="{3777A256-5AFE-44CE-8665-F5F114729862}"/>
    <cellStyle name="常规 14 3 3 4" xfId="1648" xr:uid="{6EBD006D-4402-4D04-8ABA-E950B89F9939}"/>
    <cellStyle name="常规 14 3 4" xfId="1144" xr:uid="{5CF743E7-C141-4B2B-A714-DFB8B45DBAC2}"/>
    <cellStyle name="常规 14 3 4 2" xfId="166" xr:uid="{2912257F-2E2B-4D1E-A05A-73666DCABD64}"/>
    <cellStyle name="常规 14 3 4 2 2" xfId="1652" xr:uid="{AE18A741-F2F3-481C-A392-7ACCDE7712F5}"/>
    <cellStyle name="常规 14 3 4 3" xfId="141" xr:uid="{6AF039D0-F620-4DD6-802F-77C15A54BB48}"/>
    <cellStyle name="常规 14 3 5" xfId="1215" xr:uid="{D1CE2860-DB1E-486C-830B-88CB355B8AB8}"/>
    <cellStyle name="常规 14 3 5 2" xfId="473" xr:uid="{F5324D21-521E-47EC-BD81-5020E32EBE49}"/>
    <cellStyle name="常规 14 3 6" xfId="1653" xr:uid="{6C538252-25B7-42B6-BA69-1F12F9BC070D}"/>
    <cellStyle name="常规 14 4" xfId="1654" xr:uid="{98A781F5-0485-4657-BA97-904BEF278D7B}"/>
    <cellStyle name="常规 14 4 2" xfId="1221" xr:uid="{1668066B-D2F2-4C0F-80F7-4756EB299E8B}"/>
    <cellStyle name="常规 14 4 2 2" xfId="1223" xr:uid="{DDACA2D5-D616-4C0C-8D79-0ACAA2F09AFA}"/>
    <cellStyle name="常规 14 4 2 2 2" xfId="971" xr:uid="{7EDC0E4F-47DD-429D-B3A7-2684DC79936B}"/>
    <cellStyle name="常规 14 4 2 3" xfId="1227" xr:uid="{933C8EB8-BB0B-43BB-B008-79EFBA1C79CE}"/>
    <cellStyle name="常规 14 4 3" xfId="1230" xr:uid="{373E7939-3995-4F6A-85C0-5F4AD2EC8DDE}"/>
    <cellStyle name="常规 14 4 3 2" xfId="1160" xr:uid="{7F38DE76-864A-4147-80E1-80D157F9720E}"/>
    <cellStyle name="常规 14 4 3 2 2" xfId="1136" xr:uid="{EFBE2335-9B77-4184-9213-657625C4DEC4}"/>
    <cellStyle name="常规 14 4 3 2 2 2" xfId="1142" xr:uid="{A095163F-0CB1-4424-B411-2F287FB3B75E}"/>
    <cellStyle name="常规 14 4 3 2 3" xfId="1154" xr:uid="{D5B1BF61-AE77-424F-9068-51B38FF1CC80}"/>
    <cellStyle name="常规 14 4 3 3" xfId="1235" xr:uid="{EE9D5E26-5254-4F7D-80FA-33C9FFD2F2BD}"/>
    <cellStyle name="常规 14 4 3 3 2" xfId="308" xr:uid="{9E27F187-BC45-487F-91C0-2CD06EFF05D5}"/>
    <cellStyle name="常规 14 4 3 4" xfId="1658" xr:uid="{AAE8363B-67C1-4864-8B9F-BC1C7AE20E58}"/>
    <cellStyle name="常规 14 4 4" xfId="815" xr:uid="{A0B2D705-D1D1-46BB-9F6A-D4E869F67BA1}"/>
    <cellStyle name="常规 14 4 4 2" xfId="819" xr:uid="{24ED39F1-4292-4111-A7D3-6AA0B9A4BBA0}"/>
    <cellStyle name="常规 14 4 4 2 2" xfId="1268" xr:uid="{606A864A-F2A3-4864-9753-DF3F5C5A8F57}"/>
    <cellStyle name="常规 14 4 4 3" xfId="1536" xr:uid="{7EE697DE-13E7-4C26-B9D4-3C17A13B106A}"/>
    <cellStyle name="常规 14 4 5" xfId="824" xr:uid="{DEF1E3FE-B888-4888-A9AF-FCBD0B294DF4}"/>
    <cellStyle name="常规 14 4 5 2" xfId="1659" xr:uid="{E6F75729-8A84-4284-A116-6E8FF9986E94}"/>
    <cellStyle name="常规 14 4 6" xfId="1660" xr:uid="{9D0038A6-2414-4FA6-9DFD-7B7DE6F6E398}"/>
    <cellStyle name="常规 14 5" xfId="1661" xr:uid="{0F752FD3-1F8A-4C17-8AF3-CB65D95F252A}"/>
    <cellStyle name="常规 14 5 2" xfId="1242" xr:uid="{51CE4A36-DF44-4721-B4E1-11B629509A3F}"/>
    <cellStyle name="常规 14 5 2 2" xfId="1250" xr:uid="{791BC33D-7F9D-4383-88A3-DF05CC4FE29C}"/>
    <cellStyle name="常规 14 5 2 2 2" xfId="682" xr:uid="{9EB01947-694B-4919-8717-DEE232FFCDAD}"/>
    <cellStyle name="常规 14 5 2 3" xfId="1517" xr:uid="{318F271D-C933-4FF0-86D8-0E7A4147CD8B}"/>
    <cellStyle name="常规 14 5 3" xfId="1251" xr:uid="{4F6BEA0F-914D-42C1-B4C0-D858AE331373}"/>
    <cellStyle name="常规 14 5 3 2" xfId="1662" xr:uid="{01A19EFC-C8F2-4A61-9B12-954069C7C055}"/>
    <cellStyle name="常规 14 5 4" xfId="836" xr:uid="{19B02709-6906-4F0D-83C8-58E1A437AAAB}"/>
    <cellStyle name="常规 14 6" xfId="898" xr:uid="{41B88BC9-CBAB-45E9-A1B0-FE356A0EB6DE}"/>
    <cellStyle name="常规 14 6 2" xfId="900" xr:uid="{D8CF785D-0FD6-42E7-BD59-BD5501BA1AA9}"/>
    <cellStyle name="常规 14 6 2 2" xfId="906" xr:uid="{5BE01186-95E8-4738-8672-A46D997B7738}"/>
    <cellStyle name="常规 14 6 3" xfId="909" xr:uid="{2265BC8F-48E6-4C21-A224-86C964D4E5E1}"/>
    <cellStyle name="常规 14 7" xfId="912" xr:uid="{5FC6708C-D9B8-4E9C-A14F-AA2635035EDD}"/>
    <cellStyle name="常规 14 7 2" xfId="544" xr:uid="{F9AC34C0-3DBF-4414-A0D5-616B0346FADB}"/>
    <cellStyle name="常规 14 8" xfId="576" xr:uid="{166EE101-A722-4750-840C-97ECC5BA6086}"/>
    <cellStyle name="常规 14 9" xfId="1526" xr:uid="{082ADDCC-362F-4232-95C8-A85D115EFE02}"/>
    <cellStyle name="常规 15" xfId="1246" xr:uid="{15D2C0B3-5907-422A-A237-A080111AE423}"/>
    <cellStyle name="常规 15 2" xfId="679" xr:uid="{41ACA6C1-1666-4208-A410-D9EB359A2064}"/>
    <cellStyle name="常规 15 2 2" xfId="1015" xr:uid="{1660BB82-6FB9-4520-B4F2-C284CDDA7D8C}"/>
    <cellStyle name="常规 15 2 2 2" xfId="1018" xr:uid="{CC17DFE9-8937-466D-80DF-CE91193EEA7A}"/>
    <cellStyle name="常规 15 2 2 2 2" xfId="1664" xr:uid="{3D903FEB-4247-4A37-A87A-31A341AB25DC}"/>
    <cellStyle name="常规 15 2 2 2 2 2" xfId="1666" xr:uid="{0DF66B21-D3D9-424E-AD7E-0039E64AE7FE}"/>
    <cellStyle name="常规 15 2 2 2 3" xfId="628" xr:uid="{CD303976-408D-4460-A50E-E46DF455E526}"/>
    <cellStyle name="常规 15 2 2 3" xfId="1668" xr:uid="{92A10682-1422-495E-BAD7-45871B62FEA5}"/>
    <cellStyle name="常规 15 2 2 3 2" xfId="933" xr:uid="{D9FDAF0F-1C92-45D4-A54B-B30EBB70B4D3}"/>
    <cellStyle name="常规 15 2 2 3 2 2" xfId="936" xr:uid="{B2E112EF-50BA-4EAF-AA6F-AD9C61F1983E}"/>
    <cellStyle name="常规 15 2 2 3 2 2 2" xfId="602" xr:uid="{4CC5C5C7-A483-4FE8-BEA1-ABA9440A970B}"/>
    <cellStyle name="常规 15 2 2 3 2 3" xfId="944" xr:uid="{9F36247A-D85C-4F68-9CF7-AF7F200034FD}"/>
    <cellStyle name="常规 15 2 2 3 3" xfId="653" xr:uid="{F36AD1FA-E35C-41E1-83A8-012648E708CF}"/>
    <cellStyle name="常规 15 2 2 3 3 2" xfId="661" xr:uid="{3BDC9FFA-3BAA-41F1-B96B-5A28D9F71949}"/>
    <cellStyle name="常规 15 2 2 3 4" xfId="665" xr:uid="{06E0477A-D2B0-4114-8635-90F3430BBF90}"/>
    <cellStyle name="常规 15 2 2 4" xfId="1670" xr:uid="{4BB59BA1-E5FA-4A9F-9334-E9B5B04AD9C4}"/>
    <cellStyle name="常规 15 2 2 4 2" xfId="984" xr:uid="{28003FE8-3796-4B38-A988-4F7A77972EC2}"/>
    <cellStyle name="常规 15 2 2 4 2 2" xfId="988" xr:uid="{E21DAA16-637A-4E2C-BC27-FF53E086CC7C}"/>
    <cellStyle name="常规 15 2 2 4 3" xfId="675" xr:uid="{CE9D26BA-BFF2-4D2A-A643-29E713E8BDD9}"/>
    <cellStyle name="常规 15 2 2 5" xfId="1672" xr:uid="{B393DD13-2574-4A3D-8C17-C01961C449C8}"/>
    <cellStyle name="常规 15 2 2 5 2" xfId="1007" xr:uid="{A4E17538-8FD1-49E2-B1FF-C8A1D43B09E1}"/>
    <cellStyle name="常规 15 2 2 6" xfId="1265" xr:uid="{0C3E35A0-A772-4DEE-B09B-D12F8525F4F1}"/>
    <cellStyle name="常规 15 2 3" xfId="566" xr:uid="{C533AC13-8B2C-47B1-B1B7-8AA9925881BF}"/>
    <cellStyle name="常规 15 2 3 2" xfId="574" xr:uid="{7932AAA5-A257-42C8-846B-75062D9BE36A}"/>
    <cellStyle name="常规 15 2 3 2 2" xfId="1674" xr:uid="{BBFF1102-9135-4C67-92D6-553B3095E718}"/>
    <cellStyle name="常规 15 2 3 2 2 2" xfId="1676" xr:uid="{6F9C8CCC-5D99-4A92-9A69-ADA27C2C4DF3}"/>
    <cellStyle name="常规 15 2 3 2 3" xfId="738" xr:uid="{22CB5DDA-B6BF-44FA-B45A-39A5C988B20C}"/>
    <cellStyle name="常规 15 2 3 3" xfId="1678" xr:uid="{F90400E5-5CA8-4683-B05F-BBD03241B889}"/>
    <cellStyle name="常规 15 2 3 3 2" xfId="1111" xr:uid="{1210D404-E329-4265-93CE-5443B2820E1B}"/>
    <cellStyle name="常规 15 2 3 3 2 2" xfId="1114" xr:uid="{6D797762-DCFE-4A8F-A901-9C7F9418ED4B}"/>
    <cellStyle name="常规 15 2 3 3 2 2 2" xfId="131" xr:uid="{82772058-576E-4F6E-8887-5ED01C07A272}"/>
    <cellStyle name="常规 15 2 3 3 2 3" xfId="1122" xr:uid="{A7DEBD10-C80A-4A80-B8C1-D6ADDA4F1973}"/>
    <cellStyle name="常规 15 2 3 3 3" xfId="769" xr:uid="{75DE3C1C-8119-4912-883F-D019BFCB2236}"/>
    <cellStyle name="常规 15 2 3 3 3 2" xfId="775" xr:uid="{0151399D-7749-45D5-A18A-5010C5E77562}"/>
    <cellStyle name="常规 15 2 3 3 4" xfId="783" xr:uid="{99C78FEA-768E-48C9-97E5-D50CE90B335D}"/>
    <cellStyle name="常规 15 2 3 4" xfId="149" xr:uid="{453EA487-06F5-4156-BEF1-04CD66577697}"/>
    <cellStyle name="常规 15 2 3 4 2" xfId="1151" xr:uid="{219716D8-706E-4D28-A452-72F06652F761}"/>
    <cellStyle name="常规 15 2 3 4 2 2" xfId="397" xr:uid="{6A25F9CF-934B-4E7A-8130-1560742CB343}"/>
    <cellStyle name="常规 15 2 3 4 3" xfId="172" xr:uid="{04E44E40-EC6B-4218-A571-25A366AF3533}"/>
    <cellStyle name="常规 15 2 3 5" xfId="1680" xr:uid="{AE69107A-3AC8-4EBF-A38E-3A8ECEC6D17C}"/>
    <cellStyle name="常规 15 2 3 5 2" xfId="311" xr:uid="{3DF8A5FF-F27E-401F-B298-5A5E091095EE}"/>
    <cellStyle name="常规 15 2 3 6" xfId="1280" xr:uid="{1C81DA92-E657-4867-AB11-ABCFD9DC1DB8}"/>
    <cellStyle name="常规 15 2 4" xfId="386" xr:uid="{8925C923-604B-4872-BB59-146F03F41962}"/>
    <cellStyle name="常规 15 2 4 2" xfId="155" xr:uid="{97DB8DFA-1263-4C9F-933E-AB60821E6576}"/>
    <cellStyle name="常规 15 2 4 2 2" xfId="1683" xr:uid="{98F4D4CB-068C-49BF-8469-BFFAF8508E76}"/>
    <cellStyle name="常规 15 2 4 2 2 2" xfId="1685" xr:uid="{CCC8A408-4750-4D49-A129-B117B72DAE55}"/>
    <cellStyle name="常规 15 2 4 2 3" xfId="269" xr:uid="{1030A15B-4DB8-49E5-BC71-5C58127066D6}"/>
    <cellStyle name="常规 15 2 4 3" xfId="1689" xr:uid="{C0C4ED0C-A49A-4545-BE66-F3B530DD0341}"/>
    <cellStyle name="常规 15 2 4 3 2" xfId="126" xr:uid="{45B12219-6565-4738-AB47-2CA862803C8F}"/>
    <cellStyle name="常规 15 2 4 4" xfId="1691" xr:uid="{C5771ED6-1847-48F5-9972-38C0B3F7CB61}"/>
    <cellStyle name="常规 15 2 5" xfId="393" xr:uid="{FC5FC65F-618C-47F2-807D-D562335BFF51}"/>
    <cellStyle name="常规 15 2 5 2" xfId="1693" xr:uid="{FFBD141A-DBC7-4AD3-AB5E-711BCAB0029A}"/>
    <cellStyle name="常规 15 2 5 2 2" xfId="791" xr:uid="{AC3EE449-5258-4C19-996C-3070D8707547}"/>
    <cellStyle name="常规 15 2 5 3" xfId="1698" xr:uid="{978C3333-5D6E-44B8-A5A8-6F10149A543F}"/>
    <cellStyle name="常规 15 2 6" xfId="1616" xr:uid="{5ED6F8F6-4213-4BBD-BE6F-CF97258D5DDF}"/>
    <cellStyle name="常规 15 2 6 2" xfId="1622" xr:uid="{3F1A679B-0E01-4F8B-96D3-1A58BA9E6E25}"/>
    <cellStyle name="常规 15 2 7" xfId="364" xr:uid="{84CE75D7-DA85-4FE0-BAA0-DA8C957477E9}"/>
    <cellStyle name="常规 15 3" xfId="684" xr:uid="{D289957F-4419-45E1-9371-D8D917653472}"/>
    <cellStyle name="常规 15 3 2" xfId="1036" xr:uid="{B987713E-DE44-413B-A6C6-85AA1DBD7E28}"/>
    <cellStyle name="常规 15 3 2 2" xfId="1040" xr:uid="{746FAD7B-3EA3-4CD6-A388-AA2006D37C46}"/>
    <cellStyle name="常规 15 3 2 2 2" xfId="1413" xr:uid="{24ABC05F-B90D-4DE0-9234-298B2B4AA546}"/>
    <cellStyle name="常规 15 3 2 3" xfId="1700" xr:uid="{CA6443D5-FEA1-46D7-9C5C-011CD6755B2A}"/>
    <cellStyle name="常规 15 3 3" xfId="582" xr:uid="{D66928B0-39A0-4E7D-8F39-D69D5593A5DB}"/>
    <cellStyle name="常规 15 3 3 2" xfId="1702" xr:uid="{B136C60A-AA98-4EFF-9517-22A2021207B2}"/>
    <cellStyle name="常规 15 3 3 2 2" xfId="1705" xr:uid="{F44B2C8A-47B3-4272-936F-E839EEBF098D}"/>
    <cellStyle name="常规 15 3 3 2 2 2" xfId="1709" xr:uid="{97A85E22-BB98-4A56-9442-B0F779C9D600}"/>
    <cellStyle name="常规 15 3 3 2 3" xfId="129" xr:uid="{E57619D7-6E7D-4E48-8DBE-C8D5D7F11CC5}"/>
    <cellStyle name="常规 15 3 3 3" xfId="1710" xr:uid="{8F122292-D204-4B30-9A2B-48D64EFEC288}"/>
    <cellStyle name="常规 15 3 3 3 2" xfId="1712" xr:uid="{8791C3E1-F4E4-45D4-B7D6-A9E76AE1C0FD}"/>
    <cellStyle name="常规 15 3 3 4" xfId="1715" xr:uid="{E477C689-0627-4F5F-99CE-BC31576DD89F}"/>
    <cellStyle name="常规 15 3 4" xfId="404" xr:uid="{AC6B124A-B00A-4CA1-B3E7-A4AD002CFAAC}"/>
    <cellStyle name="常规 15 3 4 2" xfId="1716" xr:uid="{7D8DD238-0716-48A4-8C41-2A82BF8C16FF}"/>
    <cellStyle name="常规 15 3 4 2 2" xfId="1718" xr:uid="{ED742E0C-70A4-49E5-A84A-86EFCC13D786}"/>
    <cellStyle name="常规 15 3 4 3" xfId="1565" xr:uid="{39C80088-6826-44F2-907E-67A5F9CA1A44}"/>
    <cellStyle name="常规 15 3 5" xfId="168" xr:uid="{94E652DB-CAA9-4764-A99B-40BAEE90FB90}"/>
    <cellStyle name="常规 15 3 5 2" xfId="1720" xr:uid="{83471CE0-E4A5-4F08-B56B-45AC0664D479}"/>
    <cellStyle name="常规 15 3 6" xfId="147" xr:uid="{5BA49BF4-FE1E-4313-996A-5E55A92A4C2A}"/>
    <cellStyle name="常规 15 4" xfId="1721" xr:uid="{054A6846-5E5F-4792-99EF-955C0ABAE60F}"/>
    <cellStyle name="常规 15 4 2" xfId="72" xr:uid="{C9CC2C53-039F-452A-9A4B-21D3ABB9FC19}"/>
    <cellStyle name="常规 15 4 2 2" xfId="1274" xr:uid="{7EB8BE9A-EC20-433D-9EA6-6E5FFCDB9737}"/>
    <cellStyle name="常规 15 4 2 2 2" xfId="1726" xr:uid="{AFE86325-F430-4179-8750-693856FBDC9C}"/>
    <cellStyle name="常规 15 4 2 3" xfId="1728" xr:uid="{0512FFCB-3452-4392-908B-FF7C62953FDE}"/>
    <cellStyle name="常规 15 4 3" xfId="248" xr:uid="{0C16ECF2-D0B7-40D7-AAA9-1F96C2D6DBB3}"/>
    <cellStyle name="常规 15 4 3 2" xfId="1730" xr:uid="{CB4CF8B1-C6B1-446A-ADB1-46BE74011C50}"/>
    <cellStyle name="常规 15 4 3 2 2" xfId="1732" xr:uid="{8C322277-EDB1-4A99-9B00-1188C1744606}"/>
    <cellStyle name="常规 15 4 3 2 2 2" xfId="210" xr:uid="{AAFBC94C-87E3-4346-BFAC-9CC028AFC027}"/>
    <cellStyle name="常规 15 4 3 2 3" xfId="1737" xr:uid="{2FC83254-7DF1-4CA0-8AF2-8278D699C89B}"/>
    <cellStyle name="常规 15 4 3 3" xfId="1739" xr:uid="{457AD88C-8CC3-4B43-A04E-172F8C15583B}"/>
    <cellStyle name="常规 15 4 3 3 2" xfId="1741" xr:uid="{74AC1607-D95A-45A2-9C15-E560DE91668E}"/>
    <cellStyle name="常规 15 4 3 4" xfId="1743" xr:uid="{5675E9C2-732F-4002-845D-4979DA4A1266}"/>
    <cellStyle name="常规 15 4 4" xfId="844" xr:uid="{D87E4F63-C14F-492E-9542-BDE32FF159C4}"/>
    <cellStyle name="常规 15 4 4 2" xfId="1341" xr:uid="{BE73F3E8-F472-44C8-8F08-CFB4C4087639}"/>
    <cellStyle name="常规 15 4 4 2 2" xfId="1745" xr:uid="{3C334305-A4AA-4C5F-BF9C-596A69D7A3B5}"/>
    <cellStyle name="常规 15 4 4 3" xfId="1577" xr:uid="{4EB68276-EAC8-4168-867E-9FB8607D2136}"/>
    <cellStyle name="常规 15 4 5" xfId="1747" xr:uid="{6A9CC21E-EA1F-46F6-9551-0EACDFB977BA}"/>
    <cellStyle name="常规 15 4 5 2" xfId="1749" xr:uid="{91D7D221-EAC8-453D-B740-118EE7C0CDB7}"/>
    <cellStyle name="常规 15 4 6" xfId="1751" xr:uid="{9B476933-113B-4402-AE16-665E7C5F6D04}"/>
    <cellStyle name="常规 15 5" xfId="1753" xr:uid="{72543495-449F-4F05-97B8-13448782401A}"/>
    <cellStyle name="常规 15 5 2" xfId="1073" xr:uid="{9019D7E1-B962-43F5-A6D6-1B311B8809B5}"/>
    <cellStyle name="常规 15 5 2 2" xfId="1755" xr:uid="{65BA7D5D-D710-40C7-84A3-0471CDA20ECB}"/>
    <cellStyle name="常规 15 5 2 2 2" xfId="1757" xr:uid="{1D8BD63F-8202-457F-968F-6F747683F9D8}"/>
    <cellStyle name="常规 15 5 2 3" xfId="459" xr:uid="{8E2F8E58-9843-4E79-8D07-E7EC0BBFD5EF}"/>
    <cellStyle name="常规 15 5 3" xfId="259" xr:uid="{E64F77B5-6663-47A3-B7B0-83185203681A}"/>
    <cellStyle name="常规 15 5 3 2" xfId="1759" xr:uid="{A28FBA9C-1EE5-4D2F-B408-E66FD2E7CAD7}"/>
    <cellStyle name="常规 15 5 4" xfId="1761" xr:uid="{A37A9DBF-6CF6-4E5F-B252-26EA203FE5A6}"/>
    <cellStyle name="常规 15 6" xfId="915" xr:uid="{B379F8C9-D61E-4BAD-9525-02CAD574B2AA}"/>
    <cellStyle name="常规 15 6 2" xfId="918" xr:uid="{7DB0EA3C-9330-4F29-9C69-630EF25846E7}"/>
    <cellStyle name="常规 15 6 2 2" xfId="1763" xr:uid="{FF39FFE0-CEF5-485D-8D0D-86B486A9190D}"/>
    <cellStyle name="常规 15 6 3" xfId="262" xr:uid="{A85EF93A-9531-468C-808F-8065E8C31365}"/>
    <cellStyle name="常规 15 7" xfId="921" xr:uid="{DF74D629-7FDA-466C-A675-9756C46D9A40}"/>
    <cellStyle name="常规 15 7 2" xfId="97" xr:uid="{74E7F043-0A8C-467D-8F30-5485FF7BBA3E}"/>
    <cellStyle name="常规 15 8" xfId="153" xr:uid="{DEB8A003-297B-42BB-9E59-62E862275006}"/>
    <cellStyle name="常规 16" xfId="1512" xr:uid="{9BEFC6A4-70B8-4358-83CA-5D9366E1FFC4}"/>
    <cellStyle name="常规 16 2" xfId="795" xr:uid="{C6B3AD64-8AB8-4FF1-B4CE-1CE85F258CE8}"/>
    <cellStyle name="常规 16 2 2" xfId="315" xr:uid="{F77EBEFC-77E0-452B-9EAF-E9F50530E47E}"/>
    <cellStyle name="常规 16 2 2 2" xfId="879" xr:uid="{A0E18ADD-B88C-4C8D-AD16-AD37F17D3310}"/>
    <cellStyle name="常规 16 2 2 2 2" xfId="1765" xr:uid="{C4F1F0BD-0A51-49EA-AC74-A17D5D828A84}"/>
    <cellStyle name="常规 16 2 2 2 2 2" xfId="1768" xr:uid="{595E8AFA-83D0-4602-AEC0-47158CFE988F}"/>
    <cellStyle name="常规 16 2 2 2 3" xfId="1771" xr:uid="{F4D7C823-B1A0-4072-94C2-DDB4D76CBB05}"/>
    <cellStyle name="常规 16 2 2 3" xfId="1774" xr:uid="{79793A56-128B-4B0C-B1BE-318ADE61932F}"/>
    <cellStyle name="常规 16 2 2 3 2" xfId="1777" xr:uid="{DBD2EC84-8E7A-4209-8B33-6F8D9A3884FE}"/>
    <cellStyle name="常规 16 2 2 3 2 2" xfId="1780" xr:uid="{17EB9CFA-604A-49DE-A4DF-761327837335}"/>
    <cellStyle name="常规 16 2 2 3 2 2 2" xfId="180" xr:uid="{E6A211A9-E50A-44FE-9B25-B6DF6CE1E765}"/>
    <cellStyle name="常规 16 2 2 3 2 3" xfId="1581" xr:uid="{2CC78D5C-7289-4CC9-A21A-72E34465CE45}"/>
    <cellStyle name="常规 16 2 2 3 3" xfId="1781" xr:uid="{420948A6-E203-4F4D-98E8-8066CF6883A8}"/>
    <cellStyle name="常规 16 2 2 3 3 2" xfId="1782" xr:uid="{BBED8FB7-9909-4EF9-89BC-DAB72CD69203}"/>
    <cellStyle name="常规 16 2 2 3 4" xfId="1784" xr:uid="{16660E4F-C55A-4896-A45F-1F4F35394FCD}"/>
    <cellStyle name="常规 16 2 2 4" xfId="1785" xr:uid="{2694D74C-E0AA-40A6-9DDE-EEE1612985E8}"/>
    <cellStyle name="常规 16 2 2 4 2" xfId="1787" xr:uid="{9EE34F0C-0109-4638-9A0A-EE3FBDCF83B8}"/>
    <cellStyle name="常规 16 2 2 4 2 2" xfId="1790" xr:uid="{C4A875AC-B68B-4A87-9544-EAF217FF06F3}"/>
    <cellStyle name="常规 16 2 2 4 3" xfId="1792" xr:uid="{C3DD12F7-74C8-4D83-8E44-9043AA9FA0BC}"/>
    <cellStyle name="常规 16 2 2 5" xfId="1796" xr:uid="{13CB0F03-EBFC-4D8A-89D1-B5933817CCC3}"/>
    <cellStyle name="常规 16 2 2 5 2" xfId="1797" xr:uid="{46008A3B-565E-4D33-8556-39AAB2D816FA}"/>
    <cellStyle name="常规 16 2 2 6" xfId="1800" xr:uid="{6F7FC6FC-C03B-4048-BA0E-8AD587AB2EB9}"/>
    <cellStyle name="常规 16 2 3" xfId="323" xr:uid="{D9750A86-258F-44FC-AB94-6F46E491AC01}"/>
    <cellStyle name="常规 16 2 3 2" xfId="1802" xr:uid="{7BCB3BCF-341E-4F14-BF50-2B26681DEB27}"/>
    <cellStyle name="常规 16 2 3 2 2" xfId="422" xr:uid="{DA13A4D7-A04C-49EA-A98A-593BE648C13C}"/>
    <cellStyle name="常规 16 2 3 2 2 2" xfId="429" xr:uid="{AAEE1A2C-F6AC-497B-A20E-7A5F4DF37D96}"/>
    <cellStyle name="常规 16 2 3 2 3" xfId="510" xr:uid="{DBDB2FB1-5082-499F-92CF-BB3429238CF5}"/>
    <cellStyle name="常规 16 2 3 3" xfId="1805" xr:uid="{A80C27E2-7CB9-4633-AE73-1D0B6DCD2B2D}"/>
    <cellStyle name="常规 16 2 3 3 2" xfId="191" xr:uid="{AFC5B064-2028-4045-A87E-DAE707873A4A}"/>
    <cellStyle name="常规 16 2 3 3 2 2" xfId="955" xr:uid="{D60D930B-873C-4E85-9B09-2E2F3971188B}"/>
    <cellStyle name="常规 16 2 3 3 2 2 2" xfId="1807" xr:uid="{3C7BAA10-A14D-480C-839A-C80E5B22DFD3}"/>
    <cellStyle name="常规 16 2 3 3 2 3" xfId="978" xr:uid="{99D10225-0890-4BC4-83B0-A7552FB840B3}"/>
    <cellStyle name="常规 16 2 3 3 3" xfId="200" xr:uid="{52A3E8C3-1625-47FE-9D72-48EC1045C7D7}"/>
    <cellStyle name="常规 16 2 3 3 3 2" xfId="699" xr:uid="{BAE56528-C884-4A64-A7C5-08D6AAA11BD3}"/>
    <cellStyle name="常规 16 2 3 3 4" xfId="217" xr:uid="{FD0B24C6-92AE-4BFA-9D84-B3635D330A5D}"/>
    <cellStyle name="常规 16 2 3 4" xfId="1808" xr:uid="{7EACBA06-B25D-4CFA-92BA-45ADBD182116}"/>
    <cellStyle name="常规 16 2 3 4 2" xfId="1735" xr:uid="{E6C44CA1-6DD4-4C3F-A7A1-B6A70AD412CB}"/>
    <cellStyle name="常规 16 2 3 4 2 2" xfId="1810" xr:uid="{3E762057-299B-4873-8431-5B023D0E26FC}"/>
    <cellStyle name="常规 16 2 3 4 3" xfId="716" xr:uid="{0C7C4AC0-D514-4BCA-8B71-7C0880D0494A}"/>
    <cellStyle name="常规 16 2 3 5" xfId="1813" xr:uid="{02ABFF22-DC1C-406E-A00C-F7B170CF1BD9}"/>
    <cellStyle name="常规 16 2 3 5 2" xfId="1816" xr:uid="{376CF6C7-9733-4422-8080-E64C10EC111F}"/>
    <cellStyle name="常规 16 2 3 6" xfId="1817" xr:uid="{FEDCA536-BBBB-4FE1-B2E3-309E7F059659}"/>
    <cellStyle name="常规 16 2 4" xfId="333" xr:uid="{F1EB8C82-D556-493F-B80D-222A0C963D1D}"/>
    <cellStyle name="常规 16 2 4 2" xfId="440" xr:uid="{0AC743DC-C4E2-40DE-A5A0-75744A00FB60}"/>
    <cellStyle name="常规 16 2 4 2 2" xfId="451" xr:uid="{F21D93C8-BA18-45C2-BD65-96BCCC910DB0}"/>
    <cellStyle name="常规 16 2 4 2 2 2" xfId="1820" xr:uid="{9E08424F-D92E-4914-893B-022C3F06A033}"/>
    <cellStyle name="常规 16 2 4 2 3" xfId="746" xr:uid="{E39E8468-B8E2-4B7C-A234-2D240A507575}"/>
    <cellStyle name="常规 16 2 4 3" xfId="457" xr:uid="{1E90C186-1106-4FEE-8822-54A31E7C8BC0}"/>
    <cellStyle name="常规 16 2 4 3 2" xfId="1822" xr:uid="{A2B9048A-8A14-4343-81EA-2C6F00AA7593}"/>
    <cellStyle name="常规 16 2 4 4" xfId="1825" xr:uid="{591FD331-F8FB-4C60-8B3F-FB3B5409A156}"/>
    <cellStyle name="常规 16 2 5" xfId="345" xr:uid="{5AE64E60-549C-45E3-9E1B-2BA82F2BFFAC}"/>
    <cellStyle name="常规 16 2 5 2" xfId="464" xr:uid="{81C62CEE-373F-49D9-AF9C-0F238FE76F6A}"/>
    <cellStyle name="常规 16 2 5 2 2" xfId="1828" xr:uid="{1312E558-A3C5-4613-9AA4-53A9DD18E9D2}"/>
    <cellStyle name="常规 16 2 5 3" xfId="1831" xr:uid="{0D68CA22-89C4-48B8-8FD0-49D908905C94}"/>
    <cellStyle name="常规 16 2 6" xfId="469" xr:uid="{8D5BE3E8-9285-4D45-A269-F5CC49DC8C07}"/>
    <cellStyle name="常规 16 2 6 2" xfId="1834" xr:uid="{B9FE23BA-40EC-4911-9730-11220C524725}"/>
    <cellStyle name="常规 16 2 7" xfId="1835" xr:uid="{E0326986-7ED1-45E2-AFA2-1ED17104042D}"/>
    <cellStyle name="常规 16 3" xfId="1836" xr:uid="{AF2E3727-4E4B-44B2-98CE-DFB9B14A1AA8}"/>
    <cellStyle name="常规 16 3 2" xfId="1284" xr:uid="{7C818A3F-26D5-4CEC-A468-010D997019AA}"/>
    <cellStyle name="常规 16 3 2 2" xfId="1838" xr:uid="{A67905CC-29A9-4FD9-A469-1288A36248A0}"/>
    <cellStyle name="常规 16 3 2 2 2" xfId="1840" xr:uid="{513185E1-43F1-4FD9-8319-BCDFD516F513}"/>
    <cellStyle name="常规 16 3 2 3" xfId="1351" xr:uid="{1C1E7249-8B0B-4F1E-8223-F99123A14508}"/>
    <cellStyle name="常规 16 3 3" xfId="1842" xr:uid="{02D8EC92-B6F4-4EE2-9FB4-DCE57C6D906B}"/>
    <cellStyle name="常规 16 3 3 2" xfId="1845" xr:uid="{C3ECFDF3-80AC-4228-9C41-AC784AC1E606}"/>
    <cellStyle name="常规 16 3 3 2 2" xfId="1847" xr:uid="{838710D7-45D2-45C8-BFCF-0637146062AD}"/>
    <cellStyle name="常规 16 3 3 2 2 2" xfId="1462" xr:uid="{C58ABDE6-390C-4183-9C85-4BE18E875A7C}"/>
    <cellStyle name="常规 16 3 3 2 3" xfId="801" xr:uid="{D0CDC6EE-9913-4FFD-B821-2DE5A4280474}"/>
    <cellStyle name="常规 16 3 3 3" xfId="1849" xr:uid="{6A955D44-DDDD-4954-A34A-E4CB0398F530}"/>
    <cellStyle name="常规 16 3 3 3 2" xfId="1851" xr:uid="{41508D51-59ED-4C65-9F3B-03B682A7187E}"/>
    <cellStyle name="常规 16 3 3 4" xfId="1855" xr:uid="{A895982D-6E13-49E6-87FE-457E3A908590}"/>
    <cellStyle name="常规 16 3 4" xfId="483" xr:uid="{FF038871-BA3D-4BA5-86AD-AC113BEF8498}"/>
    <cellStyle name="常规 16 3 4 2" xfId="301" xr:uid="{ACF00EA5-B49F-4B2C-A0B9-C67549083912}"/>
    <cellStyle name="常规 16 3 4 2 2" xfId="1858" xr:uid="{3700C9B7-ED24-4292-93E5-EC29EC535216}"/>
    <cellStyle name="常规 16 3 4 3" xfId="1603" xr:uid="{32ABAAE4-E9B1-4FA7-9710-43CF0D227D3A}"/>
    <cellStyle name="常规 16 3 5" xfId="490" xr:uid="{A1B7A1F6-DC86-4CA4-B716-DE611183F320}"/>
    <cellStyle name="常规 16 3 5 2" xfId="1861" xr:uid="{6F6D3989-5C3D-4A02-805F-6C33BDBF37AB}"/>
    <cellStyle name="常规 16 3 6" xfId="1863" xr:uid="{DA98D444-1E8D-4891-8701-B9D51AA4693F}"/>
    <cellStyle name="常规 16 4" xfId="1865" xr:uid="{33FB0D39-F2DB-42C8-B8D6-470FF2166D89}"/>
    <cellStyle name="常规 16 4 2" xfId="1293" xr:uid="{4126FEC0-3448-4F65-A847-2EB19D03E1AB}"/>
    <cellStyle name="常规 16 4 2 2" xfId="1296" xr:uid="{159CA0F0-F62D-4B36-988F-1897332FB585}"/>
    <cellStyle name="常规 16 4 2 2 2" xfId="1867" xr:uid="{296971BA-D4DB-4598-A228-8CFFA3FB8BD6}"/>
    <cellStyle name="常规 16 4 2 3" xfId="1381" xr:uid="{E1659D17-49FD-4D7B-A792-B2BB09B96F6B}"/>
    <cellStyle name="常规 16 4 3" xfId="1299" xr:uid="{77687766-A586-4F2D-A536-34DAF867E28B}"/>
    <cellStyle name="常规 16 4 3 2" xfId="1869" xr:uid="{11E45966-F74D-4BBD-8C42-99CB63FA773E}"/>
    <cellStyle name="常规 16 4 3 2 2" xfId="1871" xr:uid="{DAD616CD-6903-4A0A-A11F-B0CDE92ECC0D}"/>
    <cellStyle name="常规 16 4 3 2 2 2" xfId="1876" xr:uid="{97583633-2408-4BF8-B6DF-F6B35220EF22}"/>
    <cellStyle name="常规 16 4 3 2 3" xfId="1878" xr:uid="{5603930D-D0AE-499E-82F5-5F7CC0914FAE}"/>
    <cellStyle name="常规 16 4 3 3" xfId="1879" xr:uid="{A5AFB755-818E-4A99-99CA-689E67B77E4A}"/>
    <cellStyle name="常规 16 4 3 3 2" xfId="1880" xr:uid="{B9D468C8-D3D8-4A29-AED7-E66837AED719}"/>
    <cellStyle name="常规 16 4 3 4" xfId="1882" xr:uid="{BFD94AA0-D3C7-4E5C-AC3F-3618F270AEA0}"/>
    <cellStyle name="常规 16 4 4" xfId="1883" xr:uid="{6B3FD09D-7290-497F-81D4-90182FB3C9BB}"/>
    <cellStyle name="常规 16 4 4 2" xfId="1886" xr:uid="{049EBADD-E728-4E0A-A4DA-3AF526621CCF}"/>
    <cellStyle name="常规 16 4 4 2 2" xfId="1888" xr:uid="{54173B10-FDD1-4D3D-A319-4FB9C2EE52DA}"/>
    <cellStyle name="常规 16 4 4 3" xfId="1890" xr:uid="{A0F82725-7456-45E8-B255-19E445548ED3}"/>
    <cellStyle name="常规 16 4 5" xfId="1891" xr:uid="{021A8791-2954-42B5-9483-F84713ED711E}"/>
    <cellStyle name="常规 16 4 5 2" xfId="292" xr:uid="{DC7E87FD-A6F4-4964-88AB-AE84284103CB}"/>
    <cellStyle name="常规 16 4 6" xfId="1892" xr:uid="{1A19ADA7-7D25-42DF-BE01-4ADDF29637CF}"/>
    <cellStyle name="常规 16 5" xfId="1895" xr:uid="{B691ADEE-256D-449B-965D-401D1F35DF0A}"/>
    <cellStyle name="常规 16 5 2" xfId="1899" xr:uid="{0D953ECA-DBFE-443F-9FA9-55D2EFC5EF2C}"/>
    <cellStyle name="常规 16 5 2 2" xfId="1903" xr:uid="{FFBB7769-7CD2-4AD6-94D0-7DF575CFB1BF}"/>
    <cellStyle name="常规 16 5 2 2 2" xfId="207" xr:uid="{6D4296F5-C2C5-4288-964E-5D1AD1BE6100}"/>
    <cellStyle name="常规 16 5 2 3" xfId="1906" xr:uid="{6AFCD6D2-9D5D-4697-A177-A7B80DBD3664}"/>
    <cellStyle name="常规 16 5 3" xfId="1909" xr:uid="{9C7AE69C-15CF-4600-B9DA-B79EB7E6037D}"/>
    <cellStyle name="常规 16 5 3 2" xfId="1912" xr:uid="{E8F67B46-C2AD-46C8-928B-E27EA16EB7EF}"/>
    <cellStyle name="常规 16 5 4" xfId="1914" xr:uid="{8A909D2C-9562-4C98-9363-11F00579D7B7}"/>
    <cellStyle name="常规 16 6" xfId="929" xr:uid="{21DF4589-44C8-4581-9EE0-76AF73A15426}"/>
    <cellStyle name="常规 16 6 2" xfId="1919" xr:uid="{5539FDD1-28C7-445D-8C2E-E70D5B18555A}"/>
    <cellStyle name="常规 16 6 2 2" xfId="1925" xr:uid="{8E899458-AF17-468B-BC5D-A41B54607390}"/>
    <cellStyle name="常规 16 6 3" xfId="1930" xr:uid="{E1E2275A-9806-451E-BB40-A1BB7733224C}"/>
    <cellStyle name="常规 16 7" xfId="1933" xr:uid="{0EE2AA57-A8FE-4372-8F34-C1B9B7CA5A4E}"/>
    <cellStyle name="常规 16 7 2" xfId="1939" xr:uid="{4C180427-A4DC-4FFE-B024-1CCCA17F3D1E}"/>
    <cellStyle name="常规 16 8" xfId="1697" xr:uid="{043D1785-5C40-4B00-8DAF-C6AA4511EA89}"/>
    <cellStyle name="常规 17" xfId="1940" xr:uid="{6959E59C-7C06-44F9-BEEB-62CA28EA455F}"/>
    <cellStyle name="常规 17 2" xfId="877" xr:uid="{FF2ECA14-94FF-462C-B846-DAA1E9CB9B8B}"/>
    <cellStyle name="常规 17 2 2" xfId="1942" xr:uid="{C48014C4-574A-4BB9-8888-04FEF37F455A}"/>
    <cellStyle name="常规 17 2 2 2" xfId="1944" xr:uid="{E46E3753-9A7D-4923-9CF3-5B455A05F996}"/>
    <cellStyle name="常规 17 2 2 2 2" xfId="1946" xr:uid="{420F1A91-5273-44F2-820F-97D2CA184226}"/>
    <cellStyle name="常规 17 2 2 2 2 2" xfId="1948" xr:uid="{F3E60108-8F09-48B8-8A6A-8FB5EF10A6BC}"/>
    <cellStyle name="常规 17 2 2 2 3" xfId="1950" xr:uid="{21706B26-5389-465A-8C24-AE7290F91A93}"/>
    <cellStyle name="常规 17 2 2 3" xfId="1915" xr:uid="{1D5F0D9D-EB36-41BD-976C-9BEBBD437760}"/>
    <cellStyle name="常规 17 2 2 3 2" xfId="1921" xr:uid="{13916CD4-CC8A-4143-B02C-1B742DA79A31}"/>
    <cellStyle name="常规 17 2 2 3 2 2" xfId="1952" xr:uid="{9F4A7A26-AD43-408D-A94E-A6E6513E039A}"/>
    <cellStyle name="常规 17 2 2 3 2 2 2" xfId="1954" xr:uid="{83AADAB2-8D74-4A3A-8A09-34FCDF6B627A}"/>
    <cellStyle name="常规 17 2 2 3 2 3" xfId="1956" xr:uid="{91AFD11A-FDC3-4CA6-AD44-2669297EBA11}"/>
    <cellStyle name="常规 17 2 2 3 3" xfId="561" xr:uid="{F1AD2C1C-BD35-4F0A-8825-C24A709A2F4E}"/>
    <cellStyle name="常规 17 2 2 3 3 2" xfId="1958" xr:uid="{017EAAA0-A737-4DF1-9C90-C5BFA8F8CBA8}"/>
    <cellStyle name="常规 17 2 2 3 4" xfId="1962" xr:uid="{C430DB51-9E89-4F56-B146-35270B41AAF6}"/>
    <cellStyle name="常规 17 2 2 4" xfId="1926" xr:uid="{23178ADC-BD04-441B-B7CF-4C57FFFEA8E4}"/>
    <cellStyle name="常规 17 2 2 4 2" xfId="1964" xr:uid="{E0ADC6ED-7C09-4FFA-BA20-DC9586EACFA5}"/>
    <cellStyle name="常规 17 2 2 4 2 2" xfId="1966" xr:uid="{75800D99-9E73-461A-A83C-529B8B71E754}"/>
    <cellStyle name="常规 17 2 2 4 3" xfId="1968" xr:uid="{68DD7FB5-A658-4909-9F0C-A08A542A90AC}"/>
    <cellStyle name="常规 17 2 2 5" xfId="1970" xr:uid="{B68776B7-8A89-4E5C-B6DC-DD1956801F07}"/>
    <cellStyle name="常规 17 2 2 5 2" xfId="1973" xr:uid="{6B5B7C4B-B3C3-467B-9306-95B825993B04}"/>
    <cellStyle name="常规 17 2 2 6" xfId="1975" xr:uid="{62299A42-1E82-4A0A-A97C-E347B740E7F8}"/>
    <cellStyle name="常规 17 2 3" xfId="1977" xr:uid="{5F6150CC-0FC3-4B3B-9F44-7A84BA7B048D}"/>
    <cellStyle name="常规 17 2 3 2" xfId="1979" xr:uid="{F0CDF392-6C47-47D8-8C77-02BA9F1553C8}"/>
    <cellStyle name="常规 17 2 3 2 2" xfId="1981" xr:uid="{6393F51A-A2C6-499A-A98F-D309068520D7}"/>
    <cellStyle name="常规 17 2 3 2 2 2" xfId="1983" xr:uid="{8D5052C0-71B3-4331-A324-4BB1960CE902}"/>
    <cellStyle name="常规 17 2 3 2 3" xfId="1985" xr:uid="{B1C962F8-5633-4F79-B1A2-E2B4B19F4CF3}"/>
    <cellStyle name="常规 17 2 3 3" xfId="1935" xr:uid="{2DDEC0C0-6732-49FB-9DED-B16D8F8A7A84}"/>
    <cellStyle name="常规 17 2 3 3 2" xfId="1987" xr:uid="{F9C5FE17-204E-44D8-9823-B8EF375215B0}"/>
    <cellStyle name="常规 17 2 3 3 2 2" xfId="1989" xr:uid="{38ED03AB-B867-444A-97DA-3062DEC5E7A8}"/>
    <cellStyle name="常规 17 2 3 3 2 2 2" xfId="1991" xr:uid="{575CC4AE-CE29-4734-B726-EFF6E9BDF840}"/>
    <cellStyle name="常规 17 2 3 3 2 3" xfId="1993" xr:uid="{4CD25619-F495-439C-BDD1-23D805546D4B}"/>
    <cellStyle name="常规 17 2 3 3 3" xfId="572" xr:uid="{4FE3DA5C-73D7-438D-B3EC-24E56A1AFBF7}"/>
    <cellStyle name="常规 17 2 3 3 3 2" xfId="579" xr:uid="{1E1478B8-1450-4BFD-B502-00582ABE0FCE}"/>
    <cellStyle name="常规 17 2 3 3 4" xfId="384" xr:uid="{BD24454A-2E43-487D-92B7-8823641BAC6B}"/>
    <cellStyle name="常规 17 2 3 4" xfId="1995" xr:uid="{0348EBA6-D02E-4D3F-AFD0-7E52A02AB5AC}"/>
    <cellStyle name="常规 17 2 3 4 2" xfId="1997" xr:uid="{0D71E9AF-4D85-4900-848E-38CE63AD18F5}"/>
    <cellStyle name="常规 17 2 3 4 2 2" xfId="1999" xr:uid="{7B238462-840B-4B92-B3BB-43D715B12FA6}"/>
    <cellStyle name="常规 17 2 3 4 3" xfId="588" xr:uid="{D5AF6402-C1A1-4DCF-9386-AEB697744017}"/>
    <cellStyle name="常规 17 2 3 5" xfId="2001" xr:uid="{7CB9D425-6312-4B4D-BEA1-4E2F0A08B3C0}"/>
    <cellStyle name="常规 17 2 3 5 2" xfId="2004" xr:uid="{BA4560B6-46DB-4954-9DE6-4C7E56A4184F}"/>
    <cellStyle name="常规 17 2 3 6" xfId="2006" xr:uid="{C39EF3BB-0DEB-4961-AA03-D944FA9AB01F}"/>
    <cellStyle name="常规 17 2 4" xfId="2008" xr:uid="{5AA9292F-F7FD-4CC3-8041-06F615B38E6F}"/>
    <cellStyle name="常规 17 2 4 2" xfId="2010" xr:uid="{80B842F4-CACD-4EA1-A92A-44F4C25721C6}"/>
    <cellStyle name="常规 17 2 4 2 2" xfId="2012" xr:uid="{995EB15C-18FE-4726-9BFA-5DB5DE4A11C7}"/>
    <cellStyle name="常规 17 2 4 2 2 2" xfId="478" xr:uid="{4CBCC96D-3534-4403-9A24-1492ECC1B795}"/>
    <cellStyle name="常规 17 2 4 2 3" xfId="2014" xr:uid="{CCE90913-CC62-4C12-85AE-3CB412725E9B}"/>
    <cellStyle name="常规 17 2 4 3" xfId="792" xr:uid="{677E0400-DA5C-42CB-8918-D1C2C714A96A}"/>
    <cellStyle name="常规 17 2 4 3 2" xfId="2016" xr:uid="{1B81E93C-28D3-46A7-896F-C9922060CFBE}"/>
    <cellStyle name="常规 17 2 4 4" xfId="2018" xr:uid="{8AE0DE13-43F0-4F99-AB9C-B7668B6EA8C1}"/>
    <cellStyle name="常规 17 2 5" xfId="2020" xr:uid="{2BDF69AA-D5B7-4412-97E2-7535795C6D9F}"/>
    <cellStyle name="常规 17 2 5 2" xfId="1356" xr:uid="{59D9898A-34BD-4328-B1B4-AAD808E8B7F4}"/>
    <cellStyle name="常规 17 2 5 2 2" xfId="1359" xr:uid="{226CD30C-1E92-4C8D-843B-39E54F07DA4B}"/>
    <cellStyle name="常规 17 2 5 3" xfId="1386" xr:uid="{FCA63750-120F-49AF-8C92-0BD45CE5CDCE}"/>
    <cellStyle name="常规 17 2 6" xfId="2022" xr:uid="{4959E031-27CA-4119-9495-9C2DA9844CB9}"/>
    <cellStyle name="常规 17 2 6 2" xfId="1427" xr:uid="{271B2020-B32C-49C8-BA4F-B3C5DF0FCF8E}"/>
    <cellStyle name="常规 17 2 7" xfId="1541" xr:uid="{CA528C21-48DE-4201-B2E0-0DB9AE3D93D9}"/>
    <cellStyle name="常规 17 3" xfId="1421" xr:uid="{B7753C55-9996-4481-ACDC-8391FDB6DD8B}"/>
    <cellStyle name="常规 17 3 2" xfId="1317" xr:uid="{E0305C1B-10F0-4169-91EC-1EC49B7D205E}"/>
    <cellStyle name="常规 17 3 2 2" xfId="2026" xr:uid="{BAD69304-E325-450A-BE42-9D197A7CA57E}"/>
    <cellStyle name="常规 17 3 2 2 2" xfId="809" xr:uid="{0BEC1111-E3FF-4AA1-913F-DB41B3DBAB3F}"/>
    <cellStyle name="常规 17 3 2 3" xfId="2032" xr:uid="{57168BB6-260F-4348-B61F-FDC71AAAAE77}"/>
    <cellStyle name="常规 17 3 3" xfId="2034" xr:uid="{0ADF6D06-AE50-4355-99F4-7D4E628DAF5F}"/>
    <cellStyle name="常规 17 3 3 2" xfId="2037" xr:uid="{E82B6E3C-4E17-440D-B8E4-9D93417BB8AD}"/>
    <cellStyle name="常规 17 3 3 2 2" xfId="2039" xr:uid="{6EFEBC29-3CA4-4828-8C4A-6F25DF198E86}"/>
    <cellStyle name="常规 17 3 3 2 2 2" xfId="2041" xr:uid="{A0323C9D-5FF5-4091-BD71-7DD25283E2D9}"/>
    <cellStyle name="常规 17 3 3 2 3" xfId="2045" xr:uid="{55D7B7CE-5F61-4958-B8B9-F08882917798}"/>
    <cellStyle name="常规 17 3 3 3" xfId="2050" xr:uid="{B7F6D561-B436-4E3D-B4D4-BAD90BF398B2}"/>
    <cellStyle name="常规 17 3 3 3 2" xfId="1182" xr:uid="{533C2587-2A9B-47B7-B846-CC74F59AEB23}"/>
    <cellStyle name="常规 17 3 3 4" xfId="2054" xr:uid="{1AB85C86-95D3-4BCD-9347-0CC364674F54}"/>
    <cellStyle name="常规 17 3 4" xfId="2056" xr:uid="{ADBDC29A-1292-484B-86CB-2A8B6996CADA}"/>
    <cellStyle name="常规 17 3 4 2" xfId="2058" xr:uid="{9F0A653F-CF8F-45FE-BA3F-7936C89D9741}"/>
    <cellStyle name="常规 17 3 4 2 2" xfId="2060" xr:uid="{9CAF5C35-5A9B-496B-A402-36901305EB4C}"/>
    <cellStyle name="常规 17 3 4 3" xfId="2062" xr:uid="{62ED47CA-9F27-4B5B-889E-2C355AF60E69}"/>
    <cellStyle name="常规 17 3 5" xfId="2066" xr:uid="{CC04A61A-655C-4CB9-AB90-FC7FB22B9F7C}"/>
    <cellStyle name="常规 17 3 5 2" xfId="1561" xr:uid="{A06B3253-EFE2-4D10-A60D-75C0597499D6}"/>
    <cellStyle name="常规 17 3 6" xfId="2068" xr:uid="{8CD0CD81-4C48-477C-AD48-B3F0C3A3DAEC}"/>
    <cellStyle name="常规 17 4" xfId="1424" xr:uid="{531A78B5-8A20-4960-B108-684A56060193}"/>
    <cellStyle name="常规 17 4 2" xfId="2072" xr:uid="{75969C77-D0A2-4EF9-88C6-AFD4D988D826}"/>
    <cellStyle name="常规 17 4 2 2" xfId="643" xr:uid="{7638899E-666C-4F41-9EE8-2CB717862F82}"/>
    <cellStyle name="常规 17 4 2 2 2" xfId="648" xr:uid="{52960CE9-CAE9-432D-AB6B-2066DACEE40E}"/>
    <cellStyle name="常规 17 4 2 3" xfId="361" xr:uid="{9C4DEE06-1500-4C1B-8D4B-FEADF9046D88}"/>
    <cellStyle name="常规 17 4 3" xfId="2074" xr:uid="{9CFC3363-3CF3-415D-95BA-918B52B98EDE}"/>
    <cellStyle name="常规 17 4 3 2" xfId="669" xr:uid="{01F8FB90-9B9B-499A-934A-DAD1BC973A30}"/>
    <cellStyle name="常规 17 4 3 2 2" xfId="2076" xr:uid="{BFCB9EBE-5CD9-45DC-82F0-CA5AFA15DC4E}"/>
    <cellStyle name="常规 17 4 3 2 2 2" xfId="2078" xr:uid="{8982D29D-8C8D-4CE3-88EB-078D02C7C595}"/>
    <cellStyle name="常规 17 4 3 2 3" xfId="2081" xr:uid="{0A194A57-D137-47A0-BB21-33401DDDFD75}"/>
    <cellStyle name="常规 17 4 3 3" xfId="2085" xr:uid="{9BE0C7BE-75E4-4CFF-9F34-CE6FDA993B01}"/>
    <cellStyle name="常规 17 4 3 3 2" xfId="2087" xr:uid="{C267C6BF-2446-4C06-B856-3F569A6D1AD3}"/>
    <cellStyle name="常规 17 4 3 4" xfId="2091" xr:uid="{37EEE076-6094-4677-AA05-7A170A0521AB}"/>
    <cellStyle name="常规 17 4 4" xfId="2095" xr:uid="{12936FB7-8BD2-4B7B-BF42-3DDB8343278F}"/>
    <cellStyle name="常规 17 4 4 2" xfId="2097" xr:uid="{EBD4E750-902A-4910-ADFC-698C32D08889}"/>
    <cellStyle name="常规 17 4 4 2 2" xfId="116" xr:uid="{EB5A6F61-F63B-4DE8-8C7E-5169D1B831F6}"/>
    <cellStyle name="常规 17 4 4 3" xfId="2099" xr:uid="{A1A9E653-A40C-428B-B734-44C6A98BF9B4}"/>
    <cellStyle name="常规 17 4 5" xfId="2102" xr:uid="{2BD07B65-DF1E-4AB6-BD8D-A0EA18E5433F}"/>
    <cellStyle name="常规 17 4 5 2" xfId="567" xr:uid="{BE5F9956-0F8E-47DD-A8D9-35269A50DDEB}"/>
    <cellStyle name="常规 17 4 6" xfId="2104" xr:uid="{1F1D42EA-7759-4938-8CE3-B213E7E85292}"/>
    <cellStyle name="常规 17 5" xfId="2110" xr:uid="{02BE0773-F2BC-4C2E-88D1-C3D351D6B038}"/>
    <cellStyle name="常规 17 5 2" xfId="2114" xr:uid="{DD874DE6-4FE5-44D8-A775-1614D967A6A0}"/>
    <cellStyle name="常规 17 5 2 2" xfId="754" xr:uid="{BDC49ECC-3BBA-4A3D-B56C-4329198B4C2C}"/>
    <cellStyle name="常规 17 5 2 2 2" xfId="758" xr:uid="{C59BC93A-581E-4875-96BA-01D21DA296FE}"/>
    <cellStyle name="常规 17 5 2 3" xfId="763" xr:uid="{3619DDA9-9403-4AE9-A21F-16D764BA2A8E}"/>
    <cellStyle name="常规 17 5 3" xfId="2118" xr:uid="{053C3D8F-DF3C-4BB8-B1A3-D3B45B127CBE}"/>
    <cellStyle name="常规 17 5 3 2" xfId="787" xr:uid="{4910F291-E21A-4689-B825-BF986C34343A}"/>
    <cellStyle name="常规 17 5 4" xfId="2120" xr:uid="{FDAE50F8-C989-4040-85C0-BCD157998B1B}"/>
    <cellStyle name="常规 17 6" xfId="2124" xr:uid="{6465900D-F6FF-47BE-BAA6-A4636687B6E0}"/>
    <cellStyle name="常规 17 6 2" xfId="2030" xr:uid="{D892AE93-FFE0-48B7-BA5A-0FE75020AE07}"/>
    <cellStyle name="常规 17 6 2 2" xfId="861" xr:uid="{5D388499-43BD-49D5-972A-D9974925DC59}"/>
    <cellStyle name="常规 17 6 3" xfId="1631" xr:uid="{4A56D432-7A57-4817-BC37-1F2ACF50F321}"/>
    <cellStyle name="常规 17 7" xfId="2128" xr:uid="{3169BFD0-215A-4B0A-A962-4373C9B17998}"/>
    <cellStyle name="常规 17 7 2" xfId="2048" xr:uid="{265E0257-8539-454D-A063-4AB2D8C59661}"/>
    <cellStyle name="常规 17 8" xfId="1620" xr:uid="{6559AC40-5766-4D08-ABA3-E86D685DB636}"/>
    <cellStyle name="常规 18" xfId="1131" xr:uid="{E5A78A68-6AB7-4FFC-93A6-07F7AC3E2400}"/>
    <cellStyle name="常规 18 10" xfId="1725" xr:uid="{D140E465-B06E-4C53-8A09-84566BFAAB0C}"/>
    <cellStyle name="常规 18 2" xfId="1134" xr:uid="{0C1FA4F6-F87D-48DD-8CD3-8C8E5026E278}"/>
    <cellStyle name="常规 18 2 2" xfId="2130" xr:uid="{90A5F87D-3181-4872-974F-36C88D963E1F}"/>
    <cellStyle name="常规 18 2 2 2" xfId="2132" xr:uid="{20C83A8D-E22E-4591-A798-DE2EC123834D}"/>
    <cellStyle name="常规 18 2 2 2 2" xfId="2134" xr:uid="{2AF67C01-FE2F-4822-9A25-9A957E63DDE7}"/>
    <cellStyle name="常规 18 2 2 2 2 2" xfId="1127" xr:uid="{34DCAC9B-8B24-498D-896F-8DC0DF98B2BD}"/>
    <cellStyle name="常规 18 2 2 2 3" xfId="427" xr:uid="{9EE4E7CF-4A0A-4430-900B-50CCEF3A758B}"/>
    <cellStyle name="常规 18 2 2 3" xfId="2136" xr:uid="{43F7499D-817A-4ED7-8EC0-7DCE98C47641}"/>
    <cellStyle name="常规 18 2 2 3 2" xfId="2138" xr:uid="{6A1739DC-75F1-4E22-B5B5-C1E9A69B6D75}"/>
    <cellStyle name="常规 18 2 2 3 2 2" xfId="1262" xr:uid="{971EDEDC-4469-4E84-998E-F9342CB91A2D}"/>
    <cellStyle name="常规 18 2 2 3 2 2 2" xfId="2140" xr:uid="{40945488-04C9-4DE2-A72B-2EA245C7AB1F}"/>
    <cellStyle name="常规 18 2 2 3 2 3" xfId="1158" xr:uid="{1CBDDC88-C94B-4F29-A620-124A051DD43E}"/>
    <cellStyle name="常规 18 2 2 3 3" xfId="513" xr:uid="{C64DDEE7-39FA-47FF-BFA6-A906A529912A}"/>
    <cellStyle name="常规 18 2 2 3 3 2" xfId="517" xr:uid="{8604CCE4-CE8B-4B1E-A951-F44FC8E2FA74}"/>
    <cellStyle name="常规 18 2 2 3 4" xfId="524" xr:uid="{2E28AED7-7135-4297-898D-9A6C7D735CD1}"/>
    <cellStyle name="常规 18 2 2 4" xfId="2142" xr:uid="{97215125-BF59-44D7-9C6C-530D8AC6DAD5}"/>
    <cellStyle name="常规 18 2 2 4 2" xfId="2144" xr:uid="{8AC793E9-C302-45F7-BAE1-5B4B74003D2E}"/>
    <cellStyle name="常规 18 2 2 4 2 2" xfId="1411" xr:uid="{0F3E72D0-C053-47FE-A3F7-373AB0AF888A}"/>
    <cellStyle name="常规 18 2 2 4 3" xfId="535" xr:uid="{1879C250-939B-4852-9E50-2E3D98F135CC}"/>
    <cellStyle name="常规 18 2 2 5" xfId="658" xr:uid="{C6C23A0E-EFD3-4CCC-B010-2202F77FBBC1}"/>
    <cellStyle name="常规 18 2 2 5 2" xfId="957" xr:uid="{38F8B74A-5615-462D-A80F-78745DEDA246}"/>
    <cellStyle name="常规 18 2 2 6" xfId="960" xr:uid="{06172568-B52C-413C-A6EC-E68BEDEFC387}"/>
    <cellStyle name="常规 18 2 3" xfId="2146" xr:uid="{0595BFDB-E889-4E86-8792-498024329C98}"/>
    <cellStyle name="常规 18 2 3 2" xfId="2148" xr:uid="{B2C1E978-95DC-40EA-9C23-C832A3C6E720}"/>
    <cellStyle name="常规 18 2 3 2 2" xfId="942" xr:uid="{D4512296-131D-4F23-B4A7-F095073C1E62}"/>
    <cellStyle name="常规 18 2 3 2 2 2" xfId="947" xr:uid="{34EA9756-6D34-4E6F-AD7A-4E781A692686}"/>
    <cellStyle name="常规 18 2 3 2 3" xfId="953" xr:uid="{1B6AFD29-B88D-442D-82E2-EB292B4D2923}"/>
    <cellStyle name="常规 18 2 3 3" xfId="2151" xr:uid="{7294BEA4-46A9-4E10-8263-D5E24B378A81}"/>
    <cellStyle name="常规 18 2 3 3 2" xfId="961" xr:uid="{5280F9DD-E639-4EFD-96C9-E8A09A6C4A26}"/>
    <cellStyle name="常规 18 2 3 3 2 2" xfId="2153" xr:uid="{52A6F581-8370-4F98-9626-B62B4A13E5D5}"/>
    <cellStyle name="常规 18 2 3 3 2 2 2" xfId="365" xr:uid="{5F6A4A95-98EC-46F5-84D2-C00E3502AFA9}"/>
    <cellStyle name="常规 18 2 3 3 2 3" xfId="2154" xr:uid="{5A2504DC-5A1B-4A74-B7E0-0B657C74ED30}"/>
    <cellStyle name="常规 18 2 3 3 3" xfId="698" xr:uid="{0F908D82-2264-4265-BC7E-33A863B8ED17}"/>
    <cellStyle name="常规 18 2 3 3 3 2" xfId="701" xr:uid="{15A05127-2066-4E00-9040-5D8BE3E5AD29}"/>
    <cellStyle name="常规 18 2 3 3 4" xfId="239" xr:uid="{278B8B3C-FF81-436A-8BC5-9EE33776387B}"/>
    <cellStyle name="常规 18 2 3 4" xfId="2155" xr:uid="{D6DF5174-9DB7-4FFB-96C1-DFC855E4872F}"/>
    <cellStyle name="常规 18 2 3 4 2" xfId="2157" xr:uid="{F948A9C4-97BF-4558-8B7F-E058F0514732}"/>
    <cellStyle name="常规 18 2 3 4 2 2" xfId="2159" xr:uid="{AFA83115-30F2-41AB-8F93-B28D31B9EFBC}"/>
    <cellStyle name="常规 18 2 3 4 3" xfId="704" xr:uid="{645850A1-5B29-4F2B-BFDC-D35295360FDE}"/>
    <cellStyle name="常规 18 2 3 5" xfId="966" xr:uid="{0F50114B-96EC-4C9A-826F-38D050A66465}"/>
    <cellStyle name="常规 18 2 3 5 2" xfId="2160" xr:uid="{1E9E3014-142C-47D3-850C-3B7BBF5B1A1D}"/>
    <cellStyle name="常规 18 2 3 6" xfId="2158" xr:uid="{62A4076F-26BD-45D2-BD7C-9B49EAF91441}"/>
    <cellStyle name="常规 18 2 4" xfId="1271" xr:uid="{49E8C698-7062-4623-87E6-8655C612A5E5}"/>
    <cellStyle name="常规 18 2 4 2" xfId="2161" xr:uid="{49E84B3A-102D-4A38-AA88-4D89C494EA64}"/>
    <cellStyle name="常规 18 2 4 2 2" xfId="712" xr:uid="{3334B898-A5E3-4B16-93AB-12488113B138}"/>
    <cellStyle name="常规 18 2 4 2 2 2" xfId="2163" xr:uid="{00134811-2C4B-4A11-A73E-552E877D689F}"/>
    <cellStyle name="常规 18 2 4 2 3" xfId="1812" xr:uid="{26D5FB9B-E267-4006-B579-6EEC58E6E88C}"/>
    <cellStyle name="常规 18 2 4 3" xfId="2164" xr:uid="{EB72EF7C-7083-4479-B57E-237B247F0FD1}"/>
    <cellStyle name="常规 18 2 4 3 2" xfId="2167" xr:uid="{D01D81B0-0F62-4CBF-9E8A-883FEE556E8C}"/>
    <cellStyle name="常规 18 2 4 4" xfId="111" xr:uid="{0F604173-FBD0-45A4-B6F5-04925A444920}"/>
    <cellStyle name="常规 18 2 5" xfId="2168" xr:uid="{669C8BF0-DA5B-48C1-A45D-D63C9F39C0E1}"/>
    <cellStyle name="常规 18 2 5 2" xfId="2170" xr:uid="{E394E288-96C8-4520-AFDC-A36D798108E8}"/>
    <cellStyle name="常规 18 2 5 2 2" xfId="1013" xr:uid="{AED3F77B-B847-4118-9FD9-6793F53F04BF}"/>
    <cellStyle name="常规 18 2 5 3" xfId="2172" xr:uid="{86A083A2-0C4D-4EBF-897E-9C53CDAED692}"/>
    <cellStyle name="常规 18 2 6" xfId="2173" xr:uid="{767E22C1-F71F-4DED-B0CE-B090CBA4DFE5}"/>
    <cellStyle name="常规 18 2 6 2" xfId="2177" xr:uid="{C55A49BF-AB97-4FE0-A4BB-704E82E47609}"/>
    <cellStyle name="常规 18 2 7" xfId="2180" xr:uid="{3958982E-9EF1-42C8-AB81-8F4235C416F0}"/>
    <cellStyle name="常规 18 3" xfId="1432" xr:uid="{675D5521-5CAA-4B5B-8A88-2DC7535A157F}"/>
    <cellStyle name="常规 18 3 2" xfId="1437" xr:uid="{51B9D78A-B53A-4D27-AF18-693F8EB9ECCE}"/>
    <cellStyle name="常规 18 3 2 2" xfId="1442" xr:uid="{F5A41E6D-AAB9-446F-9983-F3E2CEA17600}"/>
    <cellStyle name="常规 18 3 2 2 2" xfId="2185" xr:uid="{DE4FEA31-2A1E-4A0B-904E-7839D27A79BA}"/>
    <cellStyle name="常规 18 3 2 3" xfId="2189" xr:uid="{0ACB7BC2-AA58-4C8F-9D5D-DF8183E6EE6A}"/>
    <cellStyle name="常规 18 3 3" xfId="1445" xr:uid="{F0BD6CC1-94BB-489E-B5BD-6BDB48715356}"/>
    <cellStyle name="常规 18 3 3 2" xfId="2192" xr:uid="{DC2F8DE1-0EF0-4FE8-AADB-6CBC8C8F785D}"/>
    <cellStyle name="常规 18 3 3 2 2" xfId="1120" xr:uid="{D1542884-93E5-440D-9A96-CB7F33C651C9}"/>
    <cellStyle name="常规 18 3 3 2 2 2" xfId="839" xr:uid="{ED2BCA94-3D6D-4903-AFD7-0CD1133BF523}"/>
    <cellStyle name="常规 18 3 3 2 3" xfId="1000" xr:uid="{67E9A605-4ECA-4B06-8BF3-90F6F61C59D5}"/>
    <cellStyle name="常规 18 3 3 3" xfId="2195" xr:uid="{36973775-3F03-4534-A414-728EE7F6B91A}"/>
    <cellStyle name="常规 18 3 3 3 2" xfId="551" xr:uid="{4B0DCFDF-0E6D-45B9-BF79-29EA1A382F7D}"/>
    <cellStyle name="常规 18 3 3 4" xfId="2199" xr:uid="{91331276-31AF-4471-B98E-53174F5826C8}"/>
    <cellStyle name="常规 18 3 4" xfId="2201" xr:uid="{A0D71B05-E08B-43EF-BA32-9DCEDE34290C}"/>
    <cellStyle name="常规 18 3 4 2" xfId="2204" xr:uid="{C9826227-19CF-49AF-9D81-23E09310EAD1}"/>
    <cellStyle name="常规 18 3 4 2 2" xfId="412" xr:uid="{870A99C4-CCB8-49FB-B78F-2E8E55A76120}"/>
    <cellStyle name="常规 18 3 4 3" xfId="2207" xr:uid="{CB30F10A-E38D-4BB1-B75A-33A54B65D1E3}"/>
    <cellStyle name="常规 18 3 5" xfId="2209" xr:uid="{F7C0A45A-A50C-43DF-B26F-79393D43CB84}"/>
    <cellStyle name="常规 18 3 5 2" xfId="2212" xr:uid="{F2163CA8-5F05-47D9-BC4E-1C20E0C994F0}"/>
    <cellStyle name="常规 18 3 6" xfId="2214" xr:uid="{4E7A2173-8178-462E-B192-E01537E9C43F}"/>
    <cellStyle name="常规 18 4" xfId="2" xr:uid="{00000000-0005-0000-0000-000031000000}"/>
    <cellStyle name="常规 18 4 2" xfId="1450" xr:uid="{CAC90719-655F-4FF7-B03F-BF819A7D03FF}"/>
    <cellStyle name="常规 18 4 2 2" xfId="2218" xr:uid="{6A8BFA8A-6CEE-4E42-920D-1D4501997141}"/>
    <cellStyle name="常规 18 4 2 2 2" xfId="2220" xr:uid="{847B840B-8D6A-4AA7-9FA7-B8183120C8A2}"/>
    <cellStyle name="常规 18 4 2 2 2 2" xfId="2222" xr:uid="{876C4DA5-0328-4604-89BE-DE4ACD7DF4B5}"/>
    <cellStyle name="常规 18 4 2 2 3" xfId="2223" xr:uid="{870A99FF-C0B4-45A6-A6B0-DB6473119B65}"/>
    <cellStyle name="常规 18 4 2 3" xfId="2225" xr:uid="{CB26FE03-8690-4A0D-9CA0-4C873A1E7C4C}"/>
    <cellStyle name="常规 18 4 2 3 2" xfId="2227" xr:uid="{7C12551C-E291-477B-9F63-63E84BE053D2}"/>
    <cellStyle name="常规 18 4 2 4" xfId="2230" xr:uid="{E60C5267-501C-4471-BAFD-551101A477A4}"/>
    <cellStyle name="常规 18 4 3" xfId="2231" xr:uid="{54AF5DFF-32B0-4F1F-A96A-2EFC5C03B4E8}"/>
    <cellStyle name="常规 18 4 3 2" xfId="2233" xr:uid="{4566A1A8-00F0-4493-A892-8E558CC8DCE2}"/>
    <cellStyle name="常规 18 4 3 2 2" xfId="1243" xr:uid="{0687C815-B4E4-4EAE-8FF1-65892B15C68C}"/>
    <cellStyle name="常规 18 4 3 3" xfId="2235" xr:uid="{08BA788F-EAD0-400D-A629-8527960E19F5}"/>
    <cellStyle name="常规 18 4 4" xfId="2237" xr:uid="{59A21290-66BA-4E09-8220-65C5EAF07911}"/>
    <cellStyle name="常规 18 4 4 2" xfId="2239" xr:uid="{95969CB8-2ADC-4D59-8F4C-033A40E4A219}"/>
    <cellStyle name="常规 18 4 5" xfId="2241" xr:uid="{DE421577-E32A-40C7-85BC-ED178860FEFB}"/>
    <cellStyle name="常规 18 5" xfId="1456" xr:uid="{9ECFB1B5-8D7E-4957-BB63-3D435CB241EA}"/>
    <cellStyle name="常规 18 5 2" xfId="593" xr:uid="{4225D041-15F2-4B88-A426-D83E407B30A1}"/>
    <cellStyle name="常规 18 5 2 2" xfId="598" xr:uid="{5A383DB8-B50E-4D77-92CF-01DCC42D20D2}"/>
    <cellStyle name="常规 18 5 2 2 2" xfId="329" xr:uid="{EA109820-C4CB-4441-89EF-21BAE094BB79}"/>
    <cellStyle name="常规 18 5 2 3" xfId="605" xr:uid="{10341243-1568-4DB9-862E-80801ADDCB46}"/>
    <cellStyle name="常规 18 5 3" xfId="609" xr:uid="{EDB7B4D0-B3A8-4157-82C1-D4C457FF049F}"/>
    <cellStyle name="常规 18 5 3 2" xfId="615" xr:uid="{38039DF5-99B5-433E-8925-FB6AC10C8841}"/>
    <cellStyle name="常规 18 5 3 2 2" xfId="1393" xr:uid="{E849A918-35B6-4328-B8C9-BA9B59F6F276}"/>
    <cellStyle name="常规 18 5 3 2 2 2" xfId="671" xr:uid="{2287C24D-3DA5-402B-B3EF-E257BC438E6A}"/>
    <cellStyle name="常规 18 5 3 2 3" xfId="1395" xr:uid="{3120B317-383C-4986-A152-742EB52D5576}"/>
    <cellStyle name="常规 18 5 3 3" xfId="2243" xr:uid="{BF3319B0-20D5-417D-BB11-8351F32E5433}"/>
    <cellStyle name="常规 18 5 3 3 2" xfId="1404" xr:uid="{B780F84A-997B-4974-A4C8-70211D852F5F}"/>
    <cellStyle name="常规 18 5 3 4" xfId="2244" xr:uid="{96502B9A-9A5F-458A-A7CC-AE47E94A4272}"/>
    <cellStyle name="常规 18 5 4" xfId="620" xr:uid="{CB17D5B7-C4D3-4F37-85B1-1E27860F085A}"/>
    <cellStyle name="常规 18 5 4 2" xfId="2245" xr:uid="{2046FC4D-886C-48F1-B458-8592358BD70E}"/>
    <cellStyle name="常规 18 5 4 2 2" xfId="1473" xr:uid="{FE03A3FE-8B6A-4FEE-9283-18B3300452CE}"/>
    <cellStyle name="常规 18 5 4 3" xfId="2246" xr:uid="{2E092620-5746-4AA3-8A2C-CD547E08881B}"/>
    <cellStyle name="常规 18 5 5" xfId="2247" xr:uid="{B2CF4130-2757-424D-9220-44F8A45F88CB}"/>
    <cellStyle name="常规 18 5 5 2" xfId="2248" xr:uid="{FCF776BE-320A-4A0E-9135-BD4DDAEB9740}"/>
    <cellStyle name="常规 18 5 6" xfId="2249" xr:uid="{3B49E277-8240-4043-A497-6735F6136443}"/>
    <cellStyle name="常规 18 6" xfId="2254" xr:uid="{F4F89624-AF98-449D-9C25-B23933CF380A}"/>
    <cellStyle name="常规 18 6 2" xfId="357" xr:uid="{A6ACE5F8-5F07-4A0A-97EB-AAB40443FF23}"/>
    <cellStyle name="常规 18 6 2 2" xfId="2256" xr:uid="{5FAD1FA5-8C83-4C7B-8689-5617C25EA95F}"/>
    <cellStyle name="常规 18 6 2 2 2" xfId="2258" xr:uid="{82D81D58-CEB2-480C-81D5-4C6F204A2F17}"/>
    <cellStyle name="常规 18 6 2 3" xfId="2259" xr:uid="{214D4ADA-BE47-4A3A-AF01-A50DFE1BB274}"/>
    <cellStyle name="常规 18 6 3" xfId="2261" xr:uid="{CE76F0EC-7D66-4114-8B7C-86197AE8E462}"/>
    <cellStyle name="常规 18 6 3 2" xfId="2264" xr:uid="{E2AB2995-D9D2-4AB2-BB9B-F193158E25F4}"/>
    <cellStyle name="常规 18 6 3 2 2" xfId="1607" xr:uid="{DBEBD7FC-0616-4268-9E0E-0C484EA47B13}"/>
    <cellStyle name="常规 18 6 3 2 2 2" xfId="1612" xr:uid="{2DF51F0D-048B-4C3B-A369-598D5B146846}"/>
    <cellStyle name="常规 18 6 3 2 3" xfId="232" xr:uid="{03746081-7E26-474A-8E6F-B8FA94AA8430}"/>
    <cellStyle name="常规 18 6 3 3" xfId="363" xr:uid="{9BF7CB45-0053-476E-931C-628152A06460}"/>
    <cellStyle name="常规 18 6 3 3 2" xfId="368" xr:uid="{BC413172-89FE-4D5F-9A9B-393076625FE9}"/>
    <cellStyle name="常规 18 6 3 4" xfId="2265" xr:uid="{9254085A-55D7-4BC6-A8D0-0038ABC513FF}"/>
    <cellStyle name="常规 18 6 4" xfId="2267" xr:uid="{FE4A94E7-64BE-4EA1-AC92-1DEDA0EC0C75}"/>
    <cellStyle name="常规 18 6 4 2" xfId="2268" xr:uid="{F9D49378-5764-4004-89DB-E3750E46C28A}"/>
    <cellStyle name="常规 18 6 4 2 2" xfId="138" xr:uid="{891CED15-7CAD-45F1-9ADD-880D07D77EAC}"/>
    <cellStyle name="常规 18 6 4 3" xfId="2269" xr:uid="{C08E83D1-FBAD-482B-A382-5B7555D0AAE6}"/>
    <cellStyle name="常规 18 6 5" xfId="2270" xr:uid="{2974D4ED-74E6-48CA-829A-77FB19650CAC}"/>
    <cellStyle name="常规 18 6 5 2" xfId="2271" xr:uid="{DDB827B4-ACC5-4571-9D77-20F8499AD4BF}"/>
    <cellStyle name="常规 18 6 6" xfId="2272" xr:uid="{419B3982-3ACF-4C55-B351-E6E5CF860F51}"/>
    <cellStyle name="常规 18 7" xfId="2277" xr:uid="{C57002CE-B76A-4DC2-9E48-EDD1EF835749}"/>
    <cellStyle name="常规 18 7 2" xfId="2083" xr:uid="{E16AD37C-2657-4F13-B95A-E7856A9F560A}"/>
    <cellStyle name="常规 18 7 2 2" xfId="2089" xr:uid="{FB475670-1D1E-49E4-8C92-0A939AD85405}"/>
    <cellStyle name="常规 18 7 2 2 2" xfId="2279" xr:uid="{575E9EDD-6472-48F8-A7F6-2292F3C46735}"/>
    <cellStyle name="常规 18 7 2 3" xfId="2080" xr:uid="{122A49B7-58B9-4852-86AC-6101703151D6}"/>
    <cellStyle name="常规 18 7 3" xfId="2094" xr:uid="{C520D52A-BA8A-40D8-8A92-8137ADDECDBA}"/>
    <cellStyle name="常规 18 7 3 2" xfId="2281" xr:uid="{B6FE57B7-28D8-42FC-B503-157B54A9AF87}"/>
    <cellStyle name="常规 18 7 4" xfId="2283" xr:uid="{F5349CBB-B41D-47F1-BE2E-21DB328C8227}"/>
    <cellStyle name="常规 18 8" xfId="2284" xr:uid="{568A5FD0-FB01-48B6-AA2B-2307F2D1CD43}"/>
    <cellStyle name="常规 18 8 2" xfId="2101" xr:uid="{2B98FD6F-9D89-4BC4-8824-66B10A175A63}"/>
    <cellStyle name="常规 18 8 2 2" xfId="2286" xr:uid="{E5B3BF72-2CFF-4183-9E47-A3FE3685512B}"/>
    <cellStyle name="常规 18 8 3" xfId="2288" xr:uid="{D207E344-7536-4B9A-BAFF-E2B4CAC46FD5}"/>
    <cellStyle name="常规 18 9" xfId="2289" xr:uid="{FF4822AF-28F3-48F2-9013-A3ACB72BBD68}"/>
    <cellStyle name="常规 18 9 2" xfId="388" xr:uid="{C1813CE8-0B29-4A83-910F-E483C58D790F}"/>
    <cellStyle name="常规 19" xfId="30" xr:uid="{F0D52DEA-5E0D-4CC2-AC71-D142BE595E56}"/>
    <cellStyle name="常规 19 2" xfId="2290" xr:uid="{B4DA0452-6C0E-4B55-8F89-D92A3A855E6A}"/>
    <cellStyle name="常规 19 2 2" xfId="828" xr:uid="{A2F0AD15-F4FC-46B8-AEF2-253D6B812147}"/>
    <cellStyle name="常规 19 2 2 2" xfId="2023" xr:uid="{C322C1A6-8685-49F8-9249-B55F305E326B}"/>
    <cellStyle name="常规 19 2 2 2 2" xfId="1428" xr:uid="{94F8AB75-97EA-471B-8262-0BD6828C86C8}"/>
    <cellStyle name="常规 19 2 2 2 2 2" xfId="1433" xr:uid="{1CC3090E-041F-47D7-BA3D-A6056496A238}"/>
    <cellStyle name="常规 19 2 2 2 3" xfId="1460" xr:uid="{286819DB-4881-4644-B91A-7581D3CB05DC}"/>
    <cellStyle name="常规 19 2 2 3" xfId="1542" xr:uid="{E9D464F7-1DBE-4CAE-A491-DF1F1FEE36CA}"/>
    <cellStyle name="常规 19 2 2 3 2" xfId="1490" xr:uid="{F2001E74-C227-4674-AE27-77D3383D923A}"/>
    <cellStyle name="常规 19 2 2 4" xfId="2292" xr:uid="{745726A7-5FC9-4FEB-9D94-8FC5444918E8}"/>
    <cellStyle name="常规 19 2 3" xfId="2294" xr:uid="{D3E7EA49-7795-4B93-BB01-7FBF1D7C2886}"/>
    <cellStyle name="常规 19 2 3 2" xfId="2069" xr:uid="{7CD6AFAB-314F-4ED3-992A-561A3AA17C7E}"/>
    <cellStyle name="常规 19 2 3 2 2" xfId="1204" xr:uid="{651CD2B3-A05A-4A7F-AABD-183A3D325598}"/>
    <cellStyle name="常规 19 2 3 3" xfId="2296" xr:uid="{26BE4313-C72A-4505-94CF-68B0D9E5C7C9}"/>
    <cellStyle name="常规 19 2 4" xfId="2298" xr:uid="{4B6DAD06-B5B6-4592-8BDE-5829CC99D32D}"/>
    <cellStyle name="常规 19 2 4 2" xfId="2105" xr:uid="{508EB613-0A4B-4CD7-A342-EC6F45A66CDC}"/>
    <cellStyle name="常规 19 2 5" xfId="1788" xr:uid="{A6DF7FBF-FB10-4FC4-ADDC-37FCA2FE0729}"/>
    <cellStyle name="常规 19 3" xfId="1465" xr:uid="{358FAC1F-3898-4C8C-B559-8E9EF08BF123}"/>
    <cellStyle name="常规 19 3 2" xfId="1468" xr:uid="{A576363D-E3B9-4107-8A31-2D5FCC448471}"/>
    <cellStyle name="常规 19 3 2 2" xfId="2174" xr:uid="{695E918A-B047-496B-986A-E8965777CDC1}"/>
    <cellStyle name="常规 19 3 2 2 2" xfId="2178" xr:uid="{469D15A4-9688-4EAB-939F-3237D4AD1BA3}"/>
    <cellStyle name="常规 19 3 2 3" xfId="2181" xr:uid="{BAB8C8C9-2EE8-48D1-87B7-5F1882701A00}"/>
    <cellStyle name="常规 19 3 3" xfId="2300" xr:uid="{171C0310-B51F-45FA-B80F-203C018A1BA4}"/>
    <cellStyle name="常规 19 3 3 2" xfId="2215" xr:uid="{5C7EB7EB-0219-4509-9429-EBBC57646BBF}"/>
    <cellStyle name="常规 19 3 3 2 2" xfId="2302" xr:uid="{46B0C253-2EFB-4639-A905-CB6FA12BA106}"/>
    <cellStyle name="常规 19 3 3 2 2 2" xfId="2304" xr:uid="{FD818DD1-5738-4223-A691-DA67CAC0E10E}"/>
    <cellStyle name="常规 19 3 3 2 3" xfId="2306" xr:uid="{5B8FA2E0-8E48-496A-A427-97815DD07914}"/>
    <cellStyle name="常规 19 3 3 3" xfId="2308" xr:uid="{DAC8229F-BB79-4EA5-8F23-44C489B4301D}"/>
    <cellStyle name="常规 19 3 3 3 2" xfId="2311" xr:uid="{6A76B1FC-FE5A-4BCD-8903-A81DAF746EBC}"/>
    <cellStyle name="常规 19 3 3 4" xfId="2314" xr:uid="{E837D7A1-A53B-4574-A057-4EB5A7C55689}"/>
    <cellStyle name="常规 19 3 4" xfId="2316" xr:uid="{B0265296-2854-4BB4-8396-3DA51ABC71D4}"/>
    <cellStyle name="常规 19 3 4 2" xfId="2318" xr:uid="{54B7A8DB-50DF-4019-A96C-A8AF7447A84C}"/>
    <cellStyle name="常规 19 3 4 2 2" xfId="2321" xr:uid="{3DC488E1-4851-4673-9BB2-70FBFAE8D512}"/>
    <cellStyle name="常规 19 3 4 3" xfId="2323" xr:uid="{E13C0B4F-4B84-4E2D-A031-E9E59E73A3E3}"/>
    <cellStyle name="常规 19 3 5" xfId="1798" xr:uid="{CEAC4270-A04E-41FD-AAAB-39C3FE4BB360}"/>
    <cellStyle name="常规 19 3 5 2" xfId="2250" xr:uid="{8E3D3605-01F4-44CA-93A0-2B9596A169E3}"/>
    <cellStyle name="常规 19 3 6" xfId="2325" xr:uid="{7AFAD9C2-B56E-40B3-B0E7-85E2E8A78FF7}"/>
    <cellStyle name="常规 19 4" xfId="1471" xr:uid="{3D20EE09-4973-47AF-BB1E-C95F7FB1130F}"/>
    <cellStyle name="常规 19 4 2" xfId="2329" xr:uid="{70807931-931B-481E-8CE2-9AEA96CBC14E}"/>
    <cellStyle name="常规 19 4 2 2" xfId="1793" xr:uid="{C5AF7CB7-768E-432F-98D1-480D41043BD6}"/>
    <cellStyle name="常规 19 4 2 2 2" xfId="2331" xr:uid="{1A78EAF5-9260-4AAB-8CAF-EA0DBBF49E60}"/>
    <cellStyle name="常规 19 4 2 2 2 2" xfId="2035" xr:uid="{A002173B-8986-43A8-AD38-38F10594200E}"/>
    <cellStyle name="常规 19 4 2 2 3" xfId="2334" xr:uid="{C88F5099-D558-47A6-909F-C64A3172317C}"/>
    <cellStyle name="常规 19 4 2 3" xfId="2336" xr:uid="{1F01006E-1D03-4EC4-8E87-FB6F91020530}"/>
    <cellStyle name="常规 19 4 2 3 2" xfId="2339" xr:uid="{12B40EE6-3B51-44E9-8248-F0EA85D6EA41}"/>
    <cellStyle name="常规 19 4 2 4" xfId="2342" xr:uid="{0136CCD6-91C0-4DBC-99CD-76E0B370FF63}"/>
    <cellStyle name="常规 19 4 3" xfId="2343" xr:uid="{BD3C869C-EBC4-45E8-A762-1B8A7FD805A8}"/>
    <cellStyle name="常规 19 4 3 2" xfId="2326" xr:uid="{CC8CD52B-20EF-49B1-BDDE-CD3860D3C6F9}"/>
    <cellStyle name="常规 19 4 3 2 2" xfId="2273" xr:uid="{2BA4BB6E-EA17-4121-AF13-43CB1224E90D}"/>
    <cellStyle name="常规 19 4 3 3" xfId="2345" xr:uid="{4EB3F610-A5C8-4AC6-9464-A51F7C457E1C}"/>
    <cellStyle name="常规 19 4 4" xfId="2347" xr:uid="{AD290B08-B5BE-4B2D-AE71-9B966A5C84E0}"/>
    <cellStyle name="常规 19 4 4 2" xfId="2349" xr:uid="{A26D4F1E-0FD3-4F3C-8E6C-F8CE54BF809D}"/>
    <cellStyle name="常规 19 4 5" xfId="2352" xr:uid="{F3D9551C-4CFE-465C-B48E-30DB0D2E9B72}"/>
    <cellStyle name="常规 19 5" xfId="2356" xr:uid="{C2869DDA-9880-41D4-BD5B-4FC7717E3133}"/>
    <cellStyle name="常规 19 5 2" xfId="707" xr:uid="{202C129F-358F-40A1-BA34-5B22DC6D8338}"/>
    <cellStyle name="常规 19 5 2 2" xfId="717" xr:uid="{3505E889-D1B4-4487-9039-A3A377643687}"/>
    <cellStyle name="常规 19 5 2 2 2" xfId="721" xr:uid="{87DBA822-937C-40E7-8038-7C2CA7F4D535}"/>
    <cellStyle name="常规 19 5 2 3" xfId="58" xr:uid="{9F55C2D1-D090-4997-8A6B-102F49AC2207}"/>
    <cellStyle name="常规 19 5 3" xfId="725" xr:uid="{4E34CCC8-D343-45D3-BCE9-96380A2D2091}"/>
    <cellStyle name="常规 19 5 3 2" xfId="732" xr:uid="{DE8577CC-22E1-414F-95BC-FC7BAE78A1A6}"/>
    <cellStyle name="常规 19 5 3 2 2" xfId="2358" xr:uid="{21F6100C-72DC-48BB-B0F7-756FCD3FF4EE}"/>
    <cellStyle name="常规 19 5 3 2 2 2" xfId="2359" xr:uid="{F8CEA17C-706A-4129-98AE-FD30F8912DC2}"/>
    <cellStyle name="常规 19 5 3 2 3" xfId="2360" xr:uid="{A5D83E69-CF85-4DFD-9E4C-7D4687819090}"/>
    <cellStyle name="常规 19 5 3 3" xfId="2361" xr:uid="{AA78307D-B94C-4615-9412-9ED7F6D54F51}"/>
    <cellStyle name="常规 19 5 3 3 2" xfId="2362" xr:uid="{D1F5FB6B-79F5-4DBA-B633-9375AF884264}"/>
    <cellStyle name="常规 19 5 3 4" xfId="2363" xr:uid="{F40F0D73-1F70-4AA3-B4C7-49244B766E4C}"/>
    <cellStyle name="常规 19 5 4" xfId="106" xr:uid="{4DB0667A-42ED-4F51-830B-FF83842A3EB7}"/>
    <cellStyle name="常规 19 5 4 2" xfId="121" xr:uid="{4A70058F-72DC-4391-88F3-0163B4907367}"/>
    <cellStyle name="常规 19 5 4 2 2" xfId="247" xr:uid="{79BEF5C0-E13D-4EE7-9480-BBA25AE2ED03}"/>
    <cellStyle name="常规 19 5 4 3" xfId="2364" xr:uid="{90A6371C-974D-4A69-8310-FCECD511BAFE}"/>
    <cellStyle name="常规 19 5 5" xfId="1186" xr:uid="{20500021-0EB5-4853-AD49-B1555C3D6A03}"/>
    <cellStyle name="常规 19 5 5 2" xfId="2365" xr:uid="{0991F9AB-508B-46FF-BC9F-ADAB5101409C}"/>
    <cellStyle name="常规 19 5 6" xfId="2366" xr:uid="{2A1CD9A5-B3EF-4905-81F6-8D904385C031}"/>
    <cellStyle name="常规 19 6" xfId="2369" xr:uid="{63D5C7D5-B024-4CB0-902B-C7E2B7B29145}"/>
    <cellStyle name="常规 19 6 2" xfId="760" xr:uid="{FFD5118B-1FD2-4248-AAD7-07D81846CEBA}"/>
    <cellStyle name="常规 19 6 2 2" xfId="2373" xr:uid="{5DF8C48C-3F9C-428F-870E-AFF4314A3D16}"/>
    <cellStyle name="常规 19 6 2 2 2" xfId="2376" xr:uid="{2129F5F8-4858-44AA-A601-E6DCEC58FE8B}"/>
    <cellStyle name="常规 19 6 2 3" xfId="2378" xr:uid="{FD2EDCAF-C66C-40B0-9DF2-FA43CF662B8E}"/>
    <cellStyle name="常规 19 6 3" xfId="2382" xr:uid="{AF1EA2CB-10B0-4372-92B1-04BB6E0026E1}"/>
    <cellStyle name="常规 19 6 3 2" xfId="2387" xr:uid="{164ED4B6-0080-4FD0-B600-1B35C61046E1}"/>
    <cellStyle name="常规 19 6 4" xfId="1191" xr:uid="{1E5CC4D5-9550-434F-9252-E8DED84EDC30}"/>
    <cellStyle name="常规 19 7" xfId="2388" xr:uid="{DB14D0DE-6A59-452E-B7E1-C15F7731FAAD}"/>
    <cellStyle name="常规 19 7 2" xfId="2390" xr:uid="{2CCFD536-6895-4EBA-90C9-BB448062CE47}"/>
    <cellStyle name="常规 19 7 2 2" xfId="2395" xr:uid="{E2D2384A-02B2-49A8-95D1-46966F35513E}"/>
    <cellStyle name="常规 19 7 3" xfId="2397" xr:uid="{D5D60F78-009A-442B-AED0-83CF22C77BBC}"/>
    <cellStyle name="常规 19 8" xfId="2398" xr:uid="{5B7C1D85-DB86-4A6E-A248-3ED779377F12}"/>
    <cellStyle name="常规 19 8 2" xfId="63" xr:uid="{4FBB2635-2429-4593-B80F-7BA35592E0BF}"/>
    <cellStyle name="常规 19 9" xfId="435" xr:uid="{6A735BCD-6854-4DE1-98EE-43E54CE4BF12}"/>
    <cellStyle name="常规 2" xfId="3" xr:uid="{00000000-0005-0000-0000-000032000000}"/>
    <cellStyle name="常规 2 2" xfId="4" xr:uid="{00000000-0005-0000-0000-000033000000}"/>
    <cellStyle name="常规 2 2 2" xfId="26" xr:uid="{FC7685AA-B120-4CA6-AAD9-418DBD80A332}"/>
    <cellStyle name="常规 2 2 2 2" xfId="586" xr:uid="{6D92106E-7B33-4DAD-9049-27806F5FD198}"/>
    <cellStyle name="常规 2 2 2 2 2" xfId="2401" xr:uid="{411EE442-55F5-4436-8597-7014344027BD}"/>
    <cellStyle name="常规 2 2 2 2 2 2" xfId="2403" xr:uid="{312E29E0-15DD-4EF3-BD2F-DAF89B72DD00}"/>
    <cellStyle name="常规 2 2 2 2 3" xfId="2405" xr:uid="{A73673B9-0F83-4EED-80B4-8D3F898B393A}"/>
    <cellStyle name="常规 2 2 2 3" xfId="407" xr:uid="{C36344BB-AE63-4C0F-AFF0-A61E116FB9FF}"/>
    <cellStyle name="常规 2 2 2 3 2" xfId="2407" xr:uid="{08135771-0782-49F3-8949-7AF383C485C9}"/>
    <cellStyle name="常规 2 2 2 3 2 2" xfId="2410" xr:uid="{06B2CEF2-328D-43F2-BAFA-BBEEFB28B73B}"/>
    <cellStyle name="常规 2 2 2 3 2 2 2" xfId="2413" xr:uid="{0F2195CC-CFB9-4969-B05C-E3FC634DCBE5}"/>
    <cellStyle name="常规 2 2 2 3 2 3" xfId="2416" xr:uid="{60B09607-7550-4157-BC64-1413C91B4B0B}"/>
    <cellStyle name="常规 2 2 2 3 3" xfId="1567" xr:uid="{633FCE4C-FDD9-45A8-B499-64BB671ADBF5}"/>
    <cellStyle name="常规 2 2 2 3 3 2" xfId="2419" xr:uid="{6DC2CA0B-4635-412D-9732-5434A754CDEB}"/>
    <cellStyle name="常规 2 2 2 3 4" xfId="2420" xr:uid="{CD629B7C-7959-4381-8F7B-1C1652E7A8C4}"/>
    <cellStyle name="常规 2 2 2 4" xfId="167" xr:uid="{28015808-3AAD-402D-8B9B-D513C02F24C3}"/>
    <cellStyle name="常规 2 2 2 4 2" xfId="2421" xr:uid="{6496279D-105C-46BD-B0C9-88FDC75BE1DF}"/>
    <cellStyle name="常规 2 2 2 4 2 2" xfId="2422" xr:uid="{A4C3DA7C-08F6-4097-AA8F-F31A76D5D952}"/>
    <cellStyle name="常规 2 2 2 4 3" xfId="2423" xr:uid="{71DACF8A-3297-4942-99BA-F043A51D4EE6}"/>
    <cellStyle name="常规 2 2 2 5" xfId="146" xr:uid="{C513A76E-E06D-435C-AEA4-91AAA901400D}"/>
    <cellStyle name="常规 2 2 2 5 2" xfId="350" xr:uid="{B140F59B-AE4D-46D8-A216-F0FA5ADC044F}"/>
    <cellStyle name="常规 2 2 2 6" xfId="188" xr:uid="{D3A0C730-9604-40DB-8E59-ECC4DDCFB509}"/>
    <cellStyle name="常规 2 2 3" xfId="43" xr:uid="{3BFED7DF-7B55-45EA-B9E6-4AE3881E846A}"/>
    <cellStyle name="常规 2 2 3 2" xfId="257" xr:uid="{3BB5AF12-498D-4643-B201-5197B298BDCB}"/>
    <cellStyle name="常规 2 2 3 2 2" xfId="2429" xr:uid="{8145FD30-CB45-4505-BAD9-6736F5969FD1}"/>
    <cellStyle name="常规 2 2 3 2 2 2" xfId="2432" xr:uid="{90252EBE-7D79-47EC-AF3F-0266698F0654}"/>
    <cellStyle name="常规 2 2 3 2 3" xfId="2433" xr:uid="{04FF6ED7-8D35-47E7-886A-53262378F51F}"/>
    <cellStyle name="常规 2 2 3 3" xfId="2434" xr:uid="{50635FAB-EB75-4EC9-AB4F-7935EC184842}"/>
    <cellStyle name="常规 2 2 3 3 2" xfId="1344" xr:uid="{6637A998-4758-4650-8386-DFAA30C68317}"/>
    <cellStyle name="常规 2 2 3 4" xfId="2439" xr:uid="{274E7A96-11E6-4E1F-9569-C22EF67BFE68}"/>
    <cellStyle name="常规 2 2 3 5" xfId="2442" xr:uid="{8A67BB48-86D2-40FD-A894-1B8D1FFA0C6D}"/>
    <cellStyle name="常规 2 2 4" xfId="52" xr:uid="{03EBEABA-F81F-4262-92A6-8290FE43EAEC}"/>
    <cellStyle name="常规 2 2 4 2" xfId="2443" xr:uid="{30184649-5968-49EB-8F2A-9ACE31D0C487}"/>
    <cellStyle name="常规 2 2 4 2 2" xfId="2444" xr:uid="{A6BA513A-83AC-4E04-BF01-51168BABF3FE}"/>
    <cellStyle name="常规 2 2 4 3" xfId="2445" xr:uid="{F06AD9E9-64E4-4C52-9DAC-60096507271F}"/>
    <cellStyle name="常规 2 2 4 4" xfId="1877" xr:uid="{D28ED509-C099-44FF-AB4B-A2F798DB9AA5}"/>
    <cellStyle name="常规 2 2 5" xfId="2392" xr:uid="{A89A4718-D3BB-4DA4-A031-8608FD706E7F}"/>
    <cellStyle name="常规 2 2 5 2" xfId="2446" xr:uid="{09E8272C-9D61-40B6-B6F3-1CD15342304E}"/>
    <cellStyle name="常规 2 2 6" xfId="37" xr:uid="{029B3C0F-AEBE-47FA-BFD7-7A51EA1AC2EC}"/>
    <cellStyle name="常规 2 2 6 2" xfId="268" xr:uid="{4780233F-15CF-41E0-853C-E275CDBBFE6F}"/>
    <cellStyle name="常规 2 3" xfId="5" xr:uid="{00000000-0005-0000-0000-000034000000}"/>
    <cellStyle name="常规 2 3 10" xfId="15" xr:uid="{C18CDF8A-1F6A-44FE-B9E1-FD8CF794CB41}"/>
    <cellStyle name="常规 2 3 2" xfId="2447" xr:uid="{F6F7CDC4-9480-483F-9606-DAD9F66A1146}"/>
    <cellStyle name="常规 2 3 2 2" xfId="2448" xr:uid="{2B4E6327-3353-454C-B012-C370DF224743}"/>
    <cellStyle name="常规 2 3 2 2 2" xfId="2450" xr:uid="{83442033-2F00-4DF5-B7B7-BED9283C1AE3}"/>
    <cellStyle name="常规 2 3 2 3" xfId="485" xr:uid="{4CF5928F-EA24-4E9D-A3E3-36B874C7F9DF}"/>
    <cellStyle name="常规 2 3 2 3 2" xfId="304" xr:uid="{4A81C979-C08C-4D60-A2C1-2B5FC92C4412}"/>
    <cellStyle name="常规 2 3 2 4" xfId="494" xr:uid="{237231F5-2C03-4F7A-BC76-FE2A3E0AF08C}"/>
    <cellStyle name="常规 2 3 3" xfId="2455" xr:uid="{0579514B-33A3-4CF4-888D-B066FD6BB32F}"/>
    <cellStyle name="常规 2 3 3 2" xfId="1306" xr:uid="{52D17C48-FDDE-4BE1-ADE6-3E1E5A161056}"/>
    <cellStyle name="常规 2 3 3 2 2" xfId="2460" xr:uid="{640EBD61-2851-4F2E-B9B2-BCB28C51BE64}"/>
    <cellStyle name="常规 2 3 3 2 2 2" xfId="2461" xr:uid="{2E62D219-C6F3-4A40-BF96-B163CB9B0738}"/>
    <cellStyle name="常规 2 3 3 2 3" xfId="2462" xr:uid="{92BDCD47-63F3-466F-845B-DB2B19C27493}"/>
    <cellStyle name="常规 2 3 3 3" xfId="506" xr:uid="{70F2788F-F934-42F3-BD34-100B2988FCEA}"/>
    <cellStyle name="常规 2 3 3 3 2" xfId="1373" xr:uid="{C51646D5-CCBA-42B9-B534-EEA9F96D9425}"/>
    <cellStyle name="常规 2 3 3 4" xfId="2463" xr:uid="{C6E32956-D4A0-4761-B4E6-7A8DEE02C767}"/>
    <cellStyle name="常规 2 3 4" xfId="2468" xr:uid="{B649BB3C-2141-426D-9BA3-2621BE061E2C}"/>
    <cellStyle name="常规 2 3 4 2" xfId="2473" xr:uid="{BE982CD8-96E6-46E0-96D7-93D9A6E8E18C}"/>
    <cellStyle name="常规 2 3 4 2 2" xfId="2474" xr:uid="{BF2C4319-E441-40FF-B1FA-16D8A56B6BFB}"/>
    <cellStyle name="常规 2 3 4 3" xfId="2475" xr:uid="{454BA16D-276A-40DE-8A30-5BF71C68FD20}"/>
    <cellStyle name="常规 2 3 5" xfId="2481" xr:uid="{CB1270E9-F61C-468A-A338-199B2029C84E}"/>
    <cellStyle name="常规 2 3 5 2" xfId="2482" xr:uid="{9B93FEB7-2312-4547-9AEE-E07FB748E668}"/>
    <cellStyle name="常规 2 3 6" xfId="35" xr:uid="{AC3BED08-6D86-4A29-A780-B2C179078C71}"/>
    <cellStyle name="常规 2 4" xfId="6" xr:uid="{00000000-0005-0000-0000-000035000000}"/>
    <cellStyle name="常规 2 4 2" xfId="2483" xr:uid="{7FB5E6AC-EB26-4B0A-858B-9480CDF96A0F}"/>
    <cellStyle name="常规 2 4 2 2" xfId="2484" xr:uid="{588570FF-82D4-462E-AC6A-E3279804A36E}"/>
    <cellStyle name="常规 2 4 2 2 2" xfId="2485" xr:uid="{40EF3163-E8F5-45DE-8866-B3264690B791}"/>
    <cellStyle name="常规 2 4 2 3" xfId="2486" xr:uid="{64B2A332-5F08-4AC1-B82F-359A28B6144F}"/>
    <cellStyle name="常规 2 4 3" xfId="2491" xr:uid="{0DAC1E83-1D19-41A9-8EDA-808A984CAF88}"/>
    <cellStyle name="常规 2 4 3 2" xfId="2494" xr:uid="{FAC163D7-B2A4-48C8-895E-9C43E1DE2506}"/>
    <cellStyle name="常规 2 4 4" xfId="2497" xr:uid="{49ECC7BC-72ED-433F-B6E9-A604EA8D9859}"/>
    <cellStyle name="常规 2 4 5" xfId="1214" xr:uid="{4780E817-4268-4BFC-BAFC-2309309AD5F5}"/>
    <cellStyle name="常规 2 5" xfId="13" xr:uid="{31D03FD3-A201-4029-B1E1-F62AD2826593}"/>
    <cellStyle name="常规 2 5 2" xfId="974" xr:uid="{0B623607-FD5E-4DA9-A79A-EE119E5C94AB}"/>
    <cellStyle name="常规 2 5 2 2" xfId="2498" xr:uid="{24411453-2F2A-4FAA-9335-204E1C9F51CD}"/>
    <cellStyle name="常规 2 5 3" xfId="1258" xr:uid="{41A42BEA-6138-4E50-8F70-18F03641D346}"/>
    <cellStyle name="常规 2 5 4" xfId="950" xr:uid="{90202C4D-3E82-4FE0-8990-D40331D688DE}"/>
    <cellStyle name="常规 2 6" xfId="50" xr:uid="{632C2BD5-57C4-47E4-AB9A-3475C5E8E2D5}"/>
    <cellStyle name="常规 2 6 2" xfId="2499" xr:uid="{EBBACC31-88C8-4B37-A7F7-2CA3513D1B3D}"/>
    <cellStyle name="常规 2 6 3" xfId="980" xr:uid="{DD03FAE6-0577-40E3-8918-3BDA3BF88501}"/>
    <cellStyle name="常规 2 7" xfId="7" xr:uid="{00000000-0005-0000-0000-000036000000}"/>
    <cellStyle name="常规 2 7 2" xfId="1766" xr:uid="{EB6F5D2F-87A8-41B0-A9F6-7E83834013C5}"/>
    <cellStyle name="常规 2 7 3" xfId="1772" xr:uid="{1EF421EF-DD90-48C1-8F9A-6F0DE9E6F475}"/>
    <cellStyle name="常规 2 8" xfId="1775" xr:uid="{106EF8E2-C290-4AE1-A5FA-8B5DE55D1E6E}"/>
    <cellStyle name="常规 20" xfId="1247" xr:uid="{E34A3C62-86A6-4738-BCC1-E47C314D618E}"/>
    <cellStyle name="常规 20 2" xfId="681" xr:uid="{8275AA98-B99F-46B4-8B37-E55FEAC00B32}"/>
    <cellStyle name="常规 20 2 2" xfId="1016" xr:uid="{6F91B6F3-60C5-449D-BF84-ECFA1EE12EED}"/>
    <cellStyle name="常规 20 2 2 2" xfId="1019" xr:uid="{68F6605D-1A10-4F42-A8AB-40EAEC216176}"/>
    <cellStyle name="常规 20 2 2 2 2" xfId="1665" xr:uid="{1FB0888C-48A9-4D18-AFC4-C314DFC65008}"/>
    <cellStyle name="常规 20 2 2 2 2 2" xfId="1667" xr:uid="{1EBC3A34-904A-4CB9-B5F8-55C6645D43B5}"/>
    <cellStyle name="常规 20 2 2 2 3" xfId="629" xr:uid="{244006D3-E75D-4F3F-B5BD-1A0211045489}"/>
    <cellStyle name="常规 20 2 2 3" xfId="1669" xr:uid="{C8CFDB0D-4DD6-4578-8E32-BBBC805FF2A5}"/>
    <cellStyle name="常规 20 2 2 3 2" xfId="935" xr:uid="{E1B49359-02B4-4DA4-BC62-F4C861A145B9}"/>
    <cellStyle name="常规 20 2 2 3 2 2" xfId="938" xr:uid="{45C8A482-B5E4-4427-A85A-C3DD6C782267}"/>
    <cellStyle name="常规 20 2 2 3 2 2 2" xfId="604" xr:uid="{5E3B685F-BE24-4EC8-9572-895B9843F180}"/>
    <cellStyle name="常规 20 2 2 3 2 3" xfId="946" xr:uid="{841BEB77-7BF1-4636-A323-248B0E7E66AE}"/>
    <cellStyle name="常规 20 2 2 3 3" xfId="655" xr:uid="{96D83B49-7FCE-4309-9A3C-422AAC30A58F}"/>
    <cellStyle name="常规 20 2 2 3 3 2" xfId="663" xr:uid="{EEB6F76F-233B-4E43-8585-ADBA414B6459}"/>
    <cellStyle name="常规 20 2 2 3 4" xfId="667" xr:uid="{A0465878-7D10-4296-910C-5DB36E32E2FD}"/>
    <cellStyle name="常规 20 2 2 4" xfId="1671" xr:uid="{94D68C1F-352A-4CE4-99CA-33FB576E3ADA}"/>
    <cellStyle name="常规 20 2 2 4 2" xfId="987" xr:uid="{DAB19624-42D4-4A23-840E-BF5005454E32}"/>
    <cellStyle name="常规 20 2 2 4 2 2" xfId="990" xr:uid="{A2D162B7-7624-4A39-A735-778820183755}"/>
    <cellStyle name="常规 20 2 2 4 3" xfId="677" xr:uid="{95256BA0-8D54-4192-B3EF-53ED74AB5062}"/>
    <cellStyle name="常规 20 2 2 5" xfId="1673" xr:uid="{1FDB9A14-BFD3-4685-A63B-391228A97923}"/>
    <cellStyle name="常规 20 2 2 5 2" xfId="1009" xr:uid="{D684EB67-E403-4F2D-9766-69934F029A3F}"/>
    <cellStyle name="常规 20 2 2 6" xfId="1266" xr:uid="{D7AE56E1-6242-4242-9785-080682E99D18}"/>
    <cellStyle name="常规 20 2 3" xfId="568" xr:uid="{AA0EC471-16EC-4753-9DDE-90534CAB2DBC}"/>
    <cellStyle name="常规 20 2 3 2" xfId="575" xr:uid="{534249DA-1420-4C6B-B19E-77DC0880880A}"/>
    <cellStyle name="常规 20 2 3 2 2" xfId="1675" xr:uid="{EED766F9-7126-451E-94C1-35CB7CE205B8}"/>
    <cellStyle name="常规 20 2 3 2 2 2" xfId="1677" xr:uid="{4E5316EE-3CE7-4E9D-BE3B-4EB54A177C27}"/>
    <cellStyle name="常规 20 2 3 2 3" xfId="739" xr:uid="{52E98049-4776-4D0D-99C7-CF0D7A7DBC10}"/>
    <cellStyle name="常规 20 2 3 3" xfId="1679" xr:uid="{A2103D11-AF7B-45ED-862F-ADF3DD82E242}"/>
    <cellStyle name="常规 20 2 3 3 2" xfId="1113" xr:uid="{FDBB7342-9C8B-45B7-8F95-45C48DEEA2BD}"/>
    <cellStyle name="常规 20 2 3 3 2 2" xfId="1116" xr:uid="{6E50A2ED-74A9-4374-854E-02A83B5FA002}"/>
    <cellStyle name="常规 20 2 3 3 2 2 2" xfId="133" xr:uid="{7FB2D516-8A7B-4FE7-9B2A-8A9AE9CF6AB5}"/>
    <cellStyle name="常规 20 2 3 3 2 3" xfId="1124" xr:uid="{103EAE60-80E0-4F3D-BC82-A11560A316FC}"/>
    <cellStyle name="常规 20 2 3 3 3" xfId="771" xr:uid="{D22C497A-0E4E-4461-99BC-AA6F62B3176F}"/>
    <cellStyle name="常规 20 2 3 3 3 2" xfId="777" xr:uid="{3091BB0B-F2ED-4DB9-9FC9-EE04BE38D6FE}"/>
    <cellStyle name="常规 20 2 3 3 4" xfId="785" xr:uid="{38091509-4F5A-4043-86A5-CF66E602D43D}"/>
    <cellStyle name="常规 20 2 3 4" xfId="150" xr:uid="{4E67184F-7141-4876-9AE0-F0C8553A5CBE}"/>
    <cellStyle name="常规 20 2 3 4 2" xfId="1153" xr:uid="{60D18620-F45B-44B9-9BDD-8C8851703CE7}"/>
    <cellStyle name="常规 20 2 3 4 2 2" xfId="399" xr:uid="{B2A1A798-1A92-49B8-882C-98AF63BD0B0B}"/>
    <cellStyle name="常规 20 2 3 4 3" xfId="174" xr:uid="{3ABFA792-6C7E-415E-875D-945D13CA36A5}"/>
    <cellStyle name="常规 20 2 3 5" xfId="1681" xr:uid="{9950E7CB-E860-4CBF-90ED-5C079DD678AB}"/>
    <cellStyle name="常规 20 2 3 5 2" xfId="313" xr:uid="{8A75D6A7-ED57-424B-82C2-774714CAA1CC}"/>
    <cellStyle name="常规 20 2 3 6" xfId="1281" xr:uid="{B2FF94B5-93AA-47F9-9312-EA011D25E38A}"/>
    <cellStyle name="常规 20 2 4" xfId="387" xr:uid="{EEA5A402-89D8-47E3-8434-16DCAE9A5CB1}"/>
    <cellStyle name="常规 20 2 4 2" xfId="156" xr:uid="{EA49EE1F-52EF-4C44-8D87-7FFE2932F11E}"/>
    <cellStyle name="常规 20 2 4 2 2" xfId="1684" xr:uid="{6588FB51-CC82-4FE7-9037-890FFDB74B13}"/>
    <cellStyle name="常规 20 2 4 2 2 2" xfId="1686" xr:uid="{A0D3FEC4-24AE-44E6-8383-A50F9D623B6B}"/>
    <cellStyle name="常规 20 2 4 2 3" xfId="270" xr:uid="{3B358E4E-D253-49CB-BBEB-388E6031B76C}"/>
    <cellStyle name="常规 20 2 4 3" xfId="1690" xr:uid="{702A80C7-4404-4555-B445-993F8889247D}"/>
    <cellStyle name="常规 20 2 4 3 2" xfId="128" xr:uid="{705E8758-C145-4D88-BB24-F9F47B880F2D}"/>
    <cellStyle name="常规 20 2 4 4" xfId="1692" xr:uid="{261978D9-C4A5-40A2-94D3-02C453FE2FC7}"/>
    <cellStyle name="常规 20 2 5" xfId="394" xr:uid="{96596BFB-B297-4CD4-A7ED-4954AF3FA5F1}"/>
    <cellStyle name="常规 20 2 5 2" xfId="1694" xr:uid="{094EF327-857A-47EB-A7BA-4A1A1BDF5858}"/>
    <cellStyle name="常规 20 2 5 2 2" xfId="793" xr:uid="{96E85A38-0434-4E89-B915-4B19AFA2AEE3}"/>
    <cellStyle name="常规 20 2 5 3" xfId="1699" xr:uid="{84245FEF-9542-41E0-A523-ECE6E334C19D}"/>
    <cellStyle name="常规 20 2 6" xfId="1617" xr:uid="{4CDB2E5D-B3FD-48DE-815D-85CE64D1A0D3}"/>
    <cellStyle name="常规 20 2 6 2" xfId="1623" xr:uid="{3F895644-3004-44C5-9C48-B61DCEFF06A6}"/>
    <cellStyle name="常规 20 2 7" xfId="366" xr:uid="{6F14A2BD-4F1F-4F72-9623-0793AAFA46A0}"/>
    <cellStyle name="常规 20 3" xfId="686" xr:uid="{1C24B699-7AB8-46D1-99DF-54C9AFA2A290}"/>
    <cellStyle name="常规 20 3 2" xfId="1037" xr:uid="{D773B75E-E677-4207-A590-FE98A9AA4FC9}"/>
    <cellStyle name="常规 20 3 2 2" xfId="1041" xr:uid="{9205A20F-2047-465F-87A0-1AF094F15740}"/>
    <cellStyle name="常规 20 3 2 2 2" xfId="1414" xr:uid="{C1EBCA8C-FD10-4C31-A500-365A702F5AC6}"/>
    <cellStyle name="常规 20 3 2 2 2 2" xfId="1418" xr:uid="{FB29AA1E-E8F0-4C80-882B-FF30E4DE2380}"/>
    <cellStyle name="常规 20 3 2 2 3" xfId="1481" xr:uid="{D2538DED-29B1-4B42-BC72-5C9F9A959488}"/>
    <cellStyle name="常规 20 3 2 3" xfId="1701" xr:uid="{EAB633C1-7741-4FB7-B37C-86C63E23D595}"/>
    <cellStyle name="常规 20 3 2 3 2" xfId="1627" xr:uid="{985E0A4C-B4B8-4551-B473-9DC838134D0C}"/>
    <cellStyle name="常规 20 3 2 4" xfId="2502" xr:uid="{866E66F0-5C3C-451B-8B25-856C98445E75}"/>
    <cellStyle name="常规 20 3 3" xfId="583" xr:uid="{6F7AF0A6-98E4-4E60-9646-A7A10D283A49}"/>
    <cellStyle name="常规 20 3 3 2" xfId="1703" xr:uid="{3ADAB4A7-EF43-4D3B-9B7A-4C042F5378EA}"/>
    <cellStyle name="常规 20 3 3 2 2" xfId="1706" xr:uid="{4D1EB930-EF08-42AD-8E88-44DDB4D37C10}"/>
    <cellStyle name="常规 20 3 3 3" xfId="1711" xr:uid="{EE716ED0-D9E1-40A3-955E-84F7145E6E75}"/>
    <cellStyle name="常规 20 3 4" xfId="405" xr:uid="{056C8740-4188-4ADA-AC80-5252F86F4E83}"/>
    <cellStyle name="常规 20 3 4 2" xfId="1717" xr:uid="{A3037272-01AE-48FA-81F2-22FED9DE19D2}"/>
    <cellStyle name="常规 20 3 5" xfId="169" xr:uid="{255A5DDE-1B43-44D4-8A01-5127FAD06C54}"/>
    <cellStyle name="常规 20 4" xfId="1722" xr:uid="{62198EEF-551F-4EDD-9634-458E6205E374}"/>
    <cellStyle name="常规 20 4 2" xfId="73" xr:uid="{0EC88213-8F9C-49A2-999A-076A2D775520}"/>
    <cellStyle name="常规 20 4 2 2" xfId="1275" xr:uid="{2D76A54E-E214-46C1-AFEE-E086740D6F72}"/>
    <cellStyle name="常规 20 4 2 2 2" xfId="1727" xr:uid="{EC048B35-FFF0-4879-8217-FECD88BBCCFF}"/>
    <cellStyle name="常规 20 4 2 3" xfId="1729" xr:uid="{1F57166F-AD27-447F-85B2-B8A03F5E1628}"/>
    <cellStyle name="常规 20 4 3" xfId="250" xr:uid="{637167CD-0A43-4006-86AC-E7ACCCAAAF0D}"/>
    <cellStyle name="常规 20 4 3 2" xfId="1731" xr:uid="{AF93BAFF-AA56-4338-B2FE-CA879273FD56}"/>
    <cellStyle name="常规 20 4 3 2 2" xfId="1733" xr:uid="{0275EF45-BC7D-4040-B8C6-6E4101F34EE4}"/>
    <cellStyle name="常规 20 4 3 2 2 2" xfId="211" xr:uid="{9F2B1678-0DBC-4EB0-9DAC-5E7FBB031235}"/>
    <cellStyle name="常规 20 4 3 2 3" xfId="1738" xr:uid="{A793CCFC-5330-4C7D-A98A-203DA84144D4}"/>
    <cellStyle name="常规 20 4 3 3" xfId="1740" xr:uid="{0EB08C1F-4594-4760-BCFD-CED561F121F4}"/>
    <cellStyle name="常规 20 4 3 3 2" xfId="1742" xr:uid="{5E2BF9B0-1EC2-4100-B9C5-A70BE0443967}"/>
    <cellStyle name="常规 20 4 3 4" xfId="1744" xr:uid="{1AAD5482-E1F5-4048-971C-D4073F49A734}"/>
    <cellStyle name="常规 20 4 4" xfId="846" xr:uid="{0FC472E1-A2A6-4AE3-A0F7-3203D4BEE93C}"/>
    <cellStyle name="常规 20 4 4 2" xfId="1342" xr:uid="{E827CB3C-B905-47D4-9B05-5A12E3BC5825}"/>
    <cellStyle name="常规 20 4 4 2 2" xfId="1746" xr:uid="{9F345CBD-1DBD-4B61-AF56-570AF5A3FC78}"/>
    <cellStyle name="常规 20 4 4 3" xfId="1578" xr:uid="{2A0706F7-9059-4D0C-AB68-FC3F4C06B521}"/>
    <cellStyle name="常规 20 4 5" xfId="1748" xr:uid="{7F71871E-C8A3-43C3-B270-41E709E9CA8C}"/>
    <cellStyle name="常规 20 4 5 2" xfId="1750" xr:uid="{3B63A56B-2E63-490E-8A08-95B1EB9D5EA9}"/>
    <cellStyle name="常规 20 4 6" xfId="1752" xr:uid="{991AF53C-AFF6-48D2-92DA-BED655B4CE8C}"/>
    <cellStyle name="常规 20 5" xfId="1754" xr:uid="{F127795D-A8FF-4F61-B084-C99BCEA19BEB}"/>
    <cellStyle name="常规 20 5 2" xfId="1074" xr:uid="{6C7A6FB0-EB2B-4073-9635-AE7B8C57DFD3}"/>
    <cellStyle name="常规 20 5 2 2" xfId="1756" xr:uid="{EA65B9F2-6196-472D-BF33-EC0BD183176F}"/>
    <cellStyle name="常规 20 5 2 2 2" xfId="1758" xr:uid="{EFE57FCF-3A58-456A-8A1C-69C2BE203B55}"/>
    <cellStyle name="常规 20 5 2 3" xfId="460" xr:uid="{2D0202B0-BD10-4870-AF1F-5799FE457320}"/>
    <cellStyle name="常规 20 5 3" xfId="261" xr:uid="{E563BC99-5E3C-47D4-997D-7C013B97692C}"/>
    <cellStyle name="常规 20 5 3 2" xfId="1760" xr:uid="{B1A481D2-7EDB-44B8-BC2A-0DEB78B1C639}"/>
    <cellStyle name="常规 20 5 3 2 2" xfId="380" xr:uid="{390E8EDB-6590-4213-9FE6-7706FD520D9C}"/>
    <cellStyle name="常规 20 5 3 2 2 2" xfId="392" xr:uid="{ED7BB653-70D4-4E91-B29A-03E5136E1CDD}"/>
    <cellStyle name="常规 20 5 3 2 3" xfId="401" xr:uid="{B45C77DF-0DD2-4C2C-8384-5DA83A347D89}"/>
    <cellStyle name="常规 20 5 3 3" xfId="1044" xr:uid="{89CC84E6-82A6-4E69-8303-2F7776269419}"/>
    <cellStyle name="常规 20 5 3 3 2" xfId="433" xr:uid="{D8BA0271-4351-4234-8DCB-99242D4FC6F8}"/>
    <cellStyle name="常规 20 5 3 4" xfId="2505" xr:uid="{AE96C70B-58C8-4867-B3FF-59830B3AC12D}"/>
    <cellStyle name="常规 20 5 4" xfId="1762" xr:uid="{AA1872BF-6CB1-42C6-8962-0E87D80C9411}"/>
    <cellStyle name="常规 20 5 4 2" xfId="2506" xr:uid="{D470B278-0F28-408C-98CD-E931E86F5B5B}"/>
    <cellStyle name="常规 20 5 4 2 2" xfId="925" xr:uid="{BB51798F-BBDC-49EC-B1E1-F21D31AD8B24}"/>
    <cellStyle name="常规 20 5 4 3" xfId="2507" xr:uid="{385A4682-D70F-4D0E-91EC-84C7BCD46EE7}"/>
    <cellStyle name="常规 20 5 5" xfId="2508" xr:uid="{6F2A281F-DBD8-4576-80D4-E050463592A2}"/>
    <cellStyle name="常规 20 5 5 2" xfId="2509" xr:uid="{A6A87B98-4A02-4E48-BDFD-C9D529A6019D}"/>
    <cellStyle name="常规 20 5 6" xfId="1769" xr:uid="{658695D0-F4DB-4445-BB00-76AF58DF33B0}"/>
    <cellStyle name="常规 20 6" xfId="917" xr:uid="{313BC290-505C-4B09-BDBF-2AE4660CC63B}"/>
    <cellStyle name="常规 20 6 2" xfId="920" xr:uid="{4D2B20FE-A4E1-472C-A4D9-7AF141B1498B}"/>
    <cellStyle name="常规 20 6 2 2" xfId="1764" xr:uid="{C4A1336C-A9FF-4D60-A5E6-534B2DF6FB15}"/>
    <cellStyle name="常规 20 6 2 2 2" xfId="2511" xr:uid="{8FFF18DD-417E-493D-8C2B-63809ADFA841}"/>
    <cellStyle name="常规 20 6 2 3" xfId="2512" xr:uid="{35CD5F43-A22E-49ED-85FA-2BDF907D8842}"/>
    <cellStyle name="常规 20 6 3" xfId="264" xr:uid="{30DDA132-2123-43E1-ADF9-3F35C309465C}"/>
    <cellStyle name="常规 20 6 3 2" xfId="2513" xr:uid="{EB8457CF-4A6F-448F-B592-6D1C9BD0FD8E}"/>
    <cellStyle name="常规 20 6 4" xfId="2514" xr:uid="{B06F7918-6328-4E53-91DE-08A867BB0BD7}"/>
    <cellStyle name="常规 20 7" xfId="923" xr:uid="{9D5BC536-C317-425C-B157-995B519CDE7C}"/>
    <cellStyle name="常规 20 7 2" xfId="98" xr:uid="{72E5972C-F130-4BEE-BFA7-BF3DB88582B4}"/>
    <cellStyle name="常规 20 7 2 2" xfId="2516" xr:uid="{ECA2DF19-DE63-4D76-A7A2-5CB16933B0FE}"/>
    <cellStyle name="常规 20 7 3" xfId="266" xr:uid="{AC1B52F1-661D-43AB-B622-1C094466209C}"/>
    <cellStyle name="常规 20 8" xfId="154" xr:uid="{A8C6A718-AB12-44C5-BBE0-1D3D4DF5DB80}"/>
    <cellStyle name="常规 20 8 2" xfId="1682" xr:uid="{A8FA0DA4-D4DF-42C8-8C3E-5CF8D0381F2B}"/>
    <cellStyle name="常规 20 9" xfId="1688" xr:uid="{5F6DCA38-61A8-4D6B-8B90-8F4BDF0009F8}"/>
    <cellStyle name="常规 21" xfId="1514" xr:uid="{09254E06-7B9B-4CBA-8D3A-72D65CDE7F75}"/>
    <cellStyle name="常规 21 2" xfId="797" xr:uid="{F7C9873D-FA12-4A2A-B9DF-CD71B5690649}"/>
    <cellStyle name="常规 21 2 2" xfId="316" xr:uid="{1CB3E76B-DAE1-4A85-B759-58BA7F78A045}"/>
    <cellStyle name="常规 21 2 2 2" xfId="880" xr:uid="{5B62053C-8D3A-4E23-B39F-482DA1FBB4C0}"/>
    <cellStyle name="常规 21 2 2 2 2" xfId="1767" xr:uid="{1E2F7326-B83D-4D71-86ED-2C35E6B9C590}"/>
    <cellStyle name="常规 21 2 2 2 2 2" xfId="1770" xr:uid="{9C589148-1E5E-49C6-A245-7F2C585E7D9B}"/>
    <cellStyle name="常规 21 2 2 2 3" xfId="1773" xr:uid="{466CCD52-D11E-4121-BFCA-57BBCB1B8E01}"/>
    <cellStyle name="常规 21 2 2 3" xfId="1776" xr:uid="{956A1CFE-27F4-4787-A011-079223B32349}"/>
    <cellStyle name="常规 21 2 2 3 2" xfId="1778" xr:uid="{7A7A6A41-F7CA-48B8-92A2-3D5054C3AFBE}"/>
    <cellStyle name="常规 21 2 2 4" xfId="1786" xr:uid="{D62C07D5-15C1-4360-9556-3560BC85CA38}"/>
    <cellStyle name="常规 21 2 3" xfId="324" xr:uid="{A6759AB8-A017-42B9-A5AB-EE927A22D791}"/>
    <cellStyle name="常规 21 2 3 2" xfId="1803" xr:uid="{1FCA721C-1707-42FB-AABF-45E80552A992}"/>
    <cellStyle name="常规 21 2 3 2 2" xfId="424" xr:uid="{97550B3E-50AA-4361-866D-DD63E73CE878}"/>
    <cellStyle name="常规 21 2 3 3" xfId="1806" xr:uid="{93F289BB-E78E-48F4-A815-6F15A3515024}"/>
    <cellStyle name="常规 21 2 4" xfId="334" xr:uid="{AA0B8D37-D4F7-4396-8900-AE0B3805F658}"/>
    <cellStyle name="常规 21 2 4 2" xfId="441" xr:uid="{DEF7C289-1C18-4661-8722-3CD76F999688}"/>
    <cellStyle name="常规 21 2 5" xfId="346" xr:uid="{94DE516E-7EA5-42FD-BDB8-32282AE63C8B}"/>
    <cellStyle name="常规 21 3" xfId="1837" xr:uid="{0E257380-959B-4D76-B31A-A48A84D8E7D0}"/>
    <cellStyle name="常规 21 3 2" xfId="1285" xr:uid="{AD26656C-FD3D-4A85-BBEC-DD20531DFFD9}"/>
    <cellStyle name="常规 21 3 2 2" xfId="1839" xr:uid="{80D02D37-9AFB-4D7F-AE2D-46882C8A8AB3}"/>
    <cellStyle name="常规 21 3 2 2 2" xfId="1841" xr:uid="{AFB50553-BCEA-4D7B-9891-375D6FA60644}"/>
    <cellStyle name="常规 21 3 2 3" xfId="1352" xr:uid="{4E73E127-5F47-483B-BC6F-027F5F8D00EB}"/>
    <cellStyle name="常规 21 3 3" xfId="1843" xr:uid="{3171FADA-FB79-4D4C-8B57-72B3035762E1}"/>
    <cellStyle name="常规 21 3 3 2" xfId="1846" xr:uid="{86C33A06-60F1-44A8-9BA1-4F04098DF2B7}"/>
    <cellStyle name="常规 21 3 3 2 2" xfId="1848" xr:uid="{0B4C8DBA-06A2-4C88-9A6D-562E46C5E0C4}"/>
    <cellStyle name="常规 21 3 3 2 2 2" xfId="1463" xr:uid="{5927E47C-69A2-4C01-8248-7DA6DB3E9713}"/>
    <cellStyle name="常规 21 3 3 2 3" xfId="802" xr:uid="{1B60532C-BD1F-416B-9B1B-C216203D65BC}"/>
    <cellStyle name="常规 21 3 3 3" xfId="1850" xr:uid="{22E5DB16-D17D-4D2F-95F1-11E8F9CE353A}"/>
    <cellStyle name="常规 21 3 3 3 2" xfId="1852" xr:uid="{389501E4-656E-4E62-9CEA-3C16D6B60688}"/>
    <cellStyle name="常规 21 3 3 4" xfId="1856" xr:uid="{78F65176-3A2E-445C-9722-3F50EE664DE5}"/>
    <cellStyle name="常规 21 3 4" xfId="484" xr:uid="{FD3A39CE-4290-4A67-AFC3-7BED58EFC092}"/>
    <cellStyle name="常规 21 3 4 2" xfId="302" xr:uid="{6903A790-0D6D-4AB4-9B01-7FD6DABB4C9B}"/>
    <cellStyle name="常规 21 3 4 2 2" xfId="1859" xr:uid="{7ADBA0D0-BAFB-453C-8D9C-956860493EEA}"/>
    <cellStyle name="常规 21 3 4 3" xfId="1604" xr:uid="{ED133FB5-B199-4DCC-BD17-9B92A6D0C356}"/>
    <cellStyle name="常规 21 3 5" xfId="491" xr:uid="{080E6304-C7EC-4BA7-A5F9-73101BF2F72C}"/>
    <cellStyle name="常规 21 3 5 2" xfId="1862" xr:uid="{0D836753-74C1-440F-9D61-45446CA78976}"/>
    <cellStyle name="常规 21 3 6" xfId="1864" xr:uid="{155C7357-FAFA-4392-9E0C-0560776FB9FD}"/>
    <cellStyle name="常规 21 4" xfId="1866" xr:uid="{696A3916-3DE9-4BA4-89EB-DEB829D6A255}"/>
    <cellStyle name="常规 21 4 2" xfId="1294" xr:uid="{81C0C24A-804D-44CF-B28F-4F0AD8317B63}"/>
    <cellStyle name="常规 21 4 2 2" xfId="1297" xr:uid="{9BEBF6BA-4358-4628-B348-E6C0B1DF8ACA}"/>
    <cellStyle name="常规 21 4 2 2 2" xfId="1868" xr:uid="{4828C0AB-6FF8-445D-A55E-A1ED46912A01}"/>
    <cellStyle name="常规 21 4 2 3" xfId="1382" xr:uid="{0EDADF53-1BD2-4F08-BAB8-F43F167058A2}"/>
    <cellStyle name="常规 21 4 3" xfId="1300" xr:uid="{1A3340E1-FB52-461E-A25F-C0CD98A40AF9}"/>
    <cellStyle name="常规 21 4 3 2" xfId="1870" xr:uid="{80DEFA1B-1039-4AEF-A2D4-A2212FF37E08}"/>
    <cellStyle name="常规 21 4 4" xfId="1884" xr:uid="{69DD6FC9-9C9B-4CDF-897C-A85774A2BEA3}"/>
    <cellStyle name="常规 21 5" xfId="1896" xr:uid="{2D39E223-7C0B-47D9-A5CC-D1CD412B123B}"/>
    <cellStyle name="常规 21 5 2" xfId="1900" xr:uid="{5116D388-12DA-4B91-9D4D-B3540206B2D9}"/>
    <cellStyle name="常规 21 5 2 2" xfId="1904" xr:uid="{9496D53C-BB87-42FE-AF28-2E76A6995AA1}"/>
    <cellStyle name="常规 21 5 3" xfId="1910" xr:uid="{5DCA71D5-6681-4E8F-938A-C2389B84356D}"/>
    <cellStyle name="常规 21 6" xfId="930" xr:uid="{BD505A1F-FD90-4B7A-BF7C-87A55A7C0299}"/>
    <cellStyle name="常规 21 6 2" xfId="1920" xr:uid="{87516107-4CB2-4EAC-93F8-4AB868155863}"/>
    <cellStyle name="常规 21 7" xfId="1934" xr:uid="{294680AE-E787-4010-BAE4-0364611559DC}"/>
    <cellStyle name="常规 22" xfId="1941" xr:uid="{BF79F81A-5E7F-4695-AE61-E9DFC077FBDA}"/>
    <cellStyle name="常规 22 2" xfId="878" xr:uid="{0304020E-4455-4A81-BF60-3982D001EE08}"/>
    <cellStyle name="常规 22 2 2" xfId="1943" xr:uid="{E155BC71-A678-4C96-9203-5F606E844F03}"/>
    <cellStyle name="常规 22 2 2 2" xfId="1945" xr:uid="{F0266F50-0305-4934-81B0-873983E9E6E4}"/>
    <cellStyle name="常规 22 2 2 2 2" xfId="1947" xr:uid="{8BBBB078-926F-4C8D-9422-757DCA2487AE}"/>
    <cellStyle name="常规 22 2 2 2 2 2" xfId="1949" xr:uid="{9BD64048-2F15-4C12-83BD-0C8C2EA04282}"/>
    <cellStyle name="常规 22 2 2 2 3" xfId="1951" xr:uid="{AB57AF48-06B5-4C6C-B1BB-8BA1E3196628}"/>
    <cellStyle name="常规 22 2 2 3" xfId="1916" xr:uid="{36623C6D-603D-4631-B310-2E7B34F6F635}"/>
    <cellStyle name="常规 22 2 2 3 2" xfId="1922" xr:uid="{83E616C4-6707-4870-A2B8-33D7DF992D76}"/>
    <cellStyle name="常规 22 2 2 3 2 2" xfId="1953" xr:uid="{4BC9C2D3-CC8E-4B78-9748-943A5A2BC505}"/>
    <cellStyle name="常规 22 2 2 3 2 2 2" xfId="1955" xr:uid="{4D2B8BA5-F8FC-4AB7-B0D8-12FB61AFD19F}"/>
    <cellStyle name="常规 22 2 2 3 2 3" xfId="1957" xr:uid="{1F06DD2C-E132-4EED-AAC1-63FA4C510549}"/>
    <cellStyle name="常规 22 2 2 3 3" xfId="562" xr:uid="{199462B9-67B2-416D-BE69-DB7B31D762F4}"/>
    <cellStyle name="常规 22 2 2 3 3 2" xfId="1959" xr:uid="{AC8C2733-3388-4207-9635-A3A7E49EFB13}"/>
    <cellStyle name="常规 22 2 2 3 4" xfId="1963" xr:uid="{31B2B695-E1BE-4A6A-B843-E76E28335256}"/>
    <cellStyle name="常规 22 2 2 4" xfId="1927" xr:uid="{7FF312FC-BC80-41F0-B44E-FD9A5FEDCEDA}"/>
    <cellStyle name="常规 22 2 2 4 2" xfId="1965" xr:uid="{FBDDF906-3D8A-4E30-9ABA-131F938226E1}"/>
    <cellStyle name="常规 22 2 2 4 2 2" xfId="1967" xr:uid="{BDEC09D7-E5C0-47E4-A9D2-DE0393986AB0}"/>
    <cellStyle name="常规 22 2 2 4 3" xfId="1969" xr:uid="{C7FD6831-2AD8-464B-A493-015D1C96DEA9}"/>
    <cellStyle name="常规 22 2 2 5" xfId="1971" xr:uid="{6F92FDB7-F1C8-4318-A41C-4DFACD7B5367}"/>
    <cellStyle name="常规 22 2 2 5 2" xfId="1974" xr:uid="{ECC53DB2-3DB3-4D80-A939-5FFD2B585876}"/>
    <cellStyle name="常规 22 2 2 6" xfId="1976" xr:uid="{4BFC8CC1-C8AA-4DC1-A241-E8DDBF45B2CA}"/>
    <cellStyle name="常规 22 2 3" xfId="1978" xr:uid="{7914101D-C087-4296-B628-9075E7599165}"/>
    <cellStyle name="常规 22 2 3 2" xfId="1980" xr:uid="{855484B8-A909-4033-ACE7-5A77168053B2}"/>
    <cellStyle name="常规 22 2 3 2 2" xfId="1982" xr:uid="{3B6CD7AE-F725-4C54-8E79-AEC0B4EAB04E}"/>
    <cellStyle name="常规 22 2 3 2 2 2" xfId="1984" xr:uid="{7C16F9D6-EB4C-45FD-8808-F65830FB836A}"/>
    <cellStyle name="常规 22 2 3 2 3" xfId="1986" xr:uid="{F81817B7-5393-4CA8-A7AE-647EEB37F7BB}"/>
    <cellStyle name="常规 22 2 3 3" xfId="1936" xr:uid="{9A81B0CC-0B45-4409-AA4B-6C5D3305F9A3}"/>
    <cellStyle name="常规 22 2 3 3 2" xfId="1988" xr:uid="{C6025CC6-12A0-43A9-9D71-DCF7A4F6DBEC}"/>
    <cellStyle name="常规 22 2 3 3 2 2" xfId="1990" xr:uid="{7034EB9A-55E8-4430-A32F-62659B98E742}"/>
    <cellStyle name="常规 22 2 3 3 2 2 2" xfId="1992" xr:uid="{AF6F7545-E808-43C1-A48E-76879757448C}"/>
    <cellStyle name="常规 22 2 3 3 2 3" xfId="1994" xr:uid="{7EF52BAD-3A91-4738-B9AA-2CD8636C1B13}"/>
    <cellStyle name="常规 22 2 3 3 3" xfId="573" xr:uid="{10B35A77-51A6-4DFF-AF3B-2A5E2E9EB17D}"/>
    <cellStyle name="常规 22 2 3 3 3 2" xfId="580" xr:uid="{D3760294-2F89-47B7-B0CC-0F3AC4A2D3D3}"/>
    <cellStyle name="常规 22 2 3 3 4" xfId="385" xr:uid="{C7D1F4CF-C349-443A-AE53-25FE4AFFF545}"/>
    <cellStyle name="常规 22 2 3 4" xfId="1996" xr:uid="{6740D5BF-E281-4414-BB17-45201EB4151D}"/>
    <cellStyle name="常规 22 2 3 4 2" xfId="1998" xr:uid="{72E5BC73-9A6B-4867-BBF8-BB8720DFD372}"/>
    <cellStyle name="常规 22 2 3 4 2 2" xfId="2000" xr:uid="{DF25A2EC-539A-447D-9EAB-0286FA9D0519}"/>
    <cellStyle name="常规 22 2 3 4 3" xfId="589" xr:uid="{3722AB24-30C6-419D-B9FE-8A15490E2A16}"/>
    <cellStyle name="常规 22 2 3 5" xfId="2002" xr:uid="{F6F829A4-5822-4F2D-9964-8CADCEE2D1FA}"/>
    <cellStyle name="常规 22 2 3 5 2" xfId="2005" xr:uid="{A0F97857-E4C7-46E8-991B-273D58389691}"/>
    <cellStyle name="常规 22 2 3 6" xfId="2007" xr:uid="{14C1594D-6486-4669-9B78-D9A04A5156C7}"/>
    <cellStyle name="常规 22 2 4" xfId="2009" xr:uid="{B40C99B1-DBA1-42DA-B8C5-B4936D585D26}"/>
    <cellStyle name="常规 22 2 4 2" xfId="2011" xr:uid="{7062C933-9DF5-41DD-ADBD-7CFE8964CB54}"/>
    <cellStyle name="常规 22 2 4 2 2" xfId="2013" xr:uid="{6D133606-4AFB-49B6-845B-4F0FEB7E69A6}"/>
    <cellStyle name="常规 22 2 4 2 2 2" xfId="479" xr:uid="{0E584D8D-8CF6-4D80-B0DA-B27E8E5FF5DD}"/>
    <cellStyle name="常规 22 2 4 2 3" xfId="2015" xr:uid="{096AE3E0-08E1-4E68-B7C6-B0E0FC93109D}"/>
    <cellStyle name="常规 22 2 4 3" xfId="794" xr:uid="{946CEFA5-BBD0-40C7-8DB5-D2454AF37C46}"/>
    <cellStyle name="常规 22 2 4 3 2" xfId="2017" xr:uid="{2E809C18-7A82-4E19-BA13-2B0FC7D292BF}"/>
    <cellStyle name="常规 22 2 4 4" xfId="2019" xr:uid="{96E1AAE7-CF5C-4B3F-B9B2-61611ABC52CE}"/>
    <cellStyle name="常规 22 2 5" xfId="2021" xr:uid="{277E4438-E38B-456D-A97D-81837CDD375E}"/>
    <cellStyle name="常规 22 2 5 2" xfId="1357" xr:uid="{703A1816-16D4-4365-A5D3-EB5E2C5E2B9E}"/>
    <cellStyle name="常规 22 2 5 2 2" xfId="1360" xr:uid="{E1EF2CFF-EF06-48EA-8C3A-3D2AC1110D82}"/>
    <cellStyle name="常规 22 2 5 3" xfId="1387" xr:uid="{18B1D130-2547-4AFC-A456-93735FF51698}"/>
    <cellStyle name="常规 22 2 6" xfId="2024" xr:uid="{F199183B-AF6A-4939-9581-35BE5330A447}"/>
    <cellStyle name="常规 22 2 6 2" xfId="1429" xr:uid="{12FE8ABA-E402-45FB-A328-240293CB8B99}"/>
    <cellStyle name="常规 22 2 7" xfId="1543" xr:uid="{ABF20D78-50D0-4D2F-98C4-8CB78ADF8F7E}"/>
    <cellStyle name="常规 22 3" xfId="1422" xr:uid="{AA3B50CD-AE6C-4415-8C90-06DBC922439F}"/>
    <cellStyle name="常规 22 3 2" xfId="1318" xr:uid="{884D4505-0422-4DF0-A8ED-B9BA6CA63502}"/>
    <cellStyle name="常规 22 3 2 2" xfId="2027" xr:uid="{693BBDE3-F1ED-4872-B263-418382FE6ADD}"/>
    <cellStyle name="常规 22 3 2 2 2" xfId="810" xr:uid="{7EECAB23-1D02-404B-A42D-DD1B37B52AC5}"/>
    <cellStyle name="常规 22 3 2 3" xfId="2033" xr:uid="{21BA3E48-87B2-4B5B-8CE4-C301C19322C6}"/>
    <cellStyle name="常规 22 3 3" xfId="2036" xr:uid="{C6D23773-858D-4A69-B295-2FC2CC11CF2F}"/>
    <cellStyle name="常规 22 3 3 2" xfId="2038" xr:uid="{06E1E7BC-DFA1-4409-90EA-61927794AB74}"/>
    <cellStyle name="常规 22 3 3 2 2" xfId="2040" xr:uid="{00DB327A-D634-4EF0-B84B-9C5FC18C110A}"/>
    <cellStyle name="常规 22 3 3 2 2 2" xfId="2042" xr:uid="{5A28A00E-8675-429A-BB83-9F854FDA1767}"/>
    <cellStyle name="常规 22 3 3 2 3" xfId="2046" xr:uid="{C38644C6-4D8F-4BA3-959B-6CF38CF6F649}"/>
    <cellStyle name="常规 22 3 3 3" xfId="2051" xr:uid="{7238DE7C-DD3A-4D26-8CD9-4BC1B8550AEF}"/>
    <cellStyle name="常规 22 3 3 3 2" xfId="1183" xr:uid="{DC3E999F-9E1E-489D-909F-597CE8DD53ED}"/>
    <cellStyle name="常规 22 3 3 4" xfId="2055" xr:uid="{B60C7F21-3909-41DB-BC63-C3F42A722F8B}"/>
    <cellStyle name="常规 22 3 4" xfId="2057" xr:uid="{D506A7C3-BDBD-4BD4-89B4-F76F0C39DE26}"/>
    <cellStyle name="常规 22 3 4 2" xfId="2059" xr:uid="{4D8B3BF9-1BB5-4D0E-83FF-EDBC19FE1BE9}"/>
    <cellStyle name="常规 22 3 4 2 2" xfId="2061" xr:uid="{25AC99A7-7388-45F7-8D10-0F5F1A5AF3AB}"/>
    <cellStyle name="常规 22 3 4 3" xfId="2063" xr:uid="{EF6D64CD-8E78-4492-ACA8-E47287A1D16E}"/>
    <cellStyle name="常规 22 3 5" xfId="2067" xr:uid="{AF86AED7-5C12-4F07-8F86-AE5407C28D3F}"/>
    <cellStyle name="常规 22 3 5 2" xfId="1562" xr:uid="{9E8C5D48-2210-44F7-A212-80558403A4F4}"/>
    <cellStyle name="常规 22 3 6" xfId="2070" xr:uid="{B3360646-761A-475A-A994-4C86983170FD}"/>
    <cellStyle name="常规 22 4" xfId="1425" xr:uid="{F1834194-06E6-4AF4-8B69-DC81B5EF5F33}"/>
    <cellStyle name="常规 22 4 2" xfId="2073" xr:uid="{6FAD4D2E-DEC3-418C-B320-A6B3E16793C0}"/>
    <cellStyle name="常规 22 4 2 2" xfId="644" xr:uid="{F71EEFB2-CC45-4249-AE71-7159EAD17E55}"/>
    <cellStyle name="常规 22 4 2 2 2" xfId="649" xr:uid="{FE59CE4C-76D5-4E4B-9BF8-00615AD94997}"/>
    <cellStyle name="常规 22 4 2 3" xfId="362" xr:uid="{336B17B0-8649-4C50-97CC-F5FBFFDC040F}"/>
    <cellStyle name="常规 22 4 3" xfId="2075" xr:uid="{38ACBE11-364E-4ADB-9073-64D639C56251}"/>
    <cellStyle name="常规 22 4 3 2" xfId="670" xr:uid="{015E32F1-A8F4-42C8-A573-CFF4BBC6E13D}"/>
    <cellStyle name="常规 22 4 3 2 2" xfId="2077" xr:uid="{0E468375-EAD6-4357-8CC7-691CB4E555D5}"/>
    <cellStyle name="常规 22 4 3 2 2 2" xfId="2079" xr:uid="{C4CC53A7-1565-4B7D-8118-2DD2A6D83790}"/>
    <cellStyle name="常规 22 4 3 2 3" xfId="2082" xr:uid="{23FDAE4B-BB53-432B-A3C5-5DEA5E971C3F}"/>
    <cellStyle name="常规 22 4 3 3" xfId="2086" xr:uid="{89B52D37-EE03-4EAE-B686-8889C1126F07}"/>
    <cellStyle name="常规 22 4 3 3 2" xfId="2088" xr:uid="{D5A6FC56-50C3-4A8A-9474-ABEEB9AA0969}"/>
    <cellStyle name="常规 22 4 3 4" xfId="2092" xr:uid="{64CDB039-DCAA-453E-A1F1-A05716898624}"/>
    <cellStyle name="常规 22 4 4" xfId="2096" xr:uid="{AF268810-50C4-4738-8CD9-2D3290302C34}"/>
    <cellStyle name="常规 22 4 4 2" xfId="2098" xr:uid="{E895C8A5-C82F-4D91-B80F-6AE45197204E}"/>
    <cellStyle name="常规 22 4 4 2 2" xfId="117" xr:uid="{7EDD37A2-5845-4029-9EF7-B22C86F32950}"/>
    <cellStyle name="常规 22 4 4 3" xfId="2100" xr:uid="{AB3EDBFE-6A37-44D9-990D-C5ACFDE8C2CA}"/>
    <cellStyle name="常规 22 4 5" xfId="2103" xr:uid="{0C866D5C-A270-4F00-B336-FE6FEB93E192}"/>
    <cellStyle name="常规 22 4 5 2" xfId="569" xr:uid="{66F9E4FE-783C-4630-8436-70A5545E2E06}"/>
    <cellStyle name="常规 22 4 6" xfId="2106" xr:uid="{3321E63E-A351-419C-98C1-D06337BB5C08}"/>
    <cellStyle name="常规 22 5" xfId="2111" xr:uid="{80550D81-05BA-4FDD-9621-96E57B7472E1}"/>
    <cellStyle name="常规 22 5 2" xfId="2115" xr:uid="{159906D6-5418-436A-AE5D-CD4979457537}"/>
    <cellStyle name="常规 22 5 2 2" xfId="755" xr:uid="{11202CE9-D866-4BC3-BC1A-F1E1723EC2D8}"/>
    <cellStyle name="常规 22 5 2 2 2" xfId="759" xr:uid="{64F38C36-3B19-49BB-A704-272FBD100423}"/>
    <cellStyle name="常规 22 5 2 3" xfId="764" xr:uid="{2FB7C8CB-8747-4FC6-8041-7211A304A26C}"/>
    <cellStyle name="常规 22 5 3" xfId="2119" xr:uid="{BED91BD0-4958-41BD-B44E-2B2F4A3C6A49}"/>
    <cellStyle name="常规 22 5 3 2" xfId="788" xr:uid="{982FBFF1-A5D0-412D-B857-A5D7728DA6F4}"/>
    <cellStyle name="常规 22 5 4" xfId="2121" xr:uid="{A9498159-93FE-46E3-AFA6-910E0D14DAB7}"/>
    <cellStyle name="常规 22 6" xfId="2125" xr:uid="{A33956A2-93B9-45FF-BF78-EA1F845E8D59}"/>
    <cellStyle name="常规 22 6 2" xfId="2031" xr:uid="{67CBB653-E0D9-47A0-B433-10F6E03ACBDB}"/>
    <cellStyle name="常规 22 6 2 2" xfId="862" xr:uid="{E2F7DCB9-C61E-4927-A4AA-9CA527DD7936}"/>
    <cellStyle name="常规 22 6 3" xfId="1632" xr:uid="{4B015F50-1365-4FB9-8F5E-DA217FE6BBB1}"/>
    <cellStyle name="常规 22 7" xfId="2129" xr:uid="{616DD13B-71C9-41F0-8F05-ED7ED69055CF}"/>
    <cellStyle name="常规 22 7 2" xfId="2049" xr:uid="{8B1BB30F-011D-4E1A-AF47-E8F278C33CE9}"/>
    <cellStyle name="常规 22 8" xfId="1621" xr:uid="{BCFAE0C3-924C-4307-B35A-ABFD14D647EC}"/>
    <cellStyle name="常规 23" xfId="1132" xr:uid="{982BB100-37FB-497B-8FB7-A748237702B9}"/>
    <cellStyle name="常规 23 2" xfId="1135" xr:uid="{78F88969-8877-4253-AB88-FD5382F0FC9C}"/>
    <cellStyle name="常规 23 2 2" xfId="2131" xr:uid="{2F8A0D91-DD12-40F8-B028-6D7051BCF862}"/>
    <cellStyle name="常规 23 2 2 2" xfId="2133" xr:uid="{B71AE0E5-9DDE-406D-B336-4871620110A3}"/>
    <cellStyle name="常规 23 2 2 2 2" xfId="2135" xr:uid="{F81005B9-5CC3-42E0-AF3E-E484A382E3B8}"/>
    <cellStyle name="常规 23 2 2 2 2 2" xfId="1128" xr:uid="{8A3E8D85-E184-42C6-97E7-6D742D4057AA}"/>
    <cellStyle name="常规 23 2 2 2 3" xfId="428" xr:uid="{7FFAA407-82FF-46C0-8F3A-CFB5794EBC31}"/>
    <cellStyle name="常规 23 2 2 3" xfId="2137" xr:uid="{CBE5C801-6EBD-42CB-9DF2-C7725E77E143}"/>
    <cellStyle name="常规 23 2 2 3 2" xfId="2139" xr:uid="{689888A2-B803-43CC-8014-AB159EA61F44}"/>
    <cellStyle name="常规 23 2 2 3 2 2" xfId="1263" xr:uid="{022ED57F-9855-4FE2-9240-CF3CF07CC23E}"/>
    <cellStyle name="常规 23 2 2 3 2 2 2" xfId="2141" xr:uid="{6D2A8397-2D17-4FD2-9584-3B6C966618DA}"/>
    <cellStyle name="常规 23 2 2 3 2 3" xfId="1159" xr:uid="{313E632E-4D5A-417D-B281-D188977A60BD}"/>
    <cellStyle name="常规 23 2 2 3 3" xfId="514" xr:uid="{41C0EDC4-0DAD-47DB-B807-B97E533B5449}"/>
    <cellStyle name="常规 23 2 2 3 3 2" xfId="518" xr:uid="{140143FC-5117-4988-848F-68F6CBF88D23}"/>
    <cellStyle name="常规 23 2 2 3 4" xfId="525" xr:uid="{6B28A60B-0097-4429-8712-E21723AA7896}"/>
    <cellStyle name="常规 23 2 2 4" xfId="2143" xr:uid="{972C5649-680A-4513-9B5D-0882274D6246}"/>
    <cellStyle name="常规 23 2 2 4 2" xfId="2145" xr:uid="{F4EEEC87-55BF-4E8E-BEC5-CDA428FB54E1}"/>
    <cellStyle name="常规 23 2 2 4 2 2" xfId="1412" xr:uid="{4C41770D-BCF9-4A0E-B558-85F37C3B511B}"/>
    <cellStyle name="常规 23 2 2 4 3" xfId="536" xr:uid="{BFD11309-9B26-49D8-80CC-965B3C575CAB}"/>
    <cellStyle name="常规 23 2 2 5" xfId="659" xr:uid="{3D3939EB-5488-4268-BB16-6399B9D77060}"/>
    <cellStyle name="常规 23 2 2 5 2" xfId="958" xr:uid="{799195A3-D794-4143-B425-97D127F8C6F5}"/>
    <cellStyle name="常规 23 2 2 6" xfId="962" xr:uid="{B31C9E4B-C1B0-4592-B93C-0EAC60162F61}"/>
    <cellStyle name="常规 23 2 3" xfId="2147" xr:uid="{6DC20E0A-FAD8-4007-BE55-1696DDCF3F7B}"/>
    <cellStyle name="常规 23 2 3 2" xfId="2149" xr:uid="{8B18F38A-EA76-4976-9C8F-FBEE5E12506D}"/>
    <cellStyle name="常规 23 2 3 2 2" xfId="943" xr:uid="{185832B9-BE29-4EB7-89C8-1C69D5FC975A}"/>
    <cellStyle name="常规 23 2 3 2 2 2" xfId="948" xr:uid="{31D2803E-4B15-4329-9E4E-EFFFB96CD0E5}"/>
    <cellStyle name="常规 23 2 3 2 3" xfId="954" xr:uid="{88C73DBD-2B6E-456B-A445-B87B506CB2C5}"/>
    <cellStyle name="常规 23 2 3 3" xfId="2152" xr:uid="{E0030FE9-6669-4189-9566-9EB04BB0B84C}"/>
    <cellStyle name="常规 23 2 3 3 2" xfId="963" xr:uid="{20F867CF-213F-440C-B828-CF4500E3BEBE}"/>
    <cellStyle name="常规 23 2 3 4" xfId="2156" xr:uid="{08C1C432-5892-41A5-A97C-4FA859A56E24}"/>
    <cellStyle name="常规 23 2 4" xfId="1272" xr:uid="{AE401811-1C8B-46B2-A8D3-5EE19F44AEE0}"/>
    <cellStyle name="常规 23 2 4 2" xfId="2162" xr:uid="{2AFE8283-76DE-4AA1-9856-80D040F37038}"/>
    <cellStyle name="常规 23 2 4 2 2" xfId="713" xr:uid="{7A233507-CD19-47B1-8A86-C983C4BE53B7}"/>
    <cellStyle name="常规 23 2 4 3" xfId="2165" xr:uid="{6C35C5E4-9B32-411D-A289-8088AE36065E}"/>
    <cellStyle name="常规 23 2 5" xfId="2169" xr:uid="{A13EC3F0-6BB0-448A-AD27-1B77D49B1F75}"/>
    <cellStyle name="常规 23 2 5 2" xfId="2171" xr:uid="{75C25D78-4752-4443-BD64-DF61D0DC91DB}"/>
    <cellStyle name="常规 23 2 6" xfId="2175" xr:uid="{43E57A8B-3244-4381-B8C5-F41475E933D3}"/>
    <cellStyle name="常规 23 3" xfId="1434" xr:uid="{6F837AB7-039B-4184-8620-9E1334E20DD1}"/>
    <cellStyle name="常规 23 3 2" xfId="1438" xr:uid="{A4225680-8545-4B89-ACF1-21D7E5E45D11}"/>
    <cellStyle name="常规 23 3 2 2" xfId="1443" xr:uid="{348B6C7F-FC08-43B3-B437-EE801F230C99}"/>
    <cellStyle name="常规 23 3 2 2 2" xfId="2186" xr:uid="{E9948D3A-0AB9-4FE5-8A3D-9D057680DD78}"/>
    <cellStyle name="常规 23 3 2 3" xfId="2190" xr:uid="{97A17925-721A-440F-9D6C-4699C37F78D2}"/>
    <cellStyle name="常规 23 3 3" xfId="1446" xr:uid="{C090782D-F433-434B-8626-4F6DFA02B4E3}"/>
    <cellStyle name="常规 23 3 3 2" xfId="2193" xr:uid="{92EDE63A-8489-4538-8674-5EE4C013F4E9}"/>
    <cellStyle name="常规 23 3 3 2 2" xfId="1121" xr:uid="{AC3B92A0-C49A-4EE3-B42D-67138551D79C}"/>
    <cellStyle name="常规 23 3 3 2 2 2" xfId="840" xr:uid="{8DCF6795-866F-4F66-BC58-EA29B3488E29}"/>
    <cellStyle name="常规 23 3 3 2 3" xfId="1001" xr:uid="{C52E1018-2811-4ADB-88AD-9324B16F11BA}"/>
    <cellStyle name="常规 23 3 3 3" xfId="2196" xr:uid="{D70533CA-521C-430C-899F-F49B8EFD8C3C}"/>
    <cellStyle name="常规 23 3 3 3 2" xfId="552" xr:uid="{0A0B99CD-765E-4814-A73E-D1E4EB9EA035}"/>
    <cellStyle name="常规 23 3 3 4" xfId="2200" xr:uid="{DBBE1EDA-795E-43D3-AB99-16377A02955E}"/>
    <cellStyle name="常规 23 3 4" xfId="2202" xr:uid="{D33BA147-9627-4D09-85D1-AC8B73CC342A}"/>
    <cellStyle name="常规 23 3 4 2" xfId="2205" xr:uid="{73479AF1-C512-4F95-9CA0-FA15E8D61904}"/>
    <cellStyle name="常规 23 3 4 2 2" xfId="413" xr:uid="{9732E301-B6CD-4707-85B8-B02E953D631A}"/>
    <cellStyle name="常规 23 3 4 3" xfId="2208" xr:uid="{CF222F66-6CA3-41BF-B4FD-0EA94FB6844C}"/>
    <cellStyle name="常规 23 3 5" xfId="2210" xr:uid="{E9A3425E-3352-42B3-BEFB-D77DC77EBD04}"/>
    <cellStyle name="常规 23 3 5 2" xfId="2213" xr:uid="{AE53F9A7-09A7-4F60-910C-FEDFC0F82A77}"/>
    <cellStyle name="常规 23 3 6" xfId="2216" xr:uid="{4A66BCDB-6590-4E2A-A75F-9DF332CF0D3F}"/>
    <cellStyle name="常规 23 4" xfId="1448" xr:uid="{617FBFEE-6A0F-454D-BAE9-73BE6C461919}"/>
    <cellStyle name="常规 23 4 2" xfId="1451" xr:uid="{17EE9B82-B13A-4C09-8C6A-1C92C045679D}"/>
    <cellStyle name="常规 23 4 2 2" xfId="2219" xr:uid="{589C4A1B-7201-4CFB-B72F-002F7BE4245A}"/>
    <cellStyle name="常规 23 4 2 2 2" xfId="2221" xr:uid="{873271B3-422F-4DF5-88ED-66F205D6180D}"/>
    <cellStyle name="常规 23 4 2 3" xfId="2226" xr:uid="{29D4C5D9-F6A1-430E-8A3C-189C01A58729}"/>
    <cellStyle name="常规 23 4 3" xfId="2232" xr:uid="{F1C14E9E-CCE6-46C3-8B20-705866F1B763}"/>
    <cellStyle name="常规 23 4 3 2" xfId="2234" xr:uid="{D31D8B19-317C-4BD1-B98F-923016684B24}"/>
    <cellStyle name="常规 23 4 3 2 2" xfId="1244" xr:uid="{351A9826-2DEA-4B5C-993E-7E5810A38FB9}"/>
    <cellStyle name="常规 23 4 3 2 2 2" xfId="1248" xr:uid="{47031F94-FC78-40AE-BDE4-0D529925ABFC}"/>
    <cellStyle name="常规 23 4 3 2 3" xfId="1253" xr:uid="{2F1F5C28-B029-4B6D-826F-2852B35F22C2}"/>
    <cellStyle name="常规 23 4 3 3" xfId="2236" xr:uid="{5D11BB5E-DEE7-44E6-B69A-CD185571114A}"/>
    <cellStyle name="常规 23 4 3 3 2" xfId="903" xr:uid="{B2D2A57D-CA46-4B23-825B-8C7A9909E7E4}"/>
    <cellStyle name="常规 23 4 3 4" xfId="2518" xr:uid="{1BE718F5-69F5-4940-B1C8-AC07C11DD686}"/>
    <cellStyle name="常规 23 4 4" xfId="2238" xr:uid="{7726B5AD-3BE2-4D30-84DA-5A3F8AC59531}"/>
    <cellStyle name="常规 23 4 4 2" xfId="2240" xr:uid="{74D1C465-28CC-40EC-A60B-CA4696F39139}"/>
    <cellStyle name="常规 23 4 4 2 2" xfId="1075" xr:uid="{A557538E-8002-4F9F-86C5-3A6417F8B473}"/>
    <cellStyle name="常规 23 4 4 3" xfId="2519" xr:uid="{4EA89127-2663-42BB-A1BB-ED3CCC62A872}"/>
    <cellStyle name="常规 23 4 5" xfId="2242" xr:uid="{C6EEF006-155E-44EF-86B6-DE541EFF80A6}"/>
    <cellStyle name="常规 23 4 5 2" xfId="2520" xr:uid="{8E8D2C9D-D40F-495D-A3B5-CE8B891076C5}"/>
    <cellStyle name="常规 23 4 6" xfId="2319" xr:uid="{9E5A6597-7E3E-4589-B56F-997D4181CF82}"/>
    <cellStyle name="常规 23 5" xfId="1457" xr:uid="{5DEAED31-61EF-4267-ADF0-BF6C74FE70E2}"/>
    <cellStyle name="常规 23 5 2" xfId="594" xr:uid="{BEC6C5F7-C6B6-4E24-B4E8-B78D4060046F}"/>
    <cellStyle name="常规 23 5 2 2" xfId="599" xr:uid="{9A273348-479A-49DE-8BCD-07BAECE171FB}"/>
    <cellStyle name="常规 23 5 2 2 2" xfId="330" xr:uid="{DA5E24B9-160F-46CB-90A5-1C8DD9A0C5DA}"/>
    <cellStyle name="常规 23 5 2 3" xfId="606" xr:uid="{876661B3-50E2-4F4C-9CEF-2B3181E610F6}"/>
    <cellStyle name="常规 23 5 3" xfId="610" xr:uid="{3D86A847-8863-418A-B9C4-9BE8E1E867BE}"/>
    <cellStyle name="常规 23 5 3 2" xfId="616" xr:uid="{FAA1AAAD-CD0C-4191-9F01-5BCC15FFA55B}"/>
    <cellStyle name="常规 23 5 4" xfId="621" xr:uid="{BB79858C-768C-4EF6-890C-CD323FC7922F}"/>
    <cellStyle name="常规 23 6" xfId="2255" xr:uid="{2E706076-3DBE-475E-82B7-A837FE0F4051}"/>
    <cellStyle name="常规 23 6 2" xfId="358" xr:uid="{D30DCD65-2628-44A7-90E0-0999481D6EA4}"/>
    <cellStyle name="常规 23 6 2 2" xfId="2257" xr:uid="{B42D419D-3F99-449C-9BB4-C7118294937B}"/>
    <cellStyle name="常规 23 6 3" xfId="2262" xr:uid="{3EC034AE-4E33-4373-A996-129A61A13967}"/>
    <cellStyle name="常规 23 7" xfId="2278" xr:uid="{F40C7F9C-11AA-4E22-BDC9-B50EC5F60DF6}"/>
    <cellStyle name="常规 23 7 2" xfId="2084" xr:uid="{98529B75-A2B5-4A80-B75A-DED04AB9A178}"/>
    <cellStyle name="常规 23 8" xfId="2285" xr:uid="{FE85BE79-B5BD-46FC-B214-45C152C12EE8}"/>
    <cellStyle name="常规 24" xfId="800" xr:uid="{826F3835-85AF-47F6-AD2C-0AC457356056}"/>
    <cellStyle name="常规 24 2" xfId="2291" xr:uid="{3AB7FB09-1BD1-4670-BEFD-AEEB76EEB33B}"/>
    <cellStyle name="常规 24 2 2" xfId="829" xr:uid="{A5857040-C990-416C-8CEA-870B5F7E5113}"/>
    <cellStyle name="常规 24 2 2 2" xfId="2025" xr:uid="{75337193-DF51-42B9-BCD5-82A6D8BD332A}"/>
    <cellStyle name="常规 24 2 2 2 2" xfId="1430" xr:uid="{EE0CA61F-407F-4196-B4C5-5AA5158C9884}"/>
    <cellStyle name="常规 24 2 2 2 2 2" xfId="1435" xr:uid="{ED5582A7-F6B1-4A1D-9564-77490F84BD9B}"/>
    <cellStyle name="常规 24 2 2 2 3" xfId="1461" xr:uid="{F5F1619B-B039-44A5-B3D9-F276B28CB4B1}"/>
    <cellStyle name="常规 24 2 2 3" xfId="1544" xr:uid="{50D56686-3787-40AA-B648-40AFE66ECD19}"/>
    <cellStyle name="常规 24 2 2 3 2" xfId="1491" xr:uid="{D6C1D04C-452B-4590-A206-524F89F9A67C}"/>
    <cellStyle name="常规 24 2 2 3 2 2" xfId="1150" xr:uid="{484BBB0D-81D8-41B3-8E72-D72204A7BAD6}"/>
    <cellStyle name="常规 24 2 2 3 2 2 2" xfId="467" xr:uid="{1F1ED4F4-4C87-4940-B665-6CF6ADE90421}"/>
    <cellStyle name="常规 24 2 2 3 2 3" xfId="1493" xr:uid="{8F49C294-8F1A-4261-991F-98D70A768317}"/>
    <cellStyle name="常规 24 2 2 3 3" xfId="806" xr:uid="{AD40EAAB-545E-401F-84CE-AA234B3EDCD4}"/>
    <cellStyle name="常规 24 2 2 3 3 2" xfId="1499" xr:uid="{7ABBD257-CDAE-4894-8532-AFF01D4109FF}"/>
    <cellStyle name="常规 24 2 2 3 4" xfId="1504" xr:uid="{94F5A1BD-1CC6-489F-8F9D-74BD482E61BB}"/>
    <cellStyle name="常规 24 2 2 4" xfId="2293" xr:uid="{AC173B04-6341-44F2-81F7-E65FEFA8F2C0}"/>
    <cellStyle name="常规 24 2 2 4 2" xfId="1519" xr:uid="{B9FAC31A-C27B-48B1-BF7D-EAAC990C6422}"/>
    <cellStyle name="常规 24 2 2 4 2 2" xfId="1521" xr:uid="{49ADD160-BEB5-4CFD-B6B1-5B7A7A88384E}"/>
    <cellStyle name="常规 24 2 2 4 3" xfId="1323" xr:uid="{E45F8C76-DDF6-42AF-84D2-723923CD1D5E}"/>
    <cellStyle name="常规 24 2 2 5" xfId="773" xr:uid="{D9C99BE4-104A-4CBB-9FD5-B37BE1F594FE}"/>
    <cellStyle name="常规 24 2 2 5 2" xfId="184" xr:uid="{7CFD096D-C1A7-4912-9D60-B60B718A4C24}"/>
    <cellStyle name="常规 24 2 2 6" xfId="553" xr:uid="{213DE598-2F30-4839-A153-B4CEC1DBB054}"/>
    <cellStyle name="常规 24 2 3" xfId="2295" xr:uid="{4799B452-4198-4D0B-8FF8-118AF421B3B5}"/>
    <cellStyle name="常规 24 2 3 2" xfId="2071" xr:uid="{C6CC5F88-A515-45B6-A11E-6DE17FBA2B70}"/>
    <cellStyle name="常规 24 2 3 2 2" xfId="1205" xr:uid="{7D87C7B0-E13C-406D-8034-960664C7638D}"/>
    <cellStyle name="常规 24 2 3 2 2 2" xfId="1208" xr:uid="{427D8AF8-E8D2-4391-8872-10E7DC579983}"/>
    <cellStyle name="常规 24 2 3 2 3" xfId="1145" xr:uid="{6D76B0C9-8C82-4412-A42F-EB17D1E0872E}"/>
    <cellStyle name="常规 24 2 3 3" xfId="2297" xr:uid="{8DEF7303-B015-4AE7-BEEB-D4D7061F4222}"/>
    <cellStyle name="常规 24 2 3 3 2" xfId="1231" xr:uid="{C0CBECC8-B5AB-4A6D-AE64-2CEDD89462C0}"/>
    <cellStyle name="常规 24 2 3 3 2 2" xfId="1162" xr:uid="{A0F086A3-4892-491A-B59B-7E5F6C516FE6}"/>
    <cellStyle name="常规 24 2 3 3 2 2 2" xfId="1137" xr:uid="{62AC19A0-B14B-4720-91E9-F8FB273EB027}"/>
    <cellStyle name="常规 24 2 3 3 2 3" xfId="1236" xr:uid="{732DFCCE-6FD2-477C-AC91-2F7CE5CA1C11}"/>
    <cellStyle name="常规 24 2 3 3 3" xfId="817" xr:uid="{74849E0D-2FB0-4F29-993C-AC786A35CBEF}"/>
    <cellStyle name="常规 24 2 3 3 3 2" xfId="821" xr:uid="{90B83FF5-8BF5-4718-AA81-1B3B3860E63E}"/>
    <cellStyle name="常规 24 2 3 3 4" xfId="826" xr:uid="{D7D8E11C-C85E-4B3E-8E22-1A8B2080989D}"/>
    <cellStyle name="常规 24 2 3 4" xfId="2521" xr:uid="{C3E66474-3F58-4D5A-958A-2B96C9C0B9F3}"/>
    <cellStyle name="常规 24 2 3 4 2" xfId="1252" xr:uid="{FAE37FDA-CFEB-4D73-BC44-3D638722C6AE}"/>
    <cellStyle name="常规 24 2 3 4 2 2" xfId="1663" xr:uid="{19598FD2-6E23-4B15-9616-064F47B3E959}"/>
    <cellStyle name="常规 24 2 3 4 3" xfId="838" xr:uid="{E68CF240-31AB-45CD-BC9B-C2F6E225C5FA}"/>
    <cellStyle name="常规 24 2 3 5" xfId="1028" xr:uid="{D1117B57-C466-41C2-9718-5DC5FC6C2239}"/>
    <cellStyle name="常规 24 2 3 5 2" xfId="911" xr:uid="{A229CC07-CF4A-4585-A2C2-05444A1A55E3}"/>
    <cellStyle name="常规 24 2 3 6" xfId="2523" xr:uid="{D098E3BA-0DF3-4F47-95D3-694A42747FD9}"/>
    <cellStyle name="常规 24 2 4" xfId="2299" xr:uid="{028B871F-FCA3-4498-BB01-A6FB222DCF3B}"/>
    <cellStyle name="常规 24 2 4 2" xfId="2107" xr:uid="{29A1498E-5AC0-4813-89A8-4679A0E431C6}"/>
    <cellStyle name="常规 24 2 4 2 2" xfId="584" xr:uid="{C8D0DA28-38C6-4673-84CE-03E3B1E50FFA}"/>
    <cellStyle name="常规 24 2 4 2 2 2" xfId="1704" xr:uid="{77C22C58-B79A-485D-8538-2505B0E95636}"/>
    <cellStyle name="常规 24 2 4 2 3" xfId="406" xr:uid="{8D52675B-6FDD-490D-AD2C-9ED44DB1C649}"/>
    <cellStyle name="常规 24 2 4 3" xfId="2524" xr:uid="{BBCBD82A-F1CB-477D-81EC-5B2A4F275BED}"/>
    <cellStyle name="常规 24 2 4 3 2" xfId="251" xr:uid="{A1C27F0A-110A-4CE1-873B-A0B11671C425}"/>
    <cellStyle name="常规 24 2 4 4" xfId="2525" xr:uid="{D3DFAE87-F2E5-418D-8E1F-F5B838314C26}"/>
    <cellStyle name="常规 24 2 5" xfId="1789" xr:uid="{38449EDC-7385-48AC-89DB-7E7CCD5123A1}"/>
    <cellStyle name="常规 24 2 5 2" xfId="1791" xr:uid="{5EE5C501-C5BD-4910-93E3-47C6B3B6FFC2}"/>
    <cellStyle name="常规 24 2 5 2 2" xfId="1844" xr:uid="{5B3DADB9-A100-40C3-9E62-F9BC5AF52B08}"/>
    <cellStyle name="常规 24 2 5 3" xfId="2526" xr:uid="{63FF3CC0-2422-4473-854D-2102BBAAA73B}"/>
    <cellStyle name="常规 24 2 6" xfId="1794" xr:uid="{9EDC1007-18BD-45A4-AECC-933873218D9C}"/>
    <cellStyle name="常规 24 2 6 2" xfId="2332" xr:uid="{DB83FA49-4229-46CC-899F-5426907B35B7}"/>
    <cellStyle name="常规 24 2 7" xfId="2337" xr:uid="{75D6F830-2271-4674-84C9-328763924D41}"/>
    <cellStyle name="常规 24 3" xfId="1466" xr:uid="{9939D263-A619-40C6-8A76-B50A8B648353}"/>
    <cellStyle name="常规 24 3 2" xfId="1469" xr:uid="{FE5B078E-4DBF-4131-9E50-34E8108326EE}"/>
    <cellStyle name="常规 24 3 2 2" xfId="2176" xr:uid="{7D94EE1D-D075-4153-B663-309BED5258CD}"/>
    <cellStyle name="常规 24 3 2 2 2" xfId="2179" xr:uid="{30DF6637-7508-4C3D-8D6C-0D9B66C04E29}"/>
    <cellStyle name="常规 24 3 2 3" xfId="2182" xr:uid="{62C967C4-9A6D-43BB-AC24-3151A9B7847D}"/>
    <cellStyle name="常规 24 3 3" xfId="2301" xr:uid="{7EAE97A9-7798-47FE-940E-0137FE2EAD23}"/>
    <cellStyle name="常规 24 3 3 2" xfId="2217" xr:uid="{76C24D65-4B42-406A-B4B7-135E8F524BEB}"/>
    <cellStyle name="常规 24 3 3 2 2" xfId="2303" xr:uid="{AAAB5E79-6634-44E7-80DB-A33604BE0046}"/>
    <cellStyle name="常规 24 3 3 2 2 2" xfId="2305" xr:uid="{76534D58-AE10-4DF0-932D-F5734F4D68A2}"/>
    <cellStyle name="常规 24 3 3 2 3" xfId="2307" xr:uid="{4D124B25-4EFD-49DF-B672-E3F1D40E2D21}"/>
    <cellStyle name="常规 24 3 3 3" xfId="2309" xr:uid="{488C602A-5D53-4859-ACDF-09FF3DAA71AF}"/>
    <cellStyle name="常规 24 3 3 3 2" xfId="2312" xr:uid="{B78D5D7C-AA5B-4239-9917-DCCA7D37EAD3}"/>
    <cellStyle name="常规 24 3 3 4" xfId="2315" xr:uid="{9D87415B-84E9-4A9F-9A11-FAE682F384E7}"/>
    <cellStyle name="常规 24 3 4" xfId="2317" xr:uid="{297DB31C-6E0B-4DE8-82EE-B402BFD6C9A8}"/>
    <cellStyle name="常规 24 3 4 2" xfId="2320" xr:uid="{F4ABCF4E-61D7-4EF1-A2F7-776CE3BBB246}"/>
    <cellStyle name="常规 24 3 4 2 2" xfId="2322" xr:uid="{A25699A6-0C46-4E41-8935-8EA67EE7E209}"/>
    <cellStyle name="常规 24 3 4 3" xfId="2324" xr:uid="{C0FE8E54-D2D7-41EC-A176-078821CAB9E3}"/>
    <cellStyle name="常规 24 3 5" xfId="1799" xr:uid="{FD3B7A1C-7F48-4D75-9870-02ADB5B32276}"/>
    <cellStyle name="常规 24 3 5 2" xfId="2251" xr:uid="{D4B2A499-F060-4B18-9C25-3CC20EB63476}"/>
    <cellStyle name="常规 24 3 6" xfId="2327" xr:uid="{9C509189-6CBD-4D62-8C66-8E0B7DD656C9}"/>
    <cellStyle name="常规 24 4" xfId="1472" xr:uid="{15393AEB-E203-4192-88A0-E1D7115967CD}"/>
    <cellStyle name="常规 24 4 2" xfId="2330" xr:uid="{CDFE427A-20FD-456C-AEC1-290D3A8D9A50}"/>
    <cellStyle name="常规 24 4 2 2" xfId="1795" xr:uid="{52EF4736-53A2-49BA-87FE-31612EC6B722}"/>
    <cellStyle name="常规 24 4 2 2 2" xfId="2333" xr:uid="{187F7BA4-25CD-48B1-B75F-2EECEB611D82}"/>
    <cellStyle name="常规 24 4 2 3" xfId="2338" xr:uid="{0C0F5389-2C89-4429-AF23-7630F4A546BE}"/>
    <cellStyle name="常规 24 4 3" xfId="2344" xr:uid="{9210FD97-0305-40E7-94C9-CB117D85F037}"/>
    <cellStyle name="常规 24 4 3 2" xfId="2328" xr:uid="{33BDB557-A8C7-4E2E-9C5E-C5B3F1CC22FA}"/>
    <cellStyle name="常规 24 4 3 2 2" xfId="2274" xr:uid="{38F28F5D-316A-4427-92A0-332EBF3D20C7}"/>
    <cellStyle name="常规 24 4 3 2 2 2" xfId="2527" xr:uid="{991CAE98-C371-4634-B1FC-845F23EC8185}"/>
    <cellStyle name="常规 24 4 3 2 3" xfId="2528" xr:uid="{3251D69F-E542-4253-9FA8-466C5A6A60E6}"/>
    <cellStyle name="常规 24 4 3 3" xfId="2346" xr:uid="{6DA47C5B-0480-46A4-90A6-083CDB73A806}"/>
    <cellStyle name="常规 24 4 3 3 2" xfId="2529" xr:uid="{0F3E4EE0-91B6-43BE-8EE7-78B5F68C61AB}"/>
    <cellStyle name="常规 24 4 3 4" xfId="2530" xr:uid="{2B77D6F4-BC8D-42FE-A5CD-C489BFDB8450}"/>
    <cellStyle name="常规 24 4 4" xfId="2348" xr:uid="{2819B32B-49C8-4AEE-A514-197D50CF4C72}"/>
    <cellStyle name="常规 24 4 4 2" xfId="2350" xr:uid="{CDDBFA27-88A0-4A6C-B0A0-1BA7B9D1DC80}"/>
    <cellStyle name="常规 24 4 4 2 2" xfId="1201" xr:uid="{A019ED92-B801-4566-8048-E5D1F4343B53}"/>
    <cellStyle name="常规 24 4 4 3" xfId="2531" xr:uid="{81CC4115-0DE9-4B2E-8772-C5C08840268D}"/>
    <cellStyle name="常规 24 4 5" xfId="2353" xr:uid="{04F25FBF-EE26-4ED3-986E-0F5441EEDD63}"/>
    <cellStyle name="常规 24 4 5 2" xfId="2367" xr:uid="{B44BE4EE-3D66-4B5C-8002-8B94B6CC5D0E}"/>
    <cellStyle name="常规 24 4 6" xfId="2351" xr:uid="{76C5DEE7-3B27-4342-B61D-261E2DED2ACE}"/>
    <cellStyle name="常规 24 5" xfId="2357" xr:uid="{1867DBF7-ED9E-42FA-9689-CFA64027E0B0}"/>
    <cellStyle name="常规 24 5 2" xfId="708" xr:uid="{6AAA744C-F155-4A33-80E5-89A5F1658EDF}"/>
    <cellStyle name="常规 24 5 2 2" xfId="718" xr:uid="{20486289-3A35-4680-80E0-81ACF19231F7}"/>
    <cellStyle name="常规 24 5 2 2 2" xfId="722" xr:uid="{B0381FCE-9B7D-4078-A4CD-0599459E3F2E}"/>
    <cellStyle name="常规 24 5 2 3" xfId="59" xr:uid="{C72D2E9A-EDEF-4475-AAF2-75FD8C16060E}"/>
    <cellStyle name="常规 24 5 3" xfId="726" xr:uid="{30DCA35C-449D-41E5-9368-47F080546244}"/>
    <cellStyle name="常规 24 5 3 2" xfId="733" xr:uid="{EE0BC5E8-6004-41B2-B8B4-BB67F4BD48D5}"/>
    <cellStyle name="常规 24 5 4" xfId="107" xr:uid="{5BED5305-8949-458B-B414-5D94FA09AA69}"/>
    <cellStyle name="常规 24 6" xfId="2370" xr:uid="{4E1C211D-0D1B-4280-A890-ABCBF55F33F5}"/>
    <cellStyle name="常规 24 6 2" xfId="761" xr:uid="{F4E2A9BD-9342-49AF-BFEF-21B26E58E53C}"/>
    <cellStyle name="常规 24 6 2 2" xfId="2374" xr:uid="{C9135E9D-9C89-4B59-BBB2-1B7DF5997314}"/>
    <cellStyle name="常规 24 6 3" xfId="2383" xr:uid="{B4E73DC8-0706-4950-8DEC-FD274A53C4AC}"/>
    <cellStyle name="常规 24 7" xfId="2389" xr:uid="{816199C4-ACEB-4D03-9462-70F3D4836158}"/>
    <cellStyle name="常规 24 7 2" xfId="2391" xr:uid="{CF9359F8-A42F-4A76-A19A-435DCB5D2274}"/>
    <cellStyle name="常规 24 8" xfId="2399" xr:uid="{AEB940BF-A314-416E-BA15-07FD204E797E}"/>
    <cellStyle name="常规 25" xfId="2535" xr:uid="{7417A3BF-FCA2-4311-A63E-206DF48E991C}"/>
    <cellStyle name="常规 25 2" xfId="2539" xr:uid="{E1DF81D2-F685-45FA-8FAB-6187EA778314}"/>
    <cellStyle name="常规 25 2 2" xfId="2438" xr:uid="{98A4B368-33B9-4641-99E2-94A1F82E2BC6}"/>
    <cellStyle name="常规 25 2 2 2" xfId="2541" xr:uid="{C3116E7A-50E3-4931-BA2E-F5CC637DEC96}"/>
    <cellStyle name="常规 25 2 2 2 2" xfId="2427" xr:uid="{2B44A75B-056A-4037-8D6A-0F3E8B47BE95}"/>
    <cellStyle name="常规 25 2 2 2 2 2" xfId="256" xr:uid="{3A00D152-3121-414C-B2DC-193CFF67EE29}"/>
    <cellStyle name="常规 25 2 2 2 3" xfId="1875" xr:uid="{84CD9A7E-EDCC-4F86-BBE0-CEC7530E5ECE}"/>
    <cellStyle name="常规 25 2 2 3" xfId="1587" xr:uid="{92AB3674-E4D6-4FAF-80AC-55D09590BDBF}"/>
    <cellStyle name="常规 25 2 2 3 2" xfId="2454" xr:uid="{45BD3257-3B42-4AD5-8366-43047329864F}"/>
    <cellStyle name="常规 25 2 2 3 2 2" xfId="1305" xr:uid="{7CAB3D6D-9CA5-44BE-AC3C-1700B727031B}"/>
    <cellStyle name="常规 25 2 2 3 2 2 2" xfId="2459" xr:uid="{15666E3B-ADDD-4E89-A61B-04EDB820BCB0}"/>
    <cellStyle name="常规 25 2 2 3 2 3" xfId="505" xr:uid="{3DDEBF9B-DAB4-4C99-B9DC-1D60AF4A5506}"/>
    <cellStyle name="常规 25 2 2 3 3" xfId="2467" xr:uid="{E9CE39E8-6577-4ED9-9CEF-82369E563921}"/>
    <cellStyle name="常规 25 2 2 3 3 2" xfId="2472" xr:uid="{8E375D0C-0A48-4D39-9952-6F73BB9CF71D}"/>
    <cellStyle name="常规 25 2 2 3 4" xfId="2480" xr:uid="{68927531-E685-4D13-8023-A1880117BD9E}"/>
    <cellStyle name="常规 25 2 2 4" xfId="2543" xr:uid="{7763D9B9-9D13-42C3-894B-FD7501BEC4AC}"/>
    <cellStyle name="常规 25 2 2 4 2" xfId="2490" xr:uid="{C87E5F55-9143-4692-A909-C5EBA623A9E4}"/>
    <cellStyle name="常规 25 2 2 4 2 2" xfId="2493" xr:uid="{323CB86A-D5C8-4C32-B0C7-AE6987883EE5}"/>
    <cellStyle name="常规 25 2 2 4 3" xfId="2496" xr:uid="{0CF1B0FD-3125-49AE-A4C0-E689EF6C96B6}"/>
    <cellStyle name="常规 25 2 2 5" xfId="872" xr:uid="{0A21000F-8FBA-4488-AEA4-3EC8C415EFAD}"/>
    <cellStyle name="常规 25 2 2 5 2" xfId="1256" xr:uid="{B37A33C4-B9D9-4300-9AE6-E199E9827418}"/>
    <cellStyle name="常规 25 2 2 6" xfId="904" xr:uid="{6662074E-A30A-4BD2-8DA6-FD1A2C79BA76}"/>
    <cellStyle name="常规 25 2 3" xfId="2441" xr:uid="{8690228A-FF84-4EEC-A91D-C46A4D50B361}"/>
    <cellStyle name="常规 25 2 3 2" xfId="2545" xr:uid="{834CABCF-8502-40B1-9756-9AA77345B2A5}"/>
    <cellStyle name="常规 25 2 3 2 2" xfId="2549" xr:uid="{DF8E4E87-1C74-466F-99A3-ECAC42364776}"/>
    <cellStyle name="常规 25 2 3 2 2 2" xfId="1458" xr:uid="{533B417C-CA78-4BC0-85EB-E9E6ECD81B3E}"/>
    <cellStyle name="常规 25 2 3 2 3" xfId="2553" xr:uid="{4E411336-0630-4C0E-BF8A-1A8EC036CE99}"/>
    <cellStyle name="常规 25 2 3 3" xfId="2555" xr:uid="{2498840A-DF45-49B7-95AF-CFC1A4F10CA5}"/>
    <cellStyle name="常规 25 2 3 3 2" xfId="2559" xr:uid="{4EDAFD53-8ADF-4BCC-A2BB-3D932EFC75F0}"/>
    <cellStyle name="常规 25 2 3 3 2 2" xfId="1497" xr:uid="{E64D1CBA-66CC-48C1-865C-D47A50A9FD0F}"/>
    <cellStyle name="常规 25 2 3 3 2 2 2" xfId="2562" xr:uid="{DF89F2D8-BC90-4590-B798-024F9583BDEF}"/>
    <cellStyle name="常规 25 2 3 3 2 3" xfId="2565" xr:uid="{2406C754-763E-4774-9DBD-50F3D865CD2B}"/>
    <cellStyle name="常规 25 2 3 3 3" xfId="2568" xr:uid="{868C907B-A2CB-48BA-8B73-53EC17C53D79}"/>
    <cellStyle name="常规 25 2 3 3 3 2" xfId="2571" xr:uid="{170B7728-2B75-4597-A773-3CD3FFB0DD45}"/>
    <cellStyle name="常规 25 2 3 3 4" xfId="2575" xr:uid="{AA8149DD-6B19-4BE4-969F-6EE1947BBA85}"/>
    <cellStyle name="常规 25 2 3 4" xfId="2577" xr:uid="{9601CC07-FA6D-406A-A6A0-8392531858CD}"/>
    <cellStyle name="常规 25 2 3 4 2" xfId="78" xr:uid="{BC052628-43B5-4296-9D3F-0FF380F5677F}"/>
    <cellStyle name="常规 25 2 3 4 2 2" xfId="1556" xr:uid="{1FF9A2FD-F2C3-42D2-8329-DBD7548245DC}"/>
    <cellStyle name="常规 25 2 3 4 3" xfId="1559" xr:uid="{9FDE575A-478F-4C18-A25A-095D1267B191}"/>
    <cellStyle name="常规 25 2 3 5" xfId="1259" xr:uid="{50928342-E264-4887-9EB6-A228A1C679FA}"/>
    <cellStyle name="常规 25 2 3 5 2" xfId="1597" xr:uid="{B925731F-D87D-487D-9B23-875B6BC38B73}"/>
    <cellStyle name="常规 25 2 3 6" xfId="2579" xr:uid="{767EF0F8-43B6-4739-898A-7F467001E6AF}"/>
    <cellStyle name="常规 25 2 4" xfId="2431" xr:uid="{6BF11810-1AF4-4876-9796-EE80CF405FEC}"/>
    <cellStyle name="常规 25 2 4 2" xfId="214" xr:uid="{CB35D7D1-AB42-460C-9351-8BDB7479CFE0}"/>
    <cellStyle name="常规 25 2 4 2 2" xfId="2583" xr:uid="{E8EA3A35-C415-4876-BDFE-954B6D438156}"/>
    <cellStyle name="常规 25 2 4 2 2 2" xfId="1649" xr:uid="{365AC79A-2326-4F51-9A7D-EA1B26E32F66}"/>
    <cellStyle name="常规 25 2 4 2 3" xfId="2587" xr:uid="{672EF344-8F79-4BDB-A5C3-037502BEF826}"/>
    <cellStyle name="常规 25 2 4 3" xfId="2589" xr:uid="{A92057A4-7C49-4D8B-B7A4-EA3D06305765}"/>
    <cellStyle name="常规 25 2 4 3 2" xfId="2594" xr:uid="{86E71043-6355-4809-8084-5EDE244B3202}"/>
    <cellStyle name="常规 25 2 4 4" xfId="2595" xr:uid="{91C964BC-A697-4CED-A15B-3D5138539396}"/>
    <cellStyle name="常规 25 2 5" xfId="1736" xr:uid="{E6034FDE-F82A-4AF2-895A-15CF6333E5E0}"/>
    <cellStyle name="常规 25 2 5 2" xfId="1811" xr:uid="{15F8F26B-7998-4F15-8831-4D156FC15607}"/>
    <cellStyle name="常规 25 2 5 2 2" xfId="2598" xr:uid="{0EBE7269-771C-4F54-858A-318B090CFE13}"/>
    <cellStyle name="常规 25 2 5 3" xfId="2599" xr:uid="{7BF7913A-5F0E-4FDF-81EA-F805A81DF23B}"/>
    <cellStyle name="常规 25 2 6" xfId="719" xr:uid="{56CC89C0-D2F7-4BFF-A74A-3B6F5A0EE6F2}"/>
    <cellStyle name="常规 25 2 6 2" xfId="723" xr:uid="{D65E9486-0A7D-4623-B13B-0F94BB84D2F8}"/>
    <cellStyle name="常规 25 2 7" xfId="60" xr:uid="{7B721B5F-A68E-4EE2-9972-0A583DD0E0EC}"/>
    <cellStyle name="常规 25 3" xfId="1479" xr:uid="{ADA8B13D-564B-4FB6-A27D-0225FC9B117F}"/>
    <cellStyle name="常规 25 3 2" xfId="2601" xr:uid="{CABB671F-7317-4D3E-9AA7-CB829E918FAB}"/>
    <cellStyle name="常规 25 3 2 2" xfId="2603" xr:uid="{D09D7551-AC9C-4DAB-8C12-A49AEDB9517A}"/>
    <cellStyle name="常规 25 3 2 2 2" xfId="2605" xr:uid="{01CF65E7-4EBB-4E70-A12E-9A45E2B5EC8A}"/>
    <cellStyle name="常规 25 3 2 3" xfId="997" xr:uid="{C5263751-77B3-42FA-BCFF-9D7914503D0A}"/>
    <cellStyle name="常规 25 3 3" xfId="2607" xr:uid="{EFD5545F-664A-4617-BDD6-D3FB814CD378}"/>
    <cellStyle name="常规 25 3 3 2" xfId="2609" xr:uid="{64322A3D-BB46-469C-92A5-D86271F5165D}"/>
    <cellStyle name="常规 25 3 3 2 2" xfId="2611" xr:uid="{8D16C320-F548-42CA-A336-38EDFB243A7A}"/>
    <cellStyle name="常规 25 3 3 2 2 2" xfId="2615" xr:uid="{98141DF6-69EC-452C-A8A1-10A3913E27D5}"/>
    <cellStyle name="常规 25 3 3 2 3" xfId="2617" xr:uid="{D0860E49-A6CA-4903-9B6C-C94FE45C10E3}"/>
    <cellStyle name="常规 25 3 3 3" xfId="2619" xr:uid="{6E1F532C-AA0D-4732-926D-A5B6A1D727A2}"/>
    <cellStyle name="常规 25 3 3 3 2" xfId="125" xr:uid="{0B09A36C-FB74-48CA-8E97-77ADE7243696}"/>
    <cellStyle name="常规 25 3 3 4" xfId="1089" xr:uid="{77985A35-62DD-48B3-8CBE-8BA38B0D6DED}"/>
    <cellStyle name="常规 25 3 4" xfId="2621" xr:uid="{BCA2C10C-767F-422A-9AC9-5D7BA56E2124}"/>
    <cellStyle name="常规 25 3 4 2" xfId="1005" xr:uid="{4E9F7226-76B3-48E6-97DD-411618616D61}"/>
    <cellStyle name="常规 25 3 4 2 2" xfId="2623" xr:uid="{C875AF1C-6B6F-4887-906C-5B59590FF730}"/>
    <cellStyle name="常规 25 3 4 3" xfId="2625" xr:uid="{76E516FB-79F6-4472-AA6C-8C2ADB405753}"/>
    <cellStyle name="常规 25 3 5" xfId="1815" xr:uid="{8F90045E-43F7-4355-8C2F-3F6B83B3F998}"/>
    <cellStyle name="常规 25 3 5 2" xfId="2627" xr:uid="{049E6264-83EF-4864-A9CF-E5DA82E715AF}"/>
    <cellStyle name="常规 25 3 6" xfId="731" xr:uid="{67164393-F112-4575-90FF-22464E6F8877}"/>
    <cellStyle name="常规 25 4" xfId="2629" xr:uid="{4021293D-AD6C-4EC9-A571-DD01A9DAFCB8}"/>
    <cellStyle name="常规 25 4 2" xfId="2631" xr:uid="{259B8631-25FB-4A9E-B0BE-E31EE158D7B4}"/>
    <cellStyle name="常规 25 4 2 2" xfId="2635" xr:uid="{61E7208F-A188-4E9A-9847-03C73B3509A9}"/>
    <cellStyle name="常规 25 4 2 2 2" xfId="2637" xr:uid="{046CC926-3343-49A7-A1A2-9686EA6E5C5B}"/>
    <cellStyle name="常规 25 4 2 3" xfId="2639" xr:uid="{6300943A-8923-4311-8ADC-672C62C8337D}"/>
    <cellStyle name="常规 25 4 3" xfId="2642" xr:uid="{3C0645B4-6870-48D3-8604-2FEB12C7182C}"/>
    <cellStyle name="常规 25 4 3 2" xfId="2644" xr:uid="{293697ED-A47E-4CF0-B4B1-1621FBF4B075}"/>
    <cellStyle name="常规 25 4 3 2 2" xfId="2646" xr:uid="{E7E8DE04-0003-4BD2-BA7F-15D9CBEB8D8F}"/>
    <cellStyle name="常规 25 4 3 2 2 2" xfId="2065" xr:uid="{097D2A32-162B-4B8F-9360-A76124063A06}"/>
    <cellStyle name="常规 25 4 3 2 3" xfId="2648" xr:uid="{2DD24A08-C72B-48EB-A5E5-DB51E6ABFFBD}"/>
    <cellStyle name="常规 25 4 3 3" xfId="2650" xr:uid="{C6FFC2A0-A946-4601-9EF4-1B67FA50D78A}"/>
    <cellStyle name="常规 25 4 3 3 2" xfId="2652" xr:uid="{50145E9C-8BEC-4B04-B6D2-7B8E096B7CCF}"/>
    <cellStyle name="常规 25 4 3 4" xfId="2654" xr:uid="{499EDA87-72A0-4696-AEEB-817533B66318}"/>
    <cellStyle name="常规 25 4 4" xfId="2656" xr:uid="{1DE7669B-9265-4E6A-8864-7DB6E7920184}"/>
    <cellStyle name="常规 25 4 4 2" xfId="690" xr:uid="{12FA9C64-8FDA-47E5-A7DC-16398DD7194A}"/>
    <cellStyle name="常规 25 4 4 2 2" xfId="2658" xr:uid="{122BC537-30AC-4C11-B523-43595E926447}"/>
    <cellStyle name="常规 25 4 4 3" xfId="2660" xr:uid="{717B70AB-32B0-436B-AEA5-DAFB7CBC287E}"/>
    <cellStyle name="常规 25 4 5" xfId="2662" xr:uid="{78D08134-4FA6-4952-82B7-A0B3E7F496A6}"/>
    <cellStyle name="常规 25 4 5 2" xfId="2664" xr:uid="{C677E18C-C45B-401D-9928-F9B09D74612B}"/>
    <cellStyle name="常规 25 4 6" xfId="120" xr:uid="{2CB6CD63-75DE-4A45-BFEA-0986265D0BB9}"/>
    <cellStyle name="常规 25 5" xfId="2667" xr:uid="{72766E49-E000-4E01-AE44-AFE144095E35}"/>
    <cellStyle name="常规 25 5 2" xfId="2669" xr:uid="{8D5574AB-D8B0-456E-ACB7-96476DDCF98A}"/>
    <cellStyle name="常规 25 5 2 2" xfId="2671" xr:uid="{9841CD70-7A36-4655-9123-5E2287442B1D}"/>
    <cellStyle name="常规 25 5 2 2 2" xfId="2673" xr:uid="{96D69672-6FD5-44AC-9F09-FC8F515383D8}"/>
    <cellStyle name="常规 25 5 2 3" xfId="2675" xr:uid="{3750FBB3-1962-43AD-A742-B705D981672E}"/>
    <cellStyle name="常规 25 5 3" xfId="2677" xr:uid="{14DC55A8-E633-44C2-AFFB-C5FF57A14474}"/>
    <cellStyle name="常规 25 5 3 2" xfId="2679" xr:uid="{F6122CCB-03CA-4846-8038-D7E7228EBEA8}"/>
    <cellStyle name="常规 25 5 4" xfId="2681" xr:uid="{95DD355A-B401-4097-9539-1BDDEB5B4B12}"/>
    <cellStyle name="常规 25 6" xfId="632" xr:uid="{13D31F66-DE2C-4A4E-9E61-57A51CB0C9C6}"/>
    <cellStyle name="常规 25 6 2" xfId="637" xr:uid="{D79061E3-830A-47A1-8340-EDA79F8B94BF}"/>
    <cellStyle name="常规 25 6 2 2" xfId="2683" xr:uid="{B63C0131-E98B-4995-B39A-D6ADE2F7E3B6}"/>
    <cellStyle name="常规 25 6 3" xfId="2687" xr:uid="{F0963381-B5B3-403E-9366-2DA168D2DA6C}"/>
    <cellStyle name="常规 25 7" xfId="640" xr:uid="{390D25E4-EF49-4CBB-B97C-1659FD086E14}"/>
    <cellStyle name="常规 25 7 2" xfId="2691" xr:uid="{A290BA82-1872-4501-BD55-42790F08BCE7}"/>
    <cellStyle name="常规 25 8" xfId="2694" xr:uid="{9429CFB1-3870-4A60-9424-FA304ECF801D}"/>
    <cellStyle name="常规 26" xfId="2698" xr:uid="{0594AEAC-A89F-47B9-ACBF-2D3030EE1E95}"/>
    <cellStyle name="常规 26 2" xfId="84" xr:uid="{72E1D788-2BF2-4C7F-ADC4-3F43F4A2DA68}"/>
    <cellStyle name="常规 26 2 2" xfId="2701" xr:uid="{5B32AFDD-D769-4275-8D52-B1BDC701A1C4}"/>
    <cellStyle name="常规 26 2 2 2" xfId="2704" xr:uid="{43C58B25-9969-44FA-9778-AF2AF6C5B542}"/>
    <cellStyle name="常规 26 2 2 2 2" xfId="2706" xr:uid="{EE41A072-8759-4E4C-A435-005EE643B70F}"/>
    <cellStyle name="常规 26 2 2 2 2 2" xfId="2709" xr:uid="{F02645C1-6F24-423E-9367-57321847E0FD}"/>
    <cellStyle name="常规 26 2 2 2 3" xfId="1399" xr:uid="{13E7390D-5A3D-4F32-BC29-0E84C40A73F2}"/>
    <cellStyle name="常规 26 2 2 3" xfId="2711" xr:uid="{0683E172-7B1D-4B23-8F77-EAC17866B582}"/>
    <cellStyle name="常规 26 2 2 3 2" xfId="2713" xr:uid="{A3197691-659E-4FC0-A9C8-C44DB84A6EA4}"/>
    <cellStyle name="常规 26 2 2 3 2 2" xfId="2715" xr:uid="{F3C52E1C-864E-43DA-932A-989957D06D57}"/>
    <cellStyle name="常规 26 2 2 3 2 2 2" xfId="2717" xr:uid="{D31D9328-2229-4F7A-B0B8-8BACD02AE678}"/>
    <cellStyle name="常规 26 2 2 3 2 3" xfId="2719" xr:uid="{4833D593-609B-43EB-94D8-AD9E05469904}"/>
    <cellStyle name="常规 26 2 2 3 3" xfId="1408" xr:uid="{594C454A-9015-4BAD-93E5-8975A9611DF4}"/>
    <cellStyle name="常规 26 2 2 3 3 2" xfId="2721" xr:uid="{4496EDB6-230F-40C4-ACC6-7D4A997E610E}"/>
    <cellStyle name="常规 26 2 2 3 4" xfId="2724" xr:uid="{81A74460-9BAF-4434-8E09-E663A6D1D2D4}"/>
    <cellStyle name="常规 26 2 2 4" xfId="2726" xr:uid="{39D74165-4A95-4210-85ED-80ECE541E8EC}"/>
    <cellStyle name="常规 26 2 2 4 2" xfId="2728" xr:uid="{CAC2DA94-7DA2-4263-B4C9-6570A93E0400}"/>
    <cellStyle name="常规 26 2 2 4 2 2" xfId="2730" xr:uid="{07FFDC9B-13E4-41C6-9BBF-A1EEBACBA398}"/>
    <cellStyle name="常规 26 2 2 4 3" xfId="2732" xr:uid="{956BDCCD-9C80-44CF-B350-FAB1F22ABBD0}"/>
    <cellStyle name="常规 26 2 2 5" xfId="2735" xr:uid="{2CFE2EE5-9DAC-419E-B4BA-1F221E222255}"/>
    <cellStyle name="常规 26 2 2 5 2" xfId="2737" xr:uid="{D8DE58DF-C31A-43C8-A22E-6181D5C36784}"/>
    <cellStyle name="常规 26 2 2 6" xfId="1403" xr:uid="{419D1E4B-5906-42E7-9ACE-EDA972958A88}"/>
    <cellStyle name="常规 26 2 3" xfId="2740" xr:uid="{A0C4EBAC-0443-4320-9A8C-269520063A9E}"/>
    <cellStyle name="常规 26 2 3 2" xfId="2534" xr:uid="{68AFFBCA-9A74-4BB5-9163-888311B53FFA}"/>
    <cellStyle name="常规 26 2 3 2 2" xfId="2538" xr:uid="{B9E5F4E0-5E7F-48B1-A5D7-C0B44A1F56F0}"/>
    <cellStyle name="常规 26 2 3 2 2 2" xfId="2437" xr:uid="{7020FE2E-5223-4AC6-B9AE-B38378CD07A1}"/>
    <cellStyle name="常规 26 2 3 2 3" xfId="1477" xr:uid="{9CF36AA0-1AE9-46A7-A044-634F2728B970}"/>
    <cellStyle name="常规 26 2 3 3" xfId="2697" xr:uid="{26AD8943-8B81-47C4-A6E4-758C0154F834}"/>
    <cellStyle name="常规 26 2 3 3 2" xfId="83" xr:uid="{B3580C3B-41A6-4B5E-91D0-CFBA7F8038B4}"/>
    <cellStyle name="常规 26 2 3 3 2 2" xfId="2700" xr:uid="{845E76A5-C21B-486D-9F20-55F59E1981E0}"/>
    <cellStyle name="常规 26 2 3 3 2 2 2" xfId="2703" xr:uid="{674DF81D-8B22-48A9-9D7B-AD7127030CBD}"/>
    <cellStyle name="常规 26 2 3 3 2 3" xfId="2739" xr:uid="{08A778CC-0CFA-472C-BB9B-B176E5B0DFD5}"/>
    <cellStyle name="常规 26 2 3 3 3" xfId="197" xr:uid="{5061AF7A-0C05-4D36-8500-1CFC7B237F3B}"/>
    <cellStyle name="常规 26 2 3 3 3 2" xfId="2743" xr:uid="{A3C602F7-0B0B-4296-863E-1FD5646D54A8}"/>
    <cellStyle name="常规 26 2 3 3 4" xfId="204" xr:uid="{E004E133-C48A-471A-AF95-4D5BA1D986D7}"/>
    <cellStyle name="常规 26 2 3 4" xfId="2747" xr:uid="{B72F50BE-267C-4A90-ACB8-59B39871D2B4}"/>
    <cellStyle name="常规 26 2 3 4 2" xfId="2750" xr:uid="{1ACAA3A7-DDCF-41C4-99FB-A48A2BB42554}"/>
    <cellStyle name="常规 26 2 3 4 2 2" xfId="2753" xr:uid="{4DCBCF9F-10C0-484C-82CE-CEEECD945E58}"/>
    <cellStyle name="常规 26 2 3 4 3" xfId="2756" xr:uid="{F41A61ED-B0E3-41B4-94EB-C1FA54E49FD7}"/>
    <cellStyle name="常规 26 2 3 5" xfId="2759" xr:uid="{466FE0EE-6DBA-433F-83FE-1AEC955D8D66}"/>
    <cellStyle name="常规 26 2 3 5 2" xfId="2762" xr:uid="{7F66DB92-7632-4BFA-8D2D-485C24FF9456}"/>
    <cellStyle name="常规 26 2 3 6" xfId="2765" xr:uid="{233465D3-5328-4A5D-AD65-B7FA2BA60959}"/>
    <cellStyle name="常规 26 2 4" xfId="2767" xr:uid="{AFF890C2-9BCE-4DE3-8BB8-DECCBAE6A576}"/>
    <cellStyle name="常规 26 2 4 2" xfId="831" xr:uid="{3FF8E9F8-82D8-45DA-83CC-D899EAA133BD}"/>
    <cellStyle name="常规 26 2 4 2 2" xfId="2769" xr:uid="{7B0CCE07-516A-4CCD-B24E-BE40C5268C1B}"/>
    <cellStyle name="常规 26 2 4 2 2 2" xfId="2276" xr:uid="{E7568FF5-13A4-420D-892D-FAC02569373E}"/>
    <cellStyle name="常规 26 2 4 2 3" xfId="1506" xr:uid="{8AA94CB3-3F6A-4547-8D1B-AD0CCB754DF8}"/>
    <cellStyle name="常规 26 2 4 3" xfId="2771" xr:uid="{0C6C1425-8D3D-46F1-B822-23B2F301FEB9}"/>
    <cellStyle name="常规 26 2 4 3 2" xfId="2772" xr:uid="{33FD81ED-3405-4596-BFCF-8DAEBFF6E3C4}"/>
    <cellStyle name="常规 26 2 4 4" xfId="2708" xr:uid="{4A9BCD1E-585C-4D72-8F25-32B5283EC882}"/>
    <cellStyle name="常规 26 2 5" xfId="2774" xr:uid="{7320809E-52DF-4D16-8888-645235B3B17D}"/>
    <cellStyle name="常规 26 2 5 2" xfId="2776" xr:uid="{A9D0D3A7-2239-4EDE-BFA6-5EFB48BB923A}"/>
    <cellStyle name="常规 26 2 5 2 2" xfId="2777" xr:uid="{6F634201-061B-493B-9384-E7DB56387481}"/>
    <cellStyle name="常规 26 2 5 3" xfId="2778" xr:uid="{B7EA6405-A2DB-4898-879A-E274184D9574}"/>
    <cellStyle name="常规 26 2 6" xfId="2372" xr:uid="{BC7CE5F5-0107-4112-90A8-1F4CD35DAE01}"/>
    <cellStyle name="常规 26 2 6 2" xfId="2375" xr:uid="{EAE55D11-787F-4FD1-861E-0B54CE063D2D}"/>
    <cellStyle name="常规 26 2 7" xfId="2377" xr:uid="{EA20472F-B80C-45E2-8ABE-AB587355CE40}"/>
    <cellStyle name="常规 26 3" xfId="196" xr:uid="{D2B3EBE1-715C-4E3F-82F5-68B77E46BA3D}"/>
    <cellStyle name="常规 26 3 2" xfId="2742" xr:uid="{4CAE974A-1297-4D61-827A-60EFE823F282}"/>
    <cellStyle name="常规 26 3 2 2" xfId="2780" xr:uid="{E12E5497-F253-4415-A8E5-8B734BE8F126}"/>
    <cellStyle name="常规 26 3 2 2 2" xfId="2782" xr:uid="{889F8595-13B5-4642-BECC-5B7071AC6CD3}"/>
    <cellStyle name="常规 26 3 2 3" xfId="2784" xr:uid="{BBFB1379-80FD-43C8-91F6-9D6EB9A660CB}"/>
    <cellStyle name="常规 26 3 3" xfId="2786" xr:uid="{25E2F415-B6F5-47A4-9EDE-D002D3A4449B}"/>
    <cellStyle name="常规 26 3 3 2" xfId="2788" xr:uid="{DFCD76CE-1E13-4544-AF46-97ECE2F489D0}"/>
    <cellStyle name="常规 26 3 3 2 2" xfId="2790" xr:uid="{75D7B14F-1249-4AAB-AEB4-73CDF896AD99}"/>
    <cellStyle name="常规 26 3 3 2 2 2" xfId="2792" xr:uid="{7A4E989F-609C-4070-9478-67F5EB6F99F6}"/>
    <cellStyle name="常规 26 3 3 2 3" xfId="472" xr:uid="{FC95F48D-E243-481E-B1F3-FA5445ACF1CF}"/>
    <cellStyle name="常规 26 3 3 3" xfId="2794" xr:uid="{CCC85AFC-ABB8-4944-825A-FA624C544457}"/>
    <cellStyle name="常规 26 3 3 3 2" xfId="493" xr:uid="{D2C29E01-DA05-46C3-9D93-894BC26A6522}"/>
    <cellStyle name="常规 26 3 3 4" xfId="2796" xr:uid="{2BFB2D42-EE72-4F5B-9E48-E3174DA4F060}"/>
    <cellStyle name="常规 26 3 4" xfId="2798" xr:uid="{CBEFE07F-479E-41B9-AABA-754F89ED5324}"/>
    <cellStyle name="常规 26 3 4 2" xfId="1165" xr:uid="{4FA0FBD8-B34D-4F4E-A0F6-9A6D13068978}"/>
    <cellStyle name="常规 26 3 4 2 2" xfId="2800" xr:uid="{F6BCC6AA-8B80-47CA-96F7-11F7DBFEA530}"/>
    <cellStyle name="常规 26 3 4 3" xfId="2802" xr:uid="{4FC1412D-8CBC-489B-9172-54706AED405F}"/>
    <cellStyle name="常规 26 3 5" xfId="2804" xr:uid="{90626CB9-5CC8-4C42-B312-CC751DB32135}"/>
    <cellStyle name="常规 26 3 5 2" xfId="2806" xr:uid="{FB8343BD-BAAF-4927-9F45-680507AF79CC}"/>
    <cellStyle name="常规 26 3 6" xfId="2386" xr:uid="{5FC508B0-0E6E-4142-ADB6-6DE025D1A3AF}"/>
    <cellStyle name="常规 26 4" xfId="203" xr:uid="{041D0775-97A0-4220-8590-D779D1479F60}"/>
    <cellStyle name="常规 26 4 2" xfId="2808" xr:uid="{92F68C9A-BF89-4C29-8740-587EAA30F296}"/>
    <cellStyle name="常规 26 4 2 2" xfId="2811" xr:uid="{7818601E-E35E-4CCC-96B9-00532937B58C}"/>
    <cellStyle name="常规 26 4 2 2 2" xfId="2813" xr:uid="{5E50193E-FE1B-4D11-98A8-5264A23A9070}"/>
    <cellStyle name="常规 26 4 2 3" xfId="2815" xr:uid="{66329294-EC11-425F-91EB-E2A065C967AA}"/>
    <cellStyle name="常规 26 4 3" xfId="2818" xr:uid="{973B0674-3F6D-4E20-B6B2-E26B9C191759}"/>
    <cellStyle name="常规 26 4 3 2" xfId="2821" xr:uid="{321546B6-FD15-4461-9B0D-1B3A665F763B}"/>
    <cellStyle name="常规 26 4 3 2 2" xfId="2822" xr:uid="{49E8B08E-5E18-4AD7-B61D-E024A87FD8E2}"/>
    <cellStyle name="常规 26 4 3 2 2 2" xfId="2150" xr:uid="{0E39D59D-0E9B-44F9-BBD3-238F27DF3093}"/>
    <cellStyle name="常规 26 4 3 2 3" xfId="1719" xr:uid="{CDC926C5-73DD-401D-A6A9-A31AAFF444A3}"/>
    <cellStyle name="常规 26 4 3 3" xfId="2823" xr:uid="{1ECC0D13-9CA7-456D-96B9-4743C1AEA650}"/>
    <cellStyle name="常规 26 4 3 3 2" xfId="2824" xr:uid="{9BB0E7EB-586D-4F43-9985-0925C126F4DF}"/>
    <cellStyle name="常规 26 4 3 4" xfId="2825" xr:uid="{31F107D0-19C6-479D-BFD9-4E81BA15039C}"/>
    <cellStyle name="常规 26 4 4" xfId="2828" xr:uid="{C53FB25A-4ACE-4023-A928-F2DA0F3BD9FD}"/>
    <cellStyle name="常规 26 4 4 2" xfId="2829" xr:uid="{F5015956-D2A1-4DE9-90D6-F59A338F2EF0}"/>
    <cellStyle name="常规 26 4 4 2 2" xfId="2830" xr:uid="{790C2380-B2B6-410B-8E84-662D4AAE2545}"/>
    <cellStyle name="常规 26 4 4 3" xfId="2831" xr:uid="{5449DF2E-E7AE-48C4-9C00-6E9B50895B3C}"/>
    <cellStyle name="常规 26 4 5" xfId="2832" xr:uid="{016BFAAF-801C-455B-9FF6-FFB1462AAA19}"/>
    <cellStyle name="常规 26 4 5 2" xfId="2833" xr:uid="{779270C2-E289-444A-9263-B991D91BED58}"/>
    <cellStyle name="常规 26 4 6" xfId="2834" xr:uid="{1A7E13AC-1427-45E5-A44F-63AC56E26C23}"/>
    <cellStyle name="常规 26 5" xfId="219" xr:uid="{C2F7360F-753B-4546-BA2B-85EE9E7B043F}"/>
    <cellStyle name="常规 26 5 2" xfId="2044" xr:uid="{971DDE08-A7D4-40A2-A504-BCF97156EF20}"/>
    <cellStyle name="常规 26 5 2 2" xfId="2836" xr:uid="{B74CA30E-B281-438C-BE5A-EFAE1B38F5C8}"/>
    <cellStyle name="常规 26 5 2 2 2" xfId="2839" xr:uid="{6D6AA9C0-D5D6-4F8F-98B3-4664CA7EBEBE}"/>
    <cellStyle name="常规 26 5 2 3" xfId="2840" xr:uid="{08E553C5-C44B-4C41-B558-F83803E188C0}"/>
    <cellStyle name="常规 26 5 3" xfId="2843" xr:uid="{3AD90614-CFE8-491B-8961-4FF8A9718327}"/>
    <cellStyle name="常规 26 5 3 2" xfId="2844" xr:uid="{3F614DBA-8452-49B0-B028-CB4B0C5B3C07}"/>
    <cellStyle name="常规 26 5 4" xfId="2845" xr:uid="{999DD6A6-E60A-4733-84B9-8B4AFF7C3B03}"/>
    <cellStyle name="常规 26 6" xfId="646" xr:uid="{3C763E88-BE9F-4FEA-967B-8CD2E3CA78A7}"/>
    <cellStyle name="常规 26 6 2" xfId="1327" xr:uid="{A190585C-9FF6-4D1E-978D-241A22A1E0AB}"/>
    <cellStyle name="常规 26 6 2 2" xfId="1328" xr:uid="{8A87967E-D826-44FD-8A7A-8EFD9C1F2405}"/>
    <cellStyle name="常规 26 6 3" xfId="1525" xr:uid="{ACCB76C1-E6C1-4243-9D0B-2135FD6A64F8}"/>
    <cellStyle name="常规 26 7" xfId="2847" xr:uid="{87188FE0-D987-4326-B45C-66359B1E7291}"/>
    <cellStyle name="常规 26 7 2" xfId="2848" xr:uid="{206C68E7-3A30-4CB7-BF68-49C3189AA612}"/>
    <cellStyle name="常规 26 8" xfId="2849" xr:uid="{2240DF54-4656-4334-86B1-C55824D0F74D}"/>
    <cellStyle name="常规 27" xfId="2746" xr:uid="{3CF197BB-B927-4039-9B0B-596137AD7F5A}"/>
    <cellStyle name="常规 27 2" xfId="2749" xr:uid="{020848B7-1086-4509-AA31-DEDAF13095B5}"/>
    <cellStyle name="常规 27 2 2" xfId="2752" xr:uid="{5412A420-C6BC-4EBC-BBE8-B62E29356F06}"/>
    <cellStyle name="常规 27 2 2 2" xfId="2851" xr:uid="{31173EC1-1652-4419-B1D6-E483FFA017A1}"/>
    <cellStyle name="常规 27 2 2 2 2" xfId="2854" xr:uid="{B4D289CA-A5F3-4B5D-9437-160C5DFA8A50}"/>
    <cellStyle name="常规 27 2 2 3" xfId="390" xr:uid="{C1A22C32-D1A9-464E-9AAA-68FE34DACC93}"/>
    <cellStyle name="常规 27 2 3" xfId="2857" xr:uid="{8FC9C2E9-07DD-499F-82C3-28FAB678E3EA}"/>
    <cellStyle name="常规 27 2 3 2" xfId="2859" xr:uid="{7FAC5348-D862-4A7A-BC85-8154BAA8C9FF}"/>
    <cellStyle name="常规 27 2 3 2 2" xfId="2861" xr:uid="{32AC9C5A-D121-4658-8B01-1A369101B1E4}"/>
    <cellStyle name="常规 27 2 3 2 2 2" xfId="2863" xr:uid="{A6B6DA3A-5798-459C-A563-E8052AB0212E}"/>
    <cellStyle name="常规 27 2 3 2 3" xfId="2865" xr:uid="{34EB77E3-71A2-45C3-87B1-67F27BB4A340}"/>
    <cellStyle name="常规 27 2 3 3" xfId="409" xr:uid="{CF81F52C-6B1E-4D50-B139-9A00589C08BD}"/>
    <cellStyle name="常规 27 2 3 3 2" xfId="2867" xr:uid="{9FB6480D-5689-485F-908A-AA44ADDB0C0B}"/>
    <cellStyle name="常规 27 2 3 4" xfId="2869" xr:uid="{E0575033-C625-4EDF-94C4-97E7E2A9AB98}"/>
    <cellStyle name="常规 27 2 4" xfId="2426" xr:uid="{0488BD03-C27E-45DF-A048-7D44F55B4253}"/>
    <cellStyle name="常规 27 2 4 2" xfId="254" xr:uid="{CDE3860A-83E5-47E7-9DE3-214B54E71A7D}"/>
    <cellStyle name="常规 27 2 4 2 2" xfId="2871" xr:uid="{A6F607AC-3763-4063-AA74-FBD68EB3F932}"/>
    <cellStyle name="常规 27 2 4 3" xfId="2873" xr:uid="{ABADF9B4-73AC-42AD-B70D-816AFC8F3CA2}"/>
    <cellStyle name="常规 27 2 5" xfId="1874" xr:uid="{CBE5C5A3-093F-419C-9B02-12F6C5373696}"/>
    <cellStyle name="常规 27 2 5 2" xfId="2875" xr:uid="{0BEF62EF-5C36-4261-A015-842BB906E6FE}"/>
    <cellStyle name="常规 27 2 6" xfId="2394" xr:uid="{CDD03D17-CE8E-430D-B1FB-0D660FF97DA2}"/>
    <cellStyle name="常规 27 3" xfId="2755" xr:uid="{FDCEBF56-8B01-4C09-ABFF-89A826B5172A}"/>
    <cellStyle name="常规 27 3 2" xfId="2877" xr:uid="{D9244041-4494-43F8-A23E-1D9315DE5AE4}"/>
    <cellStyle name="常规 27 3 2 2" xfId="327" xr:uid="{AD7B5029-2A1F-4787-A09F-75C488E506B4}"/>
    <cellStyle name="常规 27 3 2 2 2" xfId="2879" xr:uid="{DEA4905E-A067-4D22-8598-E68B996C3DBB}"/>
    <cellStyle name="常规 27 3 2 3" xfId="337" xr:uid="{6B0C039F-2486-4CCD-94F3-19C4E3BA229F}"/>
    <cellStyle name="常规 27 3 3" xfId="2881" xr:uid="{5E4E4C82-164D-4020-A2DA-82CB1328E049}"/>
    <cellStyle name="常规 27 3 3 2" xfId="2883" xr:uid="{629A5B44-2E4B-4331-92A5-D291E74EC8C2}"/>
    <cellStyle name="常规 27 3 3 2 2" xfId="2885" xr:uid="{9FAFF3ED-FD87-4498-8122-24F554926497}"/>
    <cellStyle name="常规 27 3 3 2 2 2" xfId="2887" xr:uid="{BB0D14DB-3856-4040-9002-E6A709641C77}"/>
    <cellStyle name="常规 27 3 3 2 3" xfId="2889" xr:uid="{B0A95198-70AD-4081-90B8-5EDA03DC2DB7}"/>
    <cellStyle name="常规 27 3 3 3" xfId="487" xr:uid="{EA2E3C5B-BB95-497E-A69B-0B243FF7B683}"/>
    <cellStyle name="常规 27 3 3 3 2" xfId="306" xr:uid="{77022C4C-AAB1-4CCE-8BA2-EF5883AC4459}"/>
    <cellStyle name="常规 27 3 3 4" xfId="496" xr:uid="{7A175829-4B30-4C45-8BCF-40C1C44DB461}"/>
    <cellStyle name="常规 27 3 4" xfId="2453" xr:uid="{A09DF4DE-857E-4CC4-BF3C-062E43F791FF}"/>
    <cellStyle name="常规 27 3 4 2" xfId="1303" xr:uid="{A5214225-0C78-4621-9270-842E5A935D10}"/>
    <cellStyle name="常规 27 3 4 2 2" xfId="2458" xr:uid="{D7B3A945-FAA1-41DE-BD4B-7544729AB53C}"/>
    <cellStyle name="常规 27 3 4 3" xfId="503" xr:uid="{2CBF929A-DC65-4C3D-9904-E70A91370105}"/>
    <cellStyle name="常规 27 3 5" xfId="2466" xr:uid="{271FDE93-97F2-4A88-95A0-732E0A29B58C}"/>
    <cellStyle name="常规 27 3 5 2" xfId="2471" xr:uid="{43184A0E-5471-4030-8BB6-C1E146A61EAA}"/>
    <cellStyle name="常规 27 3 6" xfId="2479" xr:uid="{EB9FBBC9-638D-45A7-8B26-60EB4B848543}"/>
    <cellStyle name="常规 27 4" xfId="2409" xr:uid="{D13D49D6-6B45-4A94-8DC0-E7C669B2DB19}"/>
    <cellStyle name="常规 27 4 2" xfId="2412" xr:uid="{AB64391E-3166-4EFD-BC38-4BD506751E20}"/>
    <cellStyle name="常规 27 4 2 2" xfId="2891" xr:uid="{19A72462-33EA-4657-8158-90B333F81BF5}"/>
    <cellStyle name="常规 27 4 2 2 2" xfId="2893" xr:uid="{1B0F4350-CCC8-4A13-8335-1AEF64DD8DE2}"/>
    <cellStyle name="常规 27 4 2 3" xfId="530" xr:uid="{BD4B9B2D-E82D-4209-BC55-1C096A4B13D0}"/>
    <cellStyle name="常规 27 4 3" xfId="2896" xr:uid="{BDBA49CC-A8E1-45B8-8C78-BE379D5E6085}"/>
    <cellStyle name="常规 27 4 3 2" xfId="2898" xr:uid="{5BC17CDC-6DBE-43C6-B778-0D7F19B457D8}"/>
    <cellStyle name="常规 27 4 4" xfId="2489" xr:uid="{2D5D1684-836A-43F6-AECB-28065CA68E97}"/>
    <cellStyle name="常规 27 5" xfId="2415" xr:uid="{540B3D2E-0C62-4CB0-A871-5616CD6880C7}"/>
    <cellStyle name="常规 27 5 2" xfId="2900" xr:uid="{7583C55F-90E4-4A7D-B3FF-B49A162C763B}"/>
    <cellStyle name="常规 27 5 2 2" xfId="2902" xr:uid="{5BDE7C18-0361-496A-86BE-A37150EA31F2}"/>
    <cellStyle name="常规 27 5 3" xfId="976" xr:uid="{CBCB4978-0376-4C2F-B624-AA929ED0A278}"/>
    <cellStyle name="常规 27 6" xfId="2904" xr:uid="{D5F61C8E-5255-4809-9F96-378C25E60779}"/>
    <cellStyle name="常规 27 6 2" xfId="2906" xr:uid="{1CCBAEB8-A5A6-44E7-86A9-815C1180162B}"/>
    <cellStyle name="常规 27 7" xfId="2908" xr:uid="{B264E266-381D-414B-8496-98C2EE07EA88}"/>
    <cellStyle name="常规 28" xfId="2758" xr:uid="{2E759690-BD83-4053-9D90-108BB04B9D6B}"/>
    <cellStyle name="常规 28 2" xfId="2761" xr:uid="{53C7A5AD-6280-4FFD-A1EB-F781DBC2B8D7}"/>
    <cellStyle name="常规 28 2 2" xfId="2910" xr:uid="{92773D77-19B9-4D22-8040-F395B9593F39}"/>
    <cellStyle name="常规 28 2 2 2" xfId="1894" xr:uid="{F477FAFC-9B28-4B70-B91E-7594252C8922}"/>
    <cellStyle name="常规 28 2 2 2 2" xfId="1898" xr:uid="{37827491-8DE9-4FC7-883B-C950F229EF7B}"/>
    <cellStyle name="常规 28 2 2 2 2 2" xfId="1902" xr:uid="{20CE65FB-409B-4695-B332-81CD3BEF9FC0}"/>
    <cellStyle name="常规 28 2 2 2 2 2 2" xfId="205" xr:uid="{23CEDFC2-4DEF-47F2-A788-1397629C648C}"/>
    <cellStyle name="常规 28 2 2 2 2 3" xfId="1905" xr:uid="{2DEC6402-F4CA-444D-ACFA-844766F6FC13}"/>
    <cellStyle name="常规 28 2 2 2 3" xfId="1908" xr:uid="{76FA86EA-5AD5-40A6-B6D5-BFD178960029}"/>
    <cellStyle name="常规 28 2 2 2 3 2" xfId="1911" xr:uid="{EC04693C-2127-4BA5-93C0-D35343171F8C}"/>
    <cellStyle name="常规 28 2 2 2 3 2 2" xfId="2911" xr:uid="{D7833668-9B10-41BE-9FD4-420DD6656D4C}"/>
    <cellStyle name="常规 28 2 2 2 3 2 2 2" xfId="2734" xr:uid="{342F4C5D-89EC-4E89-981B-5ED4802DA52D}"/>
    <cellStyle name="常规 28 2 2 2 3 2 3" xfId="2912" xr:uid="{310E235A-6383-4907-81D0-D5B5585110E8}"/>
    <cellStyle name="常规 28 2 2 2 3 3" xfId="2913" xr:uid="{63C1DCAD-4EF0-4166-9289-BC6A6A19F75C}"/>
    <cellStyle name="常规 28 2 2 2 3 3 2" xfId="2914" xr:uid="{8DBBD0AF-5407-4965-A1E0-AF6D6F272A00}"/>
    <cellStyle name="常规 28 2 2 2 3 4" xfId="2916" xr:uid="{D3D50779-C625-4F42-8634-B5DF6E3EAF22}"/>
    <cellStyle name="常规 28 2 2 2 4" xfId="1913" xr:uid="{7749B78C-413C-456D-874A-C2DF9513390A}"/>
    <cellStyle name="常规 28 2 2 2 4 2" xfId="2918" xr:uid="{33F58170-86E8-46BE-AF7D-BE291859AEB0}"/>
    <cellStyle name="常规 28 2 2 2 4 2 2" xfId="2920" xr:uid="{2DF11B1E-EF7C-4FB7-A4B9-BE0E66E1A341}"/>
    <cellStyle name="常规 28 2 2 2 4 3" xfId="2922" xr:uid="{361AD43B-9A58-42DE-B840-1D523B465FFD}"/>
    <cellStyle name="常规 28 2 2 2 5" xfId="2923" xr:uid="{1D6B7C1B-CFFC-4DEB-A65B-A93564F5E9DF}"/>
    <cellStyle name="常规 28 2 2 2 5 2" xfId="2925" xr:uid="{A0B565A7-A3CE-45EA-B778-DC21D91A67F8}"/>
    <cellStyle name="常规 28 2 2 2 6" xfId="1779" xr:uid="{EFD3C6C5-935E-4632-B425-E8C190C8D1FD}"/>
    <cellStyle name="常规 28 2 2 3" xfId="927" xr:uid="{76C39DE0-987C-45D7-BAB0-0E92E5978A64}"/>
    <cellStyle name="常规 28 2 2 3 2" xfId="1918" xr:uid="{DB790B3D-DB63-43D8-B2E6-382A6AD970B2}"/>
    <cellStyle name="常规 28 2 2 3 2 2" xfId="1924" xr:uid="{F6FD699D-4C99-4C0A-BC76-12DEFC1302F7}"/>
    <cellStyle name="常规 28 2 2 3 2 2 2" xfId="2927" xr:uid="{9BB99869-A964-4803-90D5-634C47378B09}"/>
    <cellStyle name="常规 28 2 2 3 2 3" xfId="2929" xr:uid="{D2139755-482E-4FB9-8449-F30B241703AB}"/>
    <cellStyle name="常规 28 2 2 3 3" xfId="1929" xr:uid="{5FCB5287-2892-4193-B1E2-2B9D4E447917}"/>
    <cellStyle name="常规 28 2 2 3 3 2" xfId="2931" xr:uid="{85EECD31-AC0D-406E-9B48-A6F3B7F4F819}"/>
    <cellStyle name="常规 28 2 2 3 4" xfId="2933" xr:uid="{A38E7470-2886-45C9-B2EB-2DF3C0427892}"/>
    <cellStyle name="常规 28 2 2 4" xfId="1932" xr:uid="{4258429A-B20E-4EB4-A044-6E34AE496DE4}"/>
    <cellStyle name="常规 28 2 2 4 2" xfId="1938" xr:uid="{274285F4-51CA-49CF-BC7C-721EAE6345FF}"/>
    <cellStyle name="常规 28 2 2 4 2 2" xfId="2935" xr:uid="{2473F2C7-9879-4BDC-9351-87C26FC49745}"/>
    <cellStyle name="常规 28 2 2 4 3" xfId="2937" xr:uid="{96662FF7-22C0-4427-B20C-974B6D594634}"/>
    <cellStyle name="常规 28 2 2 5" xfId="1696" xr:uid="{414134D6-C3D6-4788-ACDC-5708D6003BC7}"/>
    <cellStyle name="常规 28 2 2 5 2" xfId="2939" xr:uid="{8A72F24A-2F18-4C17-9213-3019FC8970CE}"/>
    <cellStyle name="常规 28 2 2 6" xfId="2941" xr:uid="{A2ABB010-96CB-4509-B6CC-BEA532122AEF}"/>
    <cellStyle name="常规 28 2 3" xfId="2943" xr:uid="{F6D986C4-B52A-4E90-A891-9B5CFB117FC1}"/>
    <cellStyle name="常规 28 2 3 2" xfId="2109" xr:uid="{DDD8410B-9E94-4EC4-AB65-F0834E48EF1F}"/>
    <cellStyle name="常规 28 2 3 2 2" xfId="2113" xr:uid="{771746F6-80CE-4D9A-A5F5-9790BDD1DF59}"/>
    <cellStyle name="常规 28 2 3 2 2 2" xfId="752" xr:uid="{9D0E74B1-3601-4CBB-8F3B-8041CE0890FD}"/>
    <cellStyle name="常规 28 2 3 2 3" xfId="2117" xr:uid="{B64EDE95-FBC6-4CCC-B699-78B8AC6338C5}"/>
    <cellStyle name="常规 28 2 3 3" xfId="2123" xr:uid="{BE3E06F8-8151-4A06-A039-B12F6AB251AA}"/>
    <cellStyle name="常规 28 2 3 3 2" xfId="2029" xr:uid="{F10C8351-6167-49B2-A0E8-3D0E20EEB22F}"/>
    <cellStyle name="常规 28 2 3 3 2 2" xfId="859" xr:uid="{A023BCDD-A5FC-4F4A-B008-73901D123918}"/>
    <cellStyle name="常规 28 2 3 3 2 2 2" xfId="864" xr:uid="{14661244-8802-474C-9C03-20C409E5D2EA}"/>
    <cellStyle name="常规 28 2 3 3 2 3" xfId="634" xr:uid="{B5EBDD9C-30F5-41EB-8A94-0BC6F993E50D}"/>
    <cellStyle name="常规 28 2 3 3 3" xfId="1630" xr:uid="{57406AC1-70C4-4696-A3A0-AECD343BA915}"/>
    <cellStyle name="常规 28 2 3 3 3 2" xfId="222" xr:uid="{BEF8629C-3401-41A1-883C-B0B70C3A7D4A}"/>
    <cellStyle name="常规 28 2 3 3 4" xfId="2945" xr:uid="{6BF930AF-0204-44A1-95E6-741BABA38172}"/>
    <cellStyle name="常规 28 2 3 4" xfId="2127" xr:uid="{AC215871-4930-4EEB-AEFC-73FDCB6962E8}"/>
    <cellStyle name="常规 28 2 3 4 2" xfId="2047" xr:uid="{F78F7913-DC68-4A63-AEFD-68689F8EAF95}"/>
    <cellStyle name="常规 28 2 3 4 2 2" xfId="2946" xr:uid="{7A99449F-8BF7-4981-9C92-0AD62E2FC7AE}"/>
    <cellStyle name="常规 28 2 3 4 3" xfId="2948" xr:uid="{A52F0193-8A98-4884-AB42-5B96667C0647}"/>
    <cellStyle name="常规 28 2 3 5" xfId="1619" xr:uid="{BB892737-54A8-4BFE-9EEB-DE38DA995AA4}"/>
    <cellStyle name="常规 28 2 3 5 2" xfId="2949" xr:uid="{15F772C0-B816-4C61-8976-769DB2D05F40}"/>
    <cellStyle name="常规 28 2 3 6" xfId="2950" xr:uid="{B79EDB90-BF78-4C7C-A7CD-6E3CDB1F1DE1}"/>
    <cellStyle name="常规 28 2 4" xfId="2548" xr:uid="{F8F27CD6-79FC-4590-8E9E-F17725B04745}"/>
    <cellStyle name="常规 28 2 4 2" xfId="1454" xr:uid="{16E17825-0962-42F2-B414-20F075F5C3A7}"/>
    <cellStyle name="常规 28 2 4 2 2" xfId="592" xr:uid="{A9FB6AFE-6281-4991-B850-BA9122CA5176}"/>
    <cellStyle name="常规 28 2 4 2 2 2" xfId="597" xr:uid="{128BA099-4810-4B8A-8B2F-235A77564504}"/>
    <cellStyle name="常规 28 2 4 2 3" xfId="608" xr:uid="{F44D5701-75B7-4782-A22A-AA9A24144F17}"/>
    <cellStyle name="常规 28 2 4 3" xfId="2253" xr:uid="{624FBA0D-7487-45CD-9B60-261ABD71948A}"/>
    <cellStyle name="常规 28 2 4 3 2" xfId="356" xr:uid="{75CC23D7-39E6-4507-B42A-ACA57373C689}"/>
    <cellStyle name="常规 28 2 4 4" xfId="2275" xr:uid="{51C32FE0-0D5D-4538-91C0-2E4A2420968B}"/>
    <cellStyle name="常规 28 2 5" xfId="2552" xr:uid="{F06790C0-8F7E-4392-ADAE-9C8E66459199}"/>
    <cellStyle name="常规 28 2 5 2" xfId="2355" xr:uid="{2206012E-9BC8-47F1-A192-9D756431AB34}"/>
    <cellStyle name="常规 28 2 5 2 2" xfId="706" xr:uid="{E6FC900E-A814-4837-AA4D-27F4A8E315D1}"/>
    <cellStyle name="常规 28 2 5 3" xfId="2368" xr:uid="{1E8556BE-996B-4FE9-9D9C-559C0A4F1F4C}"/>
    <cellStyle name="常规 28 2 6" xfId="2952" xr:uid="{AA1C40BC-35DD-4FFD-B249-BA0F374A233E}"/>
    <cellStyle name="常规 28 2 6 2" xfId="2666" xr:uid="{AC8965D8-7AEF-449D-90AC-6EE43712BE9F}"/>
    <cellStyle name="常规 28 2 7" xfId="2953" xr:uid="{0FFD0C53-08B3-4325-BEC6-16D9FEDD8CF8}"/>
    <cellStyle name="常规 28 3" xfId="2955" xr:uid="{D201D235-EFAD-4A6D-AC2C-E23ECA7009C8}"/>
    <cellStyle name="常规 28 3 2" xfId="2957" xr:uid="{818E5A6E-C22A-4F8E-AE29-A8D5B99431D3}"/>
    <cellStyle name="常规 28 3 2 2" xfId="2959" xr:uid="{81560BDD-F365-4151-81E4-6BCA155EAAB9}"/>
    <cellStyle name="常规 28 3 2 2 2" xfId="2961" xr:uid="{C289292F-AF77-4285-8EC1-0D35CABBD421}"/>
    <cellStyle name="常规 28 3 2 2 2 2" xfId="2962" xr:uid="{53618E25-DC86-4316-AF96-E0964D203942}"/>
    <cellStyle name="常规 28 3 2 2 3" xfId="2963" xr:uid="{F3064644-6FA6-4D80-ADEC-4F0F5EBEDCF9}"/>
    <cellStyle name="常规 28 3 2 3" xfId="2965" xr:uid="{0DEC517C-D072-426C-A4BE-A67F9C3B776E}"/>
    <cellStyle name="常规 28 3 2 3 2" xfId="2966" xr:uid="{33E1DB25-49FC-40C1-8E42-BA4A05B5CDF4}"/>
    <cellStyle name="常规 28 3 2 3 2 2" xfId="2967" xr:uid="{42419F40-D01F-4235-94A9-7AB073DADC34}"/>
    <cellStyle name="常规 28 3 2 3 2 2 2" xfId="2968" xr:uid="{C5031805-880C-4368-AD0E-15C36840F619}"/>
    <cellStyle name="常规 28 3 2 3 2 3" xfId="515" xr:uid="{C7CD2784-D4CE-491B-B1E8-505954711AE6}"/>
    <cellStyle name="常规 28 3 2 3 3" xfId="2969" xr:uid="{6D64B4B6-593B-4265-8C16-3990EA6921BD}"/>
    <cellStyle name="常规 28 3 2 3 3 2" xfId="2970" xr:uid="{2C9133F9-E01C-4114-980E-F61C2BA2121C}"/>
    <cellStyle name="常规 28 3 2 3 4" xfId="660" xr:uid="{D582319B-59DE-415A-A867-E6C5ACDB6EEE}"/>
    <cellStyle name="常规 28 3 2 4" xfId="2971" xr:uid="{1BF4A963-5587-4564-971C-0BAF2A90CDB1}"/>
    <cellStyle name="常规 28 3 2 4 2" xfId="2972" xr:uid="{A0A0AE0C-D57D-45D8-B86C-43E76859555B}"/>
    <cellStyle name="常规 28 3 2 4 2 2" xfId="964" xr:uid="{ACA9384D-D115-49D5-BD45-9854E10719CC}"/>
    <cellStyle name="常规 28 3 2 4 3" xfId="2973" xr:uid="{27D14A09-C047-47BF-8EE1-4061B0FE417B}"/>
    <cellStyle name="常规 28 3 2 5" xfId="2974" xr:uid="{4B43C09F-F822-4209-941B-C52EAD805D82}"/>
    <cellStyle name="常规 28 3 2 5 2" xfId="2975" xr:uid="{05DF3D5F-D07E-4C39-B9DE-26810F268FF2}"/>
    <cellStyle name="常规 28 3 2 6" xfId="2976" xr:uid="{03F773CD-9C28-4D5B-A999-A994C1F443E8}"/>
    <cellStyle name="常规 28 3 3" xfId="2978" xr:uid="{54CCC616-F64A-4A50-AA4B-0ACEBF745B77}"/>
    <cellStyle name="常规 28 3 3 2" xfId="2980" xr:uid="{9BDEA1B9-44B5-4E93-9802-AF28CF426E9E}"/>
    <cellStyle name="常规 28 3 3 2 2" xfId="2982" xr:uid="{0ACE9524-8324-4D7F-8EE8-3945335DBBE4}"/>
    <cellStyle name="常规 28 3 3 2 2 2" xfId="2985" xr:uid="{6EFE25E6-15FD-4BB7-9003-6632B22702D4}"/>
    <cellStyle name="常规 28 3 3 2 3" xfId="2987" xr:uid="{A31B9D9C-0588-41B6-9B74-A47492DF1008}"/>
    <cellStyle name="常规 28 3 3 3" xfId="2989" xr:uid="{401E927F-A0E6-4CDF-A4C1-E9F47FB4D683}"/>
    <cellStyle name="常规 28 3 3 3 2" xfId="2991" xr:uid="{AD3B8A34-38BF-4A53-8997-43167AF8E986}"/>
    <cellStyle name="常规 28 3 3 4" xfId="2993" xr:uid="{082C8955-001D-4131-9932-049DC4839878}"/>
    <cellStyle name="常规 28 3 4" xfId="2558" xr:uid="{E99E4E73-0A55-45EE-8C38-10C15013E1D9}"/>
    <cellStyle name="常规 28 3 4 2" xfId="1495" xr:uid="{66CB0687-E8B5-4337-BEE8-01B2C120A0E0}"/>
    <cellStyle name="常规 28 3 4 2 2" xfId="2561" xr:uid="{AE69E59E-DD7F-4094-9217-6F093C7C1267}"/>
    <cellStyle name="常规 28 3 4 3" xfId="2564" xr:uid="{B6AED34A-C44F-45AE-863C-79416320DAAA}"/>
    <cellStyle name="常规 28 3 5" xfId="2567" xr:uid="{E7306DDB-0684-424A-A71E-85C7E9363363}"/>
    <cellStyle name="常规 28 3 5 2" xfId="2570" xr:uid="{8F5EBAF2-3946-41CB-AE78-F16715127791}"/>
    <cellStyle name="常规 28 3 6" xfId="2574" xr:uid="{77AC0B1A-59EE-4DF5-979E-C8EE577B0047}"/>
    <cellStyle name="常规 28 4" xfId="2418" xr:uid="{6729E01C-3132-4BCF-AB67-E65D458C0530}"/>
    <cellStyle name="常规 28 4 2" xfId="1531" xr:uid="{A3B6E269-A932-4B80-B173-9E81A7F3454E}"/>
    <cellStyle name="常规 28 4 2 2" xfId="1534" xr:uid="{7801E587-F34A-4E63-97A6-AFA9995E4CB0}"/>
    <cellStyle name="常规 28 4 2 2 2" xfId="1538" xr:uid="{3F4B7433-B885-4FCB-A3A1-E37596769EA6}"/>
    <cellStyle name="常规 28 4 2 3" xfId="227" xr:uid="{16164BE5-57B2-49F0-BA87-D6DB9AAD2F51}"/>
    <cellStyle name="常规 28 4 3" xfId="1547" xr:uid="{68707A62-CB97-4012-8BDE-C131B160BD2F}"/>
    <cellStyle name="常规 28 4 3 2" xfId="1550" xr:uid="{A72EB111-E285-4748-9C67-BBD9D52DCBE0}"/>
    <cellStyle name="常规 28 4 3 2 2" xfId="1552" xr:uid="{A08A4360-C903-46AC-832D-5ABD78F2E36A}"/>
    <cellStyle name="常规 28 4 3 2 2 2" xfId="2994" xr:uid="{8D1CAA45-1638-492E-9F29-FEAF25EA5E0F}"/>
    <cellStyle name="常规 28 4 3 2 3" xfId="2995" xr:uid="{92BB2AD7-9D6E-4C59-8A45-A069E63FDD55}"/>
    <cellStyle name="常规 28 4 3 3" xfId="418" xr:uid="{3DD9B940-36C8-4554-A097-09B16F9EB75B}"/>
    <cellStyle name="常规 28 4 3 3 2" xfId="2996" xr:uid="{73E66351-353F-4AF1-A648-D1C29F905C40}"/>
    <cellStyle name="常规 28 4 3 4" xfId="2997" xr:uid="{E0A26666-A3D1-40DB-B21B-6ACDF50915B4}"/>
    <cellStyle name="常规 28 4 4" xfId="76" xr:uid="{2847008F-0601-4F52-986A-4B92BC09E81F}"/>
    <cellStyle name="常规 28 4 4 2" xfId="1554" xr:uid="{F61D61A7-BB58-495F-A684-0E4205426895}"/>
    <cellStyle name="常规 28 4 4 2 2" xfId="2998" xr:uid="{EBD22134-E85E-4B27-9D4F-81C26C072316}"/>
    <cellStyle name="常规 28 4 4 3" xfId="2999" xr:uid="{70737932-A78A-4445-B598-7704ED7201D8}"/>
    <cellStyle name="常规 28 4 5" xfId="1557" xr:uid="{1224BECD-3966-4866-BDC5-E8290ADE1D2E}"/>
    <cellStyle name="常规 28 4 5 2" xfId="3000" xr:uid="{84F4D73B-291C-485A-B884-6C9A3B37573E}"/>
    <cellStyle name="常规 28 4 6" xfId="3001" xr:uid="{B7E5142D-472A-45D4-A6DC-F5AE8A296CCD}"/>
    <cellStyle name="常规 28 5" xfId="3003" xr:uid="{058A7EC7-5235-4D6A-9134-6CE02416757A}"/>
    <cellStyle name="常规 28 5 2" xfId="1571" xr:uid="{3EA3F047-14B3-4051-8410-A43107927E65}"/>
    <cellStyle name="常规 28 5 2 2" xfId="1575" xr:uid="{3CC7AFFC-76FA-47C9-B699-4F8EC30D72A4}"/>
    <cellStyle name="常规 28 5 2 2 2" xfId="1579" xr:uid="{CAB0DB21-3319-44AF-877D-3DE1B7F4D026}"/>
    <cellStyle name="常规 28 5 2 3" xfId="1584" xr:uid="{4DD0F330-B6A4-4271-B1E1-63A198FAD5DF}"/>
    <cellStyle name="常规 28 5 3" xfId="1592" xr:uid="{6F01D351-4D2C-432B-ABAE-027D900BBDD5}"/>
    <cellStyle name="常规 28 5 3 2" xfId="1054" xr:uid="{86B3DBDA-917F-4FFC-BD58-89EE2E63424C}"/>
    <cellStyle name="常规 28 5 3 2 2" xfId="1059" xr:uid="{4914AD28-790A-48D3-951A-E0D18AA031FD}"/>
    <cellStyle name="常规 28 5 3 2 2 2" xfId="3004" xr:uid="{A0FFCE55-AA12-4393-916D-30C612E33A13}"/>
    <cellStyle name="常规 28 5 3 2 3" xfId="1061" xr:uid="{78F787B2-804F-4EBE-A8B6-DB804BC3FE5E}"/>
    <cellStyle name="常规 28 5 3 3" xfId="445" xr:uid="{2671535D-3BA4-46B2-B8D7-213C29A446F3}"/>
    <cellStyle name="常规 28 5 3 3 2" xfId="3005" xr:uid="{63E7CA2F-27A8-4911-BF68-5A6AB8480659}"/>
    <cellStyle name="常规 28 5 3 4" xfId="3006" xr:uid="{4E4E0427-AE25-4646-99E1-FF868BAEA7B3}"/>
    <cellStyle name="常规 28 5 4" xfId="1595" xr:uid="{37578430-69F7-4F01-A6C2-47E314F8E7DD}"/>
    <cellStyle name="常规 28 5 4 2" xfId="1179" xr:uid="{AF9E19B1-4586-43BA-8F98-6042DD2AD46E}"/>
    <cellStyle name="常规 28 5 4 2 2" xfId="3007" xr:uid="{E0A1A7D5-A400-4530-A1CB-7F02918FFC94}"/>
    <cellStyle name="常规 28 5 4 3" xfId="3008" xr:uid="{5A55E7F7-428D-4D60-8143-E282E1DCBAAB}"/>
    <cellStyle name="常规 28 5 5" xfId="1598" xr:uid="{2E193B39-DE7B-44B2-911E-3EAE5B6B0544}"/>
    <cellStyle name="常规 28 5 5 2" xfId="3009" xr:uid="{9B397A87-225B-4350-B6CA-80046E7E18AD}"/>
    <cellStyle name="常规 28 5 6" xfId="3010" xr:uid="{CCBD9097-A900-4195-A562-2D002D009D60}"/>
    <cellStyle name="常规 28 6" xfId="3013" xr:uid="{D73029A0-631C-4F72-BEF9-241B05E8B3A2}"/>
    <cellStyle name="常规 28 6 2" xfId="1610" xr:uid="{8FADA0B6-DC2A-46CB-AC2E-2FE137129260}"/>
    <cellStyle name="常规 28 6 2 2" xfId="1613" xr:uid="{5AA90352-48AF-4CE3-A634-0D0E4A66F8A3}"/>
    <cellStyle name="常规 28 6 2 2 2" xfId="3014" xr:uid="{AAECC50F-B850-4F73-AC69-02B0D6FC0F3F}"/>
    <cellStyle name="常规 28 6 2 3" xfId="3015" xr:uid="{1842CCF9-D9C1-4A45-A83A-241461420369}"/>
    <cellStyle name="常规 28 6 3" xfId="233" xr:uid="{37AF7058-470B-4090-929C-97AEB28FC058}"/>
    <cellStyle name="常规 28 6 3 2" xfId="3016" xr:uid="{AC8CB0F5-5C4A-4DA9-8522-FA268A3EE814}"/>
    <cellStyle name="常规 28 6 4" xfId="3017" xr:uid="{50828654-5B14-4AD5-B926-DB8E8C2FA960}"/>
    <cellStyle name="常规 28 7" xfId="3020" xr:uid="{07A81F57-0044-42BB-B522-11D11706A64A}"/>
    <cellStyle name="常规 28 7 2" xfId="369" xr:uid="{FD565B11-2482-43D1-AB02-DD8D3CB9DA10}"/>
    <cellStyle name="常规 28 7 2 2" xfId="3021" xr:uid="{6EF71AAB-B8C5-4687-B5BF-78B773B389D0}"/>
    <cellStyle name="常规 28 7 3" xfId="3022" xr:uid="{5C3D1056-F612-42A3-B48F-023C7A34AA97}"/>
    <cellStyle name="常规 28 8" xfId="3024" xr:uid="{23E0D47A-4CE3-4F22-A31B-DA96EB00F7B0}"/>
    <cellStyle name="常规 28 8 2" xfId="187" xr:uid="{19188482-E240-4928-845B-C651AE744907}"/>
    <cellStyle name="常规 28 9" xfId="2428" xr:uid="{31A7119D-5C62-406B-BED4-0AA3FF680931}"/>
    <cellStyle name="常规 29" xfId="2764" xr:uid="{A5E34931-435B-4411-9A54-4C0F2943CD2E}"/>
    <cellStyle name="常规 29 2" xfId="3026" xr:uid="{BA1B16A2-0954-4A30-AC26-E9A3AC6AA58D}"/>
    <cellStyle name="常规 29 2 2" xfId="3028" xr:uid="{CECE70E3-D80D-48A2-9D77-FA91D61BE8A8}"/>
    <cellStyle name="常规 29 2 2 2" xfId="3032" xr:uid="{D5756565-BD74-4DE4-8CC0-CCDCEC92BB48}"/>
    <cellStyle name="常规 29 2 2 2 2" xfId="3038" xr:uid="{E04D07C2-3A8A-436E-8E7E-2ED92CC36EF9}"/>
    <cellStyle name="常规 29 2 2 3" xfId="2593" xr:uid="{1AAC4DF2-27D9-4C83-8C76-9AE035A72826}"/>
    <cellStyle name="常规 29 2 3" xfId="3040" xr:uid="{ABD8AD72-AF54-4B85-B6D4-805050BDE158}"/>
    <cellStyle name="常规 29 2 3 2" xfId="3044" xr:uid="{0DDBCBDE-FE3D-41F1-9C19-B273281CEE4B}"/>
    <cellStyle name="常规 29 2 3 2 2" xfId="3050" xr:uid="{DC98AA78-C4F1-407F-8649-1C071C99C5E3}"/>
    <cellStyle name="常规 29 2 3 2 2 2" xfId="3054" xr:uid="{938BA693-871B-41DD-9DD5-37BB14A88806}"/>
    <cellStyle name="常规 29 2 3 2 3" xfId="3058" xr:uid="{555A199E-C8AD-4D2E-998F-3259713CE597}"/>
    <cellStyle name="常规 29 2 3 3" xfId="3062" xr:uid="{D1747D4B-ED8E-4D6A-AC16-CC451B803345}"/>
    <cellStyle name="常规 29 2 3 3 2" xfId="3066" xr:uid="{BAD372C7-3254-43CE-857C-5220F644B87B}"/>
    <cellStyle name="常规 29 2 3 4" xfId="3069" xr:uid="{910C7A07-158F-4694-ABB8-14498373AAF7}"/>
    <cellStyle name="常规 29 2 4" xfId="2582" xr:uid="{E1E05A77-C7FB-4BF5-A151-5922CDC851CA}"/>
    <cellStyle name="常规 29 2 4 2" xfId="1647" xr:uid="{B548CB9C-7ABE-4D49-B0B7-4F18D0CEBEAB}"/>
    <cellStyle name="常规 29 2 4 2 2" xfId="3074" xr:uid="{CA53CBF1-CD69-421B-A8DC-6A066B8EC2A1}"/>
    <cellStyle name="常规 29 2 4 3" xfId="3077" xr:uid="{B2D9CB7F-FEF6-47C4-A989-F903FC9AF455}"/>
    <cellStyle name="常规 29 2 5" xfId="2586" xr:uid="{298B523B-4FC7-48E6-B99D-A5CAD40A0677}"/>
    <cellStyle name="常规 29 2 5 2" xfId="3080" xr:uid="{C907F373-D635-4E03-B7B3-DDC16A59B97A}"/>
    <cellStyle name="常规 29 2 6" xfId="3082" xr:uid="{0C893234-23A0-4647-99A4-E53E3A24B34D}"/>
    <cellStyle name="常规 29 3" xfId="3084" xr:uid="{C2201BFF-3D7D-4A40-9E85-B9BD25AFFE80}"/>
    <cellStyle name="常规 29 3 2" xfId="3086" xr:uid="{EEC6C954-43FF-42E1-AE85-6273501A2FD6}"/>
    <cellStyle name="常规 29 3 2 2" xfId="3090" xr:uid="{D6087F33-C970-492D-A8F2-1372569F4124}"/>
    <cellStyle name="常规 29 3 2 2 2" xfId="3094" xr:uid="{FFE66F63-0805-4D33-B9A4-0CCE996B6EA2}"/>
    <cellStyle name="常规 29 3 2 3" xfId="3098" xr:uid="{CF2E1B62-33B6-4F84-898E-6165D3CD13C3}"/>
    <cellStyle name="常规 29 3 3" xfId="3031" xr:uid="{2E8EAF69-ECDF-4BF7-9687-BC821047E7F6}"/>
    <cellStyle name="常规 29 3 3 2" xfId="3037" xr:uid="{14A0A33C-B8BC-4613-BDBE-7408E2B3044D}"/>
    <cellStyle name="常规 29 3 3 2 2" xfId="3101" xr:uid="{B75EE745-4CE1-41B0-97F0-384E0A5AECD4}"/>
    <cellStyle name="常规 29 3 3 2 2 2" xfId="3103" xr:uid="{8FC18313-4A57-47ED-93C8-D23C803B9688}"/>
    <cellStyle name="常规 29 3 3 2 3" xfId="3105" xr:uid="{CB7B2757-8B75-45CE-A67C-B06C8B479AE1}"/>
    <cellStyle name="常规 29 3 3 3" xfId="3108" xr:uid="{16F57C40-CD92-45DF-A808-E1EA8580286A}"/>
    <cellStyle name="常规 29 3 3 3 2" xfId="2504" xr:uid="{A985424F-880A-4AAD-887A-FE115096478D}"/>
    <cellStyle name="常规 29 3 3 4" xfId="3110" xr:uid="{F4826638-8011-43D4-89EA-0DB6FF7CD784}"/>
    <cellStyle name="常规 29 3 4" xfId="2592" xr:uid="{C7923BF2-F44F-4897-A1DA-EACA620977C1}"/>
    <cellStyle name="常规 29 3 4 2" xfId="1657" xr:uid="{3CD3A512-F471-4318-9467-3814C0CEB1AB}"/>
    <cellStyle name="常规 29 3 4 2 2" xfId="3113" xr:uid="{252741CB-8F71-4F80-840C-13A6A8DFF9C4}"/>
    <cellStyle name="常规 29 3 4 3" xfId="3116" xr:uid="{7912B404-55D5-4D23-A3BA-C3532BDD3838}"/>
    <cellStyle name="常规 29 3 5" xfId="3119" xr:uid="{75FC4799-F183-4AA8-8BF5-E795F891B1CA}"/>
    <cellStyle name="常规 29 3 5 2" xfId="3122" xr:uid="{28AE454B-FAAA-47CD-A244-EAC1A5CD334B}"/>
    <cellStyle name="常规 29 3 6" xfId="3125" xr:uid="{2BF69F3D-3C0A-4C17-8C59-AE04A2A9643C}"/>
    <cellStyle name="常规 29 4" xfId="3127" xr:uid="{CCC9E091-DC2A-4177-809E-D7E861AB0BD8}"/>
    <cellStyle name="常规 29 4 2" xfId="1198" xr:uid="{4E7DA79B-6D66-4497-A15B-491F53AB0CEA}"/>
    <cellStyle name="常规 29 4 2 2" xfId="280" xr:uid="{A80371E3-88E9-499E-B8CA-5CDD60632B48}"/>
    <cellStyle name="常规 29 4 2 2 2" xfId="3131" xr:uid="{8D1A9C9D-E716-468E-89F1-2797BEE97D52}"/>
    <cellStyle name="常规 29 4 2 3" xfId="286" xr:uid="{C2963EB3-63A6-48B1-8ED4-65620B12D5AF}"/>
    <cellStyle name="常规 29 4 3" xfId="3043" xr:uid="{5DA015B6-8E71-402D-9FD4-07BBD282A50C}"/>
    <cellStyle name="常规 29 4 3 2" xfId="3049" xr:uid="{8227442B-618E-48F6-9224-F4942175671D}"/>
    <cellStyle name="常规 29 4 4" xfId="3061" xr:uid="{5BE879F5-5D52-4CB9-B2C6-5E5CA954DCB2}"/>
    <cellStyle name="常规 29 5" xfId="3133" xr:uid="{17B1703D-87AB-4834-A179-0044692550FF}"/>
    <cellStyle name="常规 29 5 2" xfId="87" xr:uid="{73E9F0C0-A795-45D6-A2AC-44FE6C84CB10}"/>
    <cellStyle name="常规 29 5 2 2" xfId="1642" xr:uid="{CB862215-F40D-46A4-A5ED-D415B1429D57}"/>
    <cellStyle name="常规 29 5 3" xfId="1646" xr:uid="{8462E4DB-04BF-4201-A8DA-34AB973B029E}"/>
    <cellStyle name="常规 29 6" xfId="3136" xr:uid="{E6293834-6BEE-4895-91E5-EBF328CFD0B4}"/>
    <cellStyle name="常规 29 6 2" xfId="140" xr:uid="{45D9ABFD-82DA-43C5-A9EF-A5EB6E9864F7}"/>
    <cellStyle name="常规 29 7" xfId="3138" xr:uid="{AE0450B7-7471-4490-A87D-03FB14591DF1}"/>
    <cellStyle name="常规 3" xfId="8" xr:uid="{00000000-0005-0000-0000-000037000000}"/>
    <cellStyle name="常规 3 2" xfId="9" xr:uid="{00000000-0005-0000-0000-000038000000}"/>
    <cellStyle name="常规 3 2 2" xfId="36" xr:uid="{14AF0E2B-DA81-462E-9B62-BF21CA2CE652}"/>
    <cellStyle name="常规 3 2 2 2" xfId="3139" xr:uid="{3DE977A2-3278-49C5-84A8-D9A3674529F0}"/>
    <cellStyle name="常规 3 2 2 2 2" xfId="3140" xr:uid="{6CA2557C-F563-4830-A083-634A504D96D7}"/>
    <cellStyle name="常规 3 2 2 3" xfId="3141" xr:uid="{C21B7C00-B194-4891-9FCD-73E672436468}"/>
    <cellStyle name="常规 3 2 2 4" xfId="3142" xr:uid="{6AEE58C7-3BC0-4725-8A45-1F150CBBB9BB}"/>
    <cellStyle name="常规 3 2 3" xfId="19" xr:uid="{411334FB-4B7B-4D4E-B688-168C80C14959}"/>
    <cellStyle name="常规 3 2 3 2" xfId="3144" xr:uid="{4ED5620E-6C50-41C4-928C-C39AC5DD5052}"/>
    <cellStyle name="常规 3 2 3 2 2" xfId="595" xr:uid="{C5D3DD26-F3ED-4392-A16E-81E46DC986C4}"/>
    <cellStyle name="常规 3 2 3 2 2 2" xfId="600" xr:uid="{E10EA987-6277-4C89-8E1A-77B59F00F824}"/>
    <cellStyle name="常规 3 2 3 2 3" xfId="613" xr:uid="{96F177EB-A4C6-4B4E-BF63-103C7E32AA9A}"/>
    <cellStyle name="常规 3 2 3 3" xfId="3145" xr:uid="{CE4799FC-29F4-4DDD-B91A-70C604A12DB9}"/>
    <cellStyle name="常规 3 2 3 3 2" xfId="359" xr:uid="{6AC56927-F9AE-437D-B5B6-520A9E971DE2}"/>
    <cellStyle name="常规 3 2 3 4" xfId="3146" xr:uid="{79620BDB-E242-4C82-BD13-B30FB357FA2B}"/>
    <cellStyle name="常规 3 2 3 5" xfId="3143" xr:uid="{D1BD6C2D-9375-48CC-8B29-3F17819FAC3E}"/>
    <cellStyle name="常规 3 2 4" xfId="3147" xr:uid="{20A106BC-1D17-4167-AEB0-B8A28EC7EC1B}"/>
    <cellStyle name="常规 3 2 4 2" xfId="3148" xr:uid="{D451B5FA-36A6-4D93-9A91-3EEEF72DC8B5}"/>
    <cellStyle name="常规 3 2 4 2 2" xfId="709" xr:uid="{BFC21691-5425-4258-91C3-52F517587054}"/>
    <cellStyle name="常规 3 2 4 3" xfId="3149" xr:uid="{EF7F91A6-5B36-48D1-B1F5-EBBEB67A390D}"/>
    <cellStyle name="常规 3 2 5" xfId="3150" xr:uid="{4B8F0E52-9EC4-44C6-BD50-11C87180C081}"/>
    <cellStyle name="常规 3 2 5 2" xfId="3151" xr:uid="{692E22C3-C86B-421A-9E70-42F87F549030}"/>
    <cellStyle name="常规 3 2 6" xfId="3152" xr:uid="{0EA01D88-7E2C-421E-8F12-E857A181F37A}"/>
    <cellStyle name="常规 3 3" xfId="10" xr:uid="{00000000-0005-0000-0000-000039000000}"/>
    <cellStyle name="常规 3 3 2" xfId="57" xr:uid="{A2FB54F7-CDB9-4E88-B0F4-D37FC235C8B8}"/>
    <cellStyle name="常规 3 3 2 2" xfId="3153" xr:uid="{590B4733-30C8-4280-AA2E-3359A39EE702}"/>
    <cellStyle name="常规 3 3 2 2 2" xfId="3156" xr:uid="{00DBF9EF-D919-4910-8FCB-E8971D5132A2}"/>
    <cellStyle name="常规 3 3 2 3" xfId="3157" xr:uid="{4AAAAD95-9C24-47FD-AF94-64A7315D1E30}"/>
    <cellStyle name="常规 3 3 3" xfId="3158" xr:uid="{772ADB2A-50A6-4AB5-B5AD-AE82139B23A8}"/>
    <cellStyle name="常规 3 3 3 2" xfId="3159" xr:uid="{4205E674-7603-4B22-A810-830DBAAB7CA5}"/>
    <cellStyle name="常规 3 3 3 2 2" xfId="3160" xr:uid="{3EDA312E-F487-4B03-99BE-655E223D8C62}"/>
    <cellStyle name="常规 3 3 3 2 2 2" xfId="3161" xr:uid="{9F02F7A9-05B8-43C4-ABAE-3131D1C7C21B}"/>
    <cellStyle name="常规 3 3 3 2 3" xfId="3164" xr:uid="{53CB98BC-014C-4207-BF41-6B728B1E65F0}"/>
    <cellStyle name="常规 3 3 3 3" xfId="3165" xr:uid="{6B8DA80D-3CF9-48EA-A5D6-E43EB80CF351}"/>
    <cellStyle name="常规 3 3 3 3 2" xfId="2224" xr:uid="{DDFADF13-2EEC-4C45-A600-14A98021E7B4}"/>
    <cellStyle name="常规 3 3 3 4" xfId="3166" xr:uid="{6ABB1C9D-6A39-418D-BBF1-034F633D23F0}"/>
    <cellStyle name="常规 3 3 4" xfId="3167" xr:uid="{87AC2592-421B-45B0-AD60-140B99153724}"/>
    <cellStyle name="常规 3 3 4 2" xfId="3168" xr:uid="{54BD0240-84B7-4249-89DC-3C8C4341EE0B}"/>
    <cellStyle name="常规 3 3 4 2 2" xfId="3171" xr:uid="{FEC75432-3BFF-4DF0-A4FD-78EFBD92B200}"/>
    <cellStyle name="常规 3 3 4 3" xfId="3172" xr:uid="{9935AA7A-3C58-49AF-BCD4-28F71A6BE546}"/>
    <cellStyle name="常规 3 3 5" xfId="3173" xr:uid="{591F4ED0-7AFB-4753-92A1-959E947EAF6E}"/>
    <cellStyle name="常规 3 3 5 2" xfId="3174" xr:uid="{860F7A0D-8099-41ED-9598-812A4C95DB63}"/>
    <cellStyle name="常规 3 3 6" xfId="3175" xr:uid="{AA728C3A-9443-4949-B73B-6413858B7379}"/>
    <cellStyle name="常规 3 3 7" xfId="3176" xr:uid="{FE56FF44-6D1E-4B55-AA38-9EE72EA1398F}"/>
    <cellStyle name="常规 3 4" xfId="51" xr:uid="{EC61448B-8A65-4094-BD36-CEB1FDAAFB9B}"/>
    <cellStyle name="常规 3 4 2" xfId="3178" xr:uid="{4CA3BBE1-BB19-4D0A-AA33-E604AC377D1B}"/>
    <cellStyle name="常规 3 4 2 2" xfId="3179" xr:uid="{4EDBDBE5-3179-4254-8053-817D8BF421CF}"/>
    <cellStyle name="常规 3 4 2 2 2" xfId="3180" xr:uid="{215B8AC5-4D2F-416D-AD1D-2F4BA33A0865}"/>
    <cellStyle name="常规 3 4 2 3" xfId="3181" xr:uid="{03A61F7D-9607-4A18-A95A-22A586C758D4}"/>
    <cellStyle name="常规 3 4 3" xfId="79" xr:uid="{9F73324B-CCEB-4B4B-98FA-2CB05623053A}"/>
    <cellStyle name="常规 3 4 3 2" xfId="3182" xr:uid="{4640CDE2-FD27-48D7-95BF-E249EB4D00D4}"/>
    <cellStyle name="常规 3 4 3 2 2" xfId="1783" xr:uid="{C4C3B1FE-4E40-4F4A-9377-AAC887E68581}"/>
    <cellStyle name="常规 3 4 3 2 2 2" xfId="3183" xr:uid="{DCE0D46E-0731-410C-81C1-89C431DCC080}"/>
    <cellStyle name="常规 3 4 3 2 3" xfId="3186" xr:uid="{02488AE3-075B-49EC-9652-8C0607F797E5}"/>
    <cellStyle name="常规 3 4 3 3" xfId="3187" xr:uid="{D2D7E80A-5B84-4C23-8969-14F7134A8D10}"/>
    <cellStyle name="常规 3 4 3 3 2" xfId="2335" xr:uid="{019CBD45-0B0E-43D7-9ED4-1BAFB9F869FD}"/>
    <cellStyle name="常规 3 4 3 4" xfId="3188" xr:uid="{056A6994-4B07-40F4-8BBF-184E7AF888D3}"/>
    <cellStyle name="常规 3 4 4" xfId="3189" xr:uid="{BC8DDD90-AD80-42B8-8937-2AB5A495A11F}"/>
    <cellStyle name="常规 3 4 4 2" xfId="3190" xr:uid="{504DC817-B7A2-47B3-83AD-8DE0E2A5564C}"/>
    <cellStyle name="常规 3 4 4 2 2" xfId="216" xr:uid="{10C17719-88D5-4085-BEBB-32E373F4C063}"/>
    <cellStyle name="常规 3 4 4 3" xfId="3191" xr:uid="{AC7E1CA8-5AAE-469E-9FC3-F3F9BF4FED52}"/>
    <cellStyle name="常规 3 4 5" xfId="3192" xr:uid="{C051A40A-50DB-419B-AB6F-54675645FF42}"/>
    <cellStyle name="常规 3 4 5 2" xfId="886" xr:uid="{133A6548-ED4A-465D-AAB2-59FB3DF2DBC6}"/>
    <cellStyle name="常规 3 4 6" xfId="3193" xr:uid="{D9506FC0-A3AD-4838-8A2D-3F4491210A9E}"/>
    <cellStyle name="常规 3 4 7" xfId="3177" xr:uid="{BF36348C-EE55-48BF-936F-AAA3D554489F}"/>
    <cellStyle name="常规 3 5" xfId="3194" xr:uid="{FCBEDB0E-C459-4CB2-A3E4-3BF92CE09940}"/>
    <cellStyle name="常规 3 5 2" xfId="3195" xr:uid="{3E2149C8-6FB3-48AC-938A-A2E5389C03B2}"/>
    <cellStyle name="常规 3 5 2 2" xfId="1052" xr:uid="{1E2CED30-6BC4-474B-A924-C0D641208A9E}"/>
    <cellStyle name="常规 3 5 2 2 2" xfId="1057" xr:uid="{CC589056-0A1B-4C72-B4E1-986CFF25A22F}"/>
    <cellStyle name="常规 3 5 2 3" xfId="443" xr:uid="{D7A92A19-4D47-4EF0-A90C-FDBC4EB25D82}"/>
    <cellStyle name="常规 3 5 3" xfId="3196" xr:uid="{0169C6FF-E412-4AB3-AB4F-504B4FFD4B6B}"/>
    <cellStyle name="常规 3 5 3 2" xfId="1177" xr:uid="{3681B39A-0285-47D4-8600-F337C71DDED6}"/>
    <cellStyle name="常规 3 5 4" xfId="3197" xr:uid="{76334209-FD91-49DB-9355-527C50D9CC8C}"/>
    <cellStyle name="常规 3 6" xfId="241" xr:uid="{0626F151-D99C-4C5F-90A4-79E701FFE71B}"/>
    <cellStyle name="常规 3 6 2" xfId="230" xr:uid="{7B3BF9A9-1029-4F46-98ED-352EBD8A2107}"/>
    <cellStyle name="常规 3 6 2 2" xfId="274" xr:uid="{8EA35CAF-F873-4A57-9CE0-241B49BD5928}"/>
    <cellStyle name="常规 3 6 3" xfId="94" xr:uid="{C8716133-30F0-4AEE-91FD-5F288660709A}"/>
    <cellStyle name="常规 3 6 3 2" xfId="3198" xr:uid="{A6B51E45-99D9-4649-9AB6-0CC97443DC81}"/>
    <cellStyle name="常规 3 6 4" xfId="235" xr:uid="{E5AD4660-F62B-4FA0-9FFE-12DAE32E1788}"/>
    <cellStyle name="常规 3 7" xfId="1801" xr:uid="{8735205E-65FB-4DE5-A76C-E980708351D4}"/>
    <cellStyle name="常规 3 7 2" xfId="421" xr:uid="{EA15B569-3634-4B62-9C7E-ACCA65797AED}"/>
    <cellStyle name="常规 3 8" xfId="1804" xr:uid="{0865D627-7C8F-4A5A-83B1-DF838C52285D}"/>
    <cellStyle name="常规 30" xfId="2533" xr:uid="{A079EDEF-3C3D-415F-972F-E96209141D95}"/>
    <cellStyle name="常规 30 2" xfId="2537" xr:uid="{3B0C657B-25C8-4943-B404-6E60C80A41A0}"/>
    <cellStyle name="常规 30 2 2" xfId="2436" xr:uid="{CB912F93-B30C-4227-97B7-C5CA5BFCFC8F}"/>
    <cellStyle name="常规 30 2 2 2" xfId="2540" xr:uid="{E7ACBA0C-993A-44F3-BCDD-0E71EA587B28}"/>
    <cellStyle name="常规 30 2 2 2 2" xfId="2425" xr:uid="{AF4D2EF8-0E1C-4079-A9BA-2293686D5359}"/>
    <cellStyle name="常规 30 2 2 2 2 2" xfId="253" xr:uid="{97442BC1-BA93-4FEB-97C0-4CED13B88C2E}"/>
    <cellStyle name="常规 30 2 2 2 3" xfId="1873" xr:uid="{EFBD6311-F7F6-402E-9C84-79BA56D59699}"/>
    <cellStyle name="常规 30 2 2 3" xfId="1586" xr:uid="{F0AFC05A-2300-4A28-8BBA-E12A5A55E0EE}"/>
    <cellStyle name="常规 30 2 2 3 2" xfId="2452" xr:uid="{1FF24ADD-0B0F-4617-9A11-11592C043733}"/>
    <cellStyle name="常规 30 2 2 3 2 2" xfId="1302" xr:uid="{DBC5E66A-E4A3-4434-8770-E9635DDF962E}"/>
    <cellStyle name="常规 30 2 2 3 2 2 2" xfId="2457" xr:uid="{67D525E7-7B94-4918-B747-77B68BC68BD1}"/>
    <cellStyle name="常规 30 2 2 3 2 3" xfId="502" xr:uid="{77A2C887-C43F-42F9-8FA9-10917A3AB1E0}"/>
    <cellStyle name="常规 30 2 2 3 3" xfId="2465" xr:uid="{7AF2A464-1C38-4A71-AACB-1AB9AD600721}"/>
    <cellStyle name="常规 30 2 2 3 3 2" xfId="2470" xr:uid="{05A4DFF7-F582-4773-A5C2-BD161B669631}"/>
    <cellStyle name="常规 30 2 2 3 4" xfId="2478" xr:uid="{CF247F4A-62B7-46DB-AAA7-9E6F35D273C8}"/>
    <cellStyle name="常规 30 2 2 4" xfId="2542" xr:uid="{D9E7A571-23A4-4B78-BDE3-BB818153E588}"/>
    <cellStyle name="常规 30 2 2 4 2" xfId="2488" xr:uid="{C3B3085A-65F3-48E2-AE56-FE3D97923BAB}"/>
    <cellStyle name="常规 30 2 2 4 2 2" xfId="2492" xr:uid="{678C42FA-F930-453F-A748-27700470C20C}"/>
    <cellStyle name="常规 30 2 2 4 3" xfId="2495" xr:uid="{858604F2-BCB1-4937-88E5-1876B4B2D811}"/>
    <cellStyle name="常规 30 2 2 5" xfId="871" xr:uid="{D91C67EE-EC73-4EB8-9AEA-97ED2E845A14}"/>
    <cellStyle name="常规 30 2 2 5 2" xfId="1255" xr:uid="{15A116C0-2D3A-4481-9DF8-14B40DACDCAC}"/>
    <cellStyle name="常规 30 2 2 6" xfId="902" xr:uid="{5B19F6CE-5704-4C7D-AD26-36C1D5FC061A}"/>
    <cellStyle name="常规 30 2 3" xfId="2440" xr:uid="{66476746-1F7A-479E-AFF7-A97048DF0E9A}"/>
    <cellStyle name="常规 30 2 3 2" xfId="2544" xr:uid="{23649B78-9C25-4B5D-AD16-D5317B71A9DA}"/>
    <cellStyle name="常规 30 2 3 2 2" xfId="2547" xr:uid="{99518410-04A6-4C61-9CAD-496EA6F77C35}"/>
    <cellStyle name="常规 30 2 3 2 2 2" xfId="1453" xr:uid="{2E978420-727E-4A98-9EF9-A355518DE126}"/>
    <cellStyle name="常规 30 2 3 2 3" xfId="2551" xr:uid="{65E05D86-F234-41E2-992A-210ACA0FD561}"/>
    <cellStyle name="常规 30 2 3 3" xfId="2554" xr:uid="{ADF72FBB-C597-4948-BF05-AC70147DB185}"/>
    <cellStyle name="常规 30 2 3 3 2" xfId="2557" xr:uid="{C0C33EF6-ACA5-4680-8087-88A496C489C4}"/>
    <cellStyle name="常规 30 2 3 4" xfId="2576" xr:uid="{02AF94C4-0FFF-4B3B-8962-E841406F42AC}"/>
    <cellStyle name="常规 30 2 4" xfId="2430" xr:uid="{DE4AA2C9-0E92-4AAA-8654-3649B428CAA2}"/>
    <cellStyle name="常规 30 2 4 2" xfId="212" xr:uid="{B997761D-9167-4677-A152-BA23870FB593}"/>
    <cellStyle name="常规 30 2 4 2 2" xfId="2581" xr:uid="{BD9C68E7-3185-49B8-BDDB-6A836866A7E9}"/>
    <cellStyle name="常规 30 2 4 3" xfId="2588" xr:uid="{3F9BC52C-0FC5-49C8-9487-D18FA5F304CF}"/>
    <cellStyle name="常规 30 2 5" xfId="1734" xr:uid="{16B1E671-AB87-413A-BB54-B5F0D49FF994}"/>
    <cellStyle name="常规 30 2 5 2" xfId="1809" xr:uid="{F7B87D57-87D3-4E83-9390-DFE0A867AC9D}"/>
    <cellStyle name="常规 30 2 6" xfId="715" xr:uid="{EE5FC086-F760-411A-8217-C590A4407C4E}"/>
    <cellStyle name="常规 30 3" xfId="1476" xr:uid="{F4CA0FB9-6857-4958-A2AE-A0A43B7FEE5B}"/>
    <cellStyle name="常规 30 3 2" xfId="2600" xr:uid="{997F4D16-82C6-438E-9210-541167AB69EA}"/>
    <cellStyle name="常规 30 3 2 2" xfId="2602" xr:uid="{CE792D9E-04D2-4A4C-8C2E-F04900561869}"/>
    <cellStyle name="常规 30 3 2 2 2" xfId="2604" xr:uid="{B5920DD7-D6B8-471B-A221-82B12D576722}"/>
    <cellStyle name="常规 30 3 2 3" xfId="995" xr:uid="{42D06E41-004C-4EDB-8463-EABFF750C9EE}"/>
    <cellStyle name="常规 30 3 3" xfId="2606" xr:uid="{EA67E723-2F12-424F-81F1-36A882532C63}"/>
    <cellStyle name="常规 30 3 3 2" xfId="2608" xr:uid="{76A96D29-27E3-4642-A494-52FCF2D31C9A}"/>
    <cellStyle name="常规 30 3 3 2 2" xfId="2610" xr:uid="{5A6F84E7-9AB0-4D0C-BE14-BC32C72FA1D6}"/>
    <cellStyle name="常规 30 3 3 2 2 2" xfId="2614" xr:uid="{A9D701B2-1B09-4CA6-AC80-257F4AE1D8A3}"/>
    <cellStyle name="常规 30 3 3 2 3" xfId="2616" xr:uid="{E63E509B-09A6-4C0E-95D2-89EDC86B54F3}"/>
    <cellStyle name="常规 30 3 3 3" xfId="2618" xr:uid="{13DE97C1-8078-4A4A-9893-9DA6BCCE0CE3}"/>
    <cellStyle name="常规 30 3 3 3 2" xfId="124" xr:uid="{8E67349F-A929-4E53-9938-CEDFA4BC18AB}"/>
    <cellStyle name="常规 30 3 3 4" xfId="1088" xr:uid="{79DCB08F-1D54-40C2-837E-125F51589533}"/>
    <cellStyle name="常规 30 3 4" xfId="2620" xr:uid="{FF67F14B-3C39-40C6-A8E0-A9823B20B046}"/>
    <cellStyle name="常规 30 3 4 2" xfId="1004" xr:uid="{2102CB5E-C5E4-4726-BF47-8B31EC799EFD}"/>
    <cellStyle name="常规 30 3 4 2 2" xfId="2622" xr:uid="{33A64942-C0C9-43D9-B375-59131A925509}"/>
    <cellStyle name="常规 30 3 4 3" xfId="2624" xr:uid="{E3A486ED-C6CE-49D9-87D5-99C6328495F3}"/>
    <cellStyle name="常规 30 3 5" xfId="1814" xr:uid="{1DF0E323-8D52-4A76-A12E-630B5BACF96B}"/>
    <cellStyle name="常规 30 3 5 2" xfId="2626" xr:uid="{86FB6601-C269-4040-9A39-DE3FD52B97F7}"/>
    <cellStyle name="常规 30 3 6" xfId="730" xr:uid="{C78EE8D3-547B-4255-A274-3D3AF554971A}"/>
    <cellStyle name="常规 30 4" xfId="2628" xr:uid="{EB86B291-76CD-4265-979E-BD469C1DA454}"/>
    <cellStyle name="常规 30 4 2" xfId="2630" xr:uid="{A99FF839-223F-463F-88AA-DF0B12C10242}"/>
    <cellStyle name="常规 30 4 2 2" xfId="2634" xr:uid="{DF78C408-8C2E-4A77-B7F4-91A317B274AD}"/>
    <cellStyle name="常规 30 4 2 2 2" xfId="2636" xr:uid="{3ED4771C-DA5A-40EB-823C-0E7BBCCB3E0F}"/>
    <cellStyle name="常规 30 4 2 3" xfId="2638" xr:uid="{C09F5755-335D-4EB8-853C-67097FCE0E6C}"/>
    <cellStyle name="常规 30 4 3" xfId="2641" xr:uid="{039F600E-AB7D-443E-8A72-C14E81B8DD5D}"/>
    <cellStyle name="常规 30 4 3 2" xfId="2643" xr:uid="{DCA206F9-5AB9-4915-8DA6-05FAB1A56A57}"/>
    <cellStyle name="常规 30 4 3 2 2" xfId="2645" xr:uid="{C3FD68B2-3A3E-41D8-9D85-40F873063413}"/>
    <cellStyle name="常规 30 4 3 2 2 2" xfId="2064" xr:uid="{78EB4135-7E5F-444F-8496-B95E0857B527}"/>
    <cellStyle name="常规 30 4 3 2 3" xfId="2647" xr:uid="{A8143926-E8FD-4882-827E-46810E56924E}"/>
    <cellStyle name="常规 30 4 3 3" xfId="2649" xr:uid="{290CDF56-D487-4CA9-B676-C0E049B721D2}"/>
    <cellStyle name="常规 30 4 3 3 2" xfId="2651" xr:uid="{0D1EF802-9C63-4DD8-8CED-B55729F0987B}"/>
    <cellStyle name="常规 30 4 3 4" xfId="2653" xr:uid="{165DE451-5D5B-4C9C-8D45-5D69D3F14E8C}"/>
    <cellStyle name="常规 30 4 4" xfId="2655" xr:uid="{DFD3981B-901B-45D4-8509-EFCA6CD9C3A2}"/>
    <cellStyle name="常规 30 4 4 2" xfId="689" xr:uid="{8624D155-726F-4CC8-A6BE-03C02E8F184E}"/>
    <cellStyle name="常规 30 4 4 2 2" xfId="2657" xr:uid="{C31556C3-00D0-4C8D-8E44-A481F8A97328}"/>
    <cellStyle name="常规 30 4 4 3" xfId="2659" xr:uid="{FACEF679-FEBE-4D7E-9189-D4E5217204C5}"/>
    <cellStyle name="常规 30 4 5" xfId="2661" xr:uid="{22732577-3397-4E2C-AB89-E45C99A92E8A}"/>
    <cellStyle name="常规 30 4 5 2" xfId="2663" xr:uid="{63D17E77-AF04-4B23-BBCD-B030F0E3A522}"/>
    <cellStyle name="常规 30 4 6" xfId="119" xr:uid="{72F9C471-7C5F-45EB-97CF-1C50C6C7F7E6}"/>
    <cellStyle name="常规 30 5" xfId="2665" xr:uid="{E9F423FB-0DB1-4983-A4C3-49D5EB6D6CF5}"/>
    <cellStyle name="常规 30 5 2" xfId="2668" xr:uid="{BC034695-3EF6-476A-BABF-5BC0DE546865}"/>
    <cellStyle name="常规 30 5 2 2" xfId="2670" xr:uid="{7321A1B1-8ED0-4E24-946E-94DDE878C899}"/>
    <cellStyle name="常规 30 5 2 2 2" xfId="2672" xr:uid="{D500E42D-743A-41B9-8EE7-8BD0DDECC1B2}"/>
    <cellStyle name="常规 30 5 2 3" xfId="2674" xr:uid="{659E896A-5EBE-478B-9B12-17EE6B8EDA53}"/>
    <cellStyle name="常规 30 5 3" xfId="2676" xr:uid="{DFF3133D-B149-4D96-AC10-B77DAE13CB80}"/>
    <cellStyle name="常规 30 5 3 2" xfId="2678" xr:uid="{AB5066B2-EA23-4E3D-8BEA-CB94F78BE0E6}"/>
    <cellStyle name="常规 30 5 4" xfId="2680" xr:uid="{2808B5A6-2A3F-421B-9215-6F2E6F0A2987}"/>
    <cellStyle name="常规 30 6" xfId="631" xr:uid="{48855091-4348-437B-9306-7FDD091A46F0}"/>
    <cellStyle name="常规 30 6 2" xfId="636" xr:uid="{59A3A54E-4B0E-4E20-A42F-EED219957AB2}"/>
    <cellStyle name="常规 30 6 2 2" xfId="2682" xr:uid="{DB63FD56-A018-4979-B81A-1676749EB526}"/>
    <cellStyle name="常规 30 6 3" xfId="2686" xr:uid="{597DF583-C7BC-42F1-9D97-A529696E7635}"/>
    <cellStyle name="常规 30 7" xfId="639" xr:uid="{275A6BE8-4453-4609-B1A6-D45EEB0C9B5F}"/>
    <cellStyle name="常规 30 7 2" xfId="2690" xr:uid="{B651391A-2EDA-43A3-A6C8-4E85C6841665}"/>
    <cellStyle name="常规 30 8" xfId="2693" xr:uid="{AD927BF0-BC2C-4F38-8ADE-7823EAF7441D}"/>
    <cellStyle name="常规 31" xfId="2696" xr:uid="{F71AA0BA-EA6C-43AA-83A6-A6B30EA970F8}"/>
    <cellStyle name="常规 31 2" xfId="82" xr:uid="{EA8F2906-B632-49ED-AE37-362C160A550D}"/>
    <cellStyle name="常规 31 2 2" xfId="2699" xr:uid="{6CF8D413-9B9C-42A4-8FAE-71E39F267BBB}"/>
    <cellStyle name="常规 31 2 2 2" xfId="2702" xr:uid="{1D18C9B3-33AC-48BC-925C-9D3EB59F322C}"/>
    <cellStyle name="常规 31 2 2 2 2" xfId="2705" xr:uid="{FE305476-55D3-40B7-AFFD-D80019ED535F}"/>
    <cellStyle name="常规 31 2 2 2 2 2" xfId="2707" xr:uid="{2C306BB8-5E86-4B7D-8630-AB879333777A}"/>
    <cellStyle name="常规 31 2 2 2 3" xfId="1398" xr:uid="{837D1302-33D6-4947-87C3-D46C91CE70F0}"/>
    <cellStyle name="常规 31 2 2 3" xfId="2710" xr:uid="{8C18B826-AF14-40A1-A470-D7409C189980}"/>
    <cellStyle name="常规 31 2 2 3 2" xfId="2712" xr:uid="{E1AA465C-2365-4DD6-853E-351A8D448BE9}"/>
    <cellStyle name="常规 31 2 2 3 2 2" xfId="2714" xr:uid="{9D6CD405-2128-4E59-9854-3292A186AE1A}"/>
    <cellStyle name="常规 31 2 2 3 2 2 2" xfId="2716" xr:uid="{F1243CB2-64CF-4651-B19A-37891759E683}"/>
    <cellStyle name="常规 31 2 2 3 2 3" xfId="2718" xr:uid="{83040023-3F8D-4EEE-9752-595C1E5C9A31}"/>
    <cellStyle name="常规 31 2 2 3 3" xfId="1407" xr:uid="{7531E7BF-2F7A-4AFE-A383-7C9493C70852}"/>
    <cellStyle name="常规 31 2 2 3 3 2" xfId="2720" xr:uid="{036A5802-95C8-464C-A233-6260C3727B2A}"/>
    <cellStyle name="常规 31 2 2 3 4" xfId="2723" xr:uid="{4475D1BD-E01B-4D02-BB36-7F9A42BD9558}"/>
    <cellStyle name="常规 31 2 2 4" xfId="2725" xr:uid="{2FC1E384-4714-4B5C-B3CA-B61A10B93EC3}"/>
    <cellStyle name="常规 31 2 2 4 2" xfId="2727" xr:uid="{417793E6-F21E-4D77-A8B6-1A2FA96E9D77}"/>
    <cellStyle name="常规 31 2 2 4 2 2" xfId="2729" xr:uid="{B18DD582-FFF8-48C8-B35C-E95BA011C190}"/>
    <cellStyle name="常规 31 2 2 4 3" xfId="2731" xr:uid="{8F6F7BBF-518B-466A-B870-7FA5101E19BA}"/>
    <cellStyle name="常规 31 2 2 5" xfId="2733" xr:uid="{4C7F3E15-505F-464A-855C-69739C7551D8}"/>
    <cellStyle name="常规 31 2 2 5 2" xfId="2736" xr:uid="{EC8201DF-242E-4B5C-9A90-B82152E4DFA7}"/>
    <cellStyle name="常规 31 2 2 6" xfId="1402" xr:uid="{330B607D-63B1-421A-BE3A-A667A7326E85}"/>
    <cellStyle name="常规 31 2 3" xfId="2738" xr:uid="{31F82E09-F954-4B31-AE1B-239AB051A517}"/>
    <cellStyle name="常规 31 2 3 2" xfId="2532" xr:uid="{2E9AC3B8-DA03-49C4-98AD-EA1714AF44C2}"/>
    <cellStyle name="常规 31 2 3 2 2" xfId="2536" xr:uid="{ABE25973-C667-4DBE-AF0B-F068BE25EC00}"/>
    <cellStyle name="常规 31 2 3 2 2 2" xfId="2435" xr:uid="{6FF6E156-95BF-4F06-8D6D-C7A9E39344DA}"/>
    <cellStyle name="常规 31 2 3 2 3" xfId="1475" xr:uid="{5BE40626-E43D-464B-A46B-1FCD85485748}"/>
    <cellStyle name="常规 31 2 3 3" xfId="2695" xr:uid="{08152708-1716-4E05-887D-3C75DB66FBB5}"/>
    <cellStyle name="常规 31 2 3 3 2" xfId="81" xr:uid="{05B9E75F-9A47-4936-AD6B-0523244D8498}"/>
    <cellStyle name="常规 31 2 3 4" xfId="2745" xr:uid="{A23C5A63-B68C-4444-B121-D18600304348}"/>
    <cellStyle name="常规 31 2 4" xfId="2766" xr:uid="{777B64C0-8424-463D-B74A-C7FF3F229960}"/>
    <cellStyle name="常规 31 2 4 2" xfId="830" xr:uid="{4A830A52-6B0A-4912-ACFA-C40D97B88603}"/>
    <cellStyle name="常规 31 2 4 2 2" xfId="2768" xr:uid="{BE1775C6-4D49-4980-9D22-997BF1DF1B9C}"/>
    <cellStyle name="常规 31 2 4 3" xfId="2770" xr:uid="{D04A5778-20EC-48F9-B846-DF41FD4869CB}"/>
    <cellStyle name="常规 31 2 5" xfId="2773" xr:uid="{57F2493A-85A8-4BF6-8045-5271064BC288}"/>
    <cellStyle name="常规 31 2 5 2" xfId="2775" xr:uid="{9DDDFEA2-5854-4AE7-B925-177373FE070A}"/>
    <cellStyle name="常规 31 2 6" xfId="2371" xr:uid="{CE9F79D5-C5B6-403B-8535-AF201C3782AF}"/>
    <cellStyle name="常规 31 3" xfId="195" xr:uid="{ECD4BB58-80BB-4B7F-9C6D-26742110F212}"/>
    <cellStyle name="常规 31 3 2" xfId="2741" xr:uid="{AA3EC6E6-506E-480E-837A-36888DA7658C}"/>
    <cellStyle name="常规 31 3 2 2" xfId="2779" xr:uid="{C070749B-F296-43BA-B58C-3F0198CC6FA1}"/>
    <cellStyle name="常规 31 3 2 2 2" xfId="2781" xr:uid="{1A6BDAB4-2921-4426-BF94-B0C791743494}"/>
    <cellStyle name="常规 31 3 2 3" xfId="2783" xr:uid="{2C82E096-C608-43D4-9F7B-77BCD6CF4010}"/>
    <cellStyle name="常规 31 3 3" xfId="2785" xr:uid="{860CD8E6-8754-4821-940D-4FF59895FE0C}"/>
    <cellStyle name="常规 31 3 3 2" xfId="2787" xr:uid="{244209B7-AECD-43D9-9FDD-5343A08A189F}"/>
    <cellStyle name="常规 31 3 3 2 2" xfId="2789" xr:uid="{EFD42E82-4772-4D46-B70F-C0AC1946132D}"/>
    <cellStyle name="常规 31 3 3 2 2 2" xfId="2791" xr:uid="{FEAEEFF3-F6BC-4BBB-A669-8C6B3582ECA4}"/>
    <cellStyle name="常规 31 3 3 2 3" xfId="471" xr:uid="{A6189F43-D1D5-4810-BCBD-B3078D06A1F4}"/>
    <cellStyle name="常规 31 3 3 3" xfId="2793" xr:uid="{3950302E-DD0A-42E3-A87F-A75472516887}"/>
    <cellStyle name="常规 31 3 3 3 2" xfId="492" xr:uid="{993007AA-57A0-488F-8636-C625077C8164}"/>
    <cellStyle name="常规 31 3 3 4" xfId="2795" xr:uid="{C7CB390B-0985-4A84-AD06-6CA69382EEFE}"/>
    <cellStyle name="常规 31 3 4" xfId="2797" xr:uid="{C76DFD12-2165-4B73-8CEB-C562017E8072}"/>
    <cellStyle name="常规 31 3 4 2" xfId="1164" xr:uid="{03E3BFC6-F5E3-4304-9A04-3CD61EF66FD8}"/>
    <cellStyle name="常规 31 3 4 2 2" xfId="2799" xr:uid="{179AD631-BD4E-47E6-B8AC-A373097E29F3}"/>
    <cellStyle name="常规 31 3 4 3" xfId="2801" xr:uid="{3C2FB57C-6BCD-462D-B31A-D6E181E39E0F}"/>
    <cellStyle name="常规 31 3 5" xfId="2803" xr:uid="{F43C360D-C99A-45FE-A257-E5E963A6B979}"/>
    <cellStyle name="常规 31 3 5 2" xfId="2805" xr:uid="{538D3D74-EE4F-480A-982F-7B3CB3AFC5C8}"/>
    <cellStyle name="常规 31 3 6" xfId="2385" xr:uid="{A6AAA5E8-5776-487D-B133-A497CC47E0A1}"/>
    <cellStyle name="常规 31 4" xfId="202" xr:uid="{A0CE8E3D-60BA-4712-920A-56FF2D98D50E}"/>
    <cellStyle name="常规 31 4 2" xfId="2807" xr:uid="{25D35766-28F9-4557-B826-62A01559ECBA}"/>
    <cellStyle name="常规 31 4 2 2" xfId="2810" xr:uid="{8F6473C2-0606-4632-95D6-02D12C649115}"/>
    <cellStyle name="常规 31 4 2 2 2" xfId="2812" xr:uid="{5E6E7DE4-680F-45BC-92C5-CD9AC0DEE4E1}"/>
    <cellStyle name="常规 31 4 2 3" xfId="2814" xr:uid="{B96BF46A-9F7D-4DBC-944B-CFEF0CA37C40}"/>
    <cellStyle name="常规 31 4 3" xfId="2817" xr:uid="{96FF8307-2C4E-414D-ADD9-FBD758AED79F}"/>
    <cellStyle name="常规 31 4 3 2" xfId="2820" xr:uid="{FC1EDF41-3548-487E-A3EF-88CADCE0533E}"/>
    <cellStyle name="常规 31 4 4" xfId="2827" xr:uid="{3D5FAE4E-F8C3-4C2A-B9D9-25F1D91F2054}"/>
    <cellStyle name="常规 31 5" xfId="218" xr:uid="{E228830D-A277-4F89-8919-0548D1329767}"/>
    <cellStyle name="常规 31 5 2" xfId="2043" xr:uid="{73F651DC-DFA1-42C9-A74C-FDEC21255369}"/>
    <cellStyle name="常规 31 5 2 2" xfId="2835" xr:uid="{9B84CF55-4CF3-440A-B941-001F2E7AF64F}"/>
    <cellStyle name="常规 31 5 3" xfId="2842" xr:uid="{6CC7E5E6-CB14-4A6B-B5B1-082606469DEE}"/>
    <cellStyle name="常规 31 6" xfId="645" xr:uid="{B4D7F985-F9B1-47A8-9094-133BD2E73015}"/>
    <cellStyle name="常规 31 6 2" xfId="1326" xr:uid="{CD9941C4-B52C-47D1-8AA3-C0A44E94EA12}"/>
    <cellStyle name="常规 31 7" xfId="2846" xr:uid="{342260B6-65B8-4650-A1FA-C5DB79C148FC}"/>
    <cellStyle name="常规 32" xfId="2744" xr:uid="{CC09FD25-7964-4AE5-A88C-20110B8929D5}"/>
    <cellStyle name="常规 32 2" xfId="2748" xr:uid="{6432FAB8-F0DB-478D-9634-E6CBB5406E16}"/>
    <cellStyle name="常规 32 2 2" xfId="2751" xr:uid="{42408B00-300F-4D8A-8DB9-F9A02E616C6D}"/>
    <cellStyle name="常规 32 2 2 2" xfId="2850" xr:uid="{6319A14D-0E0C-45BA-A794-AA32A6BFA40C}"/>
    <cellStyle name="常规 32 2 2 2 2" xfId="2853" xr:uid="{A0C25138-00F4-4883-9878-7ED0BB0662FD}"/>
    <cellStyle name="常规 32 2 2 2 2 2" xfId="3199" xr:uid="{F8B130EF-0231-45ED-B510-7370F2553B1C}"/>
    <cellStyle name="常规 32 2 2 2 3" xfId="3200" xr:uid="{3AF84D07-F03F-4F15-8723-2D5A5152F1DA}"/>
    <cellStyle name="常规 32 2 2 3" xfId="389" xr:uid="{FE77428C-2CBA-4895-A189-4F7F7F7280EE}"/>
    <cellStyle name="常规 32 2 2 3 2" xfId="151" xr:uid="{29D62B69-B9BD-422D-9492-132881E62B60}"/>
    <cellStyle name="常规 32 2 2 3 2 2" xfId="3201" xr:uid="{DFF30627-C800-4565-B1E1-00E46A287A88}"/>
    <cellStyle name="常规 32 2 2 3 2 2 2" xfId="3202" xr:uid="{6442CEAB-3B80-4005-A2A0-11FA325BD4A9}"/>
    <cellStyle name="常规 32 2 2 3 2 3" xfId="272" xr:uid="{03456AB2-9AF0-4CCC-889B-4937056C3735}"/>
    <cellStyle name="常规 32 2 2 3 3" xfId="3203" xr:uid="{B26EBFF3-497E-4171-BC09-B1A0C580A4B7}"/>
    <cellStyle name="常规 32 2 2 3 3 2" xfId="3204" xr:uid="{1033D61D-5283-4458-A430-64EBF4D43A40}"/>
    <cellStyle name="常规 32 2 2 3 4" xfId="3206" xr:uid="{BD26C9D2-D6B1-4747-882C-586013515F35}"/>
    <cellStyle name="常规 32 2 2 4" xfId="395" xr:uid="{51A512D9-9AE2-4BE2-8650-C870B9C1A903}"/>
    <cellStyle name="常规 32 2 2 4 2" xfId="3207" xr:uid="{25334730-F5C7-4E6D-87A8-1379258CA228}"/>
    <cellStyle name="常规 32 2 2 4 2 2" xfId="3208" xr:uid="{03780F47-680F-4489-8B5B-CDE7D92079F1}"/>
    <cellStyle name="常规 32 2 2 4 3" xfId="3209" xr:uid="{0A73B406-6193-43C2-8639-4341FCCA7501}"/>
    <cellStyle name="常规 32 2 2 5" xfId="3210" xr:uid="{275C2369-D939-48EC-B566-D662224E7FEA}"/>
    <cellStyle name="常规 32 2 2 5 2" xfId="3211" xr:uid="{65649162-CC7E-48AE-96C5-D35A055C37CC}"/>
    <cellStyle name="常规 32 2 2 6" xfId="367" xr:uid="{7B718E8F-3FD5-4BC2-BFAD-8B4D2AECC088}"/>
    <cellStyle name="常规 32 2 3" xfId="2856" xr:uid="{59E5D85F-2A46-4390-BEDB-5E7370D7B74D}"/>
    <cellStyle name="常规 32 2 3 2" xfId="2858" xr:uid="{B32C474F-4B85-4550-AF94-DECB389F3E72}"/>
    <cellStyle name="常规 32 2 3 2 2" xfId="2860" xr:uid="{D247FE9A-3F21-467F-AEDE-F41D702F261E}"/>
    <cellStyle name="常规 32 2 3 2 2 2" xfId="2862" xr:uid="{3D1B8508-AA81-4E93-AF35-A99E775F49FF}"/>
    <cellStyle name="常规 32 2 3 2 3" xfId="2864" xr:uid="{9DED9BC1-32BD-4D79-9C2C-B4A0CA1D804C}"/>
    <cellStyle name="常规 32 2 3 3" xfId="408" xr:uid="{D228CCE0-5B30-4A80-A8B4-D5EAD28726B8}"/>
    <cellStyle name="常规 32 2 3 3 2" xfId="2866" xr:uid="{7F53E307-E9C2-4A35-A064-559389B478D7}"/>
    <cellStyle name="常规 32 2 3 4" xfId="2868" xr:uid="{91D23223-8CE4-4A9F-9BE1-FF976C350EB4}"/>
    <cellStyle name="常规 32 2 4" xfId="2424" xr:uid="{E5B0E93B-B401-440F-A479-B0A5E333F1F9}"/>
    <cellStyle name="常规 32 2 4 2" xfId="252" xr:uid="{37421450-3C79-4855-AEAA-5F73EEA270F7}"/>
    <cellStyle name="常规 32 2 4 2 2" xfId="2870" xr:uid="{A8905E8C-6236-492E-A64F-C9689264FBC8}"/>
    <cellStyle name="常规 32 2 4 3" xfId="2872" xr:uid="{7C72CCEB-9BAE-4D56-BBD2-75DFE573FBCC}"/>
    <cellStyle name="常规 32 2 5" xfId="1872" xr:uid="{118DBDE7-A0A7-47A1-93A8-40E6C4C8365E}"/>
    <cellStyle name="常规 32 2 5 2" xfId="2874" xr:uid="{F2E4BD25-529C-43D1-BAE7-7ED4F73DED3C}"/>
    <cellStyle name="常规 32 2 6" xfId="2393" xr:uid="{296E67DB-12C7-4E37-812B-5EDFE2432926}"/>
    <cellStyle name="常规 32 3" xfId="2754" xr:uid="{D05DB50D-637A-4682-AD3E-0C821F83629E}"/>
    <cellStyle name="常规 32 3 2" xfId="2876" xr:uid="{306DDD4C-DB57-420A-860A-209D61EA3994}"/>
    <cellStyle name="常规 32 3 2 2" xfId="326" xr:uid="{BA6B6387-D4C3-47B4-B44F-070B3BFE833F}"/>
    <cellStyle name="常规 32 3 2 2 2" xfId="2878" xr:uid="{9482B671-CD8A-45F9-90CA-F92C0DA73478}"/>
    <cellStyle name="常规 32 3 2 3" xfId="336" xr:uid="{CF197AF9-D470-4DA4-838F-7A02C5C02E85}"/>
    <cellStyle name="常规 32 3 3" xfId="2880" xr:uid="{BA93AB1C-ACB3-49C6-B272-8B7C0B52B641}"/>
    <cellStyle name="常规 32 3 3 2" xfId="2882" xr:uid="{50055CA9-537C-4A25-AC22-ED7B475226F3}"/>
    <cellStyle name="常规 32 3 3 2 2" xfId="2884" xr:uid="{0A692A46-26AD-46DE-B304-B276CF2E9860}"/>
    <cellStyle name="常规 32 3 3 2 2 2" xfId="2886" xr:uid="{5CD43A13-6FEF-41F7-B6FE-255235E7F235}"/>
    <cellStyle name="常规 32 3 3 2 3" xfId="2888" xr:uid="{697EA114-B399-42A0-99F8-64AA3F28BDB3}"/>
    <cellStyle name="常规 32 3 3 3" xfId="486" xr:uid="{AE5F3E5D-80E7-4B08-A5BB-5E8CC4D1E208}"/>
    <cellStyle name="常规 32 3 3 3 2" xfId="305" xr:uid="{D2155F57-EEEC-4CED-8EFE-5D36F7931458}"/>
    <cellStyle name="常规 32 3 3 4" xfId="495" xr:uid="{B9FF5C66-2A9A-4140-8B54-5668ED9C663B}"/>
    <cellStyle name="常规 32 3 4" xfId="2451" xr:uid="{76C963EE-E7E7-4B1A-964C-FC0CB8D11C04}"/>
    <cellStyle name="常规 32 3 4 2" xfId="1301" xr:uid="{15941ADE-883F-4F62-A528-6C96CC86C66D}"/>
    <cellStyle name="常规 32 3 4 2 2" xfId="2456" xr:uid="{B900C56E-9F43-44F5-A9DA-AAA8E8F9085B}"/>
    <cellStyle name="常规 32 3 4 3" xfId="501" xr:uid="{27F1BF96-7F86-4A0A-AAF2-96F71035A901}"/>
    <cellStyle name="常规 32 3 5" xfId="2464" xr:uid="{8BAB3669-402D-4ED3-8C0B-E5E9F6956191}"/>
    <cellStyle name="常规 32 3 5 2" xfId="2469" xr:uid="{E504E97B-7653-4892-A919-B746837095EA}"/>
    <cellStyle name="常规 32 3 6" xfId="2477" xr:uid="{CCC0CD1A-E71E-435C-830E-EC76DCB51EF6}"/>
    <cellStyle name="常规 32 4" xfId="2408" xr:uid="{8A5A2608-4FA0-4013-8AEA-AE70A3531708}"/>
    <cellStyle name="常规 32 4 2" xfId="2411" xr:uid="{8CA79CDF-D0BF-4894-A8C2-5CB31599C3F4}"/>
    <cellStyle name="常规 32 4 2 2" xfId="2890" xr:uid="{F038A546-A7AF-4F94-93DE-61D9A4690619}"/>
    <cellStyle name="常规 32 4 2 2 2" xfId="2892" xr:uid="{06D3F23A-083F-4605-A10B-5BEF0E18B703}"/>
    <cellStyle name="常规 32 4 2 3" xfId="529" xr:uid="{0C039FF0-3F55-439A-B743-D56A7CD48B54}"/>
    <cellStyle name="常规 32 4 3" xfId="2895" xr:uid="{5FBCF0B8-4F7A-4761-B6B6-613D7AA61762}"/>
    <cellStyle name="常规 32 4 3 2" xfId="2897" xr:uid="{731CBD94-74CA-4CCD-B772-854DD45AF7E7}"/>
    <cellStyle name="常规 32 4 4" xfId="2487" xr:uid="{7C1F48F9-C6CF-4388-9250-1309FFA71604}"/>
    <cellStyle name="常规 32 5" xfId="2414" xr:uid="{6E8E8D6E-44E8-4AFE-A8D7-CA022734A48C}"/>
    <cellStyle name="常规 32 5 2" xfId="2899" xr:uid="{5F8FC258-DCCC-4CB9-ABB4-8C1ED83F4F2B}"/>
    <cellStyle name="常规 32 5 2 2" xfId="2901" xr:uid="{36EBCC6D-5B0A-4394-817A-D5F6E40285E4}"/>
    <cellStyle name="常规 32 5 3" xfId="975" xr:uid="{D9E07E31-3B19-4D84-8D3A-18CB1CAF121E}"/>
    <cellStyle name="常规 32 6" xfId="2903" xr:uid="{04C89C2B-4429-47BD-AB7E-CF3A7711E315}"/>
    <cellStyle name="常规 32 6 2" xfId="2905" xr:uid="{CE3A6D49-9913-474C-ABDE-5FDF99530E46}"/>
    <cellStyle name="常规 32 7" xfId="2907" xr:uid="{5C4D7715-3EA0-4E41-9011-41E0BF9E47A7}"/>
    <cellStyle name="常规 33" xfId="2757" xr:uid="{3ED1D26F-204F-4987-A67A-0CF73E6FB7BC}"/>
    <cellStyle name="常规 33 2" xfId="2760" xr:uid="{4FB48578-FC87-4F0E-B6E2-AC1F50D85EF8}"/>
    <cellStyle name="常规 33 2 2" xfId="2909" xr:uid="{727286FB-EA86-47D3-9C6B-F90420888455}"/>
    <cellStyle name="常规 33 2 2 2" xfId="1893" xr:uid="{B2396B83-CABD-4738-A0DD-3594FBC9ECA5}"/>
    <cellStyle name="常规 33 2 2 2 2" xfId="1897" xr:uid="{197D7ACE-6246-4326-8CE4-B44D620312E7}"/>
    <cellStyle name="常规 33 2 2 2 2 2" xfId="1901" xr:uid="{9F19BC0A-BF39-40E2-A094-EBDBBC71B5E0}"/>
    <cellStyle name="常规 33 2 2 2 3" xfId="1907" xr:uid="{6A4D66C0-3610-4AD5-9774-08175C418C31}"/>
    <cellStyle name="常规 33 2 2 3" xfId="926" xr:uid="{4DA5E7DA-48ED-47B1-80F6-68B90915C253}"/>
    <cellStyle name="常规 33 2 2 3 2" xfId="1917" xr:uid="{6C626842-5F36-43BA-9BDE-003FF10545F4}"/>
    <cellStyle name="常规 33 2 2 3 2 2" xfId="1923" xr:uid="{E3DEA5D3-1B07-459E-8C07-5ADD7E405562}"/>
    <cellStyle name="常规 33 2 2 3 2 2 2" xfId="2926" xr:uid="{D745FDE3-D0B6-4896-A01D-7F6340188528}"/>
    <cellStyle name="常规 33 2 2 3 2 3" xfId="2928" xr:uid="{EFFE28D4-785E-4B20-BD40-C747E42A5755}"/>
    <cellStyle name="常规 33 2 2 3 3" xfId="1928" xr:uid="{8F44F2EC-D154-40AA-8D5B-F44CB9664BE7}"/>
    <cellStyle name="常规 33 2 2 3 3 2" xfId="2930" xr:uid="{79B4C386-B23E-4B6E-8476-9D514D39F3B6}"/>
    <cellStyle name="常规 33 2 2 3 4" xfId="2932" xr:uid="{50568115-4405-49D5-95C9-BAB5EE51BBFE}"/>
    <cellStyle name="常规 33 2 2 4" xfId="1931" xr:uid="{198C4074-08FC-4F45-9F47-70C366D921A5}"/>
    <cellStyle name="常规 33 2 2 4 2" xfId="1937" xr:uid="{DBFDC870-664D-41A2-BEE9-04854EECFF84}"/>
    <cellStyle name="常规 33 2 2 4 2 2" xfId="2934" xr:uid="{4FC213AE-5562-4065-9154-BC273CCF54ED}"/>
    <cellStyle name="常规 33 2 2 4 3" xfId="2936" xr:uid="{13D0F2E3-0AEF-4B7D-816F-FC6B170612CA}"/>
    <cellStyle name="常规 33 2 2 5" xfId="1695" xr:uid="{6EA53BAD-B6F1-47CB-9E74-E758C1D33225}"/>
    <cellStyle name="常规 33 2 2 5 2" xfId="2938" xr:uid="{D7AA5702-20D1-4183-8C44-6B11FFDF0566}"/>
    <cellStyle name="常规 33 2 2 6" xfId="2940" xr:uid="{58A7A57B-29BC-4B50-9EC1-FA55A17DDABB}"/>
    <cellStyle name="常规 33 2 3" xfId="2942" xr:uid="{71B4C045-F567-4BB5-AD10-4E3EFF87D525}"/>
    <cellStyle name="常规 33 2 3 2" xfId="2108" xr:uid="{2AC28161-1116-4D9C-B10C-BD092A088B96}"/>
    <cellStyle name="常规 33 2 3 2 2" xfId="2112" xr:uid="{D410D5FE-4DD8-4A57-9B5B-2EF4D4342D76}"/>
    <cellStyle name="常规 33 2 3 2 2 2" xfId="751" xr:uid="{DD893E8D-CEE4-4050-9B2C-2C47ECAF0888}"/>
    <cellStyle name="常规 33 2 3 2 3" xfId="2116" xr:uid="{FDC21B65-3A2A-4A1C-9AE9-8383849B8BA2}"/>
    <cellStyle name="常规 33 2 3 3" xfId="2122" xr:uid="{63748412-DB7C-4EA2-86D3-3C92CE40AEC4}"/>
    <cellStyle name="常规 33 2 3 3 2" xfId="2028" xr:uid="{A9659166-4DCA-4A0B-B5D5-60427BB68239}"/>
    <cellStyle name="常规 33 2 3 4" xfId="2126" xr:uid="{3437891B-1CDF-4B0B-A0E3-F662AF0A4E1D}"/>
    <cellStyle name="常规 33 2 4" xfId="2546" xr:uid="{90F62CD2-B8CA-4F77-B607-4DC84A21743C}"/>
    <cellStyle name="常规 33 2 4 2" xfId="1452" xr:uid="{9B66A394-1966-4376-8118-F17CCF2539A2}"/>
    <cellStyle name="常规 33 2 4 2 2" xfId="591" xr:uid="{80DF36BD-0D62-4E0E-A127-333EB8F85488}"/>
    <cellStyle name="常规 33 2 4 3" xfId="2252" xr:uid="{9CC0C489-2D83-4B94-B4A3-8D3013F4357C}"/>
    <cellStyle name="常规 33 2 5" xfId="2550" xr:uid="{576A7F5F-C570-4665-A6E2-AAC32987DA86}"/>
    <cellStyle name="常规 33 2 5 2" xfId="2354" xr:uid="{DE4FEAE3-A6D4-48AA-8DC2-347265878AFF}"/>
    <cellStyle name="常规 33 2 6" xfId="2951" xr:uid="{698A1D79-9545-4782-B457-0D9686300A16}"/>
    <cellStyle name="常规 33 3" xfId="2954" xr:uid="{4BB3076B-2A9D-456C-910F-90F300FF8FB0}"/>
    <cellStyle name="常规 33 3 2" xfId="2956" xr:uid="{0BB2DA37-4FD6-4CAC-B950-1EA66032BE80}"/>
    <cellStyle name="常规 33 3 2 2" xfId="2958" xr:uid="{10FEED9C-878E-4D72-967E-99F7948D55FA}"/>
    <cellStyle name="常规 33 3 2 2 2" xfId="2960" xr:uid="{7EC885FA-68C4-4F6B-A2A4-CF67F80CF217}"/>
    <cellStyle name="常规 33 3 2 3" xfId="2964" xr:uid="{D05D2E02-4165-402D-93B3-F553EDE14FBE}"/>
    <cellStyle name="常规 33 3 3" xfId="2977" xr:uid="{338895C3-D1E0-43DE-B78E-2779E5243988}"/>
    <cellStyle name="常规 33 3 3 2" xfId="2979" xr:uid="{DE216D80-500E-476F-BF2F-034779EC31C0}"/>
    <cellStyle name="常规 33 3 3 2 2" xfId="2981" xr:uid="{E6A05A28-2051-4724-9573-8348AEF431EA}"/>
    <cellStyle name="常规 33 3 3 2 2 2" xfId="2984" xr:uid="{A351D203-C3F0-4040-AEA5-EC5FD1BB1B01}"/>
    <cellStyle name="常规 33 3 3 2 3" xfId="2986" xr:uid="{71A05893-8165-456D-B4B1-EB27E2DF11E6}"/>
    <cellStyle name="常规 33 3 3 3" xfId="2988" xr:uid="{DCA1955E-6E8A-456C-9909-AF3C9482BF39}"/>
    <cellStyle name="常规 33 3 3 3 2" xfId="2990" xr:uid="{6BB87779-7E1A-4FA6-9A40-88BB4DA27F12}"/>
    <cellStyle name="常规 33 3 3 4" xfId="2992" xr:uid="{EEBF6ED1-B10D-4389-A89E-B69BD793996C}"/>
    <cellStyle name="常规 33 3 4" xfId="2556" xr:uid="{09C7C834-2C0E-46A2-9C45-729ED3785F7A}"/>
    <cellStyle name="常规 33 3 4 2" xfId="1494" xr:uid="{23B8A911-7C7E-49CC-9507-EA07E5B358F8}"/>
    <cellStyle name="常规 33 3 4 2 2" xfId="2560" xr:uid="{E5BAA681-7031-4797-A7CF-46BA794A818F}"/>
    <cellStyle name="常规 33 3 4 3" xfId="2563" xr:uid="{DEEA595F-1DDE-4779-AFB9-A3783880902B}"/>
    <cellStyle name="常规 33 3 5" xfId="2566" xr:uid="{BD9DF0B9-A0DE-4B6E-8FA2-BAD6474C53B7}"/>
    <cellStyle name="常规 33 3 5 2" xfId="2569" xr:uid="{C73066A2-309E-4D17-B393-50C20EBA8FF6}"/>
    <cellStyle name="常规 33 3 6" xfId="2573" xr:uid="{C70618B1-DD5E-4FD8-A88B-1661F4B471C9}"/>
    <cellStyle name="常规 33 4" xfId="2417" xr:uid="{4A5901C4-A5A4-4849-BD52-74CE6C193C66}"/>
    <cellStyle name="常规 33 4 2" xfId="1530" xr:uid="{FC5EFE2E-294C-4117-8FC3-BC6D47F6E245}"/>
    <cellStyle name="常规 33 4 2 2" xfId="1533" xr:uid="{7C648932-3B88-4635-B177-A174FDC8642F}"/>
    <cellStyle name="常规 33 4 2 2 2" xfId="1537" xr:uid="{F7D340DF-962B-44CF-9CE6-E02B00982DA0}"/>
    <cellStyle name="常规 33 4 2 3" xfId="226" xr:uid="{7960BFE9-C0EE-4D26-A8B0-864A93A35D32}"/>
    <cellStyle name="常规 33 4 3" xfId="1546" xr:uid="{BFA0E9D7-BD91-4F2B-8795-4CB8AC062B22}"/>
    <cellStyle name="常规 33 4 3 2" xfId="1549" xr:uid="{890F567E-77E3-4096-A263-916DE956A77F}"/>
    <cellStyle name="常规 33 4 4" xfId="75" xr:uid="{91864ACA-22D7-40B2-B709-67D1F3B666B3}"/>
    <cellStyle name="常规 33 5" xfId="3002" xr:uid="{889C9481-B0A8-4298-99C6-CB66E2A85323}"/>
    <cellStyle name="常规 33 5 2" xfId="1570" xr:uid="{A5A7F663-1FAA-4DDF-A18B-D6320858D6B8}"/>
    <cellStyle name="常规 33 5 2 2" xfId="1574" xr:uid="{69E532DF-AE34-4DBF-A26E-7F56F08D1B02}"/>
    <cellStyle name="常规 33 5 3" xfId="1591" xr:uid="{502E2D6A-505A-40F8-AF0E-DDD05FFA8DCB}"/>
    <cellStyle name="常规 33 6" xfId="3012" xr:uid="{669358BF-03EC-4E5C-927E-A6CB7811EFE9}"/>
    <cellStyle name="常规 33 6 2" xfId="1609" xr:uid="{32E82D27-A143-4B85-8D46-FB29C7DBE2FD}"/>
    <cellStyle name="常规 33 7" xfId="3019" xr:uid="{2DACE60B-3CD0-46E0-8884-87ECBACC80AC}"/>
    <cellStyle name="常规 34" xfId="2763" xr:uid="{F6D52C31-2D1F-479A-92D0-9F9FD6B60C92}"/>
    <cellStyle name="常规 34 2" xfId="3025" xr:uid="{C2B88F97-803F-47A8-B532-B49263DF5323}"/>
    <cellStyle name="常规 34 2 2" xfId="3027" xr:uid="{0C626567-40D0-44E6-8970-4E54E02B9713}"/>
    <cellStyle name="常规 34 2 2 2" xfId="3030" xr:uid="{AB036B3E-3A5A-45F6-A8DF-3F14D0306FA8}"/>
    <cellStyle name="常规 34 2 2 2 2" xfId="3036" xr:uid="{5BCCFC53-2FA9-4175-AF1F-3B279C03E533}"/>
    <cellStyle name="常规 34 2 2 2 2 2" xfId="3100" xr:uid="{5A1E6175-1481-45B2-9D02-60D924E3F0AA}"/>
    <cellStyle name="常规 34 2 2 2 3" xfId="3107" xr:uid="{F9DF0DAD-8A4C-475F-B519-B73AA8CCAB9A}"/>
    <cellStyle name="常规 34 2 2 3" xfId="2591" xr:uid="{0AE6B992-646C-4F3D-A63F-2701474DE61C}"/>
    <cellStyle name="常规 34 2 2 3 2" xfId="1656" xr:uid="{C7A0AC99-8E28-4FEC-9086-DC72872FD5AC}"/>
    <cellStyle name="常规 34 2 2 3 2 2" xfId="3112" xr:uid="{0D6F344A-C0C0-4842-B99B-D27804728504}"/>
    <cellStyle name="常规 34 2 2 3 2 2 2" xfId="3213" xr:uid="{C0312D75-2684-4A11-A89A-E4AAC1C79CF3}"/>
    <cellStyle name="常规 34 2 2 3 2 3" xfId="3214" xr:uid="{150A7D5E-EC30-4094-8E92-87ACC6BD2E10}"/>
    <cellStyle name="常规 34 2 2 3 3" xfId="3115" xr:uid="{CB3F97E9-C65E-47E1-8A37-12E0ED9B10EC}"/>
    <cellStyle name="常规 34 2 2 3 3 2" xfId="3215" xr:uid="{F9C173E2-3078-44AB-9B1C-975BE9766B46}"/>
    <cellStyle name="常规 34 2 2 3 4" xfId="3216" xr:uid="{33E1F775-F30D-4E98-90B8-C7D57ED94642}"/>
    <cellStyle name="常规 34 2 2 4" xfId="3118" xr:uid="{85D1EBF3-E5B4-425B-86B5-67AD03C686E4}"/>
    <cellStyle name="常规 34 2 2 4 2" xfId="3121" xr:uid="{E6444496-D1B2-479B-AD71-445A7EF90176}"/>
    <cellStyle name="常规 34 2 2 4 2 2" xfId="3217" xr:uid="{AF03989F-D979-4036-A071-C70A76FF5965}"/>
    <cellStyle name="常规 34 2 2 4 3" xfId="3218" xr:uid="{5C9583A8-2D10-4A39-9C3F-8FB1341C1980}"/>
    <cellStyle name="常规 34 2 2 5" xfId="3124" xr:uid="{0C396FCE-3E16-4B5F-BCE0-07EB1F782790}"/>
    <cellStyle name="常规 34 2 2 5 2" xfId="3219" xr:uid="{1C3B7E5C-42E2-4346-8254-2274A6DB799F}"/>
    <cellStyle name="常规 34 2 2 6" xfId="3220" xr:uid="{BAA6F65F-6B80-406D-A362-D42654EB7420}"/>
    <cellStyle name="常规 34 2 3" xfId="3039" xr:uid="{C65AB7C5-CBC0-4EF5-A2E9-76503C5CD5F5}"/>
    <cellStyle name="常规 34 2 3 2" xfId="3042" xr:uid="{A4356E9F-66FE-42E6-9945-11CED69BB9D5}"/>
    <cellStyle name="常规 34 2 3 2 2" xfId="3048" xr:uid="{1626C134-7D06-4B0D-83D1-05A7A401396E}"/>
    <cellStyle name="常规 34 2 3 2 2 2" xfId="3053" xr:uid="{B43F6951-4560-4C1D-8343-7F57BAC66269}"/>
    <cellStyle name="常规 34 2 3 2 3" xfId="3057" xr:uid="{9B781689-E414-4227-B8BB-FF90B83F5244}"/>
    <cellStyle name="常规 34 2 3 3" xfId="3060" xr:uid="{325A81A6-5B42-430F-990C-A3AB6C37B8D6}"/>
    <cellStyle name="常规 34 2 3 3 2" xfId="3065" xr:uid="{3974DAA8-DBDD-4AF2-9B92-CA2563953814}"/>
    <cellStyle name="常规 34 2 3 4" xfId="3068" xr:uid="{3D9D9538-4199-4551-B18A-38EE87C44158}"/>
    <cellStyle name="常规 34 2 4" xfId="2580" xr:uid="{C541DA18-2910-40CF-85DE-2FDDBCCE0C65}"/>
    <cellStyle name="常规 34 2 4 2" xfId="1645" xr:uid="{7A17E05A-8C61-47AC-B7B2-88E9F6F1AC1E}"/>
    <cellStyle name="常规 34 2 4 2 2" xfId="3073" xr:uid="{377D91F3-3756-4A9D-8A42-540ECBADCB0F}"/>
    <cellStyle name="常规 34 2 4 3" xfId="3076" xr:uid="{E10C7045-92FE-441F-9798-E0556DF1EF22}"/>
    <cellStyle name="常规 34 2 5" xfId="2585" xr:uid="{DF4FCCA6-C760-4647-8937-C85D45729D9B}"/>
    <cellStyle name="常规 34 2 5 2" xfId="3079" xr:uid="{BB5CBFE0-6145-473A-B0FD-A31DB8E5FD0A}"/>
    <cellStyle name="常规 34 2 6" xfId="3081" xr:uid="{B69C7F98-B777-4019-BA15-C57EDD46670A}"/>
    <cellStyle name="常规 34 3" xfId="3083" xr:uid="{B353DE66-D785-47F7-B5BE-704FDC23011A}"/>
    <cellStyle name="常规 34 3 2" xfId="3085" xr:uid="{B62046CA-171F-44EB-A000-A1A54A23E32A}"/>
    <cellStyle name="常规 34 3 2 2" xfId="3089" xr:uid="{E82B5118-20D8-4B08-BC85-3E251E2B5D4F}"/>
    <cellStyle name="常规 34 3 2 2 2" xfId="3093" xr:uid="{B1FFB655-1E56-480E-9EA2-E1AE916C17CA}"/>
    <cellStyle name="常规 34 3 2 3" xfId="3097" xr:uid="{47F2588A-48C1-4E47-A781-34D5182AA739}"/>
    <cellStyle name="常规 34 3 3" xfId="3029" xr:uid="{BA2AE1F8-7241-467D-B144-0E73578FB803}"/>
    <cellStyle name="常规 34 3 3 2" xfId="3035" xr:uid="{C78AED2D-56A8-4C6D-828F-EF9A426C403D}"/>
    <cellStyle name="常规 34 3 3 2 2" xfId="3099" xr:uid="{EEB7B6CD-A2E3-4E57-928E-5D116B2FEE4B}"/>
    <cellStyle name="常规 34 3 3 2 2 2" xfId="3102" xr:uid="{6A01094A-DF88-4279-9F8B-573372A4C018}"/>
    <cellStyle name="常规 34 3 3 2 3" xfId="3104" xr:uid="{6BB2F65D-259A-4346-8198-AAD72DDF9AD0}"/>
    <cellStyle name="常规 34 3 3 3" xfId="3106" xr:uid="{239151C5-F1F0-4BE6-8715-AA9EC01D8971}"/>
    <cellStyle name="常规 34 3 3 3 2" xfId="2503" xr:uid="{7E448B11-70D2-4C77-8499-30EC141E88DB}"/>
    <cellStyle name="常规 34 3 3 4" xfId="3109" xr:uid="{04BFD509-0972-4992-855E-1C3A3D51F789}"/>
    <cellStyle name="常规 34 3 4" xfId="2590" xr:uid="{CEE60EAF-3B70-4E60-BF0B-57C516BE6BF1}"/>
    <cellStyle name="常规 34 3 4 2" xfId="1655" xr:uid="{2EB0744E-6D4E-4A86-822B-5EA739A8C8DC}"/>
    <cellStyle name="常规 34 3 4 2 2" xfId="3111" xr:uid="{329E6D15-5727-41EA-BAFC-7C36165A8AFC}"/>
    <cellStyle name="常规 34 3 4 3" xfId="3114" xr:uid="{D4CECD36-AD0A-41E6-A9AB-2CB3F59D1FA6}"/>
    <cellStyle name="常规 34 3 5" xfId="3117" xr:uid="{3915946D-5F1F-4496-BDB8-085AAFEF5E55}"/>
    <cellStyle name="常规 34 3 5 2" xfId="3120" xr:uid="{30E3580E-7BC1-4B57-A7F7-00027CC6C85F}"/>
    <cellStyle name="常规 34 3 6" xfId="3123" xr:uid="{C03F0198-C17D-47E0-9B28-55436B1D8192}"/>
    <cellStyle name="常规 34 4" xfId="3126" xr:uid="{D3C3F9CF-FCB6-49BE-AEA5-500C41EAC35E}"/>
    <cellStyle name="常规 34 4 2" xfId="1197" xr:uid="{F8A47EC2-7279-4C14-9DC9-C72863F9CABA}"/>
    <cellStyle name="常规 34 4 2 2" xfId="279" xr:uid="{32A98AD5-64E6-425B-A97D-60C6F9DBEAE6}"/>
    <cellStyle name="常规 34 4 2 2 2" xfId="3130" xr:uid="{16EF64AF-EBD8-4490-9CCD-4EF70F141FC7}"/>
    <cellStyle name="常规 34 4 2 3" xfId="285" xr:uid="{FB09DE09-0914-4138-8939-2A6A65930DE3}"/>
    <cellStyle name="常规 34 4 3" xfId="3041" xr:uid="{BAC4DC23-63B3-4CEB-9701-8624A1D5DEB7}"/>
    <cellStyle name="常规 34 4 3 2" xfId="3047" xr:uid="{442DC99A-15DF-4025-9834-2710EB7783EF}"/>
    <cellStyle name="常规 34 4 3 2 2" xfId="3052" xr:uid="{3CA12C41-B48D-4C27-8CE5-867E6596C3E3}"/>
    <cellStyle name="常规 34 4 3 2 2 2" xfId="3221" xr:uid="{B85725CB-B622-465A-9C13-EE36A6E1AE41}"/>
    <cellStyle name="常规 34 4 3 2 3" xfId="3222" xr:uid="{F4450B22-BCDB-41F6-8764-B4AA7C7A97CF}"/>
    <cellStyle name="常规 34 4 3 3" xfId="3056" xr:uid="{2A011431-2EBE-4F0A-8F69-478878A448FC}"/>
    <cellStyle name="常规 34 4 3 3 2" xfId="2915" xr:uid="{2E9BA138-C1F6-47CB-B96D-268D8CC3897F}"/>
    <cellStyle name="常规 34 4 3 4" xfId="3223" xr:uid="{BAFE890F-F1E7-439D-BD1E-6F11A2D3DC12}"/>
    <cellStyle name="常规 34 4 4" xfId="3059" xr:uid="{C027AAD8-57E0-4966-8F1A-F4AB1DC47BAC}"/>
    <cellStyle name="常规 34 4 4 2" xfId="3064" xr:uid="{8675C313-7FC4-4F25-9A34-0646E7E841C0}"/>
    <cellStyle name="常规 34 4 4 2 2" xfId="3224" xr:uid="{97BD11B5-DC15-49DE-80DA-6380FE55FC14}"/>
    <cellStyle name="常规 34 4 4 3" xfId="3225" xr:uid="{2C5C4A84-0141-4977-AEBE-3A6B6F313814}"/>
    <cellStyle name="常规 34 4 5" xfId="3067" xr:uid="{B6A72B05-EFA8-4DFD-AAA8-2DA4FB6592A7}"/>
    <cellStyle name="常规 34 4 5 2" xfId="3226" xr:uid="{7CAD5A00-8028-439E-9866-545F18970C3A}"/>
    <cellStyle name="常规 34 4 6" xfId="3227" xr:uid="{C11C8F57-3A32-480B-99EA-8D23A58D30A8}"/>
    <cellStyle name="常规 34 5" xfId="3132" xr:uid="{2441F4E9-5424-4681-92E0-BAF4FF42F09E}"/>
    <cellStyle name="常规 34 5 2" xfId="86" xr:uid="{3D1822C9-8A5B-4180-9577-787311450344}"/>
    <cellStyle name="常规 34 5 2 2" xfId="1641" xr:uid="{32022FEE-94F4-4271-8138-C93DB3196FFD}"/>
    <cellStyle name="常规 34 5 2 2 2" xfId="3230" xr:uid="{2DE733E1-9CE5-42EC-9C79-E16B7A56674A}"/>
    <cellStyle name="常规 34 5 2 3" xfId="3233" xr:uid="{791EDB13-26A3-4F90-8D31-EAD9A8E36797}"/>
    <cellStyle name="常规 34 5 3" xfId="1644" xr:uid="{59784E01-AC7A-4C44-B00D-D81704083AD2}"/>
    <cellStyle name="常规 34 5 3 2" xfId="3072" xr:uid="{5C30A622-B89F-413F-BDD5-7CF29B86073B}"/>
    <cellStyle name="常规 34 5 4" xfId="3075" xr:uid="{1C2EA429-132F-47AA-BAB6-12F89F76EB9F}"/>
    <cellStyle name="常规 34 6" xfId="3135" xr:uid="{15F7A7CB-E7A8-4054-9399-3EFA7A7233FE}"/>
    <cellStyle name="常规 34 6 2" xfId="139" xr:uid="{F765DED3-8FED-4C49-988E-2E36C0121E0F}"/>
    <cellStyle name="常规 34 6 2 2" xfId="3236" xr:uid="{B58B554A-96B8-4479-B437-5803B9D8670E}"/>
    <cellStyle name="常规 34 6 3" xfId="3078" xr:uid="{5150D776-4EB2-45E7-9820-31205CB8E925}"/>
    <cellStyle name="常规 34 7" xfId="3137" xr:uid="{F0140B76-BFC1-42B4-BB5C-C5CACE5CBDD8}"/>
    <cellStyle name="常规 34 7 2" xfId="3237" xr:uid="{C2F3289F-A1DB-4162-9AE0-2354560C1864}"/>
    <cellStyle name="常规 34 8" xfId="1338" xr:uid="{6D1AF75A-9320-46DF-840C-6FE31BB5918D}"/>
    <cellStyle name="常规 35" xfId="3239" xr:uid="{A1025C1D-1C17-4CB7-BEF6-05B362A53957}"/>
    <cellStyle name="常规 35 2" xfId="3241" xr:uid="{A8CA91E4-C076-4E0B-948B-7AD10B99C881}"/>
    <cellStyle name="常规 35 2 2" xfId="3244" xr:uid="{B102CC9C-E080-4699-BB4B-C24ECB4B2765}"/>
    <cellStyle name="常规 35 2 2 2" xfId="3246" xr:uid="{EA906F59-0454-4BDF-81D5-5F1606BCD198}"/>
    <cellStyle name="常规 35 2 2 2 2" xfId="3248" xr:uid="{D3F0A9D7-54DE-4EF8-9B50-0FB13228A146}"/>
    <cellStyle name="常规 35 2 2 3" xfId="3250" xr:uid="{D6D357FB-FC6D-447D-9520-A605353F7866}"/>
    <cellStyle name="常规 35 2 3" xfId="3252" xr:uid="{60D7FE0D-8E96-4E70-8E77-2F1341E1657B}"/>
    <cellStyle name="常规 35 2 3 2" xfId="2501" xr:uid="{6525BFCE-F010-4164-BC8F-85E0DDCC2F2D}"/>
    <cellStyle name="常规 35 2 3 2 2" xfId="3254" xr:uid="{67DE2BD4-C34E-4E5E-A980-50D573821477}"/>
    <cellStyle name="常规 35 2 3 2 2 2" xfId="3256" xr:uid="{D1549B4B-2649-45E6-BC17-0000B5F1D102}"/>
    <cellStyle name="常规 35 2 3 2 3" xfId="1724" xr:uid="{D7937DE7-064D-4A42-AAD7-F164107291BA}"/>
    <cellStyle name="常规 35 2 3 3" xfId="3258" xr:uid="{F24BD8FA-07BF-4DD3-AAE2-683AF3873032}"/>
    <cellStyle name="常规 35 2 3 3 2" xfId="3260" xr:uid="{B873114D-F0BD-4EDE-8AC7-44CBFAD9DA1C}"/>
    <cellStyle name="常规 35 2 3 4" xfId="1417" xr:uid="{3E716968-8FBE-43AC-A91F-567085719C1C}"/>
    <cellStyle name="常规 35 2 4" xfId="2597" xr:uid="{D2C44C58-BD14-45C2-BFA0-07E98ECE2473}"/>
    <cellStyle name="常规 35 2 4 2" xfId="1714" xr:uid="{52C8C810-F14D-4CCD-B647-960BA5BF3BEE}"/>
    <cellStyle name="常规 35 2 4 2 2" xfId="3262" xr:uid="{27CC00FF-AE95-4618-8A1A-6DC2EDEE6BB2}"/>
    <cellStyle name="常规 35 2 4 3" xfId="3264" xr:uid="{8B9BC8E1-60FC-46FA-871E-04EEFA8387A7}"/>
    <cellStyle name="常规 35 2 5" xfId="3266" xr:uid="{6D369D1E-BB3A-4B11-9802-2D8443D80098}"/>
    <cellStyle name="常规 35 2 5 2" xfId="3268" xr:uid="{DD91C8E0-90BB-448B-8CD9-BEF735E342FB}"/>
    <cellStyle name="常规 35 2 6" xfId="3270" xr:uid="{E5E0650A-E82F-4AC8-8836-D36E3CE9B5AE}"/>
    <cellStyle name="常规 35 3" xfId="3272" xr:uid="{00A96C7D-22FA-424D-8260-E32EE4D6807E}"/>
    <cellStyle name="常规 35 3 2" xfId="3274" xr:uid="{FB0192D7-C068-46E4-8360-F48EBA04A3B1}"/>
    <cellStyle name="常规 35 3 2 2" xfId="3276" xr:uid="{CCCD235C-84CF-49E8-9FCE-96C98252D93E}"/>
    <cellStyle name="常规 35 3 2 2 2" xfId="3278" xr:uid="{C7B5603F-5A15-4360-9EDC-AC512C564A00}"/>
    <cellStyle name="常规 35 3 2 3" xfId="3280" xr:uid="{6CFB6F4D-44B7-4200-8242-B6446024DE63}"/>
    <cellStyle name="常规 35 3 3" xfId="3088" xr:uid="{D562E928-D28F-4B53-83D7-3DE7B2A88AF1}"/>
    <cellStyle name="常规 35 3 3 2" xfId="3092" xr:uid="{E3644833-F366-42E6-9B90-E885379CBD2E}"/>
    <cellStyle name="常规 35 3 4" xfId="3096" xr:uid="{41C13EA0-1EBD-4843-B827-05E7150A8BB6}"/>
    <cellStyle name="常规 35 4" xfId="3282" xr:uid="{A271EEEA-60D9-429E-BCCE-827BC0C90A1D}"/>
    <cellStyle name="常规 35 4 2" xfId="1226" xr:uid="{B43CBFE4-B4E2-492F-9B0A-D8B127741A02}"/>
    <cellStyle name="常规 35 4 2 2" xfId="3284" xr:uid="{538AD093-51C6-4160-A340-2D22A4C57539}"/>
    <cellStyle name="常规 35 4 3" xfId="3034" xr:uid="{553BAFDE-1313-4771-931D-D39110A82EBC}"/>
    <cellStyle name="常规 35 5" xfId="3286" xr:uid="{314CE955-67FF-40A3-A3BB-7B9A06B01C1E}"/>
    <cellStyle name="常规 35 5 2" xfId="1234" xr:uid="{770ED833-0708-4D66-875D-A54FB3DB687A}"/>
    <cellStyle name="常规 35 6" xfId="3288" xr:uid="{AD5B8DAC-89A8-4735-8273-701CA88E5966}"/>
    <cellStyle name="常规 36" xfId="3289" xr:uid="{36ADC27A-E424-4956-94CC-854B052D5515}"/>
    <cellStyle name="常规 36 2" xfId="3291" xr:uid="{5D5BC075-95EB-4662-B71C-F9BDE8321935}"/>
    <cellStyle name="常规 36 2 2" xfId="3293" xr:uid="{B02E8621-6CD8-4B1F-B286-470204560890}"/>
    <cellStyle name="常规 36 2 2 2" xfId="3295" xr:uid="{DB4E50E6-2FE2-4652-BE44-C01D2D8032AF}"/>
    <cellStyle name="常规 36 2 2 2 2" xfId="3297" xr:uid="{225C6D60-1AD7-47E2-9AE0-C0606694A554}"/>
    <cellStyle name="常规 36 2 2 3" xfId="3299" xr:uid="{3880A3A4-EA69-4895-B678-C6362371F9C3}"/>
    <cellStyle name="常规 36 2 3" xfId="1194" xr:uid="{20C01496-9228-4EB8-92F9-78905F416FA3}"/>
    <cellStyle name="常规 36 2 3 2" xfId="3301" xr:uid="{7A1CC1BF-DC41-456A-AE61-BAA1C6482853}"/>
    <cellStyle name="常规 36 2 3 2 2" xfId="3303" xr:uid="{2BFCE8BB-FC0D-492E-BBF5-B49163FE0F54}"/>
    <cellStyle name="常规 36 2 3 2 2 2" xfId="3305" xr:uid="{0617B626-CF06-43D2-B20F-FB704DADCA17}"/>
    <cellStyle name="常规 36 2 3 2 3" xfId="2633" xr:uid="{2ED56631-C732-473F-89B5-DADE96E57DFC}"/>
    <cellStyle name="常规 36 2 3 3" xfId="3307" xr:uid="{641568EF-F76B-4FFE-96F6-B65C71C270C5}"/>
    <cellStyle name="常规 36 2 3 3 2" xfId="780" xr:uid="{B836D7D5-1A79-412F-BE8B-9EF221D1F0E2}"/>
    <cellStyle name="常规 36 2 3 4" xfId="1708" xr:uid="{359EEF65-D328-4CEB-A3E9-2F1AD549FBAE}"/>
    <cellStyle name="常规 36 2 4" xfId="3309" xr:uid="{88E9A168-E8FD-4D31-946A-8D461848A842}"/>
    <cellStyle name="常规 36 2 4 2" xfId="1854" xr:uid="{0966C825-55C5-491E-A0A8-BC487B5E3C7C}"/>
    <cellStyle name="常规 36 2 4 2 2" xfId="3311" xr:uid="{1EACB7A7-D243-4762-BF3A-F7793F68922B}"/>
    <cellStyle name="常规 36 2 4 3" xfId="3313" xr:uid="{A7090210-8592-43E0-A111-DB8BFA798C77}"/>
    <cellStyle name="常规 36 2 5" xfId="3315" xr:uid="{CB67AE1B-D1BE-4EC1-B74B-6FEF1742762D}"/>
    <cellStyle name="常规 36 2 5 2" xfId="3318" xr:uid="{2EB2A496-ECBE-4F6C-8F6F-E033283307FD}"/>
    <cellStyle name="常规 36 2 6" xfId="3320" xr:uid="{5F2482AC-00EF-4599-A5DE-782EC7ADBCB2}"/>
    <cellStyle name="常规 36 3" xfId="3322" xr:uid="{6EEA42C6-31D5-4F74-B60F-1EA7D6DAD191}"/>
    <cellStyle name="常规 36 3 2" xfId="159" xr:uid="{04CB772C-8230-4BD8-A7FC-37474D25D90D}"/>
    <cellStyle name="常规 36 3 2 2" xfId="3324" xr:uid="{A7D60052-A47D-4883-A589-89136208EEFE}"/>
    <cellStyle name="常规 36 3 2 2 2" xfId="3326" xr:uid="{FB7948F3-EA10-4F4B-8E3C-A37205A21C12}"/>
    <cellStyle name="常规 36 3 2 3" xfId="3328" xr:uid="{D27F6367-9DF1-4B71-B1F4-DEDC7CA73D79}"/>
    <cellStyle name="常规 36 3 3" xfId="278" xr:uid="{933C8027-70C6-4B51-ACFA-7221A42D3C23}"/>
    <cellStyle name="常规 36 3 3 2" xfId="3129" xr:uid="{000BC50D-3C5B-4E9A-BD39-73E5436095C0}"/>
    <cellStyle name="常规 36 3 3 2 2" xfId="3329" xr:uid="{40183C99-B761-4CF8-9FDA-942767E3FBF7}"/>
    <cellStyle name="常规 36 3 3 2 2 2" xfId="3330" xr:uid="{B995B8F3-5548-4ACA-8B10-FEFC3D34C9BB}"/>
    <cellStyle name="常规 36 3 3 2 3" xfId="2809" xr:uid="{830C929E-7735-4CC8-891F-65A71C31FEF4}"/>
    <cellStyle name="常规 36 3 3 3" xfId="3331" xr:uid="{1222423B-42BD-48B1-88A8-43F5A1CCE698}"/>
    <cellStyle name="常规 36 3 3 3 2" xfId="869" xr:uid="{6D386DB2-4FD7-4DDC-B82A-A96FDD5A6FDF}"/>
    <cellStyle name="常规 36 3 3 4" xfId="3332" xr:uid="{9CDD12F3-821D-4596-AA80-69C73CD82A3D}"/>
    <cellStyle name="常规 36 3 4" xfId="284" xr:uid="{1FCEC19B-2AA6-4D80-86AC-9BEC44DD07C5}"/>
    <cellStyle name="常规 36 3 4 2" xfId="1881" xr:uid="{0B39D956-59BC-4B15-8C4A-CE6D8B1A5BA8}"/>
    <cellStyle name="常规 36 3 4 2 2" xfId="3333" xr:uid="{F0F8C691-8B89-4D91-8F81-E77B717C15E0}"/>
    <cellStyle name="常规 36 3 4 3" xfId="3334" xr:uid="{E055A988-4395-4D37-9D4F-5B38AC879971}"/>
    <cellStyle name="常规 36 3 5" xfId="289" xr:uid="{4B098F62-1B6B-4F60-9502-A59F8D7D9C56}"/>
    <cellStyle name="常规 36 3 5 2" xfId="3335" xr:uid="{4129E8AC-318C-47CA-B0FF-86EA740FFEB0}"/>
    <cellStyle name="常规 36 3 6" xfId="293" xr:uid="{9901A85C-60A6-4536-83A9-77ACF80D2290}"/>
    <cellStyle name="常规 36 4" xfId="3337" xr:uid="{2009CA73-8F43-4440-A000-DF2041FFC258}"/>
    <cellStyle name="常规 36 4 2" xfId="1516" xr:uid="{7291B0F9-E9ED-4396-AF07-4EB9CA190A3F}"/>
    <cellStyle name="常规 36 4 2 2" xfId="3339" xr:uid="{7AFD0D40-CB3D-47A9-984B-5B21DADA5CF3}"/>
    <cellStyle name="常规 36 4 2 2 2" xfId="319" xr:uid="{F9EB3738-8B0A-4ED7-AF1B-8A4522E294C4}"/>
    <cellStyle name="常规 36 4 2 3" xfId="3340" xr:uid="{631687B3-7C02-4F9D-9EB2-30CB55FDCECD}"/>
    <cellStyle name="常规 36 4 3" xfId="3046" xr:uid="{AEE608AD-DDCD-4E72-A751-DD125EE92DEF}"/>
    <cellStyle name="常规 36 4 3 2" xfId="3051" xr:uid="{F9274289-59B3-4D1E-BEC3-3B3A6175C3C7}"/>
    <cellStyle name="常规 36 4 4" xfId="3055" xr:uid="{FCCC3ADB-20AD-4436-A3DB-1A0B55837B4E}"/>
    <cellStyle name="常规 36 5" xfId="3342" xr:uid="{2213163A-B3DF-4657-976B-6520AA7C4B3C}"/>
    <cellStyle name="常规 36 5 2" xfId="3344" xr:uid="{43DFE97D-8162-4874-ADE1-5AA2EAB75DD6}"/>
    <cellStyle name="常规 36 5 2 2" xfId="3345" xr:uid="{AEDAD919-C6C6-4F8F-8422-308CD9E635AC}"/>
    <cellStyle name="常规 36 5 3" xfId="3063" xr:uid="{D7599147-2C8E-44CD-B4A3-871F1C8DF462}"/>
    <cellStyle name="常规 36 6" xfId="3346" xr:uid="{7F8ECFAB-A974-484D-8141-D512D571BF55}"/>
    <cellStyle name="常规 36 6 2" xfId="3347" xr:uid="{ADB1D388-5255-4A67-B0A2-8396D5997A37}"/>
    <cellStyle name="常规 36 7" xfId="3348" xr:uid="{433667E7-2132-45DE-A250-CDEB92107FFA}"/>
    <cellStyle name="常规 37" xfId="3170" xr:uid="{B4731B7F-9420-41C2-89BC-008BA61BA755}"/>
    <cellStyle name="常规 37 2" xfId="3350" xr:uid="{251C1D08-14E2-4A94-9C61-AA8D1B85D790}"/>
    <cellStyle name="常规 37 2 2" xfId="3352" xr:uid="{50FE8E69-5CA3-490B-A216-C8AB73877456}"/>
    <cellStyle name="常规 37 2 2 2" xfId="3354" xr:uid="{58351549-3226-4DE4-A8F0-6614E88F0DC1}"/>
    <cellStyle name="常规 37 2 2 2 2" xfId="3356" xr:uid="{4DB099FD-B36D-46EE-B0B8-1584E20E7D9E}"/>
    <cellStyle name="常规 37 2 2 3" xfId="3358" xr:uid="{05A63E75-B47C-476D-9873-6F55FA8C7C81}"/>
    <cellStyle name="常规 37 2 3" xfId="1211" xr:uid="{08C36C56-5744-4F1D-A426-69D9A6CD0A59}"/>
    <cellStyle name="常规 37 2 3 2" xfId="1634" xr:uid="{1E64C306-A5FA-4C25-9B35-61050892C227}"/>
    <cellStyle name="常规 37 2 3 2 2" xfId="3360" xr:uid="{BD2EE826-4666-4B2B-93D5-051C0A5D25B5}"/>
    <cellStyle name="常规 37 2 3 2 2 2" xfId="3362" xr:uid="{207B2E5B-F874-4B64-A626-CE6966CBB0BC}"/>
    <cellStyle name="常规 37 2 3 2 3" xfId="2689" xr:uid="{3E542F09-2AB8-4428-BCFB-EF4E4D878951}"/>
    <cellStyle name="常规 37 2 3 3" xfId="3364" xr:uid="{EF19284C-3437-4A3B-92E5-A6EA5F018B10}"/>
    <cellStyle name="常规 37 2 3 3 2" xfId="3366" xr:uid="{F9D0F44B-011A-42AE-9205-FACB0204FBC7}"/>
    <cellStyle name="常规 37 2 3 4" xfId="3368" xr:uid="{7CF81651-54A4-4D31-B78C-F13123C4C74D}"/>
    <cellStyle name="常规 37 2 4" xfId="1637" xr:uid="{6A6D30F8-475F-4305-BB63-7C1A14C71448}"/>
    <cellStyle name="常规 37 2 4 2" xfId="2053" xr:uid="{E8471FA5-1688-4514-8A60-C97D3DFA8B2F}"/>
    <cellStyle name="常规 37 2 4 2 2" xfId="3370" xr:uid="{F61EC6C2-88AD-4EFC-BE85-E1D93EC49401}"/>
    <cellStyle name="常规 37 2 4 3" xfId="3372" xr:uid="{6D68A511-0F2B-4D9D-952B-08E8A857E59A}"/>
    <cellStyle name="常规 37 2 5" xfId="3374" xr:uid="{DAD2AE8E-D67A-4219-BE29-B9C78E3B8264}"/>
    <cellStyle name="常规 37 2 5 2" xfId="3376" xr:uid="{AD3C854E-A7C9-47EA-B91C-0FA0F981595F}"/>
    <cellStyle name="常规 37 2 6" xfId="3378" xr:uid="{B1C49D25-E85B-49F2-B2DD-47D349B2403C}"/>
    <cellStyle name="常规 37 3" xfId="3380" xr:uid="{A30E2E5F-4631-45F0-B5D8-E46650432987}"/>
    <cellStyle name="常规 37 3 2" xfId="3382" xr:uid="{6AE54F66-6357-42C5-AFDD-DDEBA44B2153}"/>
    <cellStyle name="常规 37 3 2 2" xfId="612" xr:uid="{001D9DD5-5CBD-4DA4-98C8-C09EED44AF9E}"/>
    <cellStyle name="常规 37 3 2 2 2" xfId="618" xr:uid="{8C74A9B5-FD93-4480-93C5-7177A4603224}"/>
    <cellStyle name="常规 37 3 2 3" xfId="623" xr:uid="{CD534F6E-3738-4F59-962A-837AB467EEF6}"/>
    <cellStyle name="常规 37 3 3" xfId="1640" xr:uid="{C00FB6E7-CB4C-473E-B996-EC9777EC79E0}"/>
    <cellStyle name="常规 37 3 3 2" xfId="3229" xr:uid="{7D3CA835-4D14-4562-8F51-805C7F917FA2}"/>
    <cellStyle name="常规 37 3 3 2 2" xfId="3011" xr:uid="{E59C3910-6DA7-4B4D-A7AB-195E3642D6C6}"/>
    <cellStyle name="常规 37 3 3 2 2 2" xfId="1608" xr:uid="{D537FE5A-B7A7-4C32-ABB1-7C8FD9951098}"/>
    <cellStyle name="常规 37 3 3 2 3" xfId="3018" xr:uid="{95CB0BD7-3DA8-43A8-BF25-F987DE46FB7E}"/>
    <cellStyle name="常规 37 3 3 3" xfId="3383" xr:uid="{DF47790D-219E-49C0-A837-E8282E28510B}"/>
    <cellStyle name="常规 37 3 3 3 2" xfId="3134" xr:uid="{FBA1DD44-278A-4F84-8FB8-A8FE3B3915B4}"/>
    <cellStyle name="常规 37 3 3 4" xfId="3384" xr:uid="{ED1281DC-3879-455A-B6E9-3B7F2C51D3CA}"/>
    <cellStyle name="常规 37 3 4" xfId="3232" xr:uid="{CB4291E1-47B6-43CA-9B7F-BECC49E9154E}"/>
    <cellStyle name="常规 37 3 4 2" xfId="2090" xr:uid="{43864231-1F1F-4CF3-871D-3747181D182D}"/>
    <cellStyle name="常规 37 3 4 2 2" xfId="3385" xr:uid="{D25DA503-398D-44AE-9FD1-B4C5AE51327E}"/>
    <cellStyle name="常规 37 3 4 3" xfId="3386" xr:uid="{50B94A2E-7204-486F-B89D-E1A6F36DA9AF}"/>
    <cellStyle name="常规 37 3 5" xfId="3387" xr:uid="{B04F371B-948F-4737-B382-1DB3D375DC3E}"/>
    <cellStyle name="常规 37 3 5 2" xfId="3388" xr:uid="{48A012D0-C817-4F70-B389-F4C881DD11A3}"/>
    <cellStyle name="常规 37 3 6" xfId="3389" xr:uid="{D62E6E52-F768-49AF-8717-46FAA0147AEC}"/>
    <cellStyle name="常规 37 4" xfId="3391" xr:uid="{A6D82404-CD2A-4291-B389-E663D522208C}"/>
    <cellStyle name="常规 37 4 2" xfId="3393" xr:uid="{1562A800-FD2E-4F39-8B2E-1AC665E0ED75}"/>
    <cellStyle name="常规 37 4 2 2" xfId="728" xr:uid="{483A7152-3A39-4666-AB77-9014586546C2}"/>
    <cellStyle name="常规 37 4 2 2 2" xfId="734" xr:uid="{CF43990B-B250-42E0-918B-AAD4B07D582C}"/>
    <cellStyle name="常规 37 4 2 3" xfId="108" xr:uid="{6C99887A-85E5-4E96-A717-59EB5F48AA60}"/>
    <cellStyle name="常规 37 4 3" xfId="3071" xr:uid="{3533C08A-E2EF-419A-B927-EB3493D6EEFD}"/>
    <cellStyle name="常规 37 4 3 2" xfId="3394" xr:uid="{5716B603-230D-422B-BDCE-CCA853555942}"/>
    <cellStyle name="常规 37 4 4" xfId="3395" xr:uid="{08D35DFA-157A-4710-9993-BB15BD3255F7}"/>
    <cellStyle name="常规 37 5" xfId="143" xr:uid="{5B9F3E2A-9120-4586-A484-6BA07D006D08}"/>
    <cellStyle name="常规 37 5 2" xfId="353" xr:uid="{B559290C-8D92-4BC1-BBF3-2014A9674651}"/>
    <cellStyle name="常规 37 5 2 2" xfId="850" xr:uid="{F5FE1216-4F6C-44AB-8761-CAEFC3871634}"/>
    <cellStyle name="常规 37 5 3" xfId="3396" xr:uid="{0659F30D-47AC-4E8A-9D58-05BECD042270}"/>
    <cellStyle name="常规 37 6" xfId="3398" xr:uid="{9C6BDDE3-A0FE-49DA-9B52-F003899AC156}"/>
    <cellStyle name="常规 37 6 2" xfId="3399" xr:uid="{276E4E92-CE45-44B2-AAED-9153E5C40FE5}"/>
    <cellStyle name="常规 37 7" xfId="3400" xr:uid="{FD9A0BE5-887B-4C0B-A351-ECFC03EDA04A}"/>
    <cellStyle name="常规 38" xfId="3404" xr:uid="{0EC670DE-E1B5-46A9-A61A-7FDE56DD5245}"/>
    <cellStyle name="常规 38 2" xfId="3408" xr:uid="{506F712F-08E9-49B7-9431-CA96953BC583}"/>
    <cellStyle name="常规 38 2 2" xfId="3410" xr:uid="{59685DFD-B41D-49F8-A503-E1E89DA46AAF}"/>
    <cellStyle name="常规 38 2 2 2" xfId="3414" xr:uid="{6091D1A6-7B14-4779-A5E5-6AD6F3159080}"/>
    <cellStyle name="常规 38 2 2 2 2" xfId="3417" xr:uid="{A12A64DB-0959-4385-9F04-A684B8875CD8}"/>
    <cellStyle name="常规 38 2 2 2 2 2" xfId="3418" xr:uid="{CEF5F226-B936-4C55-9F0B-B9179E9EF2AB}"/>
    <cellStyle name="常规 38 2 2 2 3" xfId="3419" xr:uid="{3044427D-7E79-4DF7-AB55-19CE57533BB7}"/>
    <cellStyle name="常规 38 2 2 3" xfId="3422" xr:uid="{0620C4BD-F736-40BF-905B-4F14A5E85FEB}"/>
    <cellStyle name="常规 38 2 2 3 2" xfId="3423" xr:uid="{BDF15AD8-E69E-442F-865C-6943DBDB9FD3}"/>
    <cellStyle name="常规 38 2 2 4" xfId="711" xr:uid="{05C3FB2B-BD15-4B60-B47E-D7E0D2A4429B}"/>
    <cellStyle name="常规 38 2 3" xfId="1651" xr:uid="{B8D98869-B27A-4F0E-A9F6-F65E94DD32B4}"/>
    <cellStyle name="常规 38 2 3 2" xfId="3427" xr:uid="{68C5451C-0CA8-4775-A960-5EE722CE0F3F}"/>
    <cellStyle name="常规 38 2 3 2 2" xfId="3429" xr:uid="{D3E1EC3E-F45B-4D53-896E-09A633CF44E9}"/>
    <cellStyle name="常规 38 2 3 3" xfId="3431" xr:uid="{E23DE1CC-7013-489C-84AB-653BE5ADCE6A}"/>
    <cellStyle name="常规 38 2 4" xfId="3433" xr:uid="{14240181-63C6-4DFE-BA13-D2584152E6B1}"/>
    <cellStyle name="常规 38 2 4 2" xfId="2198" xr:uid="{7A2B1AA4-E095-4CE6-AB80-635B12F937DE}"/>
    <cellStyle name="常规 38 2 5" xfId="3435" xr:uid="{202C5212-74A8-43E6-BC09-B438BBD4FCD0}"/>
    <cellStyle name="常规 38 3" xfId="3437" xr:uid="{94E8AC49-A2A3-4969-B646-8039E87849C1}"/>
    <cellStyle name="常规 38 3 2" xfId="3439" xr:uid="{1270701E-BE35-4CAD-AFB7-4549F255D55A}"/>
    <cellStyle name="常规 38 3 2 2" xfId="3163" xr:uid="{D90D462F-FFE1-4740-8939-0CA02CBBF6E9}"/>
    <cellStyle name="常规 38 3 2 2 2" xfId="3441" xr:uid="{DB6C0428-BAD7-46AB-8F0B-FF70BAF79944}"/>
    <cellStyle name="常规 38 3 2 3" xfId="3443" xr:uid="{39A820BE-CBBA-489A-A03D-98E0C0E134E4}"/>
    <cellStyle name="常规 38 3 3" xfId="3235" xr:uid="{34AA1169-51D1-42AA-A1B3-462F022880A1}"/>
    <cellStyle name="常规 38 3 3 2" xfId="2229" xr:uid="{D83C424F-251A-45C1-B69A-F41C87F35DCB}"/>
    <cellStyle name="常规 38 3 3 2 2" xfId="3444" xr:uid="{EF280A7E-82DB-45B5-9D89-C1FD423E363B}"/>
    <cellStyle name="常规 38 3 3 2 2 2" xfId="3445" xr:uid="{54A73382-F231-4F9C-A327-EB89ADFEA899}"/>
    <cellStyle name="常规 38 3 3 2 3" xfId="557" xr:uid="{D20AE421-F119-424B-8393-C2CA2B11377F}"/>
    <cellStyle name="常规 38 3 3 3" xfId="3446" xr:uid="{EBD592AF-AED7-4C50-A680-FF14AC3B9F37}"/>
    <cellStyle name="常规 38 3 3 3 2" xfId="3447" xr:uid="{C5E1B0CD-1BE9-4071-8F6A-C4934BB7CBDA}"/>
    <cellStyle name="常规 38 3 3 4" xfId="3448" xr:uid="{EA0E2429-24B2-4023-961A-B21DEAC66E3E}"/>
    <cellStyle name="常规 38 3 4" xfId="3450" xr:uid="{1F0DBA4C-86DB-4196-BF50-787A838D67D1}"/>
    <cellStyle name="常规 38 3 4 2" xfId="2517" xr:uid="{34510BEB-FC9F-4D85-92C4-2934B06287E5}"/>
    <cellStyle name="常规 38 3 4 2 2" xfId="2578" xr:uid="{FCAC81C9-10AE-4C62-BF91-EFB68DCC948B}"/>
    <cellStyle name="常规 38 3 4 3" xfId="2852" xr:uid="{3E3E3030-C869-4B65-BE0D-0B214B5A7276}"/>
    <cellStyle name="常规 38 3 5" xfId="3451" xr:uid="{89682B4F-EC51-444A-9C1F-D1BEB7ED814E}"/>
    <cellStyle name="常规 38 3 5 2" xfId="3452" xr:uid="{AE144E71-EE9B-4983-BABB-4D48849EE795}"/>
    <cellStyle name="常规 38 3 6" xfId="3453" xr:uid="{B7A20089-ED47-410F-970E-8020218A5381}"/>
    <cellStyle name="常规 38 4" xfId="3455" xr:uid="{BBF9BC51-46AD-4754-853C-2AF891B0F02D}"/>
    <cellStyle name="常规 38 4 2" xfId="3457" xr:uid="{18492FD0-C10A-4BC9-A3EE-90701A395C6F}"/>
    <cellStyle name="常规 38 4 2 2" xfId="3403" xr:uid="{DCD254A4-CD91-4602-8A97-245F22F07B76}"/>
    <cellStyle name="常规 38 4 2 2 2" xfId="3407" xr:uid="{98C8629F-D0E6-4F34-9A11-4DA56B48A5F4}"/>
    <cellStyle name="常规 38 4 2 3" xfId="68" xr:uid="{02DD3BCF-D11A-4963-B413-7C46381EAFB4}"/>
    <cellStyle name="常规 38 4 3" xfId="3459" xr:uid="{3B5155C4-A77A-496A-BA90-E32B487DC5A7}"/>
    <cellStyle name="常规 38 4 3 2" xfId="3460" xr:uid="{2C3183A3-639A-466D-9D1C-1B82FCD97832}"/>
    <cellStyle name="常规 38 4 4" xfId="3461" xr:uid="{764DAE94-433D-4C97-A3AE-FE5BE8A27326}"/>
    <cellStyle name="常规 38 5" xfId="3155" xr:uid="{ADD22A8C-CC73-4A38-947D-A03B86AFC804}"/>
    <cellStyle name="常规 38 5 2" xfId="3463" xr:uid="{1C970CBF-4B17-4B08-B22D-96CB7EC64E51}"/>
    <cellStyle name="常规 38 5 2 2" xfId="3464" xr:uid="{2589D230-02D9-4DFA-911E-5BAB24B81CF7}"/>
    <cellStyle name="常规 38 5 3" xfId="3465" xr:uid="{8B74BD14-684C-4FDE-AB18-2DDF8F0DF8D9}"/>
    <cellStyle name="常规 38 6" xfId="3413" xr:uid="{FDF56EC1-3140-4E4C-BECA-3AF2BA8E54A6}"/>
    <cellStyle name="常规 38 6 2" xfId="3416" xr:uid="{E50001ED-108D-47D0-80BD-CC9C80C5BC9D}"/>
    <cellStyle name="常规 38 7" xfId="3421" xr:uid="{437F013E-CC30-420A-9A73-4A320E6CE790}"/>
    <cellStyle name="常规 39" xfId="67" xr:uid="{CEDE1436-F6DF-43CA-92C2-28B622AAB5CA}"/>
    <cellStyle name="常规 39 2" xfId="3468" xr:uid="{1C0CBB4E-3CB2-46A5-9341-FD6628A9A9C1}"/>
    <cellStyle name="常规 39 2 2" xfId="3470" xr:uid="{EF5EF454-ED4F-4A14-B1CF-722319904637}"/>
    <cellStyle name="常规 39 2 2 2" xfId="3472" xr:uid="{495866DD-7FD7-4B03-BAF0-F2028A059A99}"/>
    <cellStyle name="常规 39 2 2 2 2" xfId="3473" xr:uid="{44B97160-61CE-4449-BF7D-DCF1714AB180}"/>
    <cellStyle name="常规 39 2 2 3" xfId="3474" xr:uid="{9D60CBCE-0FE1-49AF-8B3B-5D1C268F35A4}"/>
    <cellStyle name="常规 39 2 3" xfId="3476" xr:uid="{A81EA51F-DEA1-4CB2-8989-B938969FB2C7}"/>
    <cellStyle name="常规 39 2 3 2" xfId="3477" xr:uid="{8B0CF4C9-D1C7-4BD7-AD49-A9ABDEECDA85}"/>
    <cellStyle name="常规 39 2 3 2 2" xfId="340" xr:uid="{0A0464FE-B002-4B63-BFAA-39779243F5FC}"/>
    <cellStyle name="常规 39 2 3 2 2 2" xfId="436" xr:uid="{34B04B6D-BFC7-4311-86BA-FF621002CD33}"/>
    <cellStyle name="常规 39 2 3 2 3" xfId="342" xr:uid="{4673B1C9-8E7C-46FA-A6E0-C4F657A10F47}"/>
    <cellStyle name="常规 39 2 3 3" xfId="3478" xr:uid="{5F5D33E6-F867-4B32-AED7-3D9CD6FD68E4}"/>
    <cellStyle name="常规 39 2 3 3 2" xfId="481" xr:uid="{D194E7C8-624A-4AEA-9886-7D049AC447C5}"/>
    <cellStyle name="常规 39 2 3 4" xfId="3480" xr:uid="{ED263D10-22C0-4410-8B55-2C3EE869CDB2}"/>
    <cellStyle name="常规 39 2 4" xfId="3481" xr:uid="{D9811398-49CB-48A7-B957-A7100FF4C5E4}"/>
    <cellStyle name="常规 39 2 4 2" xfId="2313" xr:uid="{78B39620-3AF0-4372-AC20-1DCF5C132EFB}"/>
    <cellStyle name="常规 39 2 4 2 2" xfId="3482" xr:uid="{CDE97E4E-6A9B-4093-8550-011872136C50}"/>
    <cellStyle name="常规 39 2 4 3" xfId="3483" xr:uid="{531DC127-A084-4B58-BDB3-7CBAF575BC7A}"/>
    <cellStyle name="常规 39 2 5" xfId="3484" xr:uid="{685E40A9-F39C-4D92-A33A-F8DAE64B49F0}"/>
    <cellStyle name="常规 39 2 5 2" xfId="3485" xr:uid="{E384E826-AC84-4253-B108-19458DF8D918}"/>
    <cellStyle name="常规 39 2 6" xfId="2003" xr:uid="{00AB6997-88CC-45DF-A7A8-935FE19C6D11}"/>
    <cellStyle name="常规 39 3" xfId="3487" xr:uid="{25A3541E-CD9C-4F7D-8458-480040DCED17}"/>
    <cellStyle name="常规 39 3 2" xfId="3489" xr:uid="{94409174-16C3-4B37-B80C-5DDF6BBBC43A}"/>
    <cellStyle name="常规 39 3 2 2" xfId="3185" xr:uid="{AF26D6B4-5344-4743-871A-099D69016D39}"/>
    <cellStyle name="常规 39 3 2 2 2" xfId="3491" xr:uid="{EEBD12DC-FB4B-4282-A4D7-0C9FBA60B097}"/>
    <cellStyle name="常规 39 3 2 3" xfId="3493" xr:uid="{294D2E45-58CF-44FB-A553-D50C1DE05F3E}"/>
    <cellStyle name="常规 39 3 3" xfId="3495" xr:uid="{8EFC5FF8-D815-446C-8959-1B83336BF07D}"/>
    <cellStyle name="常规 39 3 3 2" xfId="2341" xr:uid="{078FCAF6-3BE2-41C1-95E7-98B04732FC2C}"/>
    <cellStyle name="常规 39 3 4" xfId="3497" xr:uid="{C81F8E65-DA4A-4B8F-BCC4-F3823FDCE3A8}"/>
    <cellStyle name="常规 39 4" xfId="1440" xr:uid="{5DB4070E-E06A-401A-B2D2-19C98E7BED51}"/>
    <cellStyle name="常规 39 4 2" xfId="2184" xr:uid="{9591DB91-E169-44D1-8E94-05469C944CD9}"/>
    <cellStyle name="常规 39 4 2 2" xfId="3499" xr:uid="{98C7F2CC-8E87-46D9-94E9-76ACDAD0333F}"/>
    <cellStyle name="常规 39 4 3" xfId="3501" xr:uid="{D9E7E734-60AD-40B5-9EA6-A17BE73ED0B0}"/>
    <cellStyle name="常规 39 5" xfId="2188" xr:uid="{4FEA9D5E-5F82-423E-AC73-07D3D54F47A1}"/>
    <cellStyle name="常规 39 5 2" xfId="3503" xr:uid="{47EFDAD3-C15F-4B5B-8B84-07FE685AC881}"/>
    <cellStyle name="常规 39 6" xfId="3426" xr:uid="{E808B635-6612-4D94-99C6-E88DE23282C3}"/>
    <cellStyle name="常规 4" xfId="14" xr:uid="{905FBBE1-BDE1-4DF7-8BEC-3E73CE2C69EF}"/>
    <cellStyle name="常规 4 2" xfId="31" xr:uid="{FAB87C45-94C1-41B4-9426-57D8A07EA8DA}"/>
    <cellStyle name="常规 4 2 2" xfId="55" xr:uid="{3E583042-A375-4DA2-8F57-9DC893047D42}"/>
    <cellStyle name="常规 4 2 2 2" xfId="3508" xr:uid="{68569F5B-1D15-448E-A515-CF0CF81B45B2}"/>
    <cellStyle name="常规 4 2 2 2 2" xfId="3511" xr:uid="{BA103B2E-131D-4991-90AF-E68FD68E72C2}"/>
    <cellStyle name="常规 4 2 2 3" xfId="105" xr:uid="{8268424C-86F5-4657-B9E4-A7AB0136D79C}"/>
    <cellStyle name="常规 4 2 2 4" xfId="3505" xr:uid="{EC7FD03A-F39A-4CEE-BEF9-6F32A0F98009}"/>
    <cellStyle name="常规 4 2 3" xfId="3512" xr:uid="{22C69944-DA76-4B90-BA47-3B54CDB05600}"/>
    <cellStyle name="常规 4 2 3 2" xfId="3515" xr:uid="{E815D05A-E8E7-4CAB-9932-2F7F3CA57BD0}"/>
    <cellStyle name="常规 4 2 3 2 2" xfId="3518" xr:uid="{3A923857-A33E-414A-BFD1-94406B8778B9}"/>
    <cellStyle name="常规 4 2 3 2 2 2" xfId="2381" xr:uid="{48374414-F55F-4771-9DFD-2C1BFC2C39D2}"/>
    <cellStyle name="常规 4 2 3 2 3" xfId="3521" xr:uid="{EF4DDB34-2E17-458E-89BD-862A284F054F}"/>
    <cellStyle name="常规 4 2 3 3" xfId="3524" xr:uid="{DDD3FF23-B7F5-4D77-B58C-7CEC971BAAE0}"/>
    <cellStyle name="常规 4 2 3 3 2" xfId="3527" xr:uid="{AD8DFA0A-12FE-4862-838C-F402E1137042}"/>
    <cellStyle name="常规 4 2 3 4" xfId="3530" xr:uid="{F983D818-3245-44AC-AC7B-1649D930F044}"/>
    <cellStyle name="常规 4 2 4" xfId="3532" xr:uid="{1B629F34-D007-45B0-BFC8-1D77E5878769}"/>
    <cellStyle name="常规 4 2 4 2" xfId="3535" xr:uid="{8BFBEF78-C7A9-4E4F-B3F8-606F8EAC08C3}"/>
    <cellStyle name="常规 4 2 4 2 2" xfId="3538" xr:uid="{04C2A887-495F-42BA-BA90-E4B01DC87C14}"/>
    <cellStyle name="常规 4 2 4 3" xfId="3541" xr:uid="{3CD734E3-2293-4BAE-9BEE-D38B2EC7411C}"/>
    <cellStyle name="常规 4 2 5" xfId="439" xr:uid="{225D015C-08FB-49F6-B327-4DB553E02F11}"/>
    <cellStyle name="常规 4 2 5 2" xfId="450" xr:uid="{CEB36406-9625-4502-8BCC-57FC4272D082}"/>
    <cellStyle name="常规 4 2 6" xfId="456" xr:uid="{28DCC42A-E94D-41A8-99F2-8E97B482D1CE}"/>
    <cellStyle name="常规 4 2 7" xfId="1824" xr:uid="{06ECF3F9-30B0-4176-8B00-9A6EE69CCACB}"/>
    <cellStyle name="常规 4 3" xfId="32" xr:uid="{8E69F091-754E-4802-AF7D-D70DFC7C0DC8}"/>
    <cellStyle name="常规 4 3 2" xfId="3543" xr:uid="{B1929F96-4AF6-4DC2-A61D-28AC6CBB55A6}"/>
    <cellStyle name="常规 4 3 2 2" xfId="3545" xr:uid="{5117B28F-BCB6-44A6-9744-9D8B1E27A7A4}"/>
    <cellStyle name="常规 4 3 2 2 2" xfId="3547" xr:uid="{9DAE74BE-56A2-4C94-BA26-3299132A07E4}"/>
    <cellStyle name="常规 4 3 2 3" xfId="3549" xr:uid="{50A4A105-0F61-45E4-93C4-FE9A3A811E81}"/>
    <cellStyle name="常规 4 3 3" xfId="3551" xr:uid="{8AED2F50-E11A-483D-87BC-A8F4A657E21F}"/>
    <cellStyle name="常规 4 3 3 2" xfId="3554" xr:uid="{FE4385CF-7BFF-4D1C-B97B-5758D8F25308}"/>
    <cellStyle name="常规 4 3 3 2 2" xfId="3556" xr:uid="{621AB872-4A01-4D74-9ED3-0C7B9FA6236C}"/>
    <cellStyle name="常规 4 3 3 2 2 2" xfId="3558" xr:uid="{77B27956-DDAC-4D9B-B8C0-32442D0B352B}"/>
    <cellStyle name="常规 4 3 3 2 3" xfId="3560" xr:uid="{0511FA2D-92F2-443B-847F-735F20C342EC}"/>
    <cellStyle name="常规 4 3 3 3" xfId="3562" xr:uid="{2A181726-8F18-40A9-AB67-E9B98E68430B}"/>
    <cellStyle name="常规 4 3 3 3 2" xfId="3564" xr:uid="{D86E7FEF-8EB5-4A7A-BBE2-7837FD8158D6}"/>
    <cellStyle name="常规 4 3 3 4" xfId="3566" xr:uid="{E40C3CA4-6DC4-49EE-B788-B407580EC093}"/>
    <cellStyle name="常规 4 3 4" xfId="2838" xr:uid="{3801C2A8-797C-4CD1-B506-CCB176D4953E}"/>
    <cellStyle name="常规 4 3 4 2" xfId="3569" xr:uid="{88E512ED-FA5F-4736-BA8A-3CA3A6351DC9}"/>
    <cellStyle name="常规 4 3 4 2 2" xfId="3571" xr:uid="{95882740-CFBD-4AE1-A21A-D320E3A9A9DC}"/>
    <cellStyle name="常规 4 3 4 3" xfId="3573" xr:uid="{4065726B-AE2B-45D7-88F3-57BE93873CE5}"/>
    <cellStyle name="常规 4 3 5" xfId="463" xr:uid="{6D2C92E9-D346-4FB4-8147-76AC29FAB302}"/>
    <cellStyle name="常规 4 3 5 2" xfId="1827" xr:uid="{CC797E38-6D03-49AC-BB20-C10B48736CE8}"/>
    <cellStyle name="常规 4 3 6" xfId="1830" xr:uid="{5868D786-CAE0-48CB-A13E-EFF8187406F8}"/>
    <cellStyle name="常规 4 4" xfId="46" xr:uid="{DB8EC812-F4D9-47FF-A192-44E762F99BD1}"/>
    <cellStyle name="常规 4 4 2" xfId="3507" xr:uid="{DC943499-F999-4D94-AD3F-D41EF4ADA78F}"/>
    <cellStyle name="常规 4 4 2 2" xfId="3510" xr:uid="{13B4B6E7-FA55-4BCD-836D-35579E5F9F77}"/>
    <cellStyle name="常规 4 4 2 2 2" xfId="3575" xr:uid="{6824C193-CA27-401E-B7BC-3544B67CE6A5}"/>
    <cellStyle name="常规 4 4 2 3" xfId="3577" xr:uid="{E3398D0A-F91A-4687-AC26-4418B14DA557}"/>
    <cellStyle name="常规 4 4 3" xfId="104" xr:uid="{36EB0714-C8F5-4569-BFA6-1B0E8B8B99E8}"/>
    <cellStyle name="常规 4 4 3 2" xfId="3579" xr:uid="{5DE7DAFC-63BE-4948-A250-FA746572FACD}"/>
    <cellStyle name="常规 4 4 3 2 2" xfId="1961" xr:uid="{9D1738BD-ECCD-4B20-A2EB-6A36B661D328}"/>
    <cellStyle name="常规 4 4 3 2 2 2" xfId="3581" xr:uid="{02621FC9-01FB-4145-80D6-399D4C9AFF6A}"/>
    <cellStyle name="常规 4 4 3 2 3" xfId="3583" xr:uid="{4F1B83F2-F6A8-41B9-9805-CF18EC957E01}"/>
    <cellStyle name="常规 4 4 3 3" xfId="1141" xr:uid="{17909373-947F-48E1-861D-49453D8B5FCC}"/>
    <cellStyle name="常规 4 4 3 3 2" xfId="3585" xr:uid="{1A614720-63C0-44E5-A377-ED1BD1A62B0B}"/>
    <cellStyle name="常规 4 4 3 4" xfId="3587" xr:uid="{354E9053-0010-4F1D-AE5D-B149139B68B7}"/>
    <cellStyle name="常规 4 4 4" xfId="3589" xr:uid="{8EA05FDA-7927-46D8-90E3-FB1A759C77A2}"/>
    <cellStyle name="常规 4 4 4 2" xfId="3592" xr:uid="{11DC7463-B452-4E0E-BB81-DAEB2C2A678C}"/>
    <cellStyle name="常规 4 4 4 2 2" xfId="382" xr:uid="{392F5BC9-C453-44C0-B6C7-E922F4233018}"/>
    <cellStyle name="常规 4 4 4 3" xfId="3594" xr:uid="{93C73C04-E250-4595-9D55-41AEB7F771C8}"/>
    <cellStyle name="常规 4 4 5" xfId="1833" xr:uid="{93DC7B6D-D04F-4FAF-80DB-2A48C55CBDA3}"/>
    <cellStyle name="常规 4 4 5 2" xfId="3596" xr:uid="{8B673BF1-3534-434A-9A42-84D5F28531EC}"/>
    <cellStyle name="常规 4 4 6" xfId="3598" xr:uid="{A5542007-19BA-499F-BEED-945E0B9838C6}"/>
    <cellStyle name="常规 4 4 7" xfId="3504" xr:uid="{7FFD672C-47E4-4F45-9348-FA6945925B1C}"/>
    <cellStyle name="常规 4 5" xfId="18" xr:uid="{CF38519A-83F1-4AB3-88BF-F9A0E9E328C6}"/>
    <cellStyle name="常规 4 5 2" xfId="3514" xr:uid="{89BDAC6C-C339-4DE3-9094-7B6BF4FD3AD8}"/>
    <cellStyle name="常规 4 5 2 2" xfId="3517" xr:uid="{6FAC682B-6D23-4FCE-8DD4-F0590E8F0602}"/>
    <cellStyle name="常规 4 5 2 2 2" xfId="2380" xr:uid="{CAF038E6-F319-4B46-868B-FDB08C58FDD0}"/>
    <cellStyle name="常规 4 5 2 3" xfId="3520" xr:uid="{67654EDC-09F8-47F6-8651-23AA219A07C3}"/>
    <cellStyle name="常规 4 5 3" xfId="3523" xr:uid="{DECAFE9E-FF7A-47F6-A6FE-023A20062EE4}"/>
    <cellStyle name="常规 4 5 3 2" xfId="3526" xr:uid="{7DA8B244-BB12-46BC-A2CA-6A2FA8BF146D}"/>
    <cellStyle name="常规 4 5 3 2 2" xfId="2685" xr:uid="{6DCFCFE9-9C52-4059-825C-A708A671F4FD}"/>
    <cellStyle name="常规 4 5 3 2 2 2" xfId="3600" xr:uid="{536FA2B5-CA68-4624-BDEF-99290E235ABA}"/>
    <cellStyle name="常规 4 5 3 2 3" xfId="3602" xr:uid="{83F4C7A6-ACC1-424F-B3B5-C13165319703}"/>
    <cellStyle name="常规 4 5 3 3" xfId="3604" xr:uid="{D6449C52-0D38-4798-8528-0D442EF2F5FF}"/>
    <cellStyle name="常规 4 5 3 3 2" xfId="3606" xr:uid="{EB4411F2-E0DB-4B88-807B-C26CFD662A2B}"/>
    <cellStyle name="常规 4 5 3 4" xfId="3608" xr:uid="{944D3F39-B879-4BC1-9F41-254DD7DF465E}"/>
    <cellStyle name="常规 4 5 4" xfId="3529" xr:uid="{E17391E3-D7D8-482A-A66D-C208B5856898}"/>
    <cellStyle name="常规 4 5 4 2" xfId="3611" xr:uid="{2619C0E1-2175-41B8-B9D0-8E95B3B33A8C}"/>
    <cellStyle name="常规 4 5 4 2 2" xfId="1524" xr:uid="{9A605721-ACD9-4F52-9901-FF6C37731BE0}"/>
    <cellStyle name="常规 4 5 4 3" xfId="3613" xr:uid="{E2BD416D-E4FB-4FF5-91A1-890AB0B0D624}"/>
    <cellStyle name="常规 4 5 5" xfId="3615" xr:uid="{4BEBC24F-93F7-4D8E-8B7C-CA0CDF321C1D}"/>
    <cellStyle name="常规 4 5 5 2" xfId="982" xr:uid="{0A14B8AB-2DFC-47CA-8929-8B9BF6F61011}"/>
    <cellStyle name="常规 4 5 6" xfId="3617" xr:uid="{8BABC8D8-2BD7-4867-A564-36CBAB5A2C5A}"/>
    <cellStyle name="常规 4 6" xfId="53" xr:uid="{E22C77A9-E8DC-46F6-AF89-A4E71912F8F5}"/>
    <cellStyle name="常规 4 6 2" xfId="3534" xr:uid="{05DCBF6C-46EB-4B39-BE87-C0412771D1B0}"/>
    <cellStyle name="常规 4 6 2 2" xfId="3537" xr:uid="{81494644-B1ED-427B-B458-0CE85BE48C45}"/>
    <cellStyle name="常规 4 6 2 2 2" xfId="3619" xr:uid="{C8E9E43B-1C4D-46B7-9773-25F4EDA28A42}"/>
    <cellStyle name="常规 4 6 2 3" xfId="3621" xr:uid="{98DAFA40-04DE-4E2F-9D69-86D305343FEA}"/>
    <cellStyle name="常规 4 6 3" xfId="3540" xr:uid="{24E2B1BC-DBD2-4BB3-97A7-532DD0E42A92}"/>
    <cellStyle name="常规 4 6 3 2" xfId="3623" xr:uid="{9866A790-FC98-40DA-A9EB-CC3C38CC865D}"/>
    <cellStyle name="常规 4 6 4" xfId="3625" xr:uid="{CB812018-1E27-4531-8835-CF69BB9BA5E8}"/>
    <cellStyle name="常规 4 6 5" xfId="3531" xr:uid="{FDC4B280-329B-44EF-9B08-87493C93C61A}"/>
    <cellStyle name="常规 4 7" xfId="438" xr:uid="{E2FAD1C9-FD3C-4D41-A1A2-694BB0460EE1}"/>
    <cellStyle name="常规 4 7 2" xfId="449" xr:uid="{D0BFC130-62C3-4DB6-94C8-E97465AAAF09}"/>
    <cellStyle name="常规 4 7 2 2" xfId="1819" xr:uid="{ED4C94E2-FF90-4534-BAAE-D7E04D01312F}"/>
    <cellStyle name="常规 4 7 3" xfId="745" xr:uid="{ED32DBD1-F5E7-4851-9A72-1AFD321F2D45}"/>
    <cellStyle name="常规 4 8" xfId="455" xr:uid="{FDC075D5-85A8-4750-A998-737938CDD945}"/>
    <cellStyle name="常规 4 8 2" xfId="1821" xr:uid="{044E248B-ED66-43C6-96B3-AFB3E18E7897}"/>
    <cellStyle name="常规 4 9" xfId="1823" xr:uid="{3CE068BC-B3AD-422D-8358-EF181402E03A}"/>
    <cellStyle name="常规 40" xfId="3238" xr:uid="{B3DB9A25-6356-471C-BCBC-B3515B4A440F}"/>
    <cellStyle name="常规 40 2" xfId="3240" xr:uid="{8519130B-E745-4F6D-9FCF-508E0C8E5356}"/>
    <cellStyle name="常规 40 2 2" xfId="3243" xr:uid="{7D077DB5-A519-48CD-B302-66110D04DDB4}"/>
    <cellStyle name="常规 40 2 2 2" xfId="3245" xr:uid="{04947395-D608-4BCE-863F-F07334F39AF9}"/>
    <cellStyle name="常规 40 2 2 2 2" xfId="3247" xr:uid="{A0EDE9ED-7CF4-46E3-8C57-E359D457CC86}"/>
    <cellStyle name="常规 40 2 2 3" xfId="3249" xr:uid="{1F0DFC08-6063-4DEF-B5BD-70F81B938B4F}"/>
    <cellStyle name="常规 40 2 3" xfId="3251" xr:uid="{BF7304CE-12E2-4A36-BE5F-6F59E801DF6B}"/>
    <cellStyle name="常规 40 2 3 2" xfId="2500" xr:uid="{A3FF44CF-376D-457F-953D-226464AB2FE9}"/>
    <cellStyle name="常规 40 2 3 2 2" xfId="3253" xr:uid="{768AD30F-775C-497E-8ACD-EEB714D7FB72}"/>
    <cellStyle name="常规 40 2 3 2 2 2" xfId="3255" xr:uid="{3E42CCBE-8A37-407B-916B-BA14746E445F}"/>
    <cellStyle name="常规 40 2 3 2 3" xfId="1723" xr:uid="{2AC7D53D-DA36-4C06-93CA-B241637DF523}"/>
    <cellStyle name="常规 40 2 3 3" xfId="3257" xr:uid="{5CA490B6-97C0-4487-9406-3C30DABE45F5}"/>
    <cellStyle name="常规 40 2 3 3 2" xfId="3259" xr:uid="{7113FEDC-7236-4304-A68A-49CD0FB71051}"/>
    <cellStyle name="常规 40 2 3 4" xfId="1416" xr:uid="{7E239939-7C11-484E-A585-1140F3D6E6CB}"/>
    <cellStyle name="常规 40 2 4" xfId="2596" xr:uid="{57A4A85D-CD35-447C-87CA-06E9B7FFC1E0}"/>
    <cellStyle name="常规 40 2 4 2" xfId="1713" xr:uid="{1F595B4E-0782-4657-9E6A-039ACD0C8F4C}"/>
    <cellStyle name="常规 40 2 4 2 2" xfId="3261" xr:uid="{2DA6B9F2-7BAF-44CD-B00F-347183EE05B8}"/>
    <cellStyle name="常规 40 2 4 3" xfId="3263" xr:uid="{7D62E000-9800-4FC4-BC63-1CBF3C64215F}"/>
    <cellStyle name="常规 40 2 5" xfId="3265" xr:uid="{9618EDDD-C176-42BD-B3DC-1610E9B52A80}"/>
    <cellStyle name="常规 40 2 5 2" xfId="3267" xr:uid="{1002BB9F-9B02-445C-AFAE-050D8523A207}"/>
    <cellStyle name="常规 40 2 6" xfId="3269" xr:uid="{07B98FDC-822A-4E4E-967B-334F58BE0147}"/>
    <cellStyle name="常规 40 3" xfId="3271" xr:uid="{28D1B446-7947-48CC-A9A6-33F194E54A5F}"/>
    <cellStyle name="常规 40 3 2" xfId="3273" xr:uid="{C39138A5-649E-4F76-A9C6-157665BCDD3F}"/>
    <cellStyle name="常规 40 3 2 2" xfId="3275" xr:uid="{FFB33915-70EB-4C4F-8BB6-DAFBCA9398DC}"/>
    <cellStyle name="常规 40 3 2 2 2" xfId="3277" xr:uid="{A7B59E0F-72C6-41F7-9904-D79D6CC1BDE2}"/>
    <cellStyle name="常规 40 3 2 3" xfId="3279" xr:uid="{FF8CF6A5-5301-4013-A512-67F962A4F209}"/>
    <cellStyle name="常规 40 3 3" xfId="3087" xr:uid="{39064458-272F-48FD-BBB6-917B7FD9EC3E}"/>
    <cellStyle name="常规 40 3 3 2" xfId="3091" xr:uid="{4380CC21-6A3F-4B9B-90CD-6EF90A6FFD7C}"/>
    <cellStyle name="常规 40 3 4" xfId="3095" xr:uid="{D6E6524B-DE7C-4927-ABFE-DBC16C3FD4F5}"/>
    <cellStyle name="常规 40 4" xfId="3281" xr:uid="{A6D03464-5D3A-4872-9D58-DF46BF8A2CF6}"/>
    <cellStyle name="常规 40 4 2" xfId="1225" xr:uid="{8011B9F4-D3FF-4171-AA8D-B5ACD1DECE71}"/>
    <cellStyle name="常规 40 4 2 2" xfId="3283" xr:uid="{926692EC-212A-4A9F-BFF4-A0511112717D}"/>
    <cellStyle name="常规 40 4 3" xfId="3033" xr:uid="{9EE6362D-FFEF-4C80-9FF2-9323B6F82F92}"/>
    <cellStyle name="常规 40 5" xfId="3285" xr:uid="{EFE333A0-5C68-4D4C-8D8C-728507534A9A}"/>
    <cellStyle name="常规 40 5 2" xfId="1233" xr:uid="{DBC0138D-0965-49B4-AC17-E2BB86B597F4}"/>
    <cellStyle name="常规 40 6" xfId="3287" xr:uid="{DEA5B3BC-21C7-4F40-852B-EC64E54EC8D3}"/>
    <cellStyle name="常规 41" xfId="11" xr:uid="{00000000-0005-0000-0000-00003A000000}"/>
    <cellStyle name="常规 41 2" xfId="3290" xr:uid="{DF29F9B0-5255-4BAA-B16F-FD1C46077118}"/>
    <cellStyle name="常规 41 2 2" xfId="3292" xr:uid="{133815E0-BD6E-4451-8DDD-646D8E62A9AE}"/>
    <cellStyle name="常规 41 2 2 2" xfId="3294" xr:uid="{5C88FE7E-E21A-428A-A06A-01EC24164335}"/>
    <cellStyle name="常规 41 2 2 2 2" xfId="3296" xr:uid="{23305C30-1A8F-47F1-A173-0424DA9DEF51}"/>
    <cellStyle name="常规 41 2 2 3" xfId="3298" xr:uid="{FBFF622F-EA3E-4568-B05C-9848FBD273C6}"/>
    <cellStyle name="常规 41 2 3" xfId="1193" xr:uid="{3754ACF5-F4C4-45AD-83AC-9A16D4D93BD1}"/>
    <cellStyle name="常规 41 2 3 2" xfId="3300" xr:uid="{00405BC2-D06B-42C0-8ADB-FAE2E817448E}"/>
    <cellStyle name="常规 41 2 3 2 2" xfId="3302" xr:uid="{D432C07D-AA16-43F7-AD58-7AC325A4F81F}"/>
    <cellStyle name="常规 41 2 3 2 2 2" xfId="3304" xr:uid="{32013FE8-4E94-4B75-9AB3-CF14F3FA82C6}"/>
    <cellStyle name="常规 41 2 3 2 3" xfId="2632" xr:uid="{662FD4B4-3A14-4959-907A-8E07BA615837}"/>
    <cellStyle name="常规 41 2 3 3" xfId="3306" xr:uid="{6245CCB0-311A-4DDC-A51C-20CA6066076D}"/>
    <cellStyle name="常规 41 2 3 3 2" xfId="779" xr:uid="{326FD0D1-6CA3-4F0A-89C1-5ED58468C94C}"/>
    <cellStyle name="常规 41 2 3 4" xfId="1707" xr:uid="{6A81C947-76A0-40A8-808E-0D69B372C36F}"/>
    <cellStyle name="常规 41 2 4" xfId="3308" xr:uid="{67BBCF6A-C737-4F41-88B1-666CB6DD45CB}"/>
    <cellStyle name="常规 41 2 4 2" xfId="1853" xr:uid="{3D184236-6C87-481E-815C-FD6213077E07}"/>
    <cellStyle name="常规 41 2 4 2 2" xfId="3310" xr:uid="{35B059A6-AFDA-4585-A04B-BE4910E7E4B0}"/>
    <cellStyle name="常规 41 2 4 3" xfId="3312" xr:uid="{AFD7AF1F-DB5A-43A4-9CD9-66E5D220C1F3}"/>
    <cellStyle name="常规 41 2 5" xfId="3314" xr:uid="{E275F525-8BEA-4527-9CE8-CFE0EB871F7B}"/>
    <cellStyle name="常规 41 2 5 2" xfId="3317" xr:uid="{28B21EFC-9BBF-4722-9341-6C5B3E6C4682}"/>
    <cellStyle name="常规 41 2 6" xfId="3319" xr:uid="{2147E4B3-3980-4529-B219-1685C2A2CA37}"/>
    <cellStyle name="常规 41 3" xfId="3321" xr:uid="{2F99A517-48FB-4623-8BB5-5AA1806C1736}"/>
    <cellStyle name="常规 41 3 2" xfId="158" xr:uid="{8AC58084-AEB1-464F-8FFA-C029126F1345}"/>
    <cellStyle name="常规 41 3 2 2" xfId="3323" xr:uid="{4DBE3030-BBE6-469B-A17D-AA78CAEB9775}"/>
    <cellStyle name="常规 41 3 2 2 2" xfId="3325" xr:uid="{97B85D44-BBAA-46F2-A4B9-4F39E8AC784A}"/>
    <cellStyle name="常规 41 3 2 3" xfId="3327" xr:uid="{15B139B4-E4C5-4817-B151-91E682B653E0}"/>
    <cellStyle name="常规 41 3 3" xfId="277" xr:uid="{D6F93B9A-F508-4EF2-9DF7-9DC5FCFB4F82}"/>
    <cellStyle name="常规 41 3 3 2" xfId="3128" xr:uid="{6048FD0A-6D6D-49BE-8944-231C59583128}"/>
    <cellStyle name="常规 41 3 4" xfId="283" xr:uid="{08B44596-2D1E-419C-B941-BE83E3BCED39}"/>
    <cellStyle name="常规 41 4" xfId="3336" xr:uid="{6C0121A5-1DF7-473F-ABA9-1967DBA5C24B}"/>
    <cellStyle name="常规 41 4 2" xfId="1515" xr:uid="{E68E1EE5-42C0-4D41-82DF-186A11AC9D90}"/>
    <cellStyle name="常规 41 4 2 2" xfId="3338" xr:uid="{E6932EEF-0443-463E-B931-A88411BD88A6}"/>
    <cellStyle name="常规 41 4 3" xfId="3045" xr:uid="{02823B4D-72F9-4455-B19B-978D4FE0E3C1}"/>
    <cellStyle name="常规 41 5" xfId="3341" xr:uid="{A69914E0-50A3-4263-AFE0-517390EEE26F}"/>
    <cellStyle name="常规 41 5 2" xfId="3343" xr:uid="{92468C27-0E18-43FA-8DEF-8F16F764BFD0}"/>
    <cellStyle name="常规 42" xfId="3169" xr:uid="{FA03DF22-4514-48D6-BC06-0F2C1087D8F4}"/>
    <cellStyle name="常规 42 2" xfId="3349" xr:uid="{995F3F8A-66C6-4A52-B453-E03BFA2D4205}"/>
    <cellStyle name="常规 42 2 2" xfId="3351" xr:uid="{DDB6A9F9-9AD0-4AE4-BAC7-903BC4F5F3F9}"/>
    <cellStyle name="常规 42 2 2 2" xfId="3353" xr:uid="{66C11EED-C725-450F-9890-630B7939F978}"/>
    <cellStyle name="常规 42 2 2 2 2" xfId="3355" xr:uid="{5C6E843A-D310-429A-BF6C-047BFD6477DE}"/>
    <cellStyle name="常规 42 2 2 3" xfId="3357" xr:uid="{15F89DDA-D1B2-4685-BBE1-F6B799926CFC}"/>
    <cellStyle name="常规 42 2 3" xfId="1210" xr:uid="{D2E1E9EE-33D8-4567-8869-7B0C52F9EC98}"/>
    <cellStyle name="常规 42 2 3 2" xfId="1633" xr:uid="{5B59E845-27C9-4943-9FA0-3F4351E80AE9}"/>
    <cellStyle name="常规 42 2 3 2 2" xfId="3359" xr:uid="{E36418FC-EFAA-4767-94C5-307BC33573EB}"/>
    <cellStyle name="常规 42 2 3 2 2 2" xfId="3361" xr:uid="{9AF7FBD7-7638-489E-BCCA-9FC9EA052DB1}"/>
    <cellStyle name="常规 42 2 3 2 3" xfId="2688" xr:uid="{53D589A4-6F79-4B84-BA55-8D409B6759F6}"/>
    <cellStyle name="常规 42 2 3 3" xfId="3363" xr:uid="{060B9352-5E6A-4564-A952-01F4A52539DC}"/>
    <cellStyle name="常规 42 2 3 3 2" xfId="3365" xr:uid="{D7B0732B-DC09-43A8-9364-1DABD7DB509A}"/>
    <cellStyle name="常规 42 2 3 4" xfId="3367" xr:uid="{0C708CFE-D674-456E-8355-EC1B600ADC06}"/>
    <cellStyle name="常规 42 2 4" xfId="1636" xr:uid="{BD2CFA04-44AF-489C-9F3F-6063C0A43BA3}"/>
    <cellStyle name="常规 42 2 4 2" xfId="2052" xr:uid="{D90648E8-0A5F-4296-9945-DE4F9E0E5D22}"/>
    <cellStyle name="常规 42 2 4 2 2" xfId="3369" xr:uid="{1E7174F5-BEA0-4CF3-8732-32A33431DFA8}"/>
    <cellStyle name="常规 42 2 4 3" xfId="3371" xr:uid="{F7EDA3FA-6104-44D6-BB66-E97FD1536496}"/>
    <cellStyle name="常规 42 2 5" xfId="3373" xr:uid="{9FA0C98E-1119-4745-9BC6-B6726BC71B5F}"/>
    <cellStyle name="常规 42 2 5 2" xfId="3375" xr:uid="{C2F9C99C-34D3-4C86-8D23-8D383FD4F5B1}"/>
    <cellStyle name="常规 42 2 6" xfId="3377" xr:uid="{0F6EA88A-F825-46E5-83E3-71CDA7F3661B}"/>
    <cellStyle name="常规 42 3" xfId="3379" xr:uid="{F78E5E8D-F711-4E31-9ABC-9D9035FEB062}"/>
    <cellStyle name="常规 42 3 2" xfId="3381" xr:uid="{7F96235A-6B8C-4E5A-87D6-5EE02976EC77}"/>
    <cellStyle name="常规 42 3 2 2" xfId="611" xr:uid="{68595A5B-02C6-4021-86CD-1616A61AAFA0}"/>
    <cellStyle name="常规 42 3 2 2 2" xfId="617" xr:uid="{209D3F3C-1405-4FF5-B56F-2F83A7D7CA89}"/>
    <cellStyle name="常规 42 3 2 3" xfId="622" xr:uid="{C3AF8329-A6AF-4255-A9E1-F29273EA4BDC}"/>
    <cellStyle name="常规 42 3 3" xfId="1639" xr:uid="{F7991CB9-7383-45ED-B21A-842D3995BC71}"/>
    <cellStyle name="常规 42 3 3 2" xfId="3228" xr:uid="{29252A83-8631-4A93-A48C-FA55F76D0F97}"/>
    <cellStyle name="常规 42 3 4" xfId="3231" xr:uid="{37F59504-97AD-442F-890F-73D39C31FC9C}"/>
    <cellStyle name="常规 42 4" xfId="3390" xr:uid="{9BC74C0F-9037-4FD3-87C9-24FDDCB6A518}"/>
    <cellStyle name="常规 42 4 2" xfId="3392" xr:uid="{058D467E-3948-40FA-8BE5-41BDF3E1E5D8}"/>
    <cellStyle name="常规 42 4 2 2" xfId="727" xr:uid="{A33B8072-DA0E-46C1-9144-5C5D8FFC82FA}"/>
    <cellStyle name="常规 42 4 3" xfId="3070" xr:uid="{C0847D2F-8689-4605-9D47-754B36EC35BA}"/>
    <cellStyle name="常规 42 5" xfId="142" xr:uid="{B9BE6356-F0F8-4E3D-BC9F-5BE4824BBA9C}"/>
    <cellStyle name="常规 42 5 2" xfId="352" xr:uid="{64F4E724-C03B-4377-915A-30F475C6E8CE}"/>
    <cellStyle name="常规 42 6" xfId="3397" xr:uid="{026094B7-2C24-43F1-A954-CF3BECFAC1E3}"/>
    <cellStyle name="常规 43" xfId="3402" xr:uid="{C2E53EE3-DC69-438C-8BD2-0BF384A52BEA}"/>
    <cellStyle name="常规 43 2" xfId="3406" xr:uid="{9C2F981D-9AC2-4CC9-8A87-CFEE3E01DFDF}"/>
    <cellStyle name="常规 43 2 2" xfId="3409" xr:uid="{E8882156-46C1-40CD-AD48-D718C5C4D3B9}"/>
    <cellStyle name="常规 43 2 2 2" xfId="3412" xr:uid="{8DA6EF5D-F3A3-4024-B3B5-AA294AD0887E}"/>
    <cellStyle name="常规 43 2 2 2 2" xfId="3415" xr:uid="{DA7ABF71-DF1B-4653-B132-AC5A0113200E}"/>
    <cellStyle name="常规 43 2 2 3" xfId="3420" xr:uid="{ED8BA971-8AB7-4B29-AF88-9C3F142679F5}"/>
    <cellStyle name="常规 43 2 3" xfId="1650" xr:uid="{3EB9859E-E13D-4485-887A-5140FAA8781F}"/>
    <cellStyle name="常规 43 2 3 2" xfId="3425" xr:uid="{2D356E3E-0581-4958-848C-D35215710AAE}"/>
    <cellStyle name="常规 43 2 3 2 2" xfId="3428" xr:uid="{BA05624A-27CC-474A-B7FB-3CBB5C7FD602}"/>
    <cellStyle name="常规 43 2 3 2 2 2" xfId="3626" xr:uid="{E573F1E7-D129-44BA-9358-CF533D2C11AA}"/>
    <cellStyle name="常规 43 2 3 2 3" xfId="3627" xr:uid="{0A8F1D77-85A8-4A11-8619-2E20E3F7DE61}"/>
    <cellStyle name="常规 43 2 3 3" xfId="3430" xr:uid="{2C44052F-F891-4E4C-A866-0C317C59891B}"/>
    <cellStyle name="常规 43 2 3 3 2" xfId="3628" xr:uid="{E1CDAB0D-FD4A-4F13-B7B0-44C275938D2B}"/>
    <cellStyle name="常规 43 2 3 4" xfId="2166" xr:uid="{C08C9AE6-A055-4EE9-A7D7-18CDB0A6A660}"/>
    <cellStyle name="常规 43 2 4" xfId="3432" xr:uid="{E2694A5B-2AFB-4FDD-AE0A-BD09A61BB229}"/>
    <cellStyle name="常规 43 2 4 2" xfId="2197" xr:uid="{C3A1401C-3B9A-44FD-AD1F-D5CAC0318DF2}"/>
    <cellStyle name="常规 43 2 4 2 2" xfId="2522" xr:uid="{940FBDF5-53F5-4AA4-ABFA-57A9313D8C44}"/>
    <cellStyle name="常规 43 2 4 3" xfId="3629" xr:uid="{19C31232-9C32-45C1-AF08-890C433122AB}"/>
    <cellStyle name="常规 43 2 5" xfId="3434" xr:uid="{D9C42F33-172F-4A8E-952A-B568163125C5}"/>
    <cellStyle name="常规 43 2 5 2" xfId="3631" xr:uid="{4F1FBB37-5F78-46F8-9226-E04EC75F39D2}"/>
    <cellStyle name="常规 43 2 6" xfId="1972" xr:uid="{A6BE55AC-CB4B-4EAC-B7EA-355E5F4583FC}"/>
    <cellStyle name="常规 43 3" xfId="3436" xr:uid="{85B8329A-7EBA-4038-923E-3C409B2E0F89}"/>
    <cellStyle name="常规 43 3 2" xfId="3438" xr:uid="{632C5517-C5B2-4613-BA6D-3E075A3F6638}"/>
    <cellStyle name="常规 43 3 2 2" xfId="3162" xr:uid="{EA7E8F11-A160-46BA-BC17-55EEA1AF139F}"/>
    <cellStyle name="常规 43 3 2 2 2" xfId="3440" xr:uid="{92D03930-83DB-44B4-AC9D-4BEB9E56E4D6}"/>
    <cellStyle name="常规 43 3 2 3" xfId="3442" xr:uid="{442918EB-C1D9-47D2-AB55-598583C4AB59}"/>
    <cellStyle name="常规 43 3 3" xfId="3234" xr:uid="{D9BE6EA6-7363-4004-9AC0-2EF2E96AB67B}"/>
    <cellStyle name="常规 43 3 3 2" xfId="2228" xr:uid="{4CED15E6-CE70-4866-B3EC-A012A5FB234F}"/>
    <cellStyle name="常规 43 3 4" xfId="3449" xr:uid="{173F9B7E-735A-40EC-B220-E3638B6322D3}"/>
    <cellStyle name="常规 43 4" xfId="3454" xr:uid="{DCAE2AD9-4F92-44BB-8B6E-B347D7AE1D72}"/>
    <cellStyle name="常规 43 4 2" xfId="3456" xr:uid="{DF222247-535B-4E41-A0F8-D3CFC76BFB99}"/>
    <cellStyle name="常规 43 4 2 2" xfId="3401" xr:uid="{BD2773ED-B46B-440A-B7B5-ACF026935B95}"/>
    <cellStyle name="常规 43 4 3" xfId="3458" xr:uid="{3ABDD05D-95B7-4B8E-93AE-7DCEB56C7307}"/>
    <cellStyle name="常规 43 5" xfId="3154" xr:uid="{D6043E45-B1EF-48C5-9E6C-FB12F912BBC7}"/>
    <cellStyle name="常规 43 5 2" xfId="3462" xr:uid="{E8BA0EA2-CC90-4C45-A57F-54BD10D60ACC}"/>
    <cellStyle name="常规 43 6" xfId="3411" xr:uid="{48CA0B61-F5EC-488F-88C7-88927F83A240}"/>
    <cellStyle name="常规 44" xfId="66" xr:uid="{F354E967-E494-437B-A03C-97060C293ACB}"/>
    <cellStyle name="常规 44 2" xfId="3467" xr:uid="{E471E0BD-130C-4402-AF72-01C81B07304E}"/>
    <cellStyle name="常规 44 2 2" xfId="3469" xr:uid="{24A0FF17-5663-4458-A4F4-E9036AE1F11B}"/>
    <cellStyle name="常规 44 2 2 2" xfId="3471" xr:uid="{DA98DEC7-5142-40EB-B6F2-D4CF6E5D51F8}"/>
    <cellStyle name="常规 44 2 3" xfId="3475" xr:uid="{3533D442-531A-4DC8-8646-9621681EB26A}"/>
    <cellStyle name="常规 44 3" xfId="3486" xr:uid="{751CE311-BC99-4158-B7E5-A19E3715270F}"/>
    <cellStyle name="常规 44 3 2" xfId="3488" xr:uid="{9FD3AD0D-4885-432A-8401-A659491744A8}"/>
    <cellStyle name="常规 44 3 2 2" xfId="3184" xr:uid="{A817E09C-17BE-49C9-B6A7-FCF3361E86A2}"/>
    <cellStyle name="常规 44 3 2 2 2" xfId="3490" xr:uid="{C0DB9B47-95A3-4786-8CEC-6BD949E3AA54}"/>
    <cellStyle name="常规 44 3 2 3" xfId="3492" xr:uid="{83CC45AC-86B4-484C-B6B3-5653D28E7125}"/>
    <cellStyle name="常规 44 3 3" xfId="3494" xr:uid="{29166D7D-9359-4D88-AA8C-D6C0AE0CA7CA}"/>
    <cellStyle name="常规 44 3 3 2" xfId="2340" xr:uid="{8B5F71F4-353E-49C4-BD5C-5FD3C4CB1F97}"/>
    <cellStyle name="常规 44 3 4" xfId="3496" xr:uid="{0BAB05C8-7F08-48A4-A026-45DBCA4E2481}"/>
    <cellStyle name="常规 44 4" xfId="1439" xr:uid="{1C2546EC-102A-4909-AF2B-D2BFCA8B8E96}"/>
    <cellStyle name="常规 44 4 2" xfId="2183" xr:uid="{F66DE4F5-C0D5-459B-A6EA-6E14F9B72347}"/>
    <cellStyle name="常规 44 4 2 2" xfId="3498" xr:uid="{6890E234-3186-4FA2-A4B6-6DA3899602D0}"/>
    <cellStyle name="常规 44 4 3" xfId="3500" xr:uid="{3A4A69A3-C9B6-4607-8A01-931CB40D01EA}"/>
    <cellStyle name="常规 44 5" xfId="2187" xr:uid="{6E11009E-2C25-449A-8AF0-19E5B49CB012}"/>
    <cellStyle name="常规 44 5 2" xfId="3502" xr:uid="{4FD65AAE-09BF-4B8E-9C4F-0C9C1F010DAB}"/>
    <cellStyle name="常规 44 6" xfId="3424" xr:uid="{5CBA554F-C970-4CAE-ABC7-7C2FC968660B}"/>
    <cellStyle name="常规 45" xfId="3633" xr:uid="{A9B9D9CF-5F65-4F02-A7ED-BE2C85D22F07}"/>
    <cellStyle name="常规 45 2" xfId="3635" xr:uid="{866AC4C1-2D01-45EC-A9E7-AD8B9EC6CF7E}"/>
    <cellStyle name="常规 45 2 2" xfId="3636" xr:uid="{833EB439-9B02-4AEE-8E6E-B76DE3EB43DD}"/>
    <cellStyle name="常规 45 2 2 2" xfId="1063" xr:uid="{AC1EEC5A-EEC3-4D7E-B3F2-1E4ACDF4E289}"/>
    <cellStyle name="常规 45 2 2 2 2" xfId="3637" xr:uid="{05BBBDF7-086E-4F93-8993-C948C573F45C}"/>
    <cellStyle name="常规 45 2 2 3" xfId="3638" xr:uid="{F2ACF077-304E-42D9-AC29-3D454BBA5E3E}"/>
    <cellStyle name="常规 45 2 3" xfId="3639" xr:uid="{DE1BDBFC-6971-4230-A07B-B2467122876E}"/>
    <cellStyle name="常规 45 2 3 2" xfId="3640" xr:uid="{F9AB0770-391F-4BA9-8A8B-03FE30FA874F}"/>
    <cellStyle name="常规 45 2 4" xfId="3641" xr:uid="{DA6FB189-F9B4-4198-95E7-B99162B5FDC2}"/>
    <cellStyle name="常规 45 3" xfId="3642" xr:uid="{6EF86092-0976-4329-9AC7-E9EC6B9DF5B3}"/>
    <cellStyle name="常规 45 3 2" xfId="3643" xr:uid="{1390AFFC-636B-4B6A-91B2-2B2A6C0BD2A7}"/>
    <cellStyle name="常规 45 3 2 2" xfId="3644" xr:uid="{4D932883-33F9-4019-86DA-47B38E49D028}"/>
    <cellStyle name="常规 45 3 3" xfId="3645" xr:uid="{5D623A8F-86F5-44E3-AB25-5D0A99AA3953}"/>
    <cellStyle name="常规 45 4" xfId="2191" xr:uid="{8286C009-E7FA-42CD-A2A7-A58EAD5C2D40}"/>
    <cellStyle name="常规 45 4 2" xfId="1119" xr:uid="{7C8B4674-29DA-4DC3-A32E-83571B986407}"/>
    <cellStyle name="常规 45 5" xfId="2194" xr:uid="{FD7ECD26-E047-4245-B775-5AA075709304}"/>
    <cellStyle name="常规 46" xfId="3647" xr:uid="{850F6411-FB97-4117-BBF4-CC65D9AD1357}"/>
    <cellStyle name="常规 46 2" xfId="1375" xr:uid="{66F85DF6-8940-4154-B39F-21781A5C0CE4}"/>
    <cellStyle name="常规 46 2 2" xfId="3648" xr:uid="{316AC992-897F-4878-91FB-3D9FA4EFD1C4}"/>
    <cellStyle name="常规 46 2 2 2" xfId="3649" xr:uid="{B672190B-88C8-4DC4-B9CD-0AB3F52B80F3}"/>
    <cellStyle name="常规 46 2 3" xfId="3650" xr:uid="{DE96C33F-1378-49DC-A8F0-017F7EF190FE}"/>
    <cellStyle name="常规 46 3" xfId="3652" xr:uid="{2372E2C9-A820-4A31-80B9-2BB3522CE91A}"/>
    <cellStyle name="常规 46 3 2" xfId="3653" xr:uid="{B136742B-6E3D-47B0-9C6D-878D627760E5}"/>
    <cellStyle name="常规 46 3 2 2" xfId="3654" xr:uid="{D44F208D-0900-481F-9530-88C5E8E78246}"/>
    <cellStyle name="常规 46 3 2 2 2" xfId="3655" xr:uid="{EE842CFC-D5BB-4AE5-BDA5-F1434D3BF6BC}"/>
    <cellStyle name="常规 46 3 2 3" xfId="3656" xr:uid="{0AD139C5-CCCA-40EE-82E2-C5B60CA035BB}"/>
    <cellStyle name="常规 46 3 3" xfId="3657" xr:uid="{F767E898-4115-4E64-B594-6089345693E9}"/>
    <cellStyle name="常规 46 3 3 2" xfId="3658" xr:uid="{3266F392-9A12-4F03-A16A-72384EC73427}"/>
    <cellStyle name="常规 46 3 4" xfId="3659" xr:uid="{9E34C78A-CA74-4EAC-9686-19A4D4084100}"/>
    <cellStyle name="常规 46 4" xfId="2203" xr:uid="{97BC87C9-A2E6-4046-AF1F-A4101E5CFAB6}"/>
    <cellStyle name="常规 46 4 2" xfId="411" xr:uid="{898F6492-A3ED-4983-8EBD-4D4C39889750}"/>
    <cellStyle name="常规 46 4 2 2" xfId="3660" xr:uid="{D5D82FBE-CF4C-4FBE-9C37-67393F30E9D0}"/>
    <cellStyle name="常规 46 4 3" xfId="3661" xr:uid="{2141AC96-A1A0-4CA0-9956-033CFEDFA6A1}"/>
    <cellStyle name="常规 46 5" xfId="2206" xr:uid="{0E063EBD-2BB3-4387-9147-0BF270BFEDA3}"/>
    <cellStyle name="常规 46 5 2" xfId="3479" xr:uid="{873E6FDD-04F8-49F9-BC3C-B33D8DA7DFCA}"/>
    <cellStyle name="常规 46 6" xfId="3630" xr:uid="{0A297CDA-75EC-4B51-BA90-94FA3E22BA5F}"/>
    <cellStyle name="常规 47" xfId="2613" xr:uid="{673A0F69-2397-4F94-A708-F98EF0FD1F82}"/>
    <cellStyle name="常规 47 2" xfId="3663" xr:uid="{445966F3-EF38-496F-935F-FD5B616BBAC2}"/>
    <cellStyle name="常规 47 2 2" xfId="3664" xr:uid="{86375815-2218-46C0-8E04-CC2E6FF34D81}"/>
    <cellStyle name="常规 47 2 2 2" xfId="193" xr:uid="{3D4E099F-D1C7-4832-A0A1-4937E65F7AD8}"/>
    <cellStyle name="常规 47 2 3" xfId="178" xr:uid="{A8E49A0D-C97D-4F0D-920C-649818726FE2}"/>
    <cellStyle name="常规 47 3" xfId="3665" xr:uid="{172CC61B-9B70-4459-9BB7-7CE102F15876}"/>
    <cellStyle name="常规 47 3 2" xfId="3666" xr:uid="{E15AB17E-46B3-4DB3-918B-56385AA980C1}"/>
    <cellStyle name="常规 47 4" xfId="2211" xr:uid="{A8A3FACC-D8E2-4D71-A04B-ACF2042DA491}"/>
    <cellStyle name="常规 48" xfId="3667" xr:uid="{6E6D113E-BDAC-45AE-BD15-D32A158C90AB}"/>
    <cellStyle name="常规 48 2" xfId="3669" xr:uid="{DB2EE232-951C-4397-A8FC-0E24ACD5DAC9}"/>
    <cellStyle name="常规 49" xfId="12" xr:uid="{00000000-0005-0000-0000-00003B000000}"/>
    <cellStyle name="常规 49 2" xfId="3673" xr:uid="{8501E32C-A647-477B-AC6C-47A77FEFC758}"/>
    <cellStyle name="常规 49 3" xfId="3675" xr:uid="{A9F47825-35D6-49A4-9AEE-23E7A710F22B}"/>
    <cellStyle name="常规 49 4" xfId="2310" xr:uid="{CD32AB9E-05E0-4206-82D2-59A723EB9C59}"/>
    <cellStyle name="常规 49 5" xfId="3671" xr:uid="{C47A60E1-7913-4D76-A62E-524A2715787E}"/>
    <cellStyle name="常规 5" xfId="20" xr:uid="{48EDE8D7-90E2-42A8-AE76-3AAE6CD9E7EF}"/>
    <cellStyle name="常规 5 10" xfId="4004" xr:uid="{1485AE24-A56D-45F9-8F7B-F57E1A064A0B}"/>
    <cellStyle name="常规 5 11" xfId="3970" xr:uid="{F06331FB-4D27-4EE7-8A10-5BB6C89A54C4}"/>
    <cellStyle name="常规 5 12" xfId="3676" xr:uid="{7E4F73EE-8D57-455A-BE26-1519E1924EC4}"/>
    <cellStyle name="常规 5 2" xfId="23" xr:uid="{F5FD21E7-CC52-4A0B-8414-D98CB74A307D}"/>
    <cellStyle name="常规 5 2 2" xfId="3677" xr:uid="{05DE6260-EC69-4C57-9E13-6698D267E757}"/>
    <cellStyle name="常规 5 2 2 2" xfId="3678" xr:uid="{DB58411B-0B88-4B95-896C-57E6538A1B5F}"/>
    <cellStyle name="常规 5 2 2 2 2" xfId="683" xr:uid="{B06B67F6-337E-4233-9B50-DEF4C2A39FD3}"/>
    <cellStyle name="常规 5 2 2 3" xfId="3679" xr:uid="{192EBBAB-F852-4443-A45F-498EE0A45975}"/>
    <cellStyle name="常规 5 2 3" xfId="3680" xr:uid="{7ACD78B8-A3CA-4F0E-8E68-2CDFB593F74F}"/>
    <cellStyle name="常规 5 2 3 2" xfId="3681" xr:uid="{0AC3DAF4-846E-4EFD-A454-DD1ACE2A5E7C}"/>
    <cellStyle name="常规 5 2 3 2 2" xfId="3682" xr:uid="{6A9BFEF6-330E-48E9-B756-0231ACC8DC80}"/>
    <cellStyle name="常规 5 2 3 2 2 2" xfId="3683" xr:uid="{0527A43F-FBB7-4A81-BBF0-BC2CD3FDDFBF}"/>
    <cellStyle name="常规 5 2 3 2 3" xfId="3684" xr:uid="{6740DDDA-E735-45E0-A34D-C13B310AE74C}"/>
    <cellStyle name="常规 5 2 3 3" xfId="3685" xr:uid="{2900875F-7CAF-49D2-90FC-06AFF944B4F0}"/>
    <cellStyle name="常规 5 2 3 3 2" xfId="3686" xr:uid="{FA58ED1C-7184-44B5-B174-4CC18C6D7806}"/>
    <cellStyle name="常规 5 2 3 4" xfId="1483" xr:uid="{1446ADAC-D2B2-4228-B40C-26AEA06E43F2}"/>
    <cellStyle name="常规 5 2 4" xfId="3687" xr:uid="{4C57B5D8-097C-4B8C-A7F8-096F242ED7A7}"/>
    <cellStyle name="常规 5 2 4 2" xfId="3688" xr:uid="{F07E7F58-1BC9-4FFA-81C7-D24F49CC502C}"/>
    <cellStyle name="常规 5 2 4 2 2" xfId="3689" xr:uid="{AA12AACA-B0FC-4FD1-B8AB-A596C9712BE0}"/>
    <cellStyle name="常规 5 2 4 3" xfId="3690" xr:uid="{8E442330-E943-44D0-AD02-409C6CC8022E}"/>
    <cellStyle name="常规 5 2 5" xfId="300" xr:uid="{23AB80A0-DD3A-4538-96CF-66CD200FE740}"/>
    <cellStyle name="常规 5 2 5 2" xfId="1857" xr:uid="{1674A300-2BDD-487A-9C50-AC8E7B917426}"/>
    <cellStyle name="常规 5 2 6" xfId="1602" xr:uid="{CEFD30ED-538F-4F5C-B7F4-FAB386B8437A}"/>
    <cellStyle name="常规 5 2 7" xfId="3316" xr:uid="{18F4516D-F5FA-4263-81A4-7784E84D5991}"/>
    <cellStyle name="常规 5 3" xfId="42" xr:uid="{71F92885-952F-44D9-A6AD-18FFD00BF0A3}"/>
    <cellStyle name="常规 5 3 2" xfId="3692" xr:uid="{C13B37E2-FE75-47F2-93A7-211C3D67D988}"/>
    <cellStyle name="常规 5 3 2 2" xfId="3693" xr:uid="{F453CC35-9C00-41B7-ABE3-AAF4B1EB0B17}"/>
    <cellStyle name="常规 5 3 2 2 2" xfId="3695" xr:uid="{2F163CFB-271D-4F29-B9C6-7B1756EFB1E0}"/>
    <cellStyle name="常规 5 3 2 3" xfId="3696" xr:uid="{907D500B-C4C7-4909-A82B-B561CF479F12}"/>
    <cellStyle name="常规 5 3 3" xfId="3697" xr:uid="{49622222-7301-4535-92DE-F93D0290B184}"/>
    <cellStyle name="常规 5 3 3 2" xfId="3698" xr:uid="{26AAE702-D6B0-42D6-B360-01EA670A3B19}"/>
    <cellStyle name="常规 5 3 3 2 2" xfId="3699" xr:uid="{8B004F2E-14AF-42A9-934D-91D2796F3361}"/>
    <cellStyle name="常规 5 3 3 2 2 2" xfId="3700" xr:uid="{146AAF6B-6719-4CE7-B124-A458E7D87C70}"/>
    <cellStyle name="常规 5 3 3 2 3" xfId="3242" xr:uid="{02DE8E3D-9774-4095-A641-0414F3506815}"/>
    <cellStyle name="常规 5 3 3 3" xfId="3701" xr:uid="{52C22565-501D-45AE-840D-4EF3B907A800}"/>
    <cellStyle name="常规 5 3 3 3 2" xfId="3702" xr:uid="{A5035092-D753-43A6-A328-39B7BEB31213}"/>
    <cellStyle name="常规 5 3 3 4" xfId="1220" xr:uid="{9FFAAE60-1EA5-4FA8-B120-1144DB89A06B}"/>
    <cellStyle name="常规 5 3 4" xfId="3703" xr:uid="{9CA2AF1A-8A4F-487C-825D-7C8EE6BBF1F9}"/>
    <cellStyle name="常规 5 3 4 2" xfId="3704" xr:uid="{8B3479D4-5899-44D0-A0A6-C5BC96DB1B27}"/>
    <cellStyle name="常规 5 3 4 2 2" xfId="3705" xr:uid="{BE86C806-7508-4165-827A-BE6051FC3397}"/>
    <cellStyle name="常规 5 3 4 3" xfId="3706" xr:uid="{21BC8D3C-227C-4FB8-848F-532A74C65AFE}"/>
    <cellStyle name="常规 5 3 5" xfId="1860" xr:uid="{B69E6AAC-78CA-487A-A81E-F2B1BBE41E33}"/>
    <cellStyle name="常规 5 3 5 2" xfId="3707" xr:uid="{701B0845-9C4E-43F2-B268-AF723CC71B84}"/>
    <cellStyle name="常规 5 3 6" xfId="3708" xr:uid="{7616746A-0DB9-4900-9702-2C0E0F1603B6}"/>
    <cellStyle name="常规 5 3 7" xfId="3709" xr:uid="{C7D9554D-4127-4A42-9EBF-F8472FFCF586}"/>
    <cellStyle name="常规 5 4" xfId="54" xr:uid="{CE9CE8DF-6956-4D64-B7DD-E5DFD7E362C0}"/>
    <cellStyle name="常规 5 4 2" xfId="3544" xr:uid="{2DAE89BC-327D-4C83-B367-6A25C74B9611}"/>
    <cellStyle name="常规 5 4 2 2" xfId="3546" xr:uid="{A6ECF22A-81EE-418A-88BE-BC8F13DDA1F2}"/>
    <cellStyle name="常规 5 4 2 2 2" xfId="3710" xr:uid="{8384CC8A-2214-4E0D-B308-9ED580646180}"/>
    <cellStyle name="常规 5 4 2 3" xfId="3711" xr:uid="{6EA39632-CB65-4259-8E10-3D374716BBFE}"/>
    <cellStyle name="常规 5 4 3" xfId="3548" xr:uid="{BC1A4742-F758-445A-929E-E98D0BF1311A}"/>
    <cellStyle name="常规 5 4 3 2" xfId="3712" xr:uid="{1D33BC33-C8E8-4DA9-A305-7D67153B21FB}"/>
    <cellStyle name="常规 5 4 3 2 2" xfId="523" xr:uid="{0E63C210-0FD5-4B8F-878E-55927102F275}"/>
    <cellStyle name="常规 5 4 3 2 2 2" xfId="3713" xr:uid="{A8EFDD06-855D-441E-955D-9BB0CC8CAD6A}"/>
    <cellStyle name="常规 5 4 3 2 3" xfId="3714" xr:uid="{E52233B4-1DAB-4CB2-9694-CF81DDEFC980}"/>
    <cellStyle name="常规 5 4 3 3" xfId="3715" xr:uid="{9AB2B711-35DB-44B0-8ECB-6504CC0D31C0}"/>
    <cellStyle name="常规 5 4 3 3 2" xfId="3716" xr:uid="{F2D19B72-CFD4-4720-BDE9-E16F0BEE0432}"/>
    <cellStyle name="常规 5 4 3 4" xfId="71" xr:uid="{BCB9F8E6-1A8A-4453-AF18-89EC8658E7EE}"/>
    <cellStyle name="常规 5 4 4" xfId="3717" xr:uid="{0E0B52CE-BE48-49C4-A022-E775F8E51806}"/>
    <cellStyle name="常规 5 4 4 2" xfId="3718" xr:uid="{8EDDD6DC-426C-44D1-884C-D4463669ACD3}"/>
    <cellStyle name="常规 5 4 4 2 2" xfId="237" xr:uid="{7A91512F-9103-4166-86A2-09D3A8B34392}"/>
    <cellStyle name="常规 5 4 4 3" xfId="3719" xr:uid="{FF55F0FF-A04E-44C5-93B2-C8A543EAC84A}"/>
    <cellStyle name="常规 5 4 5" xfId="3720" xr:uid="{CC12850F-1EAB-45D6-BAF6-1965FC8DCC53}"/>
    <cellStyle name="常规 5 4 5 2" xfId="3721" xr:uid="{920B5228-8335-4E1E-9800-2326BA1350D7}"/>
    <cellStyle name="常规 5 4 6" xfId="3722" xr:uid="{8BBB9421-9749-43A2-9E0A-D8B9A3D41E0A}"/>
    <cellStyle name="常规 5 4 7" xfId="3542" xr:uid="{CB54C1FD-300B-4FBA-A19D-48F97F05AE2A}"/>
    <cellStyle name="常规 5 5" xfId="3550" xr:uid="{67F27588-55A5-4F71-B29C-8767891A5CDB}"/>
    <cellStyle name="常规 5 5 2" xfId="3553" xr:uid="{42965655-C160-4958-8622-4D7DDEC885F6}"/>
    <cellStyle name="常规 5 5 2 2" xfId="3555" xr:uid="{1E68799E-96AE-4FFB-BAB4-CA62549E1EAF}"/>
    <cellStyle name="常规 5 5 2 2 2" xfId="3557" xr:uid="{06174658-5F45-42C6-832E-D9900CA3073A}"/>
    <cellStyle name="常规 5 5 2 3" xfId="3559" xr:uid="{F1C8BA68-4BD8-4DC7-A118-92955E8F7D09}"/>
    <cellStyle name="常规 5 5 3" xfId="3561" xr:uid="{36EF01FE-3A82-4ADB-86FF-97396EBE435A}"/>
    <cellStyle name="常规 5 5 3 2" xfId="3563" xr:uid="{5E159D07-1811-4567-BAFB-F01AEC894B48}"/>
    <cellStyle name="常规 5 5 4" xfId="3565" xr:uid="{28E80C2B-FE2D-4BA5-8C14-E5DD8F77809F}"/>
    <cellStyle name="常规 5 6" xfId="2837" xr:uid="{35F34099-9272-47EC-896A-1BBCB577E16C}"/>
    <cellStyle name="常规 5 6 2" xfId="3568" xr:uid="{CCE25CDC-7FEA-4944-B772-ADA4026D1004}"/>
    <cellStyle name="常规 5 6 2 2" xfId="3570" xr:uid="{4738932E-9A97-4348-9610-C9D22CC6C4D9}"/>
    <cellStyle name="常规 5 6 3" xfId="3572" xr:uid="{9D5230A3-D9CE-4A01-B3AE-2EA3BA6DD7FA}"/>
    <cellStyle name="常规 5 6 3 2" xfId="130" xr:uid="{091C361F-4B50-4193-A9BD-6B06B2FF4192}"/>
    <cellStyle name="常规 5 6 4" xfId="3723" xr:uid="{4E093B7F-EE9D-49D4-A1AB-6532FA7222A4}"/>
    <cellStyle name="常规 5 7" xfId="462" xr:uid="{FDFF1303-A349-4927-B080-468A4CF4C232}"/>
    <cellStyle name="常规 5 7 2" xfId="1826" xr:uid="{429F9772-16DE-4BE3-ABC6-6C10C1F5C337}"/>
    <cellStyle name="常规 5 8" xfId="1829" xr:uid="{5AF8C986-AE87-4804-B426-4E8F68E76E79}"/>
    <cellStyle name="常规 5 9" xfId="4003" xr:uid="{9C420D99-A771-4B4C-83A5-2C17C5C219F3}"/>
    <cellStyle name="常规 50" xfId="3632" xr:uid="{1AFD6B8A-BCD2-4289-AEF3-1E003F6E3520}"/>
    <cellStyle name="常规 51" xfId="3646" xr:uid="{19F80F85-96F9-404D-8CEE-806628CC1EF8}"/>
    <cellStyle name="常规 51 2" xfId="1374" xr:uid="{4BCF307D-BAD2-4D5B-A37D-8014B3FCD014}"/>
    <cellStyle name="常规 51 3" xfId="3651" xr:uid="{7B142299-654E-46BC-97E0-914559D21B45}"/>
    <cellStyle name="常规 52" xfId="2612" xr:uid="{7301D2B7-D82E-4CBE-BDED-8860F97187B4}"/>
    <cellStyle name="常规 52 2" xfId="3662" xr:uid="{BF9E2E30-C2F1-4B44-A3AC-7FEB50277154}"/>
    <cellStyle name="常规 53" xfId="45" xr:uid="{667A27F9-2DA7-43E6-B95F-9D1E5ED2BAF4}"/>
    <cellStyle name="常规 54" xfId="3670" xr:uid="{7B828A11-1E56-434D-A832-24999C1488C6}"/>
    <cellStyle name="常规 55" xfId="3724" xr:uid="{914A3BA2-521C-493E-8194-C4AEB5F0EC3C}"/>
    <cellStyle name="常规 55 2" xfId="4002" xr:uid="{4C589BF1-8B5B-48BA-8D51-508088340E7F}"/>
    <cellStyle name="常规 56" xfId="4005" xr:uid="{7747AFD0-EF99-4FE1-9A3C-DEAA3710FD75}"/>
    <cellStyle name="常规 6" xfId="22" xr:uid="{D0AA9787-2D6B-487A-8823-C6453EA88A39}"/>
    <cellStyle name="常规 6 2" xfId="24" xr:uid="{42274E50-C629-4448-A712-CBBBAB8647C1}"/>
    <cellStyle name="常规 6 2 2" xfId="3725" xr:uid="{0B37585C-786D-4B15-8BAD-9326394C0ADB}"/>
    <cellStyle name="常规 6 2 2 2" xfId="3726" xr:uid="{CC171DA0-68C1-45D4-BE64-15EB0F32AD4F}"/>
    <cellStyle name="常规 6 2 2 2 2" xfId="3727" xr:uid="{9B1BF24B-E8E3-4016-A74C-F5A23D8F3AF7}"/>
    <cellStyle name="常规 6 2 2 3" xfId="3728" xr:uid="{9C29794E-63E6-42DB-A159-1E73C0F93F83}"/>
    <cellStyle name="常规 6 2 3" xfId="3729" xr:uid="{F0A21491-6B49-44CF-9F67-34AF7CE30DC2}"/>
    <cellStyle name="常规 6 2 3 2" xfId="3730" xr:uid="{739D62AB-8F52-4153-8695-ED17CAB8FB7C}"/>
    <cellStyle name="常规 6 2 3 2 2" xfId="3731" xr:uid="{53484E09-7D2F-41FD-B266-2C3DC242AFE4}"/>
    <cellStyle name="常规 6 2 3 2 2 2" xfId="403" xr:uid="{4B015A0A-D11C-4490-A012-C3E9AACCFE96}"/>
    <cellStyle name="常规 6 2 3 2 3" xfId="416" xr:uid="{D7D9986C-F66E-418D-AA98-617A2FC195CD}"/>
    <cellStyle name="常规 6 2 3 3" xfId="3732" xr:uid="{A194BD8D-E4F1-4134-975D-270A4AAC74F6}"/>
    <cellStyle name="常规 6 2 3 3 2" xfId="3733" xr:uid="{D11A2E6F-35D9-433A-9DD3-F4297E309DB1}"/>
    <cellStyle name="常规 6 2 3 4" xfId="3734" xr:uid="{6B6D9B4B-B72B-4168-A51F-44E2ED7D2D98}"/>
    <cellStyle name="常规 6 2 4" xfId="3735" xr:uid="{BC0A2BB0-709D-4080-9CD1-3DE2A7943020}"/>
    <cellStyle name="常规 6 2 4 2" xfId="3736" xr:uid="{E3774ABE-B439-4A0B-87FA-273CFFD6F509}"/>
    <cellStyle name="常规 6 2 4 2 2" xfId="3737" xr:uid="{7D6BD85B-1BCE-4594-A29A-C75516FC43CC}"/>
    <cellStyle name="常规 6 2 4 3" xfId="321" xr:uid="{DB40BA3E-7A76-4A0E-8271-EEE6F1841904}"/>
    <cellStyle name="常规 6 2 5" xfId="1885" xr:uid="{304C893C-F00C-422E-92B3-B62D95656529}"/>
    <cellStyle name="常规 6 2 5 2" xfId="1887" xr:uid="{C15E15FD-1C30-4AAD-B428-F22354F8AB8B}"/>
    <cellStyle name="常规 6 2 6" xfId="1889" xr:uid="{3FAEFCAD-8988-48B3-AA9B-9CA7A2EA92D8}"/>
    <cellStyle name="常规 6 3" xfId="49" xr:uid="{DE2F8311-3556-4A6C-9469-5F6A30012574}"/>
    <cellStyle name="常规 6 3 2" xfId="3739" xr:uid="{3A4D7A38-6D53-4F57-9307-5270A523C59B}"/>
    <cellStyle name="常规 6 3 2 2" xfId="3740" xr:uid="{899EFEFC-1A25-4023-AEF1-CFC468D5ACEB}"/>
    <cellStyle name="常规 6 3 2 2 2" xfId="3741" xr:uid="{4529B442-E5DB-4EE4-9898-D8E2A387A23B}"/>
    <cellStyle name="常规 6 3 2 3" xfId="3668" xr:uid="{4EB42F0B-0E50-414A-8107-8D9EE9B5B6AA}"/>
    <cellStyle name="常规 6 3 3" xfId="3742" xr:uid="{4C5A8DCC-0A6E-4739-A2F0-4535D4446A3B}"/>
    <cellStyle name="常规 6 3 3 2" xfId="3743" xr:uid="{69D2A151-CFFB-4A25-B270-C12E4F410AF2}"/>
    <cellStyle name="常规 6 3 3 2 2" xfId="3745" xr:uid="{738AEC49-38E0-4BCC-B294-CCEB94687C7D}"/>
    <cellStyle name="常规 6 3 3 2 2 2" xfId="2584" xr:uid="{DCDC68C8-0D00-4394-B87F-0DD42D6BAD33}"/>
    <cellStyle name="常规 6 3 3 2 3" xfId="3746" xr:uid="{92336CCD-7AF3-48F3-98B4-CA1E5022306A}"/>
    <cellStyle name="常规 6 3 3 3" xfId="3672" xr:uid="{74B80E06-E59B-4401-AD69-95EB2F2C613C}"/>
    <cellStyle name="常规 6 3 3 3 2" xfId="3747" xr:uid="{7AA2A0DD-10C3-45EB-88FE-D6A0A14DDE61}"/>
    <cellStyle name="常规 6 3 3 4" xfId="3674" xr:uid="{C9C63819-F560-479F-8335-6D4C64A41170}"/>
    <cellStyle name="常规 6 3 4" xfId="3748" xr:uid="{A4BAAF75-8592-4EE9-9900-DC20E36C2FA2}"/>
    <cellStyle name="常规 6 3 4 2" xfId="3749" xr:uid="{6DEC72B1-A96D-4E0B-8F83-9B6296B059E1}"/>
    <cellStyle name="常规 6 3 4 2 2" xfId="3750" xr:uid="{9A95C5D3-6EF8-4912-BA91-B6D717F2C1BD}"/>
    <cellStyle name="常规 6 3 4 3" xfId="3751" xr:uid="{C5133097-75FF-4D43-A4E8-60AEA585FAB1}"/>
    <cellStyle name="常规 6 3 5" xfId="291" xr:uid="{6382D80A-1C88-4494-BE8F-50EBD2632F72}"/>
    <cellStyle name="常规 6 3 5 2" xfId="3752" xr:uid="{9DAA4E6A-C125-43BD-89E4-D8FE49B8A48A}"/>
    <cellStyle name="常规 6 3 6" xfId="3753" xr:uid="{1C4C59AF-93E0-4D61-82E3-652136225533}"/>
    <cellStyle name="常规 6 3 7" xfId="3738" xr:uid="{661D45A7-2CC9-461D-986D-B14C04825E0C}"/>
    <cellStyle name="常规 6 4" xfId="3506" xr:uid="{ACB8E78D-44BD-49DF-9FCB-A2E7D795D7CE}"/>
    <cellStyle name="常规 6 4 2" xfId="3509" xr:uid="{52982D87-3E27-40A7-8B8C-BDC5401F2A12}"/>
    <cellStyle name="常规 6 4 2 2" xfId="3574" xr:uid="{DB6C439F-CB2F-4A57-BDED-68D659EB4ED8}"/>
    <cellStyle name="常规 6 4 2 2 2" xfId="1308" xr:uid="{8FA7447F-9D28-47DA-84FB-840C90B2F398}"/>
    <cellStyle name="常规 6 4 2 3" xfId="3754" xr:uid="{395845D2-0D24-4C87-982F-7A0C1B6A1427}"/>
    <cellStyle name="常规 6 4 3" xfId="3576" xr:uid="{60867A9A-952F-4453-B0A1-0864CC60B5AE}"/>
    <cellStyle name="常规 6 4 3 2" xfId="3755" xr:uid="{AE8C39A7-4052-4F46-BE54-74C6F729F1AB}"/>
    <cellStyle name="常规 6 4 3 2 2" xfId="1502" xr:uid="{BC3689B2-E568-47D1-B82C-80C88CB262CE}"/>
    <cellStyle name="常规 6 4 3 2 2 2" xfId="1505" xr:uid="{3A86C08A-7002-4626-AFD6-CEF8CF68376B}"/>
    <cellStyle name="常规 6 4 3 2 3" xfId="1508" xr:uid="{5B73A333-BEA0-4EEE-BD9E-A5219DCB9E9E}"/>
    <cellStyle name="常规 6 4 3 3" xfId="3756" xr:uid="{8F42593F-AE53-467D-8D8C-212CA4B8D135}"/>
    <cellStyle name="常规 6 4 3 3 2" xfId="3757" xr:uid="{AAEC096A-1E3D-4EB8-A517-5F79CDFB748A}"/>
    <cellStyle name="常规 6 4 3 4" xfId="3758" xr:uid="{15EBA100-D766-403D-BD46-5D366F1D25B1}"/>
    <cellStyle name="常规 6 4 4" xfId="3759" xr:uid="{8C278A16-A456-472B-A26A-13EDE9E891FB}"/>
    <cellStyle name="常规 6 4 4 2" xfId="3760" xr:uid="{3D870F07-29BA-4A60-84D7-449524CF7B6D}"/>
    <cellStyle name="常规 6 4 4 2 2" xfId="823" xr:uid="{C96FF86B-D979-4DE4-8B82-A7F69ABAE60C}"/>
    <cellStyle name="常规 6 4 4 3" xfId="3761" xr:uid="{359D1F99-BE9D-48B6-B519-C9DF8A3387EF}"/>
    <cellStyle name="常规 6 4 5" xfId="3762" xr:uid="{33F24274-137B-4C95-8817-AC51FF45C0E1}"/>
    <cellStyle name="常规 6 4 5 2" xfId="3763" xr:uid="{B7D4683D-C80A-4D5C-AACA-F51DD99D46F8}"/>
    <cellStyle name="常规 6 4 6" xfId="3764" xr:uid="{D338D68F-E6A4-4FC4-B942-DF16DF56B5DF}"/>
    <cellStyle name="常规 6 5" xfId="103" xr:uid="{2B1AC57C-FC09-4C71-82F2-2875961BF454}"/>
    <cellStyle name="常规 6 5 2" xfId="3578" xr:uid="{70173BAE-345F-49A9-930C-952D768FD8FF}"/>
    <cellStyle name="常规 6 5 2 2" xfId="1960" xr:uid="{06BD6DE8-7028-43A9-BB6D-7F2CF70D2F83}"/>
    <cellStyle name="常规 6 5 2 2 2" xfId="3580" xr:uid="{F68E54CF-63C8-4810-BADA-3D5D9AF195E4}"/>
    <cellStyle name="常规 6 5 2 3" xfId="3582" xr:uid="{630A6DEC-15BA-4A0D-ADD3-663FEA45850A}"/>
    <cellStyle name="常规 6 5 3" xfId="1140" xr:uid="{67BC6951-A194-42E0-A4ED-DBE72915219B}"/>
    <cellStyle name="常规 6 5 3 2" xfId="3584" xr:uid="{D338A3D5-F7C7-4B31-A0F4-8922576A2ED5}"/>
    <cellStyle name="常规 6 5 4" xfId="3586" xr:uid="{A811A823-79FD-4678-9269-F508C9BBAA32}"/>
    <cellStyle name="常规 6 6" xfId="3588" xr:uid="{A871647E-AA0C-47EC-B398-B907C3D98ED0}"/>
    <cellStyle name="常规 6 6 2" xfId="3591" xr:uid="{EB699DFC-4928-4A68-8428-3BD14B0A3097}"/>
    <cellStyle name="常规 6 6 2 2" xfId="381" xr:uid="{AFDA76DB-2E41-446D-AFEF-7CEEB2DB7B07}"/>
    <cellStyle name="常规 6 6 3" xfId="3593" xr:uid="{3B5B47B4-B003-46DA-BAEC-F1480C047DC0}"/>
    <cellStyle name="常规 6 7" xfId="1832" xr:uid="{A98B0BA3-A9FC-451F-89F4-8ACA10D59DEB}"/>
    <cellStyle name="常规 6 7 2" xfId="3595" xr:uid="{BE7BFEF2-CE50-4D90-92D1-7CCBE8C8FF1B}"/>
    <cellStyle name="常规 6 8" xfId="3597" xr:uid="{B954CCFB-C94A-4B78-98AC-4A6180DA1860}"/>
    <cellStyle name="常规 6 9" xfId="3765" xr:uid="{492C555B-2261-47FE-98A5-66D4354661A9}"/>
    <cellStyle name="常规 7" xfId="33" xr:uid="{695CC561-DDCF-41FE-BC6E-02A67F960DA8}"/>
    <cellStyle name="常规 7 2" xfId="3766" xr:uid="{C88A9674-3030-41B5-A76C-0B79722E6715}"/>
    <cellStyle name="常规 7 2 2" xfId="3767" xr:uid="{CB8DA9AC-6F44-48C3-8B48-F622CF33F7F4}"/>
    <cellStyle name="常规 7 2 2 2" xfId="1629" xr:uid="{CBC0333B-4493-4D67-BA6D-5AAE06BA183F}"/>
    <cellStyle name="常规 7 2 2 2 2" xfId="221" xr:uid="{6B2C129F-B9A2-4B6A-AD03-61DDE2428692}"/>
    <cellStyle name="常规 7 2 2 3" xfId="2944" xr:uid="{EC3051C5-08D3-42EB-9966-AC8F0789F042}"/>
    <cellStyle name="常规 7 2 3" xfId="3768" xr:uid="{506B341B-07F5-4FA0-94A0-84014B17CC91}"/>
    <cellStyle name="常规 7 2 3 2" xfId="2947" xr:uid="{8601E52F-FAF8-4020-A91A-E0F4F904F292}"/>
    <cellStyle name="常规 7 2 3 2 2" xfId="3769" xr:uid="{7B3E6D45-B8F2-4AA6-A120-889AE7B432C5}"/>
    <cellStyle name="常规 7 2 3 2 2 2" xfId="3770" xr:uid="{8B9B29DD-B4D9-48EF-94F7-C64B425621C6}"/>
    <cellStyle name="常规 7 2 3 2 3" xfId="3771" xr:uid="{B2FA6930-B272-4BC2-B98E-1D0FCFD0E847}"/>
    <cellStyle name="常规 7 2 3 3" xfId="3772" xr:uid="{5C71AEB6-DC66-4B48-8135-42258CB4C389}"/>
    <cellStyle name="常规 7 2 3 3 2" xfId="3773" xr:uid="{307BBF35-4D40-4405-89F3-672B3A091D46}"/>
    <cellStyle name="常规 7 2 3 4" xfId="3774" xr:uid="{46B6D57E-E8B8-45B7-BC75-9206123E867C}"/>
    <cellStyle name="常规 7 2 4" xfId="3775" xr:uid="{1A7F1B2B-9E43-41D6-93C8-A6FBEA7294AD}"/>
    <cellStyle name="常规 7 2 4 2" xfId="3776" xr:uid="{7F50849B-82B2-4A51-BD76-5B4FCE3CFABB}"/>
    <cellStyle name="常规 7 2 4 2 2" xfId="3777" xr:uid="{2242D5E6-EDAF-49EE-B209-47B870D1A132}"/>
    <cellStyle name="常规 7 2 4 3" xfId="3778" xr:uid="{3735C78B-37B4-45ED-929D-BB685C97849B}"/>
    <cellStyle name="常规 7 2 5" xfId="2917" xr:uid="{2651FC06-8C09-4C9C-97ED-E73FDBB69E28}"/>
    <cellStyle name="常规 7 2 5 2" xfId="2919" xr:uid="{4EFE471F-4C91-4BD5-93CA-A268140E1A01}"/>
    <cellStyle name="常规 7 2 6" xfId="2921" xr:uid="{E581D37D-6033-4FF1-A595-D6B373D96F7E}"/>
    <cellStyle name="常规 7 3" xfId="3779" xr:uid="{6E19E033-DD7A-480B-BC06-27B57F8EF6B9}"/>
    <cellStyle name="常规 7 3 2" xfId="3780" xr:uid="{8A0F1FA7-EC40-4776-BB86-88CBC9CC4979}"/>
    <cellStyle name="常规 7 3 2 2" xfId="2260" xr:uid="{DA9CD675-45D9-4EBC-87E7-8068564385D9}"/>
    <cellStyle name="常规 7 3 2 2 2" xfId="2263" xr:uid="{431F9574-DC26-4C2D-8090-06FE82B99C5C}"/>
    <cellStyle name="常规 7 3 2 3" xfId="2266" xr:uid="{A109D9AD-3AE1-4617-B63C-30ED78B30F50}"/>
    <cellStyle name="常规 7 3 3" xfId="3781" xr:uid="{234E0CC5-131C-49D6-BD53-C70B3AE26C7A}"/>
    <cellStyle name="常规 7 3 3 2" xfId="2093" xr:uid="{DB9FC011-C407-4CC1-9D9B-E397906BB841}"/>
    <cellStyle name="常规 7 3 3 2 2" xfId="2280" xr:uid="{20108458-1EDC-482D-8874-4D974959D97C}"/>
    <cellStyle name="常规 7 3 3 2 2 2" xfId="1687" xr:uid="{19F1545B-0502-46EA-9005-C41564916A3B}"/>
    <cellStyle name="常规 7 3 3 2 3" xfId="3782" xr:uid="{9A585EA1-1923-4A2C-9ADE-7493FC1B5772}"/>
    <cellStyle name="常规 7 3 3 3" xfId="2282" xr:uid="{AD141FBF-2512-4B9B-937B-D446BF9E1CAB}"/>
    <cellStyle name="常规 7 3 3 3 2" xfId="3783" xr:uid="{EFC533AF-A7A6-4FCD-A62E-7548DD302E19}"/>
    <cellStyle name="常规 7 3 3 4" xfId="3784" xr:uid="{DB1F6326-FC16-4E48-93CC-BC123446533A}"/>
    <cellStyle name="常规 7 3 4" xfId="3785" xr:uid="{F229BAC0-A06C-48FA-856B-2D732C9306FC}"/>
    <cellStyle name="常规 7 3 4 2" xfId="2287" xr:uid="{53823399-8F51-4548-8C71-BCBCB290894F}"/>
    <cellStyle name="常规 7 3 4 2 2" xfId="3786" xr:uid="{1CFAC91C-BEC4-4A6E-8231-76F5DD318E42}"/>
    <cellStyle name="常规 7 3 4 3" xfId="3787" xr:uid="{C788EFD4-B9DB-4850-BC6D-1ABC8E23704A}"/>
    <cellStyle name="常规 7 3 5" xfId="2924" xr:uid="{7752A81E-2E69-4A0B-A279-CBEED6F4D791}"/>
    <cellStyle name="常规 7 3 5 2" xfId="3788" xr:uid="{F275170D-0D49-4DCC-AF5A-4627282EB5B7}"/>
    <cellStyle name="常规 7 3 6" xfId="3789" xr:uid="{3B3F81CB-03E9-46E8-895B-88F75CBE6275}"/>
    <cellStyle name="常规 7 4" xfId="3513" xr:uid="{9BBCB077-783E-4F5C-8218-8CBF6664A264}"/>
    <cellStyle name="常规 7 4 2" xfId="3516" xr:uid="{6614B001-BDDF-47F1-A31F-A51113DA446B}"/>
    <cellStyle name="常规 7 4 2 2" xfId="2379" xr:uid="{2664212E-E60E-411E-A31B-7B3C27A3E416}"/>
    <cellStyle name="常规 7 4 2 2 2" xfId="2384" xr:uid="{F1CDBE1A-1764-4CF4-B3BD-B1365F9493D4}"/>
    <cellStyle name="常规 7 4 2 3" xfId="1190" xr:uid="{30A445C5-3025-4799-B38D-A3896FD3BDF1}"/>
    <cellStyle name="常规 7 4 3" xfId="3519" xr:uid="{F9482292-18D9-455B-BF6E-A38843EF03C4}"/>
    <cellStyle name="常规 7 4 3 2" xfId="2396" xr:uid="{8A409427-C4CC-49D6-8DF0-9CDB4361D9B6}"/>
    <cellStyle name="常规 7 4 3 2 2" xfId="2476" xr:uid="{8B6B8DDB-0122-4FDF-8FC7-3114AC3EB9E5}"/>
    <cellStyle name="常规 7 4 3 2 2 2" xfId="3790" xr:uid="{7341431E-D017-49A5-A352-98584C02AFE6}"/>
    <cellStyle name="常规 7 4 3 2 3" xfId="3791" xr:uid="{154A1944-F290-4184-9A92-0745382446F0}"/>
    <cellStyle name="常规 7 4 3 3" xfId="3792" xr:uid="{96F6DC26-0535-4974-BF9A-3498FE819D26}"/>
    <cellStyle name="常规 7 4 3 3 2" xfId="3793" xr:uid="{685D968F-7978-472E-84A0-3E29CB9220BF}"/>
    <cellStyle name="常规 7 4 3 4" xfId="3794" xr:uid="{E69D0C29-921F-4D99-A392-738AFCAF5702}"/>
    <cellStyle name="常规 7 4 4" xfId="3795" xr:uid="{B72D6217-BDD9-4F95-8CB7-CC008B7A75AC}"/>
    <cellStyle name="常规 7 4 4 2" xfId="3796" xr:uid="{883516A6-E8A2-4831-9AA8-506DBAE091D9}"/>
    <cellStyle name="常规 7 4 4 2 2" xfId="2572" xr:uid="{80BDB99E-AAF5-4B70-AF29-A6F0217488B1}"/>
    <cellStyle name="常规 7 4 4 3" xfId="3797" xr:uid="{44251CCA-4F02-47B9-B2CD-5AE0ABBF03DC}"/>
    <cellStyle name="常规 7 4 5" xfId="179" xr:uid="{CA54B9AC-29CD-466D-AEAD-1839CEB21B18}"/>
    <cellStyle name="常规 7 4 5 2" xfId="3798" xr:uid="{BEFE9B40-BB1E-49A3-9850-9603EC095D03}"/>
    <cellStyle name="常规 7 4 6" xfId="3799" xr:uid="{933648B9-539E-44BE-8CE2-7D933C4BCC2F}"/>
    <cellStyle name="常规 7 5" xfId="3522" xr:uid="{75BE86C0-FAE4-4BE7-AA17-20B0E9102430}"/>
    <cellStyle name="常规 7 5 2" xfId="3525" xr:uid="{F0C196E1-88D1-4CBF-A7AF-909CB2EDA24F}"/>
    <cellStyle name="常规 7 5 2 2" xfId="2684" xr:uid="{E2B5FA08-145E-448E-9DD4-4D76C79B889E}"/>
    <cellStyle name="常规 7 5 2 2 2" xfId="3599" xr:uid="{8720B623-A4EB-46C7-9827-51A5E8F6906C}"/>
    <cellStyle name="常规 7 5 2 3" xfId="3601" xr:uid="{094F711A-BF35-4246-8FCF-B6C94E21FCD8}"/>
    <cellStyle name="常规 7 5 3" xfId="3603" xr:uid="{DE21E350-9701-4554-8A6D-1D4A5CCAA15F}"/>
    <cellStyle name="常规 7 5 3 2" xfId="3605" xr:uid="{5CC2FB5E-6229-454E-B1C3-EC1F6CE6A579}"/>
    <cellStyle name="常规 7 5 4" xfId="3607" xr:uid="{10E370FE-2630-455C-9DE7-8D034CC9F65D}"/>
    <cellStyle name="常规 7 6" xfId="3528" xr:uid="{00C0C007-3487-4F86-A3F6-85A731883B40}"/>
    <cellStyle name="常规 7 6 2" xfId="3610" xr:uid="{FEC9AA05-31D9-4793-98B9-31AEC6816233}"/>
    <cellStyle name="常规 7 6 2 2" xfId="1523" xr:uid="{5DDE27F7-96D9-46E4-B8A5-F922FDFE210D}"/>
    <cellStyle name="常规 7 6 3" xfId="3612" xr:uid="{86EF7EB1-D8D9-40DF-AA5F-284A0BE94B10}"/>
    <cellStyle name="常规 7 7" xfId="3614" xr:uid="{B1CF947F-D10F-49F8-8057-D1A6C9FEBDA4}"/>
    <cellStyle name="常规 7 7 2" xfId="981" xr:uid="{04E854CF-A767-4B71-BFA5-7AD4ED704B89}"/>
    <cellStyle name="常规 7 8" xfId="3616" xr:uid="{34B533F3-9452-4D6D-B709-2C8A47F61312}"/>
    <cellStyle name="常规 7 9" xfId="3744" xr:uid="{EEE71150-BC00-429E-A8ED-91F58599CEF6}"/>
    <cellStyle name="常规 8" xfId="17" xr:uid="{7CDDF329-3604-48F5-9E38-D204A158DAD5}"/>
    <cellStyle name="常规 8 2" xfId="3800" xr:uid="{77186D4F-A00D-4D17-9186-1E60812E5FA8}"/>
    <cellStyle name="常规 8 2 2" xfId="3801" xr:uid="{CEC6ABA9-B119-4687-832E-B103043570DC}"/>
    <cellStyle name="常规 8 2 2 2" xfId="3802" xr:uid="{E4084276-F545-47B8-B4B9-1260B62E642E}"/>
    <cellStyle name="常规 8 2 2 2 2" xfId="3803" xr:uid="{EF001C2F-A69C-477F-A95A-2044A1F34A99}"/>
    <cellStyle name="常规 8 2 2 3" xfId="991" xr:uid="{AA8F2F8D-2F89-4EA4-8DA3-209940BA53AB}"/>
    <cellStyle name="常规 8 2 3" xfId="3804" xr:uid="{DDAF4D51-5B04-4BD8-9E1B-0AE97634DB4B}"/>
    <cellStyle name="常规 8 2 3 2" xfId="3805" xr:uid="{DFA3F54E-3E06-40C5-A940-0B5BFC74E531}"/>
    <cellStyle name="常规 8 2 3 2 2" xfId="3807" xr:uid="{8C2D3DE2-88FB-4C57-B293-B27FB7603237}"/>
    <cellStyle name="常规 8 2 3 2 2 2" xfId="3809" xr:uid="{09054C74-BC0C-4A94-81E6-4A24376D5BB2}"/>
    <cellStyle name="常规 8 2 3 2 3" xfId="3811" xr:uid="{2B03C36D-58B7-40F9-A5F7-095F662C006D}"/>
    <cellStyle name="常规 8 2 3 3" xfId="114" xr:uid="{4F85DEE2-AF26-4260-9136-152044EDD546}"/>
    <cellStyle name="常规 8 2 3 3 2" xfId="3812" xr:uid="{AA11B061-E4B2-4E9B-ABE1-64D6CC74E376}"/>
    <cellStyle name="常规 8 2 3 4" xfId="123" xr:uid="{53AB0196-D30B-4886-BF27-9DB03601666C}"/>
    <cellStyle name="常规 8 2 4" xfId="3813" xr:uid="{87A8365C-5D31-440C-9639-4AF40F51E6B2}"/>
    <cellStyle name="常规 8 2 4 2" xfId="3814" xr:uid="{9F49BE07-582D-46E3-9149-79F5A94A2608}"/>
    <cellStyle name="常规 8 2 4 2 2" xfId="3816" xr:uid="{983BB04F-650B-4310-B52F-1017A7C9F236}"/>
    <cellStyle name="常规 8 2 4 3" xfId="3817" xr:uid="{4D7CB1C1-4C26-413C-B4A1-4BBBF874E108}"/>
    <cellStyle name="常规 8 2 5" xfId="3818" xr:uid="{701A14D6-B39C-41FE-A05B-C14469C46DD3}"/>
    <cellStyle name="常规 8 2 5 2" xfId="3819" xr:uid="{9810801A-DAB7-46A7-8BE7-84FF565638EE}"/>
    <cellStyle name="常规 8 2 6" xfId="3820" xr:uid="{0F6B422A-E81D-4380-9FA2-063363FC0649}"/>
    <cellStyle name="常规 8 3" xfId="137" xr:uid="{29A6D7CB-1345-4812-BE4B-7F92A499E50F}"/>
    <cellStyle name="常规 8 3 2" xfId="3821" xr:uid="{BEB7564E-5A25-4364-9ADB-BC1A2A8D81CB}"/>
    <cellStyle name="常规 8 3 2 2" xfId="3822" xr:uid="{65EE844E-C017-438F-A2E3-94F17854ACF0}"/>
    <cellStyle name="常规 8 3 2 2 2" xfId="3823" xr:uid="{E1F7CA94-0386-498C-B5FD-A2F56D6BD1FD}"/>
    <cellStyle name="常规 8 3 2 3" xfId="1021" xr:uid="{8108D664-4CDE-4BB9-8F37-DBAF8E91B4A7}"/>
    <cellStyle name="常规 8 3 3" xfId="2510" xr:uid="{5177DCDD-8E0A-442A-8373-006970CF7483}"/>
    <cellStyle name="常规 8 3 3 2" xfId="3824" xr:uid="{66731F51-E72B-4339-A0B0-9EDECEA9DC42}"/>
    <cellStyle name="常规 8 3 3 2 2" xfId="3825" xr:uid="{22D5CB05-15CC-451E-B9B3-A1AC993196CA}"/>
    <cellStyle name="常规 8 3 3 2 2 2" xfId="93" xr:uid="{ABE3632E-FA8F-4EC9-AB57-87318484B27C}"/>
    <cellStyle name="常规 8 3 3 2 3" xfId="3826" xr:uid="{C4F1FF52-BC2E-4F61-B472-7A1784A9FCD8}"/>
    <cellStyle name="常规 8 3 3 3" xfId="3827" xr:uid="{43710314-5CF9-4FA2-9921-AD15DC9A06DB}"/>
    <cellStyle name="常规 8 3 3 3 2" xfId="3828" xr:uid="{84EEE66F-DE05-4E4D-9A77-D0B62190CFA6}"/>
    <cellStyle name="常规 8 3 3 4" xfId="3829" xr:uid="{C19D4984-F5BD-47A0-A175-9CECD9B17491}"/>
    <cellStyle name="常规 8 3 4" xfId="3830" xr:uid="{3963CD97-0B4B-4D31-B644-27729231C5B9}"/>
    <cellStyle name="常规 8 3 4 2" xfId="3831" xr:uid="{3814664C-98ED-4824-93EC-17BD9F6A29CC}"/>
    <cellStyle name="常规 8 3 4 2 2" xfId="3832" xr:uid="{EDA08CA7-70CF-496F-8E8D-EC0522113689}"/>
    <cellStyle name="常规 8 3 4 3" xfId="3833" xr:uid="{00CDE7A3-FC2C-4D53-986B-691D036A7CC2}"/>
    <cellStyle name="常规 8 3 5" xfId="3834" xr:uid="{43F9AE73-3373-4C1A-B261-F203547D0456}"/>
    <cellStyle name="常规 8 3 5 2" xfId="3835" xr:uid="{2AB0A5F0-705A-4F5D-807E-2151793E23F2}"/>
    <cellStyle name="常规 8 3 6" xfId="3836" xr:uid="{368F04C9-358A-48A3-B81C-5517DA639558}"/>
    <cellStyle name="常规 8 4" xfId="3533" xr:uid="{20FA8644-B6FD-41B5-BDF9-CB9F1A15A268}"/>
    <cellStyle name="常规 8 4 2" xfId="3536" xr:uid="{55F71171-5679-4BF5-ABDE-BBBAE0BE3969}"/>
    <cellStyle name="常规 8 4 2 2" xfId="3618" xr:uid="{F7A92699-CDA0-4B29-8000-61A61C3C5D8E}"/>
    <cellStyle name="常规 8 4 2 2 2" xfId="3837" xr:uid="{4D2DCD38-7173-4E0E-9597-7ADB638C9D6D}"/>
    <cellStyle name="常规 8 4 2 3" xfId="1042" xr:uid="{204D46D0-C9C5-4587-B052-C29E5DCA78E1}"/>
    <cellStyle name="常规 8 4 3" xfId="3620" xr:uid="{238D032B-357C-4F2D-BBA5-C0652799AC94}"/>
    <cellStyle name="常规 8 4 3 2" xfId="3838" xr:uid="{23293C5C-EB8C-439A-BC13-B45F2AD006D5}"/>
    <cellStyle name="常规 8 4 3 2 2" xfId="2722" xr:uid="{B1C4A4EE-6656-45CD-8AFD-6EE8631ABD28}"/>
    <cellStyle name="常规 8 4 3 2 2 2" xfId="3839" xr:uid="{C7847F58-866C-46AD-9923-E3A622D47345}"/>
    <cellStyle name="常规 8 4 3 2 3" xfId="3840" xr:uid="{20E6AEE0-1F3C-40D6-8956-3AE2B2376C5D}"/>
    <cellStyle name="常规 8 4 3 3" xfId="2400" xr:uid="{919EDF46-E779-47BC-AA52-1550C5C88E31}"/>
    <cellStyle name="常规 8 4 3 3 2" xfId="2402" xr:uid="{5ACAAD85-B1D8-467C-9FB6-8458A12B87BA}"/>
    <cellStyle name="常规 8 4 3 4" xfId="2404" xr:uid="{C9537BDC-6DA3-4744-9AE8-FE132280DD9D}"/>
    <cellStyle name="常规 8 4 4" xfId="867" xr:uid="{7BE4A12A-3AE4-4C88-8213-A6ACA0B67447}"/>
    <cellStyle name="常规 8 4 4 2" xfId="1331" xr:uid="{AD2C6A12-B4CE-405B-8B32-E2D826DEBAC3}"/>
    <cellStyle name="常规 8 4 4 2 2" xfId="201" xr:uid="{D190085D-1B08-485F-B22B-CC438C9F08FF}"/>
    <cellStyle name="常规 8 4 4 3" xfId="2406" xr:uid="{B61CEFE3-30B4-4F32-A424-F2AE670FD4FE}"/>
    <cellStyle name="常规 8 4 5" xfId="1333" xr:uid="{0BF79BC3-FA32-4D3D-9F5E-B9758253FCA8}"/>
    <cellStyle name="常规 8 4 5 2" xfId="3841" xr:uid="{46F34C53-5E2B-4045-B0DF-6B8EFB29C61C}"/>
    <cellStyle name="常规 8 4 6" xfId="3842" xr:uid="{FE41A3F5-7409-4247-B190-8B3B1731AC72}"/>
    <cellStyle name="常规 8 5" xfId="3539" xr:uid="{F731CF42-D0F0-4B0F-8211-3E78CFA82DFC}"/>
    <cellStyle name="常规 8 5 2" xfId="3622" xr:uid="{B800F91C-53CD-4D8C-BD1B-C6C8D8F73722}"/>
    <cellStyle name="常规 8 5 2 2" xfId="3843" xr:uid="{AC6A208E-95DF-4E84-B7DE-ACBA48EBC2D5}"/>
    <cellStyle name="常规 8 5 2 2 2" xfId="3844" xr:uid="{9B8C753F-5366-4773-B8B9-616906F1D275}"/>
    <cellStyle name="常规 8 5 2 3" xfId="3845" xr:uid="{0C7B03D8-D2D3-4C94-9C7A-4F87A10E3A31}"/>
    <cellStyle name="常规 8 5 3" xfId="3212" xr:uid="{DA8BA6A1-2D08-446B-AD57-A438854752B4}"/>
    <cellStyle name="常规 8 5 3 2" xfId="3023" xr:uid="{8B30DFCE-FD11-464E-BE07-D6574871EA8E}"/>
    <cellStyle name="常规 8 5 4" xfId="1336" xr:uid="{2F514836-72D3-4E8C-89C3-61DEE6D80613}"/>
    <cellStyle name="常规 8 6" xfId="3624" xr:uid="{E7664DC3-45EA-4995-9930-A7DA2A3E8BC6}"/>
    <cellStyle name="常规 8 6 2" xfId="3846" xr:uid="{C1C31C6D-2808-42D7-A046-D92A9F2AACBB}"/>
    <cellStyle name="常规 8 6 2 2" xfId="3847" xr:uid="{3FEFAB71-7C8B-4D6D-B368-40B6428AD503}"/>
    <cellStyle name="常规 8 6 3" xfId="3848" xr:uid="{576264FC-323A-4551-B322-9AAF744C122E}"/>
    <cellStyle name="常规 8 7" xfId="3849" xr:uid="{78FBF24E-8E44-42D1-8F46-CA80AE44FF1C}"/>
    <cellStyle name="常规 8 7 2" xfId="3850" xr:uid="{EB0794DE-3DCD-4C84-A31B-05135B63F121}"/>
    <cellStyle name="常规 8 8" xfId="3851" xr:uid="{D75B3E92-6902-48AE-8E04-5699047B794B}"/>
    <cellStyle name="常规 9" xfId="25" xr:uid="{C2AAB0D0-E6DD-4FEC-9811-3203DA871511}"/>
    <cellStyle name="常规 9 2" xfId="56" xr:uid="{8E7E7032-4EC4-4555-8A08-76E26360E00A}"/>
    <cellStyle name="常规 9 2 2" xfId="3852" xr:uid="{01E6F352-EC71-4E8D-A9C3-DA943390EB40}"/>
    <cellStyle name="常规 9 2 2 2" xfId="3853" xr:uid="{2A53F438-4332-4816-BD1E-F671D2700CD5}"/>
    <cellStyle name="常规 9 2 2 2 2" xfId="3854" xr:uid="{1C96F33B-57DB-4B15-BCD2-BAE8A6CD1171}"/>
    <cellStyle name="常规 9 2 2 3" xfId="475" xr:uid="{8BB10B6D-5D3A-49F6-BF56-E044D46ED2FA}"/>
    <cellStyle name="常规 9 2 3" xfId="3855" xr:uid="{407C22ED-074B-41BE-8B7A-3A1231D229B3}"/>
    <cellStyle name="常规 9 2 3 2" xfId="3856" xr:uid="{218B3C4F-E999-454D-98BE-9801413F1597}"/>
    <cellStyle name="常规 9 2 3 2 2" xfId="3857" xr:uid="{FDB32601-F02D-4388-9A64-6B1512B93BCF}"/>
    <cellStyle name="常规 9 2 3 2 2 2" xfId="789" xr:uid="{D9BE9482-F4FD-4C9E-8A89-AA2170E37E05}"/>
    <cellStyle name="常规 9 2 3 2 3" xfId="3858" xr:uid="{CFC95FD9-8A07-410D-B44B-90E32ED64AEE}"/>
    <cellStyle name="常规 9 2 3 3" xfId="3860" xr:uid="{22CF069D-3FDE-4A66-862D-DEA3B323B6EE}"/>
    <cellStyle name="常规 9 2 3 3 2" xfId="3861" xr:uid="{336547BE-767D-4A66-B48F-0C55EBED1C49}"/>
    <cellStyle name="常规 9 2 3 4" xfId="3815" xr:uid="{2A4FD3D1-838A-474B-9297-DEA94191FBE4}"/>
    <cellStyle name="常规 9 2 4" xfId="3862" xr:uid="{CFCE5EFD-F406-44CE-9DC8-9B24179BB267}"/>
    <cellStyle name="常规 9 2 4 2" xfId="3863" xr:uid="{4708C708-E6D8-4E06-BF67-E8502A5C12FC}"/>
    <cellStyle name="常规 9 2 4 2 2" xfId="3864" xr:uid="{0169EC60-3CEE-4DD4-84FA-6F2D54215C85}"/>
    <cellStyle name="常规 9 2 4 3" xfId="3865" xr:uid="{DDC786D6-BF68-4E3E-B093-2C24B9F0B9EE}"/>
    <cellStyle name="常规 9 2 5" xfId="3866" xr:uid="{FBBE5C0A-9E3C-4D2E-BB50-38EE65CF57C0}"/>
    <cellStyle name="常规 9 2 5 2" xfId="3867" xr:uid="{72AF4886-43B7-4EBF-9989-D6C32A947369}"/>
    <cellStyle name="常规 9 2 6" xfId="3405" xr:uid="{CBD4D002-795E-4964-BE09-D2837CD8D1A3}"/>
    <cellStyle name="常规 9 3" xfId="3868" xr:uid="{F943174B-8319-40A9-B0F8-3E2247486391}"/>
    <cellStyle name="常规 9 3 2" xfId="3869" xr:uid="{66C9CD47-E333-4ECE-8298-923B6AF97C1D}"/>
    <cellStyle name="常规 9 3 2 2" xfId="3870" xr:uid="{291658C6-C384-4C8E-9614-4F0F8AF72C6F}"/>
    <cellStyle name="常规 9 3 2 2 2" xfId="3871" xr:uid="{BA1D740D-BB06-40AA-865B-18E47BA4C07D}"/>
    <cellStyle name="常规 9 3 2 3" xfId="881" xr:uid="{707081A6-C408-4522-B365-FF40E7468478}"/>
    <cellStyle name="常规 9 3 3" xfId="3872" xr:uid="{B6B7BCB8-32A5-4719-8FFB-FA991F7E27E4}"/>
    <cellStyle name="常规 9 3 3 2" xfId="3873" xr:uid="{5B927B0F-2053-4555-B9A8-08BF1988E4FF}"/>
    <cellStyle name="常规 9 3 3 2 2" xfId="3874" xr:uid="{46C431E7-5710-49ED-95A8-D5781570A3EB}"/>
    <cellStyle name="常规 9 3 3 2 2 2" xfId="3875" xr:uid="{89365607-564B-4B17-BCEA-050C9F04A42F}"/>
    <cellStyle name="常规 9 3 3 2 3" xfId="3876" xr:uid="{76D19885-37D8-464F-9363-8DDD554A360F}"/>
    <cellStyle name="常规 9 3 3 3" xfId="3877" xr:uid="{BB75CEB3-AAE2-4DB1-8B3A-550928EC42CC}"/>
    <cellStyle name="常规 9 3 3 3 2" xfId="3878" xr:uid="{4BB042E3-8500-47FD-BD95-BE2F3F2247A4}"/>
    <cellStyle name="常规 9 3 3 4" xfId="3879" xr:uid="{36DD9ABC-DFFF-4868-83A5-E72BE93D446B}"/>
    <cellStyle name="常规 9 3 4" xfId="3880" xr:uid="{0FF20484-0205-466E-A224-A3F5556C66DB}"/>
    <cellStyle name="常规 9 3 4 2" xfId="3881" xr:uid="{13D850E9-21C6-4A6A-8B8D-1074303B789C}"/>
    <cellStyle name="常规 9 3 4 2 2" xfId="3882" xr:uid="{6212A27D-41A9-41D5-9CB4-C98AD2FC3F2F}"/>
    <cellStyle name="常规 9 3 4 3" xfId="3883" xr:uid="{F81AA0CA-313C-4F32-9CD4-129062F1A23F}"/>
    <cellStyle name="常规 9 3 5" xfId="3884" xr:uid="{1C1540E4-BDB8-4C50-B8C0-CDF838A4C60C}"/>
    <cellStyle name="常规 9 3 5 2" xfId="3885" xr:uid="{88DA0751-71A7-4211-BE89-25D070D1D69A}"/>
    <cellStyle name="常规 9 3 6" xfId="3466" xr:uid="{1D36D56E-3336-4F9C-99DB-E910B8938981}"/>
    <cellStyle name="常规 9 4" xfId="448" xr:uid="{F31E3DED-815C-4629-9788-FC3DBBE5F302}"/>
    <cellStyle name="常规 9 4 2" xfId="1818" xr:uid="{25BB4BDD-DCC3-40AD-B364-3BDC660BA41D}"/>
    <cellStyle name="常规 9 4 2 2" xfId="3886" xr:uid="{8975C262-5CD2-468C-A509-EA6366707032}"/>
    <cellStyle name="常规 9 4 2 2 2" xfId="3887" xr:uid="{C12ABC66-68C9-42C9-B451-B6BA87D511D7}"/>
    <cellStyle name="常规 9 4 2 3" xfId="3888" xr:uid="{B2821164-191F-43B5-9200-AE4D91785F97}"/>
    <cellStyle name="常规 9 4 3" xfId="3889" xr:uid="{D93AA8F0-FB4A-4BA3-B084-B95CA7AD1A92}"/>
    <cellStyle name="常规 9 4 3 2" xfId="3890" xr:uid="{524DAD95-086B-486D-9699-4B54605050EF}"/>
    <cellStyle name="常规 9 4 3 2 2" xfId="3205" xr:uid="{DC8AF193-FC62-4BDB-B207-59B75A003440}"/>
    <cellStyle name="常规 9 4 3 2 2 2" xfId="3892" xr:uid="{2B52ED9E-90B8-4804-88E1-E4A0A7741B7D}"/>
    <cellStyle name="常规 9 4 3 2 3" xfId="2515" xr:uid="{DA65281F-F43D-4BCD-8024-C3F17B325AAC}"/>
    <cellStyle name="常规 9 4 3 3" xfId="2449" xr:uid="{FF01026A-C70C-44AA-AF29-DF18AF656795}"/>
    <cellStyle name="常规 9 4 3 3 2" xfId="3893" xr:uid="{00348344-BD5B-4A26-B8C7-694D9402BBFD}"/>
    <cellStyle name="常规 9 4 3 4" xfId="3894" xr:uid="{C78EA6D6-EB48-4ACF-ACF5-0DE9589A2B1E}"/>
    <cellStyle name="常规 9 4 4" xfId="1361" xr:uid="{A9B92271-CD4F-4842-A7FD-93E57CFE86EA}"/>
    <cellStyle name="常规 9 4 4 2" xfId="1363" xr:uid="{1036F41D-1D18-4E0D-8386-EB1AC3539A6D}"/>
    <cellStyle name="常规 9 4 4 2 2" xfId="3895" xr:uid="{A59BC988-90B0-4AEA-A7AD-974D113609EB}"/>
    <cellStyle name="常规 9 4 4 3" xfId="303" xr:uid="{697D60B5-C9ED-441C-AD59-2E2F28FB56B1}"/>
    <cellStyle name="常规 9 4 5" xfId="1365" xr:uid="{CBE595D2-F124-43BD-B21C-3B3803DC0F5F}"/>
    <cellStyle name="常规 9 4 5 2" xfId="3896" xr:uid="{C1C7C793-055B-450F-B46C-4A77D67E73F0}"/>
    <cellStyle name="常规 9 4 6" xfId="3634" xr:uid="{DD906A93-0EB3-43A4-A3B2-DE90E86707CE}"/>
    <cellStyle name="常规 9 5" xfId="744" xr:uid="{4D300074-4989-4C28-827F-EEB70ACF438C}"/>
    <cellStyle name="常规 9 5 2" xfId="3897" xr:uid="{732F88D6-EDA4-4389-A947-F37E0E56A063}"/>
    <cellStyle name="常规 9 5 2 2" xfId="3898" xr:uid="{2AF07178-C4D6-40DD-9665-00C1402EA487}"/>
    <cellStyle name="常规 9 5 2 2 2" xfId="3899" xr:uid="{725CE852-E0E3-4D3D-8EF4-A117DC88F216}"/>
    <cellStyle name="常规 9 5 2 3" xfId="3900" xr:uid="{D5023DAB-32DC-4B3A-90B9-6552E982EE58}"/>
    <cellStyle name="常规 9 5 3" xfId="3901" xr:uid="{C9FFDD1E-E6C5-4D7F-84AC-4674234859B7}"/>
    <cellStyle name="常规 9 5 3 2" xfId="3902" xr:uid="{B6B709D4-840C-4155-8ABF-7F0A6D0382D5}"/>
    <cellStyle name="常规 9 5 4" xfId="1368" xr:uid="{F35D96A7-91CB-4B34-A323-CAC7DCE1BDE0}"/>
    <cellStyle name="常规 9 6" xfId="748" xr:uid="{5730B09B-5404-4CF0-83A0-A5DDD66A5680}"/>
    <cellStyle name="常规 9 6 2" xfId="3903" xr:uid="{A3D70FC3-4E51-4CB1-9704-9BFAD1E5D847}"/>
    <cellStyle name="常规 9 6 2 2" xfId="855" xr:uid="{D8E1AF29-24AA-445E-BE6D-894709E74105}"/>
    <cellStyle name="常规 9 6 3" xfId="3904" xr:uid="{75CA833D-07F4-470B-B26B-7E42B4914CBE}"/>
    <cellStyle name="常规 9 7" xfId="3905" xr:uid="{EF73F23B-099E-44C9-B6CF-4DEDDCE11B4A}"/>
    <cellStyle name="常规 9 7 2" xfId="3906" xr:uid="{90473AA3-E665-47CD-AD09-76F67A03E80A}"/>
    <cellStyle name="常规 9 8" xfId="1086" xr:uid="{C4B0D0CD-6727-4C29-8635-B6C1A592025C}"/>
    <cellStyle name="常规 9 9" xfId="3907" xr:uid="{F053BF2B-D0CE-4BDF-82A2-23D3F2C2EEAA}"/>
    <cellStyle name="超链接" xfId="1" builtinId="8"/>
    <cellStyle name="超链接 10" xfId="1569" xr:uid="{4D485B8A-4D01-4B8E-B3C6-18AFE6E2F1B1}"/>
    <cellStyle name="超链接 10 2" xfId="1573" xr:uid="{6F70C2EB-1DCB-4B07-98C6-DC7DAB691A19}"/>
    <cellStyle name="超链接 11" xfId="1590" xr:uid="{68E7D359-87B7-4354-A1F6-5989609AA0E4}"/>
    <cellStyle name="超链接 12" xfId="1594" xr:uid="{58122794-5C25-468E-9FC4-522ADBE31B48}"/>
    <cellStyle name="超链接 2" xfId="39" xr:uid="{5256873A-9508-4853-AA6A-9DF6F47FFB65}"/>
    <cellStyle name="超链接 2 2" xfId="3908" xr:uid="{C803CF26-2AD8-4F54-9C94-1B0C67A9174D}"/>
    <cellStyle name="超链接 2 2 2" xfId="3909" xr:uid="{31622668-A06E-44D9-BD37-DAE816B1F399}"/>
    <cellStyle name="超链接 2 2 2 2" xfId="3910" xr:uid="{F16ADA3B-0A96-49C4-9D58-28D0905DC8F1}"/>
    <cellStyle name="超链接 2 2 3" xfId="3911" xr:uid="{111A5E00-013D-47C4-B85F-A5ADC5446B51}"/>
    <cellStyle name="超链接 2 2 3 2" xfId="3912" xr:uid="{B462B258-B055-4350-83CE-8D7E6E5BFAA5}"/>
    <cellStyle name="超链接 2 2 4" xfId="3552" xr:uid="{E5C4935C-0C8E-4CBA-9F99-2932BAF609C8}"/>
    <cellStyle name="超链接 2 3" xfId="3913" xr:uid="{153D8B96-A9F3-416D-992F-08E34A0ADF32}"/>
    <cellStyle name="超链接 2 3 2" xfId="3914" xr:uid="{0CD2ADD8-C2E9-45F4-B9CF-FF844E058E00}"/>
    <cellStyle name="超链接 2 3 2 2" xfId="3915" xr:uid="{12FDC343-D3A3-430B-8444-688AF1CE3CAB}"/>
    <cellStyle name="超链接 2 3 2 2 2" xfId="3916" xr:uid="{4CA3CC03-256C-4EDF-83CF-35E5335590ED}"/>
    <cellStyle name="超链接 2 3 2 3" xfId="3891" xr:uid="{86369A11-6930-42C5-91C7-FD55AB6B69B4}"/>
    <cellStyle name="超链接 2 3 3" xfId="3917" xr:uid="{82908C12-D715-47DF-8468-F3D4546E9E7E}"/>
    <cellStyle name="超链接 2 3 3 2" xfId="3918" xr:uid="{545D867B-A126-4544-A4FD-A767F9D55CAD}"/>
    <cellStyle name="超链接 2 3 4" xfId="3567" xr:uid="{1C515C49-3514-4E74-9D02-2E313218DAEA}"/>
    <cellStyle name="超链接 2 4" xfId="3919" xr:uid="{E04AFA24-E74A-4DB6-98EC-B92BB8795872}"/>
    <cellStyle name="超链接 2 4 2" xfId="3920" xr:uid="{7F991B17-226C-4D95-9168-45FB6D33B5C3}"/>
    <cellStyle name="超链接 2 4 2 2" xfId="3921" xr:uid="{FFDCC262-D783-4C73-A185-702768F4F6BA}"/>
    <cellStyle name="超链接 2 4 3" xfId="3922" xr:uid="{B7E69C72-AE44-4660-A491-5D52597C2280}"/>
    <cellStyle name="超链接 2 5" xfId="3923" xr:uid="{B342E4D5-F04A-49FF-8381-8FD8858CFA04}"/>
    <cellStyle name="超链接 2 5 2" xfId="3924" xr:uid="{467F4532-8D53-4F63-9906-D7DBAF3DCA6F}"/>
    <cellStyle name="超链接 2 6" xfId="3925" xr:uid="{1F3B245D-3A31-4A9E-935E-FEFB37E0CCA0}"/>
    <cellStyle name="超链接 2 6 2" xfId="2855" xr:uid="{240F06D6-307F-423A-9511-DC388AFD7FDB}"/>
    <cellStyle name="超链接 2 7" xfId="3926" xr:uid="{C1257D28-5F75-43B8-A400-3950B3ED7CDB}"/>
    <cellStyle name="超链接 2 8" xfId="3928" xr:uid="{1B8F7DA1-EA85-4FCE-A5E8-C297FF1B8A60}"/>
    <cellStyle name="超链接 3" xfId="3929" xr:uid="{FA87055A-919C-41C7-90F8-E0BB64F914E3}"/>
    <cellStyle name="超链接 3 2" xfId="3930" xr:uid="{BE6716AC-48FD-4F87-BCFA-ECD7882EFB40}"/>
    <cellStyle name="超链接 3 2 2" xfId="3931" xr:uid="{6E3A6C16-84CE-49CE-994E-D888EFCF5981}"/>
    <cellStyle name="超链接 3 2 2 2" xfId="3932" xr:uid="{943A0156-A74C-466A-97BD-500283C5CE64}"/>
    <cellStyle name="超链接 3 2 3" xfId="3933" xr:uid="{4DE9AD97-AA11-4E09-AE66-EA9D3CFCB819}"/>
    <cellStyle name="超链接 3 3" xfId="3934" xr:uid="{444245A7-00CB-4256-B6C1-8A786C6FB19B}"/>
    <cellStyle name="超链接 3 3 2" xfId="3935" xr:uid="{724207F1-47FA-4619-9BD5-8623841A7C8F}"/>
    <cellStyle name="超链接 3 3 2 2" xfId="3936" xr:uid="{EB58586B-1697-481B-84DF-851ABD55DB8A}"/>
    <cellStyle name="超链接 3 3 2 2 2" xfId="3691" xr:uid="{7A8446C7-2901-4760-91E3-B707663640E4}"/>
    <cellStyle name="超链接 3 3 2 3" xfId="3937" xr:uid="{966984B7-286A-414E-BBA1-792BF6937ADC}"/>
    <cellStyle name="超链接 3 3 3" xfId="3938" xr:uid="{56C20AB2-858A-44AC-8A79-58E9457B34A6}"/>
    <cellStyle name="超链接 3 3 3 2" xfId="3939" xr:uid="{DFECEC14-25D9-4E5D-B847-A486468E424D}"/>
    <cellStyle name="超链接 3 3 4" xfId="3590" xr:uid="{60C4A135-97B8-422B-A314-617DF22B2FD8}"/>
    <cellStyle name="超链接 3 4" xfId="3940" xr:uid="{FCF9484C-8C03-4A2A-943A-51AACC429449}"/>
    <cellStyle name="超链接 3 4 2" xfId="3941" xr:uid="{D6D7E55B-C974-4AE5-BA96-3A3F4892E2C1}"/>
    <cellStyle name="超链接 3 4 2 2" xfId="3942" xr:uid="{3DDD7388-D28A-4B8E-BDF1-F972AE28CFC7}"/>
    <cellStyle name="超链接 3 4 3" xfId="425" xr:uid="{D826BE92-2478-4080-A861-ED8BD7D6B8BD}"/>
    <cellStyle name="超链接 3 5" xfId="3943" xr:uid="{4FF7A805-D0E6-4C11-9297-DCDB8452BD60}"/>
    <cellStyle name="超链接 3 5 2" xfId="3944" xr:uid="{17299A24-B2DA-4BBD-A0E7-AD5F7231664D}"/>
    <cellStyle name="超链接 3 6" xfId="3945" xr:uid="{465EC6E6-5FAD-441B-BEAA-28AF0B1B3B0A}"/>
    <cellStyle name="超链接 4" xfId="1030" xr:uid="{F9DC7C45-AD9E-48A1-B5CA-79D6DF60E347}"/>
    <cellStyle name="超链接 4 2" xfId="3946" xr:uid="{90EBC3B3-38CD-4325-B0D1-1EE1F491F849}"/>
    <cellStyle name="超链接 4 2 2" xfId="3947" xr:uid="{12E55CAE-A9E7-4130-B0E1-B698C81B8CB9}"/>
    <cellStyle name="超链接 4 2 2 2" xfId="2640" xr:uid="{3AEA3AD4-71B4-4930-8D33-3EC24E3FB97B}"/>
    <cellStyle name="超链接 4 2 3" xfId="3948" xr:uid="{DBFFAF1B-D163-477B-9123-7EBA0410A2B4}"/>
    <cellStyle name="超链接 4 3" xfId="3949" xr:uid="{CA80A0EF-4B5F-4A0F-9E1B-57D7281562C2}"/>
    <cellStyle name="超链接 4 3 2" xfId="3950" xr:uid="{39CDCA74-E041-4E02-98DD-A7A15A311BDD}"/>
    <cellStyle name="超链接 4 3 2 2" xfId="2816" xr:uid="{E054C6E3-3A86-4E9C-B864-FD43EAAA8D36}"/>
    <cellStyle name="超链接 4 3 2 2 2" xfId="2819" xr:uid="{03EEF505-0A85-4734-9CD2-97A478A14B37}"/>
    <cellStyle name="超链接 4 3 2 3" xfId="2826" xr:uid="{6D85BC7C-604D-4B6C-8508-3C2FBA3B853C}"/>
    <cellStyle name="超链接 4 3 3" xfId="3951" xr:uid="{FA54FE30-D0C5-42EF-9485-91B1CFD79DD3}"/>
    <cellStyle name="超链接 4 3 3 2" xfId="2841" xr:uid="{E1D70076-16EC-4D0B-BA42-CD5C5F99DE2A}"/>
    <cellStyle name="超链接 4 3 4" xfId="3609" xr:uid="{1C768B43-D119-485B-AD55-107A4F680528}"/>
    <cellStyle name="超链接 4 4" xfId="3952" xr:uid="{DA1500CC-DAFB-4C08-B9D5-E1EE639CDD83}"/>
    <cellStyle name="超链接 4 4 2" xfId="3927" xr:uid="{D09BA3CC-D592-45F9-93AC-29EFE216C24B}"/>
    <cellStyle name="超链接 4 4 2 2" xfId="2894" xr:uid="{47E12D97-ECBD-49E9-991C-3CF42DF7DCA9}"/>
    <cellStyle name="超链接 4 4 3" xfId="951" xr:uid="{B0EF5497-AA0E-4EDC-BC18-1093972D8796}"/>
    <cellStyle name="超链接 4 5" xfId="3953" xr:uid="{CEE8444B-FDC2-4223-9483-561D67C24141}"/>
    <cellStyle name="超链接 4 5 2" xfId="3954" xr:uid="{7F11B086-3893-45BF-B85B-E583922DE0C5}"/>
    <cellStyle name="超链接 4 6" xfId="3694" xr:uid="{E2BE930C-2AF3-468B-A36E-9198A54E59AA}"/>
    <cellStyle name="超链接 5" xfId="3806" xr:uid="{4DEF8A9B-0709-4583-91EC-45DA1E458686}"/>
    <cellStyle name="超链接 5 2" xfId="3808" xr:uid="{B51B12C5-C643-406B-B439-DC53826E31F4}"/>
    <cellStyle name="超链接 5 2 2" xfId="3955" xr:uid="{2A078276-6C6C-4BEB-8B44-768770B45B4E}"/>
    <cellStyle name="超链接 5 2 2 2" xfId="2692" xr:uid="{93B8C57D-F548-43BE-8E25-44091439ED87}"/>
    <cellStyle name="超链接 5 2 3" xfId="2983" xr:uid="{46800973-489D-4917-A8C9-BC34F995E043}"/>
    <cellStyle name="超链接 5 3" xfId="3956" xr:uid="{C8586EBF-A4AB-4DDE-AAB9-7779B2C72726}"/>
    <cellStyle name="超链接 5 3 2" xfId="3957" xr:uid="{F7AA203B-2B35-46DC-A9F3-8712EF927DFD}"/>
    <cellStyle name="超链接 5 4" xfId="3958" xr:uid="{941640ED-E0B5-41D3-8B6B-5E02A79A7DA2}"/>
    <cellStyle name="超链接 6" xfId="3810" xr:uid="{AB866FC4-1BA9-4C07-84B4-1207792A7B8D}"/>
    <cellStyle name="超链接 6 2" xfId="737" xr:uid="{C3CA2DE5-2CF7-4A91-A0CA-ACDC0870DF2C}"/>
    <cellStyle name="超链接 6 2 2" xfId="3959" xr:uid="{5BC4609A-6786-4747-A55B-CC9D3BBDBC6E}"/>
    <cellStyle name="超链接 6 3" xfId="3960" xr:uid="{FBAF6B2F-DDBD-4794-B0EF-9149E33A2BC6}"/>
    <cellStyle name="超链接 6 3 2" xfId="3961" xr:uid="{FBD21C06-D9CC-4367-A2C5-F08481DBD642}"/>
    <cellStyle name="超链接 6 4" xfId="3962" xr:uid="{191103A3-B167-4F4A-81E4-B03354934746}"/>
    <cellStyle name="超链接 7" xfId="3963" xr:uid="{BF0819C8-AFA9-4963-A904-2F0928C88759}"/>
    <cellStyle name="超链接 7 2" xfId="768" xr:uid="{20E1624B-A075-4C23-96A3-EC438AFBF9DF}"/>
    <cellStyle name="超链接 7 2 2" xfId="774" xr:uid="{A7FCE133-5C3F-4D60-AF55-6FEE7A2AADDA}"/>
    <cellStyle name="超链接 7 2 2 2" xfId="185" xr:uid="{4F433750-2F26-454E-AF98-337996C102F7}"/>
    <cellStyle name="超链接 7 2 3" xfId="554" xr:uid="{90929860-4406-4977-8465-CAE803A67A4A}"/>
    <cellStyle name="超链接 7 3" xfId="782" xr:uid="{25F20053-0294-46C4-A008-43F26B276FA3}"/>
    <cellStyle name="超链接 7 3 2" xfId="1029" xr:uid="{104959AC-135D-4B5B-99B8-D192730F0525}"/>
    <cellStyle name="超链接 7 4" xfId="1125" xr:uid="{EE57E8F3-5D28-4A78-92E0-BD70712BDF90}"/>
    <cellStyle name="超链接 8" xfId="3964" xr:uid="{477C62A3-7203-439C-BE1E-9B710BB0A744}"/>
    <cellStyle name="超链接 8 2" xfId="171" xr:uid="{832A288E-C5BF-4E4E-8EA3-ED7CE40FB50A}"/>
    <cellStyle name="超链接 8 2 2" xfId="474" xr:uid="{FF29F4FA-B386-458C-A415-1B1FDE97E500}"/>
    <cellStyle name="超链接 8 2 2 2" xfId="3965" xr:uid="{A7A1BF85-E560-4C8D-B791-05D34D8E313C}"/>
    <cellStyle name="超链接 8 2 3" xfId="3966" xr:uid="{AF58090B-3377-4DD5-AFC5-04097821AD14}"/>
    <cellStyle name="超链接 8 3" xfId="181" xr:uid="{FB65D352-ED9D-49FE-AD83-81D1DB49DCE2}"/>
    <cellStyle name="超链接 8 3 2" xfId="3859" xr:uid="{A7CCD650-DE2F-46E9-9D2C-4900F34C29E4}"/>
    <cellStyle name="超链接 8 4" xfId="3967" xr:uid="{4C6A8D79-2057-43D6-BB4B-D789B14D6E02}"/>
    <cellStyle name="超链接 9" xfId="3968" xr:uid="{D7F77563-0890-488C-823D-DC8F8DEFBB4A}"/>
    <cellStyle name="超链接 9 2" xfId="317" xr:uid="{16A2A186-8829-476F-9E08-1D2626074689}"/>
    <cellStyle name="适中 2" xfId="3969" xr:uid="{46491FF7-D5DB-4004-BB8E-077C46353CDC}"/>
    <cellStyle name="注释 2" xfId="1189" xr:uid="{94B05844-9763-4674-AFB8-96B649CE6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3704-4479-4407-9F06-937FAB2E365C}">
  <sheetPr codeName="Sheet1"/>
  <dimension ref="A1:M24"/>
  <sheetViews>
    <sheetView workbookViewId="0">
      <selection activeCell="E16" sqref="E16"/>
    </sheetView>
  </sheetViews>
  <sheetFormatPr defaultRowHeight="13.8"/>
  <cols>
    <col min="1" max="1" width="10.109375" bestFit="1" customWidth="1"/>
    <col min="5" max="5" width="29.33203125" customWidth="1"/>
    <col min="6" max="6" width="38.5546875" customWidth="1"/>
    <col min="8" max="8" width="10.5546875" bestFit="1" customWidth="1"/>
    <col min="10" max="10" width="12" customWidth="1"/>
    <col min="11" max="11" width="10.5546875" bestFit="1" customWidth="1"/>
  </cols>
  <sheetData>
    <row r="1" spans="1:11" ht="41.4">
      <c r="A1" s="36" t="s">
        <v>118</v>
      </c>
      <c r="B1" s="36" t="s">
        <v>119</v>
      </c>
      <c r="C1" s="36" t="s">
        <v>120</v>
      </c>
      <c r="D1" s="37" t="s">
        <v>229</v>
      </c>
      <c r="E1" s="38" t="s">
        <v>60</v>
      </c>
      <c r="F1" s="39" t="s">
        <v>230</v>
      </c>
      <c r="G1" s="37" t="s">
        <v>231</v>
      </c>
      <c r="H1" s="40" t="s">
        <v>232</v>
      </c>
      <c r="I1" s="39" t="s">
        <v>233</v>
      </c>
      <c r="J1" s="40" t="s">
        <v>234</v>
      </c>
    </row>
    <row r="2" spans="1:11">
      <c r="A2" s="41">
        <v>45735</v>
      </c>
      <c r="B2" s="37">
        <v>10</v>
      </c>
      <c r="C2" s="36">
        <v>0</v>
      </c>
      <c r="D2" s="36" t="s">
        <v>235</v>
      </c>
      <c r="E2" s="39" t="s">
        <v>236</v>
      </c>
      <c r="F2" s="39" t="s">
        <v>236</v>
      </c>
      <c r="G2" s="37">
        <v>110000</v>
      </c>
      <c r="H2" s="38">
        <v>592369026</v>
      </c>
      <c r="I2" s="39" t="s">
        <v>92</v>
      </c>
      <c r="J2" s="37"/>
    </row>
    <row r="3" spans="1:11">
      <c r="A3" s="41">
        <v>45735</v>
      </c>
      <c r="B3" s="37">
        <v>10</v>
      </c>
      <c r="C3" s="36">
        <v>0</v>
      </c>
      <c r="D3" s="36" t="s">
        <v>235</v>
      </c>
      <c r="E3" s="39" t="s">
        <v>237</v>
      </c>
      <c r="F3" s="39" t="s">
        <v>238</v>
      </c>
      <c r="G3" s="37">
        <v>110000</v>
      </c>
      <c r="H3" s="38">
        <v>48687010</v>
      </c>
      <c r="I3" s="39" t="s">
        <v>92</v>
      </c>
      <c r="J3" s="37"/>
    </row>
    <row r="4" spans="1:11" hidden="1">
      <c r="A4" s="41">
        <v>45735</v>
      </c>
      <c r="B4" s="37">
        <v>10</v>
      </c>
      <c r="C4" s="36">
        <v>0</v>
      </c>
      <c r="D4" s="36" t="s">
        <v>235</v>
      </c>
      <c r="E4" s="39" t="s">
        <v>239</v>
      </c>
      <c r="F4" s="39" t="s">
        <v>240</v>
      </c>
      <c r="G4" s="37">
        <v>110000</v>
      </c>
      <c r="H4" s="38">
        <v>45759090</v>
      </c>
      <c r="I4" s="39" t="s">
        <v>92</v>
      </c>
      <c r="J4" s="37"/>
    </row>
    <row r="5" spans="1:11">
      <c r="A5" s="41">
        <v>45735</v>
      </c>
      <c r="B5" s="37">
        <v>10</v>
      </c>
      <c r="C5" s="36">
        <v>0</v>
      </c>
      <c r="D5" s="36" t="s">
        <v>235</v>
      </c>
      <c r="E5" s="39" t="s">
        <v>241</v>
      </c>
      <c r="F5" s="39" t="s">
        <v>242</v>
      </c>
      <c r="G5" s="37">
        <v>110000</v>
      </c>
      <c r="H5" s="38">
        <v>37997730</v>
      </c>
      <c r="I5" s="39" t="s">
        <v>92</v>
      </c>
      <c r="J5" s="37"/>
    </row>
    <row r="6" spans="1:11">
      <c r="A6" s="41">
        <v>45735</v>
      </c>
      <c r="B6" s="37">
        <v>10</v>
      </c>
      <c r="C6" s="36" t="s">
        <v>243</v>
      </c>
      <c r="D6" s="36" t="s">
        <v>235</v>
      </c>
      <c r="E6" s="39" t="s">
        <v>237</v>
      </c>
      <c r="F6" s="39" t="s">
        <v>238</v>
      </c>
      <c r="G6" s="37">
        <v>110000</v>
      </c>
      <c r="H6" s="38">
        <v>155526310</v>
      </c>
      <c r="I6" s="39" t="s">
        <v>91</v>
      </c>
      <c r="J6" s="37"/>
    </row>
    <row r="7" spans="1:11">
      <c r="A7" s="41">
        <v>45735</v>
      </c>
      <c r="B7" s="37">
        <v>10</v>
      </c>
      <c r="C7" s="36" t="s">
        <v>243</v>
      </c>
      <c r="D7" s="36" t="s">
        <v>235</v>
      </c>
      <c r="E7" s="39" t="s">
        <v>241</v>
      </c>
      <c r="F7" s="39" t="s">
        <v>242</v>
      </c>
      <c r="G7" s="37">
        <v>110000</v>
      </c>
      <c r="H7" s="38">
        <v>110357808</v>
      </c>
      <c r="I7" s="39" t="s">
        <v>91</v>
      </c>
      <c r="J7" s="37"/>
    </row>
    <row r="8" spans="1:11">
      <c r="A8" s="41">
        <v>45735</v>
      </c>
      <c r="B8" s="37">
        <v>10</v>
      </c>
      <c r="C8" s="36">
        <v>0</v>
      </c>
      <c r="D8" s="36" t="s">
        <v>244</v>
      </c>
      <c r="E8" s="39" t="s">
        <v>236</v>
      </c>
      <c r="F8" s="39" t="s">
        <v>236</v>
      </c>
      <c r="G8" s="37">
        <v>110000</v>
      </c>
      <c r="H8" s="38">
        <v>398259579</v>
      </c>
      <c r="I8" s="39" t="s">
        <v>92</v>
      </c>
      <c r="J8" s="37"/>
    </row>
    <row r="9" spans="1:11">
      <c r="A9" s="41">
        <v>45735</v>
      </c>
      <c r="B9" s="37">
        <v>10</v>
      </c>
      <c r="C9" s="36">
        <v>0</v>
      </c>
      <c r="D9" s="36" t="s">
        <v>244</v>
      </c>
      <c r="E9" s="39" t="s">
        <v>237</v>
      </c>
      <c r="F9" s="39" t="s">
        <v>238</v>
      </c>
      <c r="G9" s="37">
        <v>110000</v>
      </c>
      <c r="H9" s="38">
        <v>37922501</v>
      </c>
      <c r="I9" s="39" t="s">
        <v>92</v>
      </c>
      <c r="J9" s="37">
        <v>40308104</v>
      </c>
      <c r="K9">
        <f>J9/H9</f>
        <v>1.0629073224890944</v>
      </c>
    </row>
    <row r="10" spans="1:11" hidden="1">
      <c r="A10" s="41">
        <v>45735</v>
      </c>
      <c r="B10" s="37">
        <v>10</v>
      </c>
      <c r="C10" s="36">
        <v>0</v>
      </c>
      <c r="D10" s="36" t="s">
        <v>244</v>
      </c>
      <c r="E10" s="39" t="s">
        <v>239</v>
      </c>
      <c r="F10" s="39" t="s">
        <v>240</v>
      </c>
      <c r="G10" s="37">
        <v>110000</v>
      </c>
      <c r="H10" s="38">
        <v>30356434</v>
      </c>
      <c r="I10" s="39" t="s">
        <v>92</v>
      </c>
      <c r="J10" s="37"/>
    </row>
    <row r="11" spans="1:11">
      <c r="A11" s="41">
        <v>45735</v>
      </c>
      <c r="B11" s="37">
        <v>10</v>
      </c>
      <c r="C11" s="36">
        <v>0</v>
      </c>
      <c r="D11" s="36" t="s">
        <v>244</v>
      </c>
      <c r="E11" s="39" t="s">
        <v>241</v>
      </c>
      <c r="F11" s="39" t="s">
        <v>242</v>
      </c>
      <c r="G11" s="37">
        <v>110000</v>
      </c>
      <c r="H11" s="38">
        <v>18777303</v>
      </c>
      <c r="I11" s="39" t="s">
        <v>92</v>
      </c>
      <c r="J11" s="37"/>
    </row>
    <row r="12" spans="1:11">
      <c r="A12" s="41">
        <v>45735</v>
      </c>
      <c r="B12" s="37">
        <v>10</v>
      </c>
      <c r="C12" s="36" t="s">
        <v>243</v>
      </c>
      <c r="D12" s="36" t="s">
        <v>244</v>
      </c>
      <c r="E12" s="39" t="s">
        <v>237</v>
      </c>
      <c r="F12" s="39" t="s">
        <v>238</v>
      </c>
      <c r="G12" s="37">
        <v>110000</v>
      </c>
      <c r="H12" s="38">
        <v>111340755</v>
      </c>
      <c r="I12" s="39" t="s">
        <v>91</v>
      </c>
      <c r="J12" s="37"/>
    </row>
    <row r="13" spans="1:11">
      <c r="A13" s="41">
        <v>45735</v>
      </c>
      <c r="B13" s="37">
        <v>10</v>
      </c>
      <c r="C13" s="36" t="s">
        <v>243</v>
      </c>
      <c r="D13" s="36" t="s">
        <v>244</v>
      </c>
      <c r="E13" s="39" t="s">
        <v>241</v>
      </c>
      <c r="F13" s="39" t="s">
        <v>242</v>
      </c>
      <c r="G13" s="37">
        <v>110000</v>
      </c>
      <c r="H13" s="38">
        <v>46973226</v>
      </c>
      <c r="I13" s="39" t="s">
        <v>91</v>
      </c>
      <c r="J13" s="37"/>
    </row>
    <row r="14" spans="1:11">
      <c r="A14" s="41">
        <v>45735</v>
      </c>
      <c r="B14" s="37">
        <v>10</v>
      </c>
      <c r="C14" s="36" t="s">
        <v>243</v>
      </c>
      <c r="D14" s="36" t="s">
        <v>245</v>
      </c>
      <c r="E14" s="39" t="s">
        <v>237</v>
      </c>
      <c r="F14" s="39" t="s">
        <v>238</v>
      </c>
      <c r="G14" s="37">
        <v>110000</v>
      </c>
      <c r="H14" s="38">
        <v>50135986</v>
      </c>
      <c r="I14" s="39" t="s">
        <v>91</v>
      </c>
      <c r="J14" s="37"/>
    </row>
    <row r="15" spans="1:11">
      <c r="A15" s="41">
        <v>45735</v>
      </c>
      <c r="B15" s="37">
        <v>10</v>
      </c>
      <c r="C15" s="36" t="s">
        <v>243</v>
      </c>
      <c r="D15" s="36" t="s">
        <v>245</v>
      </c>
      <c r="E15" s="39" t="s">
        <v>241</v>
      </c>
      <c r="F15" s="39" t="s">
        <v>242</v>
      </c>
      <c r="G15" s="37">
        <v>110000</v>
      </c>
      <c r="H15" s="38">
        <v>30660131</v>
      </c>
      <c r="I15" s="39" t="s">
        <v>91</v>
      </c>
      <c r="J15" s="37"/>
    </row>
    <row r="16" spans="1:11">
      <c r="A16" s="41">
        <v>45735</v>
      </c>
      <c r="B16" s="37">
        <v>10</v>
      </c>
      <c r="C16" s="36" t="s">
        <v>243</v>
      </c>
      <c r="D16" s="36" t="s">
        <v>246</v>
      </c>
      <c r="E16" s="39" t="s">
        <v>237</v>
      </c>
      <c r="F16" s="39" t="s">
        <v>238</v>
      </c>
      <c r="G16" s="37">
        <v>110000</v>
      </c>
      <c r="H16" s="38">
        <v>146683745</v>
      </c>
      <c r="I16" s="39" t="s">
        <v>91</v>
      </c>
      <c r="J16" s="37"/>
    </row>
    <row r="17" spans="1:13">
      <c r="A17" s="41">
        <v>45735</v>
      </c>
      <c r="B17" s="37">
        <v>10</v>
      </c>
      <c r="C17" s="36" t="s">
        <v>243</v>
      </c>
      <c r="D17" s="36" t="s">
        <v>246</v>
      </c>
      <c r="E17" s="39" t="s">
        <v>241</v>
      </c>
      <c r="F17" s="39" t="s">
        <v>242</v>
      </c>
      <c r="G17" s="37">
        <v>110000</v>
      </c>
      <c r="H17" s="38">
        <v>90059602</v>
      </c>
      <c r="I17" s="39" t="s">
        <v>91</v>
      </c>
      <c r="J17" s="37"/>
    </row>
    <row r="18" spans="1:13">
      <c r="A18" s="41">
        <v>45735</v>
      </c>
      <c r="B18" s="37">
        <v>10</v>
      </c>
      <c r="C18" s="36" t="s">
        <v>243</v>
      </c>
      <c r="D18" s="36" t="s">
        <v>247</v>
      </c>
      <c r="E18" s="39" t="s">
        <v>248</v>
      </c>
      <c r="F18" s="39" t="s">
        <v>238</v>
      </c>
      <c r="G18" s="37">
        <v>110000</v>
      </c>
      <c r="H18" s="38">
        <v>4946010</v>
      </c>
      <c r="I18" s="39" t="s">
        <v>91</v>
      </c>
      <c r="J18" s="37"/>
    </row>
    <row r="19" spans="1:13">
      <c r="A19" s="41">
        <v>45735</v>
      </c>
      <c r="B19" s="37">
        <v>10</v>
      </c>
      <c r="C19" s="36" t="s">
        <v>243</v>
      </c>
      <c r="D19" s="36" t="s">
        <v>247</v>
      </c>
      <c r="E19" s="39" t="s">
        <v>241</v>
      </c>
      <c r="F19" s="39" t="s">
        <v>242</v>
      </c>
      <c r="G19" s="37">
        <v>110000</v>
      </c>
      <c r="H19" s="38">
        <v>2467043</v>
      </c>
      <c r="I19" s="39" t="s">
        <v>91</v>
      </c>
      <c r="J19" s="37"/>
    </row>
    <row r="20" spans="1:13">
      <c r="A20" s="41">
        <v>45735</v>
      </c>
      <c r="B20" s="37">
        <v>10</v>
      </c>
      <c r="C20" s="36" t="s">
        <v>243</v>
      </c>
      <c r="D20" s="36" t="s">
        <v>249</v>
      </c>
      <c r="E20" s="39" t="s">
        <v>267</v>
      </c>
      <c r="F20" s="39" t="s">
        <v>266</v>
      </c>
      <c r="G20" s="37">
        <v>110000</v>
      </c>
      <c r="H20" s="38">
        <v>85862767</v>
      </c>
      <c r="I20" s="39" t="s">
        <v>91</v>
      </c>
      <c r="J20">
        <f>H20/H23</f>
        <v>1.7170409846034822</v>
      </c>
      <c r="K20">
        <v>285973344</v>
      </c>
      <c r="L20">
        <f>K20/H20</f>
        <v>3.3305861666442684</v>
      </c>
      <c r="M20" s="63"/>
    </row>
    <row r="21" spans="1:13">
      <c r="A21" s="41">
        <v>45735</v>
      </c>
      <c r="B21" s="37">
        <v>10</v>
      </c>
      <c r="C21" s="36" t="s">
        <v>243</v>
      </c>
      <c r="D21" s="36" t="s">
        <v>249</v>
      </c>
      <c r="E21" s="39" t="s">
        <v>268</v>
      </c>
      <c r="F21" s="39" t="s">
        <v>279</v>
      </c>
      <c r="G21" s="37">
        <v>110000</v>
      </c>
      <c r="H21" s="38">
        <v>81525903</v>
      </c>
      <c r="I21" s="39" t="s">
        <v>91</v>
      </c>
    </row>
    <row r="22" spans="1:13">
      <c r="A22" s="41">
        <v>45735</v>
      </c>
      <c r="B22" s="37">
        <v>10</v>
      </c>
      <c r="C22" s="36" t="s">
        <v>243</v>
      </c>
      <c r="D22" s="36" t="s">
        <v>249</v>
      </c>
      <c r="E22" s="39" t="s">
        <v>250</v>
      </c>
      <c r="F22" s="39" t="s">
        <v>258</v>
      </c>
      <c r="G22" s="37">
        <v>110000</v>
      </c>
      <c r="H22" s="38">
        <v>76910353</v>
      </c>
      <c r="I22" s="39" t="s">
        <v>91</v>
      </c>
    </row>
    <row r="23" spans="1:13">
      <c r="A23" s="41">
        <v>45735</v>
      </c>
      <c r="B23" s="37">
        <v>10</v>
      </c>
      <c r="C23" s="36" t="s">
        <v>243</v>
      </c>
      <c r="D23" s="36" t="s">
        <v>249</v>
      </c>
      <c r="E23" s="39" t="s">
        <v>250</v>
      </c>
      <c r="F23" s="39" t="s">
        <v>251</v>
      </c>
      <c r="G23" s="37">
        <v>110000</v>
      </c>
      <c r="H23" s="38">
        <v>50006242</v>
      </c>
      <c r="I23" s="39" t="s">
        <v>91</v>
      </c>
      <c r="J23" s="37"/>
    </row>
    <row r="24" spans="1:13">
      <c r="A24" s="41">
        <v>45735</v>
      </c>
      <c r="B24" s="37">
        <v>10</v>
      </c>
      <c r="C24" s="36" t="s">
        <v>243</v>
      </c>
      <c r="D24" s="36" t="s">
        <v>249</v>
      </c>
      <c r="E24" s="39" t="s">
        <v>252</v>
      </c>
      <c r="F24" s="39" t="s">
        <v>253</v>
      </c>
      <c r="G24" s="37">
        <v>110000</v>
      </c>
      <c r="H24" s="38">
        <v>26938820</v>
      </c>
      <c r="I24" s="39" t="s">
        <v>91</v>
      </c>
      <c r="J24" s="37"/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6"/>
  <dimension ref="A1:S85"/>
  <sheetViews>
    <sheetView tabSelected="1" zoomScale="85" zoomScaleNormal="85" workbookViewId="0">
      <pane ySplit="1" topLeftCell="A67" activePane="bottomLeft" state="frozen"/>
      <selection activeCell="G28" sqref="G28"/>
      <selection pane="bottomLeft" activeCell="K70" sqref="K70"/>
    </sheetView>
  </sheetViews>
  <sheetFormatPr defaultColWidth="9" defaultRowHeight="13.2"/>
  <cols>
    <col min="1" max="1" width="8.21875" style="27" customWidth="1"/>
    <col min="2" max="2" width="6.77734375" style="27" customWidth="1"/>
    <col min="3" max="4" width="8.21875" style="28" customWidth="1"/>
    <col min="5" max="5" width="10.21875" style="28" customWidth="1"/>
    <col min="6" max="6" width="35.6640625" style="28" bestFit="1" customWidth="1"/>
    <col min="7" max="7" width="33.21875" style="28" customWidth="1"/>
    <col min="8" max="8" width="8.88671875" style="28" hidden="1" customWidth="1"/>
    <col min="9" max="11" width="8.21875" style="28" customWidth="1"/>
    <col min="12" max="12" width="8.33203125" style="28" customWidth="1"/>
    <col min="13" max="13" width="8.21875" style="28" customWidth="1"/>
    <col min="14" max="14" width="14" style="27" customWidth="1"/>
    <col min="15" max="15" width="30.88671875" style="28" customWidth="1"/>
    <col min="16" max="16" width="8.88671875" style="28" customWidth="1"/>
    <col min="17" max="17" width="19" style="27" customWidth="1"/>
    <col min="18" max="18" width="9.33203125" style="28" customWidth="1"/>
    <col min="19" max="16384" width="9" style="28"/>
  </cols>
  <sheetData>
    <row r="1" spans="1:19" s="27" customFormat="1" ht="48">
      <c r="A1" s="30" t="s">
        <v>1680</v>
      </c>
      <c r="B1" s="30" t="s">
        <v>0</v>
      </c>
      <c r="C1" s="30" t="s">
        <v>1</v>
      </c>
      <c r="D1" s="30" t="s">
        <v>2</v>
      </c>
      <c r="E1" s="30" t="s">
        <v>3</v>
      </c>
      <c r="F1" s="31" t="s">
        <v>4</v>
      </c>
      <c r="G1" s="31" t="s">
        <v>5</v>
      </c>
      <c r="H1" s="30" t="s">
        <v>6</v>
      </c>
      <c r="I1" s="33" t="s">
        <v>7</v>
      </c>
      <c r="J1" s="34" t="s">
        <v>8</v>
      </c>
      <c r="K1" s="34" t="s">
        <v>9</v>
      </c>
      <c r="L1" s="30" t="s">
        <v>10</v>
      </c>
      <c r="M1" s="34" t="s">
        <v>11</v>
      </c>
      <c r="N1" s="30" t="s">
        <v>1163</v>
      </c>
      <c r="O1" s="30" t="s">
        <v>12</v>
      </c>
      <c r="P1" s="30" t="s">
        <v>13</v>
      </c>
      <c r="Q1" s="34" t="s">
        <v>3078</v>
      </c>
      <c r="R1" s="30" t="s">
        <v>141</v>
      </c>
      <c r="S1" s="30" t="s">
        <v>15</v>
      </c>
    </row>
    <row r="2" spans="1:19">
      <c r="A2" s="11">
        <v>0.1</v>
      </c>
      <c r="B2" s="32">
        <f t="shared" ref="B2:B5" si="0">HYPERLINK("#"&amp;A2&amp;"!A1",A2)</f>
        <v>0.1</v>
      </c>
      <c r="C2" s="9" t="s">
        <v>16</v>
      </c>
      <c r="D2" s="9" t="s">
        <v>274</v>
      </c>
      <c r="E2" s="11" t="s">
        <v>69</v>
      </c>
      <c r="F2" s="55" t="s">
        <v>828</v>
      </c>
      <c r="G2" s="56" t="s">
        <v>824</v>
      </c>
      <c r="H2" s="56" t="s">
        <v>824</v>
      </c>
      <c r="I2" s="26" t="s">
        <v>243</v>
      </c>
      <c r="J2" s="26" t="s">
        <v>243</v>
      </c>
      <c r="K2" s="26" t="s">
        <v>243</v>
      </c>
      <c r="L2" s="26" t="s">
        <v>70</v>
      </c>
      <c r="M2" s="9" t="s">
        <v>262</v>
      </c>
      <c r="N2" s="26" t="s">
        <v>243</v>
      </c>
      <c r="O2" s="26" t="s">
        <v>243</v>
      </c>
      <c r="P2" s="26" t="s">
        <v>243</v>
      </c>
      <c r="Q2" s="29" t="s">
        <v>72</v>
      </c>
      <c r="R2" s="26"/>
      <c r="S2" s="26"/>
    </row>
    <row r="3" spans="1:19">
      <c r="A3" s="11">
        <v>0.2</v>
      </c>
      <c r="B3" s="32">
        <f t="shared" si="0"/>
        <v>0.2</v>
      </c>
      <c r="C3" s="9" t="s">
        <v>16</v>
      </c>
      <c r="D3" s="9" t="s">
        <v>274</v>
      </c>
      <c r="E3" s="11" t="s">
        <v>69</v>
      </c>
      <c r="F3" s="55" t="s">
        <v>910</v>
      </c>
      <c r="G3" s="56" t="s">
        <v>911</v>
      </c>
      <c r="H3" s="56" t="s">
        <v>911</v>
      </c>
      <c r="I3" s="26" t="s">
        <v>243</v>
      </c>
      <c r="J3" s="26" t="s">
        <v>243</v>
      </c>
      <c r="K3" s="26" t="s">
        <v>243</v>
      </c>
      <c r="L3" s="26" t="s">
        <v>70</v>
      </c>
      <c r="M3" s="9" t="s">
        <v>262</v>
      </c>
      <c r="N3" s="26" t="s">
        <v>243</v>
      </c>
      <c r="O3" s="26" t="s">
        <v>243</v>
      </c>
      <c r="P3" s="26" t="s">
        <v>243</v>
      </c>
      <c r="Q3" s="29" t="s">
        <v>72</v>
      </c>
      <c r="R3" s="26"/>
      <c r="S3" s="26"/>
    </row>
    <row r="4" spans="1:19">
      <c r="A4" s="11">
        <v>0.3</v>
      </c>
      <c r="B4" s="32">
        <f t="shared" si="0"/>
        <v>0.3</v>
      </c>
      <c r="C4" s="9" t="s">
        <v>16</v>
      </c>
      <c r="D4" s="9" t="s">
        <v>278</v>
      </c>
      <c r="E4" s="11" t="s">
        <v>243</v>
      </c>
      <c r="F4" s="55" t="s">
        <v>3081</v>
      </c>
      <c r="G4" s="56" t="s">
        <v>3082</v>
      </c>
      <c r="H4" s="56"/>
      <c r="I4" s="26" t="s">
        <v>243</v>
      </c>
      <c r="J4" s="26" t="s">
        <v>259</v>
      </c>
      <c r="K4" s="26" t="s">
        <v>97</v>
      </c>
      <c r="L4" s="26" t="s">
        <v>70</v>
      </c>
      <c r="M4" s="9" t="s">
        <v>262</v>
      </c>
      <c r="N4" s="29">
        <v>360</v>
      </c>
      <c r="O4" s="26" t="s">
        <v>3268</v>
      </c>
      <c r="P4" s="26"/>
      <c r="Q4" s="29" t="s">
        <v>2864</v>
      </c>
      <c r="R4" s="26" t="s">
        <v>2895</v>
      </c>
      <c r="S4" s="26"/>
    </row>
    <row r="5" spans="1:19">
      <c r="A5" s="11">
        <v>1</v>
      </c>
      <c r="B5" s="32">
        <f t="shared" si="0"/>
        <v>1</v>
      </c>
      <c r="C5" s="9" t="s">
        <v>16</v>
      </c>
      <c r="D5" s="9" t="s">
        <v>278</v>
      </c>
      <c r="E5" s="11" t="s">
        <v>275</v>
      </c>
      <c r="F5" s="26" t="s">
        <v>322</v>
      </c>
      <c r="G5" s="9" t="s">
        <v>324</v>
      </c>
      <c r="H5" s="9" t="s">
        <v>324</v>
      </c>
      <c r="I5" s="26" t="s">
        <v>259</v>
      </c>
      <c r="J5" s="26" t="s">
        <v>259</v>
      </c>
      <c r="K5" s="26" t="s">
        <v>260</v>
      </c>
      <c r="L5" s="26" t="s">
        <v>261</v>
      </c>
      <c r="M5" s="9" t="s">
        <v>262</v>
      </c>
      <c r="N5" s="29">
        <v>3</v>
      </c>
      <c r="O5" s="26" t="s">
        <v>3269</v>
      </c>
      <c r="P5" s="26"/>
      <c r="Q5" s="29" t="s">
        <v>72</v>
      </c>
      <c r="R5" s="26"/>
      <c r="S5" s="26"/>
    </row>
    <row r="6" spans="1:19">
      <c r="A6" s="11">
        <v>2</v>
      </c>
      <c r="B6" s="32">
        <f t="shared" ref="B6" si="1">HYPERLINK("#"&amp;A6&amp;"!A1",A6)</f>
        <v>2</v>
      </c>
      <c r="C6" s="9" t="s">
        <v>16</v>
      </c>
      <c r="D6" s="9" t="s">
        <v>1158</v>
      </c>
      <c r="E6" s="11" t="s">
        <v>69</v>
      </c>
      <c r="F6" s="26" t="s">
        <v>669</v>
      </c>
      <c r="G6" s="9" t="s">
        <v>671</v>
      </c>
      <c r="H6" s="9" t="s">
        <v>671</v>
      </c>
      <c r="I6" s="9" t="s">
        <v>140</v>
      </c>
      <c r="J6" s="26" t="s">
        <v>98</v>
      </c>
      <c r="K6" s="26" t="s">
        <v>98</v>
      </c>
      <c r="L6" s="26" t="s">
        <v>70</v>
      </c>
      <c r="M6" s="9" t="s">
        <v>71</v>
      </c>
      <c r="N6" s="29" t="s">
        <v>1162</v>
      </c>
      <c r="O6" s="26" t="s">
        <v>322</v>
      </c>
      <c r="P6" s="26"/>
      <c r="Q6" s="29" t="s">
        <v>72</v>
      </c>
      <c r="R6" s="26"/>
      <c r="S6" s="26"/>
    </row>
    <row r="7" spans="1:19">
      <c r="A7" s="11">
        <v>3</v>
      </c>
      <c r="B7" s="32">
        <f t="shared" ref="B7" si="2">HYPERLINK("#"&amp;A7&amp;"!A1",A7)</f>
        <v>3</v>
      </c>
      <c r="C7" s="9" t="s">
        <v>16</v>
      </c>
      <c r="D7" s="9" t="s">
        <v>1158</v>
      </c>
      <c r="E7" s="11" t="s">
        <v>69</v>
      </c>
      <c r="F7" s="26" t="s">
        <v>1065</v>
      </c>
      <c r="G7" s="9" t="s">
        <v>1066</v>
      </c>
      <c r="H7" s="9" t="s">
        <v>1066</v>
      </c>
      <c r="I7" s="9" t="s">
        <v>140</v>
      </c>
      <c r="J7" s="26" t="s">
        <v>97</v>
      </c>
      <c r="K7" s="26" t="s">
        <v>97</v>
      </c>
      <c r="L7" s="26" t="s">
        <v>1161</v>
      </c>
      <c r="M7" s="26" t="s">
        <v>243</v>
      </c>
      <c r="N7" s="29">
        <v>14</v>
      </c>
      <c r="O7" s="26" t="s">
        <v>669</v>
      </c>
      <c r="P7" s="26"/>
      <c r="Q7" s="29" t="s">
        <v>72</v>
      </c>
      <c r="R7" s="26"/>
      <c r="S7" s="26"/>
    </row>
    <row r="8" spans="1:19">
      <c r="A8" s="11">
        <v>4</v>
      </c>
      <c r="B8" s="32">
        <f t="shared" ref="B8:B11" si="3">HYPERLINK("#"&amp;A8&amp;"!A1",A8)</f>
        <v>4</v>
      </c>
      <c r="C8" s="9" t="s">
        <v>16</v>
      </c>
      <c r="D8" s="9" t="s">
        <v>1158</v>
      </c>
      <c r="E8" s="11" t="s">
        <v>69</v>
      </c>
      <c r="F8" s="26" t="s">
        <v>1164</v>
      </c>
      <c r="G8" s="9" t="s">
        <v>3161</v>
      </c>
      <c r="H8" s="9" t="s">
        <v>1165</v>
      </c>
      <c r="I8" s="9" t="s">
        <v>140</v>
      </c>
      <c r="J8" s="26" t="s">
        <v>97</v>
      </c>
      <c r="K8" s="26" t="s">
        <v>97</v>
      </c>
      <c r="L8" s="26" t="s">
        <v>1161</v>
      </c>
      <c r="M8" s="26" t="s">
        <v>243</v>
      </c>
      <c r="N8" s="29">
        <v>14</v>
      </c>
      <c r="O8" s="26" t="s">
        <v>1065</v>
      </c>
      <c r="P8" s="26" t="s">
        <v>3157</v>
      </c>
      <c r="Q8" s="29" t="s">
        <v>1167</v>
      </c>
      <c r="R8" s="26" t="s">
        <v>2459</v>
      </c>
      <c r="S8" s="26"/>
    </row>
    <row r="9" spans="1:19">
      <c r="A9" s="11">
        <v>5</v>
      </c>
      <c r="B9" s="32">
        <f t="shared" si="3"/>
        <v>5</v>
      </c>
      <c r="C9" s="9" t="s">
        <v>16</v>
      </c>
      <c r="D9" s="9" t="s">
        <v>1158</v>
      </c>
      <c r="E9" s="11" t="s">
        <v>69</v>
      </c>
      <c r="F9" s="26" t="s">
        <v>1252</v>
      </c>
      <c r="G9" s="9" t="s">
        <v>1254</v>
      </c>
      <c r="H9" s="9" t="s">
        <v>1254</v>
      </c>
      <c r="I9" s="9" t="s">
        <v>1255</v>
      </c>
      <c r="J9" s="26" t="s">
        <v>97</v>
      </c>
      <c r="K9" s="26" t="s">
        <v>97</v>
      </c>
      <c r="L9" s="26" t="s">
        <v>1161</v>
      </c>
      <c r="M9" s="26" t="s">
        <v>243</v>
      </c>
      <c r="N9" s="29">
        <v>14</v>
      </c>
      <c r="O9" s="26" t="s">
        <v>1065</v>
      </c>
      <c r="P9" s="26"/>
      <c r="Q9" s="29" t="s">
        <v>72</v>
      </c>
      <c r="R9" s="26"/>
      <c r="S9" s="26"/>
    </row>
    <row r="10" spans="1:19">
      <c r="A10" s="11">
        <v>5.0999999999999996</v>
      </c>
      <c r="B10" s="32">
        <f t="shared" si="3"/>
        <v>5.0999999999999996</v>
      </c>
      <c r="C10" s="9" t="s">
        <v>16</v>
      </c>
      <c r="D10" s="9" t="s">
        <v>1158</v>
      </c>
      <c r="E10" s="11" t="s">
        <v>69</v>
      </c>
      <c r="F10" s="9" t="s">
        <v>3048</v>
      </c>
      <c r="G10" s="9" t="s">
        <v>3045</v>
      </c>
      <c r="H10" s="9" t="s">
        <v>3045</v>
      </c>
      <c r="I10" s="9" t="s">
        <v>3047</v>
      </c>
      <c r="J10" s="26" t="s">
        <v>97</v>
      </c>
      <c r="K10" s="26" t="s">
        <v>97</v>
      </c>
      <c r="L10" s="26" t="s">
        <v>1161</v>
      </c>
      <c r="M10" s="26" t="s">
        <v>243</v>
      </c>
      <c r="N10" s="29">
        <v>14</v>
      </c>
      <c r="O10" s="26" t="s">
        <v>1252</v>
      </c>
      <c r="P10" s="26"/>
      <c r="Q10" s="29" t="s">
        <v>72</v>
      </c>
      <c r="R10" s="26"/>
      <c r="S10" s="26"/>
    </row>
    <row r="11" spans="1:19">
      <c r="A11" s="11">
        <v>5.2</v>
      </c>
      <c r="B11" s="32">
        <f t="shared" si="3"/>
        <v>5.2</v>
      </c>
      <c r="C11" s="9" t="s">
        <v>16</v>
      </c>
      <c r="D11" s="9" t="s">
        <v>1158</v>
      </c>
      <c r="E11" s="11" t="s">
        <v>69</v>
      </c>
      <c r="F11" s="26" t="s">
        <v>3068</v>
      </c>
      <c r="G11" s="9" t="s">
        <v>3046</v>
      </c>
      <c r="H11" s="9" t="s">
        <v>3046</v>
      </c>
      <c r="I11" s="9" t="s">
        <v>3047</v>
      </c>
      <c r="J11" s="26" t="s">
        <v>1338</v>
      </c>
      <c r="K11" s="26" t="s">
        <v>1338</v>
      </c>
      <c r="L11" s="26" t="s">
        <v>1161</v>
      </c>
      <c r="M11" s="26" t="s">
        <v>243</v>
      </c>
      <c r="N11" s="29">
        <v>30</v>
      </c>
      <c r="O11" s="9" t="s">
        <v>3048</v>
      </c>
      <c r="P11" s="26"/>
      <c r="Q11" s="29" t="s">
        <v>72</v>
      </c>
      <c r="R11" s="26"/>
      <c r="S11" s="26"/>
    </row>
    <row r="12" spans="1:19">
      <c r="A12" s="11">
        <v>6</v>
      </c>
      <c r="B12" s="32">
        <f t="shared" ref="B12" si="4">HYPERLINK("#"&amp;A12&amp;"!A1",A12)</f>
        <v>6</v>
      </c>
      <c r="C12" s="9" t="s">
        <v>16</v>
      </c>
      <c r="D12" s="9" t="s">
        <v>1158</v>
      </c>
      <c r="E12" s="11" t="s">
        <v>69</v>
      </c>
      <c r="F12" s="9" t="s">
        <v>1264</v>
      </c>
      <c r="G12" s="10" t="s">
        <v>1263</v>
      </c>
      <c r="H12" s="10" t="s">
        <v>1263</v>
      </c>
      <c r="I12" s="9" t="s">
        <v>1255</v>
      </c>
      <c r="J12" s="26" t="s">
        <v>97</v>
      </c>
      <c r="K12" s="26" t="s">
        <v>97</v>
      </c>
      <c r="L12" s="26" t="s">
        <v>1161</v>
      </c>
      <c r="M12" s="26" t="s">
        <v>243</v>
      </c>
      <c r="N12" s="29">
        <v>14</v>
      </c>
      <c r="O12" s="26" t="s">
        <v>3270</v>
      </c>
      <c r="P12" s="26" t="s">
        <v>2726</v>
      </c>
      <c r="Q12" s="29" t="s">
        <v>1167</v>
      </c>
      <c r="R12" s="26" t="s">
        <v>2728</v>
      </c>
      <c r="S12" s="26"/>
    </row>
    <row r="13" spans="1:19">
      <c r="A13" s="11">
        <v>7</v>
      </c>
      <c r="B13" s="32">
        <f t="shared" ref="B13:B17" si="5">HYPERLINK("#"&amp;A13&amp;"!A1",A13)</f>
        <v>7</v>
      </c>
      <c r="C13" s="9" t="s">
        <v>16</v>
      </c>
      <c r="D13" s="9" t="s">
        <v>1158</v>
      </c>
      <c r="E13" s="11" t="s">
        <v>69</v>
      </c>
      <c r="F13" s="9" t="s">
        <v>1312</v>
      </c>
      <c r="G13" s="10" t="s">
        <v>1313</v>
      </c>
      <c r="H13" s="10" t="s">
        <v>1313</v>
      </c>
      <c r="I13" s="9" t="s">
        <v>1314</v>
      </c>
      <c r="J13" s="26" t="s">
        <v>97</v>
      </c>
      <c r="K13" s="26" t="s">
        <v>97</v>
      </c>
      <c r="L13" s="26" t="s">
        <v>1161</v>
      </c>
      <c r="M13" s="26" t="s">
        <v>243</v>
      </c>
      <c r="N13" s="29">
        <v>14</v>
      </c>
      <c r="O13" s="26" t="s">
        <v>1252</v>
      </c>
      <c r="P13" s="26"/>
      <c r="Q13" s="29" t="s">
        <v>72</v>
      </c>
      <c r="R13" s="26"/>
      <c r="S13" s="26"/>
    </row>
    <row r="14" spans="1:19">
      <c r="A14" s="11">
        <v>8</v>
      </c>
      <c r="B14" s="32">
        <f t="shared" si="5"/>
        <v>8</v>
      </c>
      <c r="C14" s="9" t="s">
        <v>16</v>
      </c>
      <c r="D14" s="9" t="s">
        <v>1158</v>
      </c>
      <c r="E14" s="11" t="s">
        <v>69</v>
      </c>
      <c r="F14" s="9" t="s">
        <v>1315</v>
      </c>
      <c r="G14" s="10" t="s">
        <v>1316</v>
      </c>
      <c r="H14" s="10" t="s">
        <v>1316</v>
      </c>
      <c r="I14" s="9" t="s">
        <v>1314</v>
      </c>
      <c r="J14" s="26" t="s">
        <v>1338</v>
      </c>
      <c r="K14" s="26" t="s">
        <v>1338</v>
      </c>
      <c r="L14" s="26" t="s">
        <v>1161</v>
      </c>
      <c r="M14" s="26" t="s">
        <v>243</v>
      </c>
      <c r="N14" s="29">
        <v>30</v>
      </c>
      <c r="O14" s="26" t="s">
        <v>1339</v>
      </c>
      <c r="P14" s="26"/>
      <c r="Q14" s="29" t="s">
        <v>72</v>
      </c>
      <c r="R14" s="26"/>
      <c r="S14" s="26"/>
    </row>
    <row r="15" spans="1:19">
      <c r="A15" s="11">
        <v>9</v>
      </c>
      <c r="B15" s="32">
        <f t="shared" si="5"/>
        <v>9</v>
      </c>
      <c r="C15" s="9" t="s">
        <v>16</v>
      </c>
      <c r="D15" s="9" t="s">
        <v>1158</v>
      </c>
      <c r="E15" s="11" t="s">
        <v>69</v>
      </c>
      <c r="F15" s="9" t="s">
        <v>2896</v>
      </c>
      <c r="G15" s="10" t="s">
        <v>1318</v>
      </c>
      <c r="H15" s="10" t="s">
        <v>1318</v>
      </c>
      <c r="I15" s="9" t="s">
        <v>1341</v>
      </c>
      <c r="J15" s="26" t="s">
        <v>1338</v>
      </c>
      <c r="K15" s="26" t="s">
        <v>1338</v>
      </c>
      <c r="L15" s="26" t="s">
        <v>1161</v>
      </c>
      <c r="M15" s="26" t="s">
        <v>243</v>
      </c>
      <c r="N15" s="29">
        <v>30</v>
      </c>
      <c r="O15" s="9" t="s">
        <v>1315</v>
      </c>
      <c r="P15" s="26"/>
      <c r="Q15" s="29" t="s">
        <v>72</v>
      </c>
      <c r="R15" s="26"/>
      <c r="S15" s="26"/>
    </row>
    <row r="16" spans="1:19">
      <c r="A16" s="11">
        <v>10</v>
      </c>
      <c r="B16" s="32">
        <f t="shared" si="5"/>
        <v>10</v>
      </c>
      <c r="C16" s="9" t="s">
        <v>16</v>
      </c>
      <c r="D16" s="9" t="s">
        <v>1158</v>
      </c>
      <c r="E16" s="11" t="s">
        <v>69</v>
      </c>
      <c r="F16" s="9" t="s">
        <v>1319</v>
      </c>
      <c r="G16" s="10" t="s">
        <v>1320</v>
      </c>
      <c r="H16" s="10" t="s">
        <v>1320</v>
      </c>
      <c r="I16" s="9" t="s">
        <v>1341</v>
      </c>
      <c r="J16" s="26" t="s">
        <v>1338</v>
      </c>
      <c r="K16" s="26" t="s">
        <v>1338</v>
      </c>
      <c r="L16" s="26" t="s">
        <v>1161</v>
      </c>
      <c r="M16" s="26" t="s">
        <v>243</v>
      </c>
      <c r="N16" s="29">
        <v>30</v>
      </c>
      <c r="O16" s="9" t="s">
        <v>1317</v>
      </c>
      <c r="P16" s="26" t="s">
        <v>3158</v>
      </c>
      <c r="Q16" s="29" t="s">
        <v>1167</v>
      </c>
      <c r="R16" s="26" t="s">
        <v>2460</v>
      </c>
      <c r="S16" s="26"/>
    </row>
    <row r="17" spans="1:19">
      <c r="A17" s="11">
        <v>11</v>
      </c>
      <c r="B17" s="32">
        <f t="shared" si="5"/>
        <v>11</v>
      </c>
      <c r="C17" s="9" t="s">
        <v>16</v>
      </c>
      <c r="D17" s="9" t="s">
        <v>1158</v>
      </c>
      <c r="E17" s="11" t="s">
        <v>69</v>
      </c>
      <c r="F17" s="9" t="s">
        <v>1342</v>
      </c>
      <c r="G17" s="10" t="s">
        <v>1345</v>
      </c>
      <c r="H17" s="10" t="s">
        <v>1345</v>
      </c>
      <c r="I17" s="9" t="s">
        <v>1314</v>
      </c>
      <c r="J17" s="26" t="s">
        <v>97</v>
      </c>
      <c r="K17" s="26" t="s">
        <v>97</v>
      </c>
      <c r="L17" s="26" t="s">
        <v>1161</v>
      </c>
      <c r="M17" s="26" t="s">
        <v>243</v>
      </c>
      <c r="N17" s="29">
        <v>14</v>
      </c>
      <c r="O17" s="9" t="s">
        <v>1312</v>
      </c>
      <c r="P17" s="26" t="s">
        <v>3159</v>
      </c>
      <c r="Q17" s="29" t="s">
        <v>72</v>
      </c>
      <c r="R17" s="26"/>
      <c r="S17" s="26"/>
    </row>
    <row r="18" spans="1:19">
      <c r="A18" s="11">
        <v>12</v>
      </c>
      <c r="B18" s="32">
        <f t="shared" ref="B18:B27" si="6">HYPERLINK("#"&amp;A18&amp;"!A1",A18)</f>
        <v>12</v>
      </c>
      <c r="C18" s="9" t="s">
        <v>16</v>
      </c>
      <c r="D18" s="9" t="s">
        <v>1158</v>
      </c>
      <c r="E18" s="11" t="s">
        <v>69</v>
      </c>
      <c r="F18" s="9" t="s">
        <v>1344</v>
      </c>
      <c r="G18" s="82" t="s">
        <v>1346</v>
      </c>
      <c r="H18" s="82" t="s">
        <v>1346</v>
      </c>
      <c r="I18" s="9" t="s">
        <v>1314</v>
      </c>
      <c r="J18" s="26" t="s">
        <v>1338</v>
      </c>
      <c r="K18" s="26" t="s">
        <v>1338</v>
      </c>
      <c r="L18" s="26" t="s">
        <v>1161</v>
      </c>
      <c r="M18" s="26" t="s">
        <v>243</v>
      </c>
      <c r="N18" s="29">
        <v>30</v>
      </c>
      <c r="O18" s="26" t="s">
        <v>1342</v>
      </c>
      <c r="P18" s="26" t="s">
        <v>3159</v>
      </c>
      <c r="Q18" s="29" t="s">
        <v>72</v>
      </c>
      <c r="R18" s="26" t="s">
        <v>2436</v>
      </c>
      <c r="S18" s="26"/>
    </row>
    <row r="19" spans="1:19">
      <c r="A19" s="11">
        <v>13</v>
      </c>
      <c r="B19" s="32">
        <f t="shared" si="6"/>
        <v>13</v>
      </c>
      <c r="C19" s="9" t="s">
        <v>16</v>
      </c>
      <c r="D19" s="9" t="s">
        <v>1158</v>
      </c>
      <c r="E19" s="11" t="s">
        <v>69</v>
      </c>
      <c r="F19" s="9" t="s">
        <v>1347</v>
      </c>
      <c r="G19" s="82" t="s">
        <v>1348</v>
      </c>
      <c r="H19" s="82" t="s">
        <v>1348</v>
      </c>
      <c r="I19" s="9" t="s">
        <v>1340</v>
      </c>
      <c r="J19" s="26" t="s">
        <v>1338</v>
      </c>
      <c r="K19" s="26" t="s">
        <v>1338</v>
      </c>
      <c r="L19" s="26" t="s">
        <v>1161</v>
      </c>
      <c r="M19" s="26" t="s">
        <v>243</v>
      </c>
      <c r="N19" s="29">
        <v>30</v>
      </c>
      <c r="O19" s="9" t="s">
        <v>1344</v>
      </c>
      <c r="P19" s="26" t="s">
        <v>3160</v>
      </c>
      <c r="Q19" s="111" t="s">
        <v>72</v>
      </c>
      <c r="R19" s="26" t="s">
        <v>2461</v>
      </c>
      <c r="S19" s="26"/>
    </row>
    <row r="20" spans="1:19">
      <c r="A20" s="11">
        <v>14</v>
      </c>
      <c r="B20" s="32">
        <f t="shared" si="6"/>
        <v>14</v>
      </c>
      <c r="C20" s="9" t="s">
        <v>16</v>
      </c>
      <c r="D20" s="9" t="s">
        <v>1158</v>
      </c>
      <c r="E20" s="11" t="s">
        <v>69</v>
      </c>
      <c r="F20" s="9" t="s">
        <v>1349</v>
      </c>
      <c r="G20" s="82" t="s">
        <v>1350</v>
      </c>
      <c r="H20" s="82" t="s">
        <v>1350</v>
      </c>
      <c r="I20" s="9" t="s">
        <v>1314</v>
      </c>
      <c r="J20" s="26" t="s">
        <v>97</v>
      </c>
      <c r="K20" s="26" t="s">
        <v>97</v>
      </c>
      <c r="L20" s="26" t="s">
        <v>1161</v>
      </c>
      <c r="M20" s="26" t="s">
        <v>243</v>
      </c>
      <c r="N20" s="29">
        <v>14</v>
      </c>
      <c r="O20" s="9" t="s">
        <v>1312</v>
      </c>
      <c r="P20" s="26" t="s">
        <v>3159</v>
      </c>
      <c r="Q20" s="111" t="s">
        <v>72</v>
      </c>
      <c r="R20" s="26"/>
      <c r="S20" s="26"/>
    </row>
    <row r="21" spans="1:19">
      <c r="A21" s="11">
        <v>15</v>
      </c>
      <c r="B21" s="32">
        <f t="shared" si="6"/>
        <v>15</v>
      </c>
      <c r="C21" s="9" t="s">
        <v>16</v>
      </c>
      <c r="D21" s="9" t="s">
        <v>1158</v>
      </c>
      <c r="E21" s="11" t="s">
        <v>69</v>
      </c>
      <c r="F21" s="9" t="s">
        <v>1351</v>
      </c>
      <c r="G21" s="82" t="s">
        <v>1352</v>
      </c>
      <c r="H21" s="82" t="s">
        <v>1352</v>
      </c>
      <c r="I21" s="9" t="s">
        <v>1314</v>
      </c>
      <c r="J21" s="26" t="s">
        <v>1338</v>
      </c>
      <c r="K21" s="26" t="s">
        <v>1338</v>
      </c>
      <c r="L21" s="26" t="s">
        <v>1161</v>
      </c>
      <c r="M21" s="26" t="s">
        <v>243</v>
      </c>
      <c r="N21" s="29">
        <v>30</v>
      </c>
      <c r="O21" s="26" t="s">
        <v>1349</v>
      </c>
      <c r="P21" s="26" t="s">
        <v>3159</v>
      </c>
      <c r="Q21" s="111" t="s">
        <v>72</v>
      </c>
      <c r="R21" s="26" t="s">
        <v>2437</v>
      </c>
      <c r="S21" s="26"/>
    </row>
    <row r="22" spans="1:19">
      <c r="A22" s="11">
        <v>16</v>
      </c>
      <c r="B22" s="32">
        <f t="shared" si="6"/>
        <v>16</v>
      </c>
      <c r="C22" s="9" t="s">
        <v>16</v>
      </c>
      <c r="D22" s="9" t="s">
        <v>1158</v>
      </c>
      <c r="E22" s="11" t="s">
        <v>69</v>
      </c>
      <c r="F22" s="9" t="s">
        <v>1353</v>
      </c>
      <c r="G22" s="82" t="s">
        <v>1354</v>
      </c>
      <c r="H22" s="82" t="s">
        <v>1354</v>
      </c>
      <c r="I22" s="9" t="s">
        <v>1340</v>
      </c>
      <c r="J22" s="26" t="s">
        <v>1338</v>
      </c>
      <c r="K22" s="26" t="s">
        <v>1338</v>
      </c>
      <c r="L22" s="26" t="s">
        <v>1161</v>
      </c>
      <c r="M22" s="26" t="s">
        <v>243</v>
      </c>
      <c r="N22" s="29">
        <v>30</v>
      </c>
      <c r="O22" s="9" t="s">
        <v>1351</v>
      </c>
      <c r="P22" s="26" t="s">
        <v>3160</v>
      </c>
      <c r="Q22" s="111" t="s">
        <v>72</v>
      </c>
      <c r="R22" s="26" t="s">
        <v>2462</v>
      </c>
      <c r="S22" s="26"/>
    </row>
    <row r="23" spans="1:19">
      <c r="A23" s="11">
        <v>17</v>
      </c>
      <c r="B23" s="32">
        <f t="shared" si="6"/>
        <v>17</v>
      </c>
      <c r="C23" s="9" t="s">
        <v>16</v>
      </c>
      <c r="D23" s="9" t="s">
        <v>1158</v>
      </c>
      <c r="E23" s="11" t="s">
        <v>69</v>
      </c>
      <c r="F23" s="9" t="s">
        <v>1355</v>
      </c>
      <c r="G23" s="82" t="s">
        <v>1356</v>
      </c>
      <c r="H23" s="82" t="s">
        <v>1356</v>
      </c>
      <c r="I23" s="9" t="s">
        <v>1314</v>
      </c>
      <c r="J23" s="26" t="s">
        <v>97</v>
      </c>
      <c r="K23" s="26" t="s">
        <v>97</v>
      </c>
      <c r="L23" s="26" t="s">
        <v>1161</v>
      </c>
      <c r="M23" s="26" t="s">
        <v>243</v>
      </c>
      <c r="N23" s="29">
        <v>14</v>
      </c>
      <c r="O23" s="9" t="s">
        <v>1312</v>
      </c>
      <c r="P23" s="26" t="s">
        <v>3159</v>
      </c>
      <c r="Q23" s="111" t="s">
        <v>72</v>
      </c>
      <c r="R23" s="26"/>
      <c r="S23" s="26"/>
    </row>
    <row r="24" spans="1:19">
      <c r="A24" s="11">
        <v>18</v>
      </c>
      <c r="B24" s="32">
        <f t="shared" si="6"/>
        <v>18</v>
      </c>
      <c r="C24" s="9" t="s">
        <v>16</v>
      </c>
      <c r="D24" s="9" t="s">
        <v>1158</v>
      </c>
      <c r="E24" s="11" t="s">
        <v>69</v>
      </c>
      <c r="F24" s="9" t="s">
        <v>1357</v>
      </c>
      <c r="G24" s="82" t="s">
        <v>1358</v>
      </c>
      <c r="H24" s="82" t="s">
        <v>1358</v>
      </c>
      <c r="I24" s="9" t="s">
        <v>1314</v>
      </c>
      <c r="J24" s="26" t="s">
        <v>1338</v>
      </c>
      <c r="K24" s="26" t="s">
        <v>1338</v>
      </c>
      <c r="L24" s="26" t="s">
        <v>1161</v>
      </c>
      <c r="M24" s="26" t="s">
        <v>243</v>
      </c>
      <c r="N24" s="29">
        <v>30</v>
      </c>
      <c r="O24" s="26" t="s">
        <v>1355</v>
      </c>
      <c r="P24" s="26"/>
      <c r="Q24" s="111" t="s">
        <v>72</v>
      </c>
      <c r="R24" s="26" t="s">
        <v>2434</v>
      </c>
      <c r="S24" s="26"/>
    </row>
    <row r="25" spans="1:19">
      <c r="A25" s="11">
        <v>19</v>
      </c>
      <c r="B25" s="32">
        <f t="shared" si="6"/>
        <v>19</v>
      </c>
      <c r="C25" s="9" t="s">
        <v>16</v>
      </c>
      <c r="D25" s="9" t="s">
        <v>1158</v>
      </c>
      <c r="E25" s="11" t="s">
        <v>69</v>
      </c>
      <c r="F25" s="9" t="s">
        <v>1359</v>
      </c>
      <c r="G25" s="82" t="s">
        <v>1360</v>
      </c>
      <c r="H25" s="82" t="s">
        <v>1360</v>
      </c>
      <c r="I25" s="9" t="s">
        <v>1340</v>
      </c>
      <c r="J25" s="26" t="s">
        <v>1338</v>
      </c>
      <c r="K25" s="26" t="s">
        <v>1338</v>
      </c>
      <c r="L25" s="26" t="s">
        <v>1161</v>
      </c>
      <c r="M25" s="26" t="s">
        <v>243</v>
      </c>
      <c r="N25" s="29">
        <v>30</v>
      </c>
      <c r="O25" s="9" t="s">
        <v>1357</v>
      </c>
      <c r="P25" s="26" t="s">
        <v>3160</v>
      </c>
      <c r="Q25" s="111" t="s">
        <v>72</v>
      </c>
      <c r="R25" s="26" t="s">
        <v>2463</v>
      </c>
      <c r="S25" s="26"/>
    </row>
    <row r="26" spans="1:19">
      <c r="A26" s="11">
        <v>20</v>
      </c>
      <c r="B26" s="32">
        <f t="shared" si="6"/>
        <v>20</v>
      </c>
      <c r="C26" s="9" t="s">
        <v>16</v>
      </c>
      <c r="D26" s="9" t="s">
        <v>1158</v>
      </c>
      <c r="E26" s="11" t="s">
        <v>69</v>
      </c>
      <c r="F26" s="9" t="s">
        <v>1370</v>
      </c>
      <c r="G26" s="10" t="s">
        <v>1979</v>
      </c>
      <c r="H26" s="10" t="s">
        <v>1979</v>
      </c>
      <c r="I26" s="9" t="s">
        <v>1372</v>
      </c>
      <c r="J26" s="26" t="s">
        <v>97</v>
      </c>
      <c r="K26" s="26" t="s">
        <v>97</v>
      </c>
      <c r="L26" s="26" t="s">
        <v>1161</v>
      </c>
      <c r="M26" s="26" t="s">
        <v>243</v>
      </c>
      <c r="N26" s="29">
        <v>14</v>
      </c>
      <c r="O26" s="26" t="s">
        <v>1373</v>
      </c>
      <c r="P26" s="26"/>
      <c r="Q26" s="111" t="s">
        <v>72</v>
      </c>
      <c r="R26" s="26"/>
      <c r="S26" s="26"/>
    </row>
    <row r="27" spans="1:19">
      <c r="A27" s="11">
        <v>21</v>
      </c>
      <c r="B27" s="32">
        <f t="shared" si="6"/>
        <v>21</v>
      </c>
      <c r="C27" s="9" t="s">
        <v>16</v>
      </c>
      <c r="D27" s="9" t="s">
        <v>1158</v>
      </c>
      <c r="E27" s="11" t="s">
        <v>69</v>
      </c>
      <c r="F27" s="9" t="s">
        <v>1374</v>
      </c>
      <c r="G27" s="82" t="s">
        <v>1375</v>
      </c>
      <c r="H27" s="82" t="s">
        <v>1375</v>
      </c>
      <c r="I27" s="9" t="s">
        <v>1376</v>
      </c>
      <c r="J27" s="26" t="s">
        <v>1338</v>
      </c>
      <c r="K27" s="26" t="s">
        <v>1338</v>
      </c>
      <c r="L27" s="26" t="s">
        <v>1161</v>
      </c>
      <c r="M27" s="26" t="s">
        <v>243</v>
      </c>
      <c r="N27" s="29">
        <v>30</v>
      </c>
      <c r="O27" s="9" t="s">
        <v>1370</v>
      </c>
      <c r="P27" s="26" t="s">
        <v>3159</v>
      </c>
      <c r="Q27" s="111" t="s">
        <v>72</v>
      </c>
      <c r="R27" s="26" t="s">
        <v>2436</v>
      </c>
      <c r="S27" s="26"/>
    </row>
    <row r="28" spans="1:19">
      <c r="A28" s="11">
        <v>22</v>
      </c>
      <c r="B28" s="32">
        <f t="shared" ref="B28:B44" si="7">HYPERLINK("#"&amp;A28&amp;"!A1",A28)</f>
        <v>22</v>
      </c>
      <c r="C28" s="9" t="s">
        <v>16</v>
      </c>
      <c r="D28" s="9" t="s">
        <v>1158</v>
      </c>
      <c r="E28" s="11" t="s">
        <v>69</v>
      </c>
      <c r="F28" s="9" t="s">
        <v>1500</v>
      </c>
      <c r="G28" s="82" t="s">
        <v>1499</v>
      </c>
      <c r="H28" s="82" t="s">
        <v>1499</v>
      </c>
      <c r="I28" s="9" t="s">
        <v>1009</v>
      </c>
      <c r="J28" s="26" t="s">
        <v>1338</v>
      </c>
      <c r="K28" s="26" t="s">
        <v>1338</v>
      </c>
      <c r="L28" s="26" t="s">
        <v>1161</v>
      </c>
      <c r="M28" s="26" t="s">
        <v>243</v>
      </c>
      <c r="N28" s="29">
        <v>30</v>
      </c>
      <c r="O28" s="9" t="s">
        <v>1374</v>
      </c>
      <c r="P28" s="26" t="s">
        <v>3159</v>
      </c>
      <c r="Q28" s="111" t="s">
        <v>72</v>
      </c>
      <c r="R28" s="26" t="s">
        <v>1501</v>
      </c>
      <c r="S28" s="26"/>
    </row>
    <row r="29" spans="1:19">
      <c r="A29" s="11">
        <v>23</v>
      </c>
      <c r="B29" s="32">
        <f t="shared" si="7"/>
        <v>23</v>
      </c>
      <c r="C29" s="9" t="s">
        <v>16</v>
      </c>
      <c r="D29" s="9" t="s">
        <v>1158</v>
      </c>
      <c r="E29" s="11" t="s">
        <v>69</v>
      </c>
      <c r="F29" s="9" t="s">
        <v>1504</v>
      </c>
      <c r="G29" s="82" t="s">
        <v>1506</v>
      </c>
      <c r="H29" s="82" t="s">
        <v>1506</v>
      </c>
      <c r="I29" s="9" t="s">
        <v>1376</v>
      </c>
      <c r="J29" s="26" t="s">
        <v>1338</v>
      </c>
      <c r="K29" s="26" t="s">
        <v>1338</v>
      </c>
      <c r="L29" s="26" t="s">
        <v>1161</v>
      </c>
      <c r="M29" s="26" t="s">
        <v>243</v>
      </c>
      <c r="N29" s="29">
        <v>30</v>
      </c>
      <c r="O29" s="9" t="s">
        <v>1370</v>
      </c>
      <c r="P29" s="26" t="s">
        <v>3159</v>
      </c>
      <c r="Q29" s="111" t="s">
        <v>72</v>
      </c>
      <c r="R29" s="26" t="s">
        <v>2437</v>
      </c>
      <c r="S29" s="26"/>
    </row>
    <row r="30" spans="1:19">
      <c r="A30" s="11">
        <v>24</v>
      </c>
      <c r="B30" s="32">
        <f t="shared" si="7"/>
        <v>24</v>
      </c>
      <c r="C30" s="9" t="s">
        <v>16</v>
      </c>
      <c r="D30" s="9" t="s">
        <v>1158</v>
      </c>
      <c r="E30" s="11" t="s">
        <v>69</v>
      </c>
      <c r="F30" s="9" t="s">
        <v>1505</v>
      </c>
      <c r="G30" s="82" t="s">
        <v>1507</v>
      </c>
      <c r="H30" s="82" t="s">
        <v>1507</v>
      </c>
      <c r="I30" s="9" t="s">
        <v>1009</v>
      </c>
      <c r="J30" s="26" t="s">
        <v>1338</v>
      </c>
      <c r="K30" s="26" t="s">
        <v>1338</v>
      </c>
      <c r="L30" s="26" t="s">
        <v>1161</v>
      </c>
      <c r="M30" s="26" t="s">
        <v>243</v>
      </c>
      <c r="N30" s="29">
        <v>30</v>
      </c>
      <c r="O30" s="9" t="s">
        <v>1504</v>
      </c>
      <c r="P30" s="26" t="s">
        <v>3159</v>
      </c>
      <c r="Q30" s="111" t="s">
        <v>72</v>
      </c>
      <c r="R30" s="26" t="s">
        <v>1508</v>
      </c>
      <c r="S30" s="26"/>
    </row>
    <row r="31" spans="1:19">
      <c r="A31" s="11">
        <v>25</v>
      </c>
      <c r="B31" s="32">
        <f t="shared" si="7"/>
        <v>25</v>
      </c>
      <c r="C31" s="9" t="s">
        <v>16</v>
      </c>
      <c r="D31" s="9" t="s">
        <v>1158</v>
      </c>
      <c r="E31" s="11" t="s">
        <v>69</v>
      </c>
      <c r="F31" s="9" t="s">
        <v>1509</v>
      </c>
      <c r="G31" s="10" t="s">
        <v>1524</v>
      </c>
      <c r="H31" s="10" t="s">
        <v>1524</v>
      </c>
      <c r="I31" s="9" t="s">
        <v>1376</v>
      </c>
      <c r="J31" s="26" t="s">
        <v>1338</v>
      </c>
      <c r="K31" s="26" t="s">
        <v>1338</v>
      </c>
      <c r="L31" s="26" t="s">
        <v>1161</v>
      </c>
      <c r="M31" s="26" t="s">
        <v>243</v>
      </c>
      <c r="N31" s="29">
        <v>30</v>
      </c>
      <c r="O31" s="9" t="s">
        <v>3283</v>
      </c>
      <c r="P31" s="26" t="s">
        <v>3159</v>
      </c>
      <c r="Q31" s="111" t="s">
        <v>1167</v>
      </c>
      <c r="R31" s="26" t="s">
        <v>2439</v>
      </c>
      <c r="S31" s="26"/>
    </row>
    <row r="32" spans="1:19">
      <c r="A32" s="11">
        <v>26</v>
      </c>
      <c r="B32" s="32">
        <f t="shared" si="7"/>
        <v>26</v>
      </c>
      <c r="C32" s="9" t="s">
        <v>16</v>
      </c>
      <c r="D32" s="9" t="s">
        <v>1158</v>
      </c>
      <c r="E32" s="11" t="s">
        <v>69</v>
      </c>
      <c r="F32" s="9" t="s">
        <v>1511</v>
      </c>
      <c r="G32" s="82" t="s">
        <v>1513</v>
      </c>
      <c r="H32" s="82" t="s">
        <v>1513</v>
      </c>
      <c r="I32" s="9" t="s">
        <v>1376</v>
      </c>
      <c r="J32" s="26" t="s">
        <v>1338</v>
      </c>
      <c r="K32" s="26" t="s">
        <v>1338</v>
      </c>
      <c r="L32" s="26" t="s">
        <v>1161</v>
      </c>
      <c r="M32" s="26" t="s">
        <v>243</v>
      </c>
      <c r="N32" s="29">
        <v>30</v>
      </c>
      <c r="O32" s="9" t="s">
        <v>1370</v>
      </c>
      <c r="P32" s="26" t="s">
        <v>3159</v>
      </c>
      <c r="Q32" s="111" t="s">
        <v>72</v>
      </c>
      <c r="R32" s="26" t="s">
        <v>2435</v>
      </c>
      <c r="S32" s="26"/>
    </row>
    <row r="33" spans="1:19">
      <c r="A33" s="11">
        <v>27</v>
      </c>
      <c r="B33" s="32">
        <f t="shared" si="7"/>
        <v>27</v>
      </c>
      <c r="C33" s="9" t="s">
        <v>16</v>
      </c>
      <c r="D33" s="9" t="s">
        <v>1158</v>
      </c>
      <c r="E33" s="11" t="s">
        <v>69</v>
      </c>
      <c r="F33" s="9" t="s">
        <v>1512</v>
      </c>
      <c r="G33" s="82" t="s">
        <v>1514</v>
      </c>
      <c r="H33" s="82" t="s">
        <v>1514</v>
      </c>
      <c r="I33" s="9" t="s">
        <v>1009</v>
      </c>
      <c r="J33" s="26" t="s">
        <v>1338</v>
      </c>
      <c r="K33" s="26" t="s">
        <v>1338</v>
      </c>
      <c r="L33" s="26" t="s">
        <v>1161</v>
      </c>
      <c r="M33" s="26" t="s">
        <v>243</v>
      </c>
      <c r="N33" s="29">
        <v>30</v>
      </c>
      <c r="O33" s="9" t="s">
        <v>1510</v>
      </c>
      <c r="P33" s="26" t="s">
        <v>3159</v>
      </c>
      <c r="Q33" s="111" t="s">
        <v>72</v>
      </c>
      <c r="R33" s="26" t="s">
        <v>1790</v>
      </c>
      <c r="S33" s="26"/>
    </row>
    <row r="34" spans="1:19">
      <c r="A34" s="11">
        <v>28</v>
      </c>
      <c r="B34" s="32">
        <f t="shared" si="7"/>
        <v>28</v>
      </c>
      <c r="C34" s="9" t="s">
        <v>16</v>
      </c>
      <c r="D34" s="9" t="s">
        <v>1158</v>
      </c>
      <c r="E34" s="11" t="s">
        <v>69</v>
      </c>
      <c r="F34" s="9" t="s">
        <v>1669</v>
      </c>
      <c r="G34" s="82" t="s">
        <v>1670</v>
      </c>
      <c r="H34" s="82" t="s">
        <v>1670</v>
      </c>
      <c r="I34" s="9" t="s">
        <v>1255</v>
      </c>
      <c r="J34" s="26" t="s">
        <v>1679</v>
      </c>
      <c r="K34" s="26" t="s">
        <v>1679</v>
      </c>
      <c r="L34" s="26" t="s">
        <v>1161</v>
      </c>
      <c r="M34" s="26" t="s">
        <v>243</v>
      </c>
      <c r="N34" s="29">
        <v>14</v>
      </c>
      <c r="O34" s="26" t="s">
        <v>669</v>
      </c>
      <c r="P34" s="26"/>
      <c r="Q34" s="29" t="s">
        <v>72</v>
      </c>
      <c r="R34" s="26"/>
      <c r="S34" s="26"/>
    </row>
    <row r="35" spans="1:19">
      <c r="A35" s="11">
        <v>29</v>
      </c>
      <c r="B35" s="32">
        <f t="shared" si="7"/>
        <v>29</v>
      </c>
      <c r="C35" s="9" t="s">
        <v>16</v>
      </c>
      <c r="D35" s="9" t="s">
        <v>1158</v>
      </c>
      <c r="E35" s="11" t="s">
        <v>69</v>
      </c>
      <c r="F35" s="9" t="s">
        <v>1683</v>
      </c>
      <c r="G35" s="82" t="s">
        <v>1681</v>
      </c>
      <c r="H35" s="82" t="s">
        <v>1681</v>
      </c>
      <c r="I35" s="9" t="s">
        <v>1255</v>
      </c>
      <c r="J35" s="26" t="s">
        <v>1679</v>
      </c>
      <c r="K35" s="26" t="s">
        <v>1679</v>
      </c>
      <c r="L35" s="26" t="s">
        <v>1161</v>
      </c>
      <c r="M35" s="26" t="s">
        <v>243</v>
      </c>
      <c r="N35" s="29">
        <v>14</v>
      </c>
      <c r="O35" s="9" t="s">
        <v>1669</v>
      </c>
      <c r="P35" s="26"/>
      <c r="Q35" s="29" t="s">
        <v>72</v>
      </c>
      <c r="R35" s="26"/>
      <c r="S35" s="26"/>
    </row>
    <row r="36" spans="1:19">
      <c r="A36" s="11">
        <v>30</v>
      </c>
      <c r="B36" s="32">
        <f t="shared" si="7"/>
        <v>30</v>
      </c>
      <c r="C36" s="9" t="s">
        <v>16</v>
      </c>
      <c r="D36" s="9" t="s">
        <v>1158</v>
      </c>
      <c r="E36" s="11" t="s">
        <v>69</v>
      </c>
      <c r="F36" s="9" t="s">
        <v>1684</v>
      </c>
      <c r="G36" s="82" t="s">
        <v>1686</v>
      </c>
      <c r="H36" s="82" t="s">
        <v>1686</v>
      </c>
      <c r="I36" s="9" t="s">
        <v>1255</v>
      </c>
      <c r="J36" s="26" t="s">
        <v>1679</v>
      </c>
      <c r="K36" s="26" t="s">
        <v>1679</v>
      </c>
      <c r="L36" s="26" t="s">
        <v>1161</v>
      </c>
      <c r="M36" s="26" t="s">
        <v>243</v>
      </c>
      <c r="N36" s="29">
        <v>14</v>
      </c>
      <c r="O36" s="9" t="s">
        <v>1669</v>
      </c>
      <c r="P36" s="26"/>
      <c r="Q36" s="29" t="s">
        <v>72</v>
      </c>
      <c r="R36" s="26"/>
      <c r="S36" s="26"/>
    </row>
    <row r="37" spans="1:19">
      <c r="A37" s="11">
        <v>31</v>
      </c>
      <c r="B37" s="32">
        <f t="shared" si="7"/>
        <v>31</v>
      </c>
      <c r="C37" s="9" t="s">
        <v>16</v>
      </c>
      <c r="D37" s="9" t="s">
        <v>1158</v>
      </c>
      <c r="E37" s="11" t="s">
        <v>69</v>
      </c>
      <c r="F37" s="9" t="s">
        <v>1685</v>
      </c>
      <c r="G37" s="82" t="s">
        <v>1687</v>
      </c>
      <c r="H37" s="82" t="s">
        <v>1687</v>
      </c>
      <c r="I37" s="9" t="s">
        <v>1255</v>
      </c>
      <c r="J37" s="26" t="s">
        <v>1679</v>
      </c>
      <c r="K37" s="26" t="s">
        <v>1679</v>
      </c>
      <c r="L37" s="26" t="s">
        <v>1161</v>
      </c>
      <c r="M37" s="26" t="s">
        <v>243</v>
      </c>
      <c r="N37" s="29">
        <v>14</v>
      </c>
      <c r="O37" s="9" t="s">
        <v>1669</v>
      </c>
      <c r="P37" s="26"/>
      <c r="Q37" s="29" t="s">
        <v>72</v>
      </c>
      <c r="R37" s="26"/>
      <c r="S37" s="26"/>
    </row>
    <row r="38" spans="1:19">
      <c r="A38" s="11">
        <v>32</v>
      </c>
      <c r="B38" s="32">
        <f t="shared" si="7"/>
        <v>32</v>
      </c>
      <c r="C38" s="9" t="s">
        <v>16</v>
      </c>
      <c r="D38" s="9" t="s">
        <v>1158</v>
      </c>
      <c r="E38" s="11" t="s">
        <v>69</v>
      </c>
      <c r="F38" s="9" t="s">
        <v>1928</v>
      </c>
      <c r="G38" s="82" t="s">
        <v>1932</v>
      </c>
      <c r="H38" s="82" t="s">
        <v>1791</v>
      </c>
      <c r="I38" s="9" t="s">
        <v>1690</v>
      </c>
      <c r="J38" s="26" t="s">
        <v>1679</v>
      </c>
      <c r="K38" s="26" t="s">
        <v>1818</v>
      </c>
      <c r="L38" s="26" t="s">
        <v>1161</v>
      </c>
      <c r="M38" s="26" t="s">
        <v>243</v>
      </c>
      <c r="N38" s="29">
        <v>30</v>
      </c>
      <c r="O38" s="9" t="s">
        <v>3271</v>
      </c>
      <c r="P38" s="26" t="s">
        <v>3159</v>
      </c>
      <c r="Q38" s="29" t="s">
        <v>1167</v>
      </c>
      <c r="R38" s="26" t="s">
        <v>2440</v>
      </c>
      <c r="S38" s="26"/>
    </row>
    <row r="39" spans="1:19">
      <c r="A39" s="11">
        <v>34</v>
      </c>
      <c r="B39" s="32">
        <f t="shared" si="7"/>
        <v>34</v>
      </c>
      <c r="C39" s="9" t="s">
        <v>16</v>
      </c>
      <c r="D39" s="9" t="s">
        <v>1158</v>
      </c>
      <c r="E39" s="11" t="s">
        <v>1830</v>
      </c>
      <c r="F39" s="118" t="s">
        <v>3204</v>
      </c>
      <c r="G39" s="82" t="s">
        <v>1831</v>
      </c>
      <c r="H39" s="82" t="s">
        <v>1831</v>
      </c>
      <c r="I39" s="9" t="s">
        <v>1376</v>
      </c>
      <c r="J39" s="26" t="s">
        <v>97</v>
      </c>
      <c r="K39" s="26" t="s">
        <v>97</v>
      </c>
      <c r="L39" s="26" t="s">
        <v>1161</v>
      </c>
      <c r="M39" s="26" t="s">
        <v>243</v>
      </c>
      <c r="N39" s="29">
        <v>14</v>
      </c>
      <c r="O39" s="9" t="s">
        <v>3272</v>
      </c>
      <c r="P39" s="26"/>
      <c r="Q39" s="29" t="s">
        <v>1167</v>
      </c>
      <c r="R39" s="26" t="s">
        <v>2442</v>
      </c>
      <c r="S39" s="26"/>
    </row>
    <row r="40" spans="1:19">
      <c r="A40" s="11">
        <v>35</v>
      </c>
      <c r="B40" s="32">
        <f t="shared" si="7"/>
        <v>35</v>
      </c>
      <c r="C40" s="9" t="s">
        <v>16</v>
      </c>
      <c r="D40" s="9" t="s">
        <v>1158</v>
      </c>
      <c r="E40" s="11" t="s">
        <v>69</v>
      </c>
      <c r="F40" s="28" t="s">
        <v>1926</v>
      </c>
      <c r="G40" s="82" t="s">
        <v>1933</v>
      </c>
      <c r="H40" s="82" t="s">
        <v>1828</v>
      </c>
      <c r="I40" s="9" t="s">
        <v>1690</v>
      </c>
      <c r="J40" s="26" t="s">
        <v>1679</v>
      </c>
      <c r="K40" s="26" t="s">
        <v>1818</v>
      </c>
      <c r="L40" s="26" t="s">
        <v>1161</v>
      </c>
      <c r="M40" s="26" t="s">
        <v>243</v>
      </c>
      <c r="N40" s="29">
        <v>30</v>
      </c>
      <c r="O40" s="9" t="s">
        <v>3273</v>
      </c>
      <c r="P40" s="26" t="s">
        <v>3159</v>
      </c>
      <c r="Q40" s="29" t="s">
        <v>1167</v>
      </c>
      <c r="R40" s="26" t="s">
        <v>2441</v>
      </c>
      <c r="S40" s="26"/>
    </row>
    <row r="41" spans="1:19">
      <c r="A41" s="11">
        <v>37</v>
      </c>
      <c r="B41" s="32">
        <f t="shared" si="7"/>
        <v>37</v>
      </c>
      <c r="C41" s="9" t="s">
        <v>16</v>
      </c>
      <c r="D41" s="9" t="s">
        <v>1158</v>
      </c>
      <c r="E41" s="11" t="s">
        <v>69</v>
      </c>
      <c r="F41" s="9" t="s">
        <v>1927</v>
      </c>
      <c r="G41" s="82" t="s">
        <v>1934</v>
      </c>
      <c r="H41" s="82" t="s">
        <v>1853</v>
      </c>
      <c r="I41" s="9" t="s">
        <v>1690</v>
      </c>
      <c r="J41" s="26" t="s">
        <v>1679</v>
      </c>
      <c r="K41" s="26" t="s">
        <v>1818</v>
      </c>
      <c r="L41" s="26" t="s">
        <v>1161</v>
      </c>
      <c r="M41" s="26" t="s">
        <v>243</v>
      </c>
      <c r="N41" s="29">
        <v>30</v>
      </c>
      <c r="O41" s="9" t="s">
        <v>3274</v>
      </c>
      <c r="P41" s="26" t="s">
        <v>3159</v>
      </c>
      <c r="Q41" s="29" t="s">
        <v>1167</v>
      </c>
      <c r="R41" s="26" t="s">
        <v>2443</v>
      </c>
      <c r="S41" s="26"/>
    </row>
    <row r="42" spans="1:19">
      <c r="A42" s="11">
        <v>39</v>
      </c>
      <c r="B42" s="32">
        <f t="shared" si="7"/>
        <v>39</v>
      </c>
      <c r="C42" s="9" t="s">
        <v>16</v>
      </c>
      <c r="D42" s="9" t="s">
        <v>1158</v>
      </c>
      <c r="E42" s="11" t="s">
        <v>69</v>
      </c>
      <c r="F42" s="9" t="s">
        <v>1869</v>
      </c>
      <c r="G42" s="82" t="s">
        <v>1870</v>
      </c>
      <c r="H42" s="82" t="s">
        <v>1870</v>
      </c>
      <c r="I42" s="9" t="s">
        <v>1871</v>
      </c>
      <c r="J42" s="26" t="s">
        <v>1872</v>
      </c>
      <c r="K42" s="26" t="s">
        <v>1872</v>
      </c>
      <c r="L42" s="26" t="s">
        <v>1161</v>
      </c>
      <c r="M42" s="26" t="s">
        <v>243</v>
      </c>
      <c r="N42" s="29">
        <v>30</v>
      </c>
      <c r="O42" s="9" t="s">
        <v>1347</v>
      </c>
      <c r="P42" s="26" t="s">
        <v>3158</v>
      </c>
      <c r="Q42" s="29" t="s">
        <v>1167</v>
      </c>
      <c r="R42" s="9" t="s">
        <v>2444</v>
      </c>
      <c r="S42" s="26"/>
    </row>
    <row r="43" spans="1:19">
      <c r="A43" s="11">
        <v>40</v>
      </c>
      <c r="B43" s="32">
        <f t="shared" si="7"/>
        <v>40</v>
      </c>
      <c r="C43" s="9" t="s">
        <v>16</v>
      </c>
      <c r="D43" s="9" t="s">
        <v>1158</v>
      </c>
      <c r="E43" s="11" t="s">
        <v>69</v>
      </c>
      <c r="F43" s="9" t="s">
        <v>1886</v>
      </c>
      <c r="G43" s="82" t="s">
        <v>1887</v>
      </c>
      <c r="H43" s="82" t="s">
        <v>1887</v>
      </c>
      <c r="I43" s="9" t="s">
        <v>1871</v>
      </c>
      <c r="J43" s="26" t="s">
        <v>1872</v>
      </c>
      <c r="K43" s="26" t="s">
        <v>1872</v>
      </c>
      <c r="L43" s="26" t="s">
        <v>1161</v>
      </c>
      <c r="M43" s="26" t="s">
        <v>243</v>
      </c>
      <c r="N43" s="29">
        <v>30</v>
      </c>
      <c r="O43" s="9" t="s">
        <v>1888</v>
      </c>
      <c r="P43" s="26" t="s">
        <v>3158</v>
      </c>
      <c r="Q43" s="29" t="s">
        <v>1167</v>
      </c>
      <c r="R43" s="9" t="s">
        <v>2445</v>
      </c>
      <c r="S43" s="26"/>
    </row>
    <row r="44" spans="1:19">
      <c r="A44" s="11">
        <v>41</v>
      </c>
      <c r="B44" s="32">
        <f t="shared" si="7"/>
        <v>41</v>
      </c>
      <c r="C44" s="9" t="s">
        <v>16</v>
      </c>
      <c r="D44" s="9" t="s">
        <v>1158</v>
      </c>
      <c r="E44" s="11" t="s">
        <v>69</v>
      </c>
      <c r="F44" s="9" t="s">
        <v>1911</v>
      </c>
      <c r="G44" s="82" t="s">
        <v>1912</v>
      </c>
      <c r="H44" s="82" t="s">
        <v>1912</v>
      </c>
      <c r="I44" s="9" t="s">
        <v>1871</v>
      </c>
      <c r="J44" s="26" t="s">
        <v>1872</v>
      </c>
      <c r="K44" s="26" t="s">
        <v>1872</v>
      </c>
      <c r="L44" s="26" t="s">
        <v>1161</v>
      </c>
      <c r="M44" s="26" t="s">
        <v>243</v>
      </c>
      <c r="N44" s="29">
        <v>30</v>
      </c>
      <c r="O44" s="9" t="s">
        <v>1368</v>
      </c>
      <c r="P44" s="26" t="s">
        <v>3158</v>
      </c>
      <c r="Q44" s="29" t="s">
        <v>1167</v>
      </c>
      <c r="R44" s="9" t="s">
        <v>2446</v>
      </c>
      <c r="S44" s="26"/>
    </row>
    <row r="45" spans="1:19">
      <c r="A45" s="11">
        <v>45</v>
      </c>
      <c r="B45" s="32">
        <f t="shared" ref="B45:B69" si="8">HYPERLINK("#"&amp;A45&amp;"!A1",A45)</f>
        <v>45</v>
      </c>
      <c r="C45" s="9" t="s">
        <v>16</v>
      </c>
      <c r="D45" s="9" t="s">
        <v>1158</v>
      </c>
      <c r="E45" s="11" t="s">
        <v>69</v>
      </c>
      <c r="F45" s="9" t="s">
        <v>3080</v>
      </c>
      <c r="G45" s="10" t="s">
        <v>1931</v>
      </c>
      <c r="H45" s="10" t="s">
        <v>1931</v>
      </c>
      <c r="I45" s="9" t="s">
        <v>1341</v>
      </c>
      <c r="J45" s="26" t="s">
        <v>1338</v>
      </c>
      <c r="K45" s="26" t="s">
        <v>1338</v>
      </c>
      <c r="L45" s="26" t="s">
        <v>1161</v>
      </c>
      <c r="M45" s="26" t="s">
        <v>243</v>
      </c>
      <c r="N45" s="29">
        <v>30</v>
      </c>
      <c r="O45" s="9" t="s">
        <v>1509</v>
      </c>
      <c r="P45" s="26" t="s">
        <v>3159</v>
      </c>
      <c r="Q45" s="29" t="s">
        <v>1167</v>
      </c>
      <c r="R45" s="26" t="s">
        <v>2447</v>
      </c>
      <c r="S45" s="26"/>
    </row>
    <row r="46" spans="1:19">
      <c r="A46" s="11">
        <v>49</v>
      </c>
      <c r="B46" s="32">
        <f t="shared" si="8"/>
        <v>49</v>
      </c>
      <c r="C46" s="9" t="s">
        <v>16</v>
      </c>
      <c r="D46" s="9" t="s">
        <v>1158</v>
      </c>
      <c r="E46" s="11" t="s">
        <v>69</v>
      </c>
      <c r="F46" s="118" t="s">
        <v>1972</v>
      </c>
      <c r="G46" s="82" t="s">
        <v>1936</v>
      </c>
      <c r="H46" s="82" t="s">
        <v>1936</v>
      </c>
      <c r="I46" s="9" t="s">
        <v>1341</v>
      </c>
      <c r="J46" s="26" t="s">
        <v>1338</v>
      </c>
      <c r="K46" s="26" t="s">
        <v>1338</v>
      </c>
      <c r="L46" s="26" t="s">
        <v>1161</v>
      </c>
      <c r="M46" s="26" t="s">
        <v>243</v>
      </c>
      <c r="N46" s="29">
        <v>30</v>
      </c>
      <c r="O46" s="9" t="s">
        <v>1929</v>
      </c>
      <c r="P46" s="26" t="s">
        <v>3159</v>
      </c>
      <c r="Q46" s="29" t="s">
        <v>1167</v>
      </c>
      <c r="R46" s="26" t="s">
        <v>2448</v>
      </c>
      <c r="S46" s="26"/>
    </row>
    <row r="47" spans="1:19">
      <c r="A47" s="11">
        <v>56</v>
      </c>
      <c r="B47" s="32">
        <f t="shared" si="8"/>
        <v>56</v>
      </c>
      <c r="C47" s="9" t="s">
        <v>16</v>
      </c>
      <c r="D47" s="9" t="s">
        <v>1158</v>
      </c>
      <c r="E47" s="11" t="s">
        <v>69</v>
      </c>
      <c r="F47" s="9" t="s">
        <v>1977</v>
      </c>
      <c r="G47" s="82" t="s">
        <v>1978</v>
      </c>
      <c r="H47" s="82" t="s">
        <v>1978</v>
      </c>
      <c r="I47" s="9" t="s">
        <v>1376</v>
      </c>
      <c r="J47" s="26" t="s">
        <v>97</v>
      </c>
      <c r="K47" s="26" t="s">
        <v>97</v>
      </c>
      <c r="L47" s="26" t="s">
        <v>1161</v>
      </c>
      <c r="M47" s="26" t="s">
        <v>243</v>
      </c>
      <c r="N47" s="29">
        <v>14</v>
      </c>
      <c r="O47" s="9" t="s">
        <v>1370</v>
      </c>
      <c r="P47" s="26"/>
      <c r="Q47" s="29" t="s">
        <v>72</v>
      </c>
      <c r="R47" s="26"/>
      <c r="S47" s="26"/>
    </row>
    <row r="48" spans="1:19">
      <c r="A48" s="11">
        <v>57</v>
      </c>
      <c r="B48" s="32">
        <f t="shared" si="8"/>
        <v>57</v>
      </c>
      <c r="C48" s="9" t="s">
        <v>16</v>
      </c>
      <c r="D48" s="9" t="s">
        <v>278</v>
      </c>
      <c r="E48" s="11" t="s">
        <v>243</v>
      </c>
      <c r="F48" s="26" t="s">
        <v>1980</v>
      </c>
      <c r="G48" s="9" t="s">
        <v>1982</v>
      </c>
      <c r="H48" s="9" t="s">
        <v>1982</v>
      </c>
      <c r="I48" s="26" t="s">
        <v>259</v>
      </c>
      <c r="J48" s="26" t="s">
        <v>259</v>
      </c>
      <c r="K48" s="26" t="s">
        <v>98</v>
      </c>
      <c r="L48" s="26" t="s">
        <v>70</v>
      </c>
      <c r="M48" s="9" t="s">
        <v>262</v>
      </c>
      <c r="N48" s="29">
        <v>3</v>
      </c>
      <c r="O48" s="26" t="s">
        <v>3275</v>
      </c>
      <c r="P48" s="26"/>
      <c r="Q48" s="29" t="s">
        <v>72</v>
      </c>
      <c r="R48" s="26"/>
      <c r="S48" s="26"/>
    </row>
    <row r="49" spans="1:19">
      <c r="A49" s="11">
        <v>58</v>
      </c>
      <c r="B49" s="32">
        <f t="shared" si="8"/>
        <v>58</v>
      </c>
      <c r="C49" s="9" t="s">
        <v>16</v>
      </c>
      <c r="D49" s="9" t="s">
        <v>1158</v>
      </c>
      <c r="E49" s="11" t="s">
        <v>69</v>
      </c>
      <c r="F49" s="26" t="s">
        <v>2026</v>
      </c>
      <c r="G49" s="9" t="s">
        <v>2027</v>
      </c>
      <c r="H49" s="9" t="s">
        <v>2027</v>
      </c>
      <c r="I49" s="9" t="s">
        <v>140</v>
      </c>
      <c r="J49" s="26" t="s">
        <v>98</v>
      </c>
      <c r="K49" s="26" t="s">
        <v>98</v>
      </c>
      <c r="L49" s="26" t="s">
        <v>70</v>
      </c>
      <c r="M49" s="9" t="s">
        <v>71</v>
      </c>
      <c r="N49" s="29" t="s">
        <v>1162</v>
      </c>
      <c r="O49" s="26" t="s">
        <v>1980</v>
      </c>
      <c r="P49" s="26"/>
      <c r="Q49" s="29" t="s">
        <v>72</v>
      </c>
      <c r="R49" s="26"/>
      <c r="S49" s="26"/>
    </row>
    <row r="50" spans="1:19">
      <c r="A50" s="11">
        <v>59</v>
      </c>
      <c r="B50" s="32">
        <f t="shared" si="8"/>
        <v>59</v>
      </c>
      <c r="C50" s="9" t="s">
        <v>16</v>
      </c>
      <c r="D50" s="9" t="s">
        <v>1158</v>
      </c>
      <c r="E50" s="11" t="s">
        <v>69</v>
      </c>
      <c r="F50" s="26" t="s">
        <v>2233</v>
      </c>
      <c r="G50" s="9" t="s">
        <v>2234</v>
      </c>
      <c r="H50" s="9" t="s">
        <v>2234</v>
      </c>
      <c r="I50" s="9" t="s">
        <v>140</v>
      </c>
      <c r="J50" s="26" t="s">
        <v>97</v>
      </c>
      <c r="K50" s="26" t="s">
        <v>97</v>
      </c>
      <c r="L50" s="26" t="s">
        <v>1161</v>
      </c>
      <c r="M50" s="9" t="s">
        <v>243</v>
      </c>
      <c r="N50" s="29">
        <v>14</v>
      </c>
      <c r="O50" s="26" t="s">
        <v>2026</v>
      </c>
      <c r="P50" s="26"/>
      <c r="Q50" s="29" t="s">
        <v>72</v>
      </c>
      <c r="R50" s="26"/>
      <c r="S50" s="26"/>
    </row>
    <row r="51" spans="1:19">
      <c r="A51" s="11">
        <v>60</v>
      </c>
      <c r="B51" s="32">
        <f t="shared" si="8"/>
        <v>60</v>
      </c>
      <c r="C51" s="9" t="s">
        <v>16</v>
      </c>
      <c r="D51" s="9" t="s">
        <v>1158</v>
      </c>
      <c r="E51" s="11" t="s">
        <v>69</v>
      </c>
      <c r="F51" s="26" t="s">
        <v>2325</v>
      </c>
      <c r="G51" s="9" t="s">
        <v>2324</v>
      </c>
      <c r="H51" s="9" t="s">
        <v>2324</v>
      </c>
      <c r="I51" s="9" t="s">
        <v>140</v>
      </c>
      <c r="J51" s="26" t="s">
        <v>97</v>
      </c>
      <c r="K51" s="26" t="s">
        <v>97</v>
      </c>
      <c r="L51" s="26" t="s">
        <v>1161</v>
      </c>
      <c r="M51" s="9" t="s">
        <v>243</v>
      </c>
      <c r="N51" s="29">
        <v>14</v>
      </c>
      <c r="O51" s="26" t="s">
        <v>2233</v>
      </c>
      <c r="P51" s="26" t="s">
        <v>3157</v>
      </c>
      <c r="Q51" s="29" t="s">
        <v>72</v>
      </c>
      <c r="R51" s="26" t="s">
        <v>2464</v>
      </c>
      <c r="S51" s="26"/>
    </row>
    <row r="52" spans="1:19">
      <c r="A52" s="11">
        <v>61</v>
      </c>
      <c r="B52" s="32">
        <f t="shared" si="8"/>
        <v>61</v>
      </c>
      <c r="C52" s="9" t="s">
        <v>16</v>
      </c>
      <c r="D52" s="9" t="s">
        <v>1158</v>
      </c>
      <c r="E52" s="11" t="s">
        <v>69</v>
      </c>
      <c r="F52" s="26" t="s">
        <v>2427</v>
      </c>
      <c r="G52" s="9" t="s">
        <v>2428</v>
      </c>
      <c r="H52" s="9" t="s">
        <v>2428</v>
      </c>
      <c r="I52" s="9" t="s">
        <v>1255</v>
      </c>
      <c r="J52" s="26" t="s">
        <v>97</v>
      </c>
      <c r="K52" s="26" t="s">
        <v>97</v>
      </c>
      <c r="L52" s="26" t="s">
        <v>1161</v>
      </c>
      <c r="M52" s="9" t="s">
        <v>243</v>
      </c>
      <c r="N52" s="29">
        <v>14</v>
      </c>
      <c r="O52" s="26" t="s">
        <v>2233</v>
      </c>
      <c r="P52" s="26"/>
      <c r="Q52" s="29" t="s">
        <v>72</v>
      </c>
      <c r="R52" s="26"/>
      <c r="S52" s="26"/>
    </row>
    <row r="53" spans="1:19">
      <c r="A53" s="11">
        <v>61.1</v>
      </c>
      <c r="B53" s="32">
        <f t="shared" si="8"/>
        <v>61.1</v>
      </c>
      <c r="C53" s="9" t="s">
        <v>16</v>
      </c>
      <c r="D53" s="9" t="s">
        <v>1158</v>
      </c>
      <c r="E53" s="11" t="s">
        <v>69</v>
      </c>
      <c r="F53" s="26" t="s">
        <v>2727</v>
      </c>
      <c r="G53" s="10" t="s">
        <v>2730</v>
      </c>
      <c r="H53" s="10" t="s">
        <v>2730</v>
      </c>
      <c r="I53" s="9" t="s">
        <v>1255</v>
      </c>
      <c r="J53" s="26" t="s">
        <v>97</v>
      </c>
      <c r="K53" s="26" t="s">
        <v>97</v>
      </c>
      <c r="L53" s="26" t="s">
        <v>1161</v>
      </c>
      <c r="M53" s="9" t="s">
        <v>243</v>
      </c>
      <c r="N53" s="29">
        <v>14</v>
      </c>
      <c r="O53" s="26" t="s">
        <v>2427</v>
      </c>
      <c r="P53" s="26" t="s">
        <v>2726</v>
      </c>
      <c r="Q53" s="29" t="s">
        <v>1167</v>
      </c>
      <c r="R53" s="26" t="s">
        <v>2729</v>
      </c>
      <c r="S53" s="26"/>
    </row>
    <row r="54" spans="1:19">
      <c r="A54" s="11">
        <v>61.2</v>
      </c>
      <c r="B54" s="32">
        <f t="shared" si="8"/>
        <v>61.2</v>
      </c>
      <c r="C54" s="9" t="s">
        <v>16</v>
      </c>
      <c r="D54" s="9" t="s">
        <v>1158</v>
      </c>
      <c r="E54" s="11" t="s">
        <v>69</v>
      </c>
      <c r="F54" s="9" t="s">
        <v>3050</v>
      </c>
      <c r="G54" s="9" t="s">
        <v>3051</v>
      </c>
      <c r="H54" s="9" t="s">
        <v>3051</v>
      </c>
      <c r="I54" s="9" t="s">
        <v>3047</v>
      </c>
      <c r="J54" s="26" t="s">
        <v>97</v>
      </c>
      <c r="K54" s="26" t="s">
        <v>97</v>
      </c>
      <c r="L54" s="26" t="s">
        <v>1161</v>
      </c>
      <c r="M54" s="26" t="s">
        <v>243</v>
      </c>
      <c r="N54" s="29">
        <v>14</v>
      </c>
      <c r="O54" s="26" t="s">
        <v>3052</v>
      </c>
      <c r="P54" s="26"/>
      <c r="Q54" s="29" t="s">
        <v>72</v>
      </c>
      <c r="R54" s="26"/>
      <c r="S54" s="26"/>
    </row>
    <row r="55" spans="1:19">
      <c r="A55" s="11">
        <v>61.3</v>
      </c>
      <c r="B55" s="32">
        <f t="shared" si="8"/>
        <v>61.3</v>
      </c>
      <c r="C55" s="9" t="s">
        <v>16</v>
      </c>
      <c r="D55" s="9" t="s">
        <v>1158</v>
      </c>
      <c r="E55" s="11" t="s">
        <v>69</v>
      </c>
      <c r="F55" s="26" t="s">
        <v>3053</v>
      </c>
      <c r="G55" s="9" t="s">
        <v>3054</v>
      </c>
      <c r="H55" s="9" t="s">
        <v>3054</v>
      </c>
      <c r="I55" s="9" t="s">
        <v>3047</v>
      </c>
      <c r="J55" s="26" t="s">
        <v>1338</v>
      </c>
      <c r="K55" s="26" t="s">
        <v>1338</v>
      </c>
      <c r="L55" s="26" t="s">
        <v>1161</v>
      </c>
      <c r="M55" s="26" t="s">
        <v>243</v>
      </c>
      <c r="N55" s="29">
        <v>30</v>
      </c>
      <c r="O55" s="9" t="s">
        <v>3050</v>
      </c>
      <c r="P55" s="26"/>
      <c r="Q55" s="29" t="s">
        <v>72</v>
      </c>
      <c r="R55" s="26"/>
      <c r="S55" s="26"/>
    </row>
    <row r="56" spans="1:19">
      <c r="A56" s="11">
        <v>61.4</v>
      </c>
      <c r="B56" s="32">
        <f t="shared" si="8"/>
        <v>61.4</v>
      </c>
      <c r="C56" s="9" t="s">
        <v>16</v>
      </c>
      <c r="D56" s="9" t="s">
        <v>1158</v>
      </c>
      <c r="E56" s="11" t="s">
        <v>69</v>
      </c>
      <c r="F56" s="26" t="s">
        <v>3066</v>
      </c>
      <c r="G56" s="9" t="s">
        <v>3067</v>
      </c>
      <c r="H56" s="9" t="s">
        <v>3067</v>
      </c>
      <c r="I56" s="9" t="s">
        <v>3047</v>
      </c>
      <c r="J56" s="26" t="s">
        <v>1338</v>
      </c>
      <c r="K56" s="26" t="s">
        <v>1338</v>
      </c>
      <c r="L56" s="26" t="s">
        <v>1161</v>
      </c>
      <c r="M56" s="26" t="s">
        <v>243</v>
      </c>
      <c r="N56" s="29">
        <v>30</v>
      </c>
      <c r="O56" s="26" t="s">
        <v>3276</v>
      </c>
      <c r="P56" s="26" t="s">
        <v>3159</v>
      </c>
      <c r="Q56" s="29" t="s">
        <v>72</v>
      </c>
      <c r="R56" s="26"/>
      <c r="S56" s="26"/>
    </row>
    <row r="57" spans="1:19">
      <c r="A57" s="11">
        <v>62</v>
      </c>
      <c r="B57" s="32">
        <f t="shared" si="8"/>
        <v>62</v>
      </c>
      <c r="C57" s="9" t="s">
        <v>16</v>
      </c>
      <c r="D57" s="9" t="s">
        <v>1158</v>
      </c>
      <c r="E57" s="11" t="s">
        <v>69</v>
      </c>
      <c r="F57" s="26" t="s">
        <v>2430</v>
      </c>
      <c r="G57" s="9" t="s">
        <v>2431</v>
      </c>
      <c r="H57" s="9" t="s">
        <v>2431</v>
      </c>
      <c r="I57" s="9" t="s">
        <v>1314</v>
      </c>
      <c r="J57" s="26" t="s">
        <v>97</v>
      </c>
      <c r="K57" s="26" t="s">
        <v>97</v>
      </c>
      <c r="L57" s="26" t="s">
        <v>1161</v>
      </c>
      <c r="M57" s="9" t="s">
        <v>243</v>
      </c>
      <c r="N57" s="29">
        <v>14</v>
      </c>
      <c r="O57" s="26" t="s">
        <v>2427</v>
      </c>
      <c r="P57" s="26" t="s">
        <v>3159</v>
      </c>
      <c r="Q57" s="29" t="s">
        <v>72</v>
      </c>
      <c r="R57" s="26"/>
      <c r="S57" s="26"/>
    </row>
    <row r="58" spans="1:19">
      <c r="A58" s="11">
        <v>63</v>
      </c>
      <c r="B58" s="32">
        <f t="shared" si="8"/>
        <v>63</v>
      </c>
      <c r="C58" s="9" t="s">
        <v>16</v>
      </c>
      <c r="D58" s="9" t="s">
        <v>1158</v>
      </c>
      <c r="E58" s="11" t="s">
        <v>69</v>
      </c>
      <c r="F58" s="26" t="s">
        <v>2432</v>
      </c>
      <c r="G58" s="9" t="s">
        <v>2433</v>
      </c>
      <c r="H58" s="9" t="s">
        <v>2433</v>
      </c>
      <c r="I58" s="9" t="s">
        <v>1314</v>
      </c>
      <c r="J58" s="26" t="s">
        <v>1338</v>
      </c>
      <c r="K58" s="26" t="s">
        <v>1338</v>
      </c>
      <c r="L58" s="26" t="s">
        <v>1161</v>
      </c>
      <c r="M58" s="9" t="s">
        <v>243</v>
      </c>
      <c r="N58" s="29">
        <v>30</v>
      </c>
      <c r="O58" s="26" t="s">
        <v>2430</v>
      </c>
      <c r="P58" s="26" t="s">
        <v>3159</v>
      </c>
      <c r="Q58" s="29" t="s">
        <v>72</v>
      </c>
      <c r="R58" s="26" t="s">
        <v>2465</v>
      </c>
      <c r="S58" s="26"/>
    </row>
    <row r="59" spans="1:19">
      <c r="A59" s="11">
        <v>64</v>
      </c>
      <c r="B59" s="32">
        <f t="shared" si="8"/>
        <v>64</v>
      </c>
      <c r="C59" s="9" t="s">
        <v>16</v>
      </c>
      <c r="D59" s="9" t="s">
        <v>1158</v>
      </c>
      <c r="E59" s="11" t="s">
        <v>69</v>
      </c>
      <c r="F59" s="26" t="s">
        <v>2438</v>
      </c>
      <c r="G59" s="9" t="s">
        <v>2449</v>
      </c>
      <c r="H59" s="9" t="s">
        <v>2449</v>
      </c>
      <c r="I59" s="9" t="s">
        <v>1341</v>
      </c>
      <c r="J59" s="26" t="s">
        <v>1338</v>
      </c>
      <c r="K59" s="26" t="s">
        <v>1338</v>
      </c>
      <c r="L59" s="26" t="s">
        <v>1161</v>
      </c>
      <c r="M59" s="9" t="s">
        <v>243</v>
      </c>
      <c r="N59" s="29">
        <v>30</v>
      </c>
      <c r="O59" s="26" t="s">
        <v>2432</v>
      </c>
      <c r="P59" s="26" t="s">
        <v>3160</v>
      </c>
      <c r="Q59" s="29" t="s">
        <v>72</v>
      </c>
      <c r="R59" s="26" t="s">
        <v>2466</v>
      </c>
      <c r="S59" s="26"/>
    </row>
    <row r="60" spans="1:19">
      <c r="A60" s="11">
        <v>65</v>
      </c>
      <c r="B60" s="32">
        <f t="shared" si="8"/>
        <v>65</v>
      </c>
      <c r="C60" s="9" t="s">
        <v>16</v>
      </c>
      <c r="D60" s="9" t="s">
        <v>1158</v>
      </c>
      <c r="E60" s="11" t="s">
        <v>69</v>
      </c>
      <c r="F60" s="26" t="s">
        <v>2450</v>
      </c>
      <c r="G60" s="9" t="s">
        <v>2452</v>
      </c>
      <c r="H60" s="9" t="s">
        <v>2452</v>
      </c>
      <c r="I60" s="9" t="s">
        <v>1341</v>
      </c>
      <c r="J60" s="26" t="s">
        <v>1338</v>
      </c>
      <c r="K60" s="26" t="s">
        <v>1338</v>
      </c>
      <c r="L60" s="26" t="s">
        <v>1161</v>
      </c>
      <c r="M60" s="9" t="s">
        <v>243</v>
      </c>
      <c r="N60" s="29">
        <v>30</v>
      </c>
      <c r="O60" s="26" t="s">
        <v>2438</v>
      </c>
      <c r="P60" s="26" t="s">
        <v>3158</v>
      </c>
      <c r="Q60" s="29" t="s">
        <v>1167</v>
      </c>
      <c r="R60" s="9" t="s">
        <v>2451</v>
      </c>
      <c r="S60" s="26"/>
    </row>
    <row r="61" spans="1:19">
      <c r="A61" s="11">
        <v>66</v>
      </c>
      <c r="B61" s="32">
        <f t="shared" si="8"/>
        <v>66</v>
      </c>
      <c r="C61" s="9" t="s">
        <v>16</v>
      </c>
      <c r="D61" s="9" t="s">
        <v>1158</v>
      </c>
      <c r="E61" s="11" t="s">
        <v>69</v>
      </c>
      <c r="F61" s="26" t="s">
        <v>2453</v>
      </c>
      <c r="G61" s="9" t="s">
        <v>2454</v>
      </c>
      <c r="H61" s="9" t="s">
        <v>2454</v>
      </c>
      <c r="I61" s="9" t="s">
        <v>1376</v>
      </c>
      <c r="J61" s="26" t="s">
        <v>97</v>
      </c>
      <c r="K61" s="26" t="s">
        <v>97</v>
      </c>
      <c r="L61" s="26" t="s">
        <v>1161</v>
      </c>
      <c r="M61" s="9" t="s">
        <v>243</v>
      </c>
      <c r="N61" s="29">
        <v>14</v>
      </c>
      <c r="O61" s="26" t="s">
        <v>2427</v>
      </c>
      <c r="P61" s="26"/>
      <c r="Q61" s="29" t="s">
        <v>72</v>
      </c>
      <c r="R61" s="26"/>
      <c r="S61" s="26"/>
    </row>
    <row r="62" spans="1:19">
      <c r="A62" s="11">
        <v>67</v>
      </c>
      <c r="B62" s="32">
        <f t="shared" si="8"/>
        <v>67</v>
      </c>
      <c r="C62" s="9" t="s">
        <v>16</v>
      </c>
      <c r="D62" s="9" t="s">
        <v>1158</v>
      </c>
      <c r="E62" s="11" t="s">
        <v>69</v>
      </c>
      <c r="F62" s="26" t="s">
        <v>2455</v>
      </c>
      <c r="G62" s="9" t="s">
        <v>2456</v>
      </c>
      <c r="H62" s="9" t="s">
        <v>2456</v>
      </c>
      <c r="I62" s="9" t="s">
        <v>1376</v>
      </c>
      <c r="J62" s="26" t="s">
        <v>1338</v>
      </c>
      <c r="K62" s="26" t="s">
        <v>1338</v>
      </c>
      <c r="L62" s="26" t="s">
        <v>1161</v>
      </c>
      <c r="M62" s="9" t="s">
        <v>243</v>
      </c>
      <c r="N62" s="29">
        <v>30</v>
      </c>
      <c r="O62" s="26" t="s">
        <v>2453</v>
      </c>
      <c r="P62" s="26" t="s">
        <v>3159</v>
      </c>
      <c r="Q62" s="29" t="s">
        <v>72</v>
      </c>
      <c r="R62" s="26" t="s">
        <v>3079</v>
      </c>
      <c r="S62" s="26"/>
    </row>
    <row r="63" spans="1:19">
      <c r="A63" s="11">
        <v>68</v>
      </c>
      <c r="B63" s="32">
        <f t="shared" si="8"/>
        <v>68</v>
      </c>
      <c r="C63" s="9" t="s">
        <v>16</v>
      </c>
      <c r="D63" s="9" t="s">
        <v>1158</v>
      </c>
      <c r="E63" s="11" t="s">
        <v>69</v>
      </c>
      <c r="F63" s="26" t="s">
        <v>2457</v>
      </c>
      <c r="G63" s="9" t="s">
        <v>2458</v>
      </c>
      <c r="H63" s="9" t="s">
        <v>2458</v>
      </c>
      <c r="I63" s="9" t="s">
        <v>1009</v>
      </c>
      <c r="J63" s="26" t="s">
        <v>1338</v>
      </c>
      <c r="K63" s="26" t="s">
        <v>1338</v>
      </c>
      <c r="L63" s="26" t="s">
        <v>1161</v>
      </c>
      <c r="M63" s="9" t="s">
        <v>243</v>
      </c>
      <c r="N63" s="29">
        <v>30</v>
      </c>
      <c r="O63" s="26" t="s">
        <v>2455</v>
      </c>
      <c r="P63" s="26" t="s">
        <v>3159</v>
      </c>
      <c r="Q63" s="29" t="s">
        <v>72</v>
      </c>
      <c r="R63" s="26" t="s">
        <v>2467</v>
      </c>
      <c r="S63" s="26"/>
    </row>
    <row r="64" spans="1:19">
      <c r="A64" s="11">
        <v>70</v>
      </c>
      <c r="B64" s="32">
        <f t="shared" si="8"/>
        <v>70</v>
      </c>
      <c r="C64" s="9" t="s">
        <v>16</v>
      </c>
      <c r="D64" s="9" t="s">
        <v>1158</v>
      </c>
      <c r="E64" s="11" t="s">
        <v>69</v>
      </c>
      <c r="F64" s="26" t="s">
        <v>2551</v>
      </c>
      <c r="G64" s="82" t="s">
        <v>2546</v>
      </c>
      <c r="H64" s="82" t="s">
        <v>2546</v>
      </c>
      <c r="I64" s="9" t="s">
        <v>2561</v>
      </c>
      <c r="J64" s="26" t="s">
        <v>1678</v>
      </c>
      <c r="K64" s="26" t="s">
        <v>1678</v>
      </c>
      <c r="L64" s="26" t="s">
        <v>2555</v>
      </c>
      <c r="M64" s="26" t="s">
        <v>2556</v>
      </c>
      <c r="N64" s="29">
        <v>14</v>
      </c>
      <c r="O64" s="26" t="s">
        <v>3284</v>
      </c>
      <c r="P64" s="26"/>
      <c r="Q64" s="29" t="s">
        <v>2557</v>
      </c>
      <c r="R64" s="26"/>
      <c r="S64" s="26"/>
    </row>
    <row r="65" spans="1:19">
      <c r="A65" s="11">
        <v>71</v>
      </c>
      <c r="B65" s="32">
        <f t="shared" si="8"/>
        <v>71</v>
      </c>
      <c r="C65" s="9" t="s">
        <v>16</v>
      </c>
      <c r="D65" s="9" t="s">
        <v>1158</v>
      </c>
      <c r="E65" s="11" t="s">
        <v>1830</v>
      </c>
      <c r="F65" s="26" t="s">
        <v>2552</v>
      </c>
      <c r="G65" s="82" t="s">
        <v>2549</v>
      </c>
      <c r="H65" s="82" t="s">
        <v>2549</v>
      </c>
      <c r="I65" s="9" t="s">
        <v>2562</v>
      </c>
      <c r="J65" s="26" t="s">
        <v>1160</v>
      </c>
      <c r="K65" s="26" t="s">
        <v>1160</v>
      </c>
      <c r="L65" s="26" t="s">
        <v>2555</v>
      </c>
      <c r="M65" s="26" t="s">
        <v>2556</v>
      </c>
      <c r="N65" s="29">
        <v>14</v>
      </c>
      <c r="O65" s="26" t="s">
        <v>3277</v>
      </c>
      <c r="P65" s="26"/>
      <c r="Q65" s="29" t="s">
        <v>2558</v>
      </c>
      <c r="R65" s="26" t="s">
        <v>2565</v>
      </c>
      <c r="S65" s="26"/>
    </row>
    <row r="66" spans="1:19">
      <c r="A66" s="11">
        <v>72</v>
      </c>
      <c r="B66" s="32">
        <f t="shared" si="8"/>
        <v>72</v>
      </c>
      <c r="C66" s="9" t="s">
        <v>16</v>
      </c>
      <c r="D66" s="9" t="s">
        <v>1158</v>
      </c>
      <c r="E66" s="11" t="s">
        <v>1830</v>
      </c>
      <c r="F66" s="26" t="s">
        <v>2553</v>
      </c>
      <c r="G66" s="82" t="s">
        <v>2550</v>
      </c>
      <c r="H66" s="82" t="s">
        <v>2550</v>
      </c>
      <c r="I66" s="9" t="s">
        <v>1340</v>
      </c>
      <c r="J66" s="26" t="s">
        <v>2559</v>
      </c>
      <c r="K66" s="26" t="s">
        <v>2559</v>
      </c>
      <c r="L66" s="26" t="s">
        <v>2555</v>
      </c>
      <c r="M66" s="26" t="s">
        <v>2556</v>
      </c>
      <c r="N66" s="29">
        <v>30</v>
      </c>
      <c r="O66" s="26" t="s">
        <v>2545</v>
      </c>
      <c r="P66" s="26" t="s">
        <v>3159</v>
      </c>
      <c r="Q66" s="29" t="s">
        <v>2558</v>
      </c>
      <c r="R66" s="26" t="s">
        <v>3229</v>
      </c>
      <c r="S66" s="26"/>
    </row>
    <row r="67" spans="1:19">
      <c r="A67" s="11">
        <v>74</v>
      </c>
      <c r="B67" s="32">
        <f t="shared" si="8"/>
        <v>74</v>
      </c>
      <c r="C67" s="9" t="s">
        <v>16</v>
      </c>
      <c r="D67" s="9" t="s">
        <v>1158</v>
      </c>
      <c r="E67" s="11" t="s">
        <v>69</v>
      </c>
      <c r="F67" s="26" t="s">
        <v>2554</v>
      </c>
      <c r="G67" s="82" t="s">
        <v>2547</v>
      </c>
      <c r="H67" s="82" t="s">
        <v>2548</v>
      </c>
      <c r="I67" s="9" t="s">
        <v>2563</v>
      </c>
      <c r="J67" s="26" t="s">
        <v>1678</v>
      </c>
      <c r="K67" s="26" t="s">
        <v>2559</v>
      </c>
      <c r="L67" s="26" t="s">
        <v>2555</v>
      </c>
      <c r="M67" s="26" t="s">
        <v>2556</v>
      </c>
      <c r="N67" s="29">
        <v>30</v>
      </c>
      <c r="O67" s="26" t="s">
        <v>3278</v>
      </c>
      <c r="P67" s="26" t="s">
        <v>3159</v>
      </c>
      <c r="Q67" s="29" t="s">
        <v>2558</v>
      </c>
      <c r="R67" s="26" t="s">
        <v>2560</v>
      </c>
      <c r="S67" s="26"/>
    </row>
    <row r="68" spans="1:19">
      <c r="A68" s="11">
        <v>78</v>
      </c>
      <c r="B68" s="32">
        <f t="shared" si="8"/>
        <v>78</v>
      </c>
      <c r="C68" s="9" t="s">
        <v>16</v>
      </c>
      <c r="D68" s="9" t="s">
        <v>278</v>
      </c>
      <c r="E68" s="11" t="s">
        <v>243</v>
      </c>
      <c r="F68" s="26" t="s">
        <v>2655</v>
      </c>
      <c r="G68" s="9" t="s">
        <v>2656</v>
      </c>
      <c r="H68" s="9" t="s">
        <v>2656</v>
      </c>
      <c r="I68" s="26" t="s">
        <v>259</v>
      </c>
      <c r="J68" s="26" t="s">
        <v>259</v>
      </c>
      <c r="K68" s="26" t="s">
        <v>98</v>
      </c>
      <c r="L68" s="26" t="s">
        <v>70</v>
      </c>
      <c r="M68" s="9" t="s">
        <v>262</v>
      </c>
      <c r="N68" s="29">
        <v>3</v>
      </c>
      <c r="O68" s="26" t="s">
        <v>3279</v>
      </c>
      <c r="P68" s="26"/>
      <c r="Q68" s="29" t="s">
        <v>72</v>
      </c>
      <c r="R68" s="26"/>
      <c r="S68" s="26"/>
    </row>
    <row r="69" spans="1:19">
      <c r="A69" s="11">
        <v>79</v>
      </c>
      <c r="B69" s="32">
        <f t="shared" si="8"/>
        <v>79</v>
      </c>
      <c r="C69" s="9" t="s">
        <v>16</v>
      </c>
      <c r="D69" s="9" t="s">
        <v>1158</v>
      </c>
      <c r="E69" s="11" t="s">
        <v>69</v>
      </c>
      <c r="F69" s="26" t="s">
        <v>2680</v>
      </c>
      <c r="G69" s="9" t="s">
        <v>2681</v>
      </c>
      <c r="H69" s="9" t="s">
        <v>2681</v>
      </c>
      <c r="I69" s="9" t="s">
        <v>140</v>
      </c>
      <c r="J69" s="26" t="s">
        <v>98</v>
      </c>
      <c r="K69" s="26" t="s">
        <v>98</v>
      </c>
      <c r="L69" s="26" t="s">
        <v>70</v>
      </c>
      <c r="M69" s="9" t="s">
        <v>71</v>
      </c>
      <c r="N69" s="29" t="s">
        <v>1162</v>
      </c>
      <c r="O69" s="26" t="s">
        <v>2655</v>
      </c>
      <c r="P69" s="26"/>
      <c r="Q69" s="29" t="s">
        <v>72</v>
      </c>
      <c r="R69" s="26"/>
      <c r="S69" s="26"/>
    </row>
    <row r="70" spans="1:19">
      <c r="A70" s="11">
        <v>80</v>
      </c>
      <c r="B70" s="32">
        <f t="shared" ref="B70:B85" si="9">HYPERLINK("#"&amp;A70&amp;"!A1",A70)</f>
        <v>80</v>
      </c>
      <c r="C70" s="9" t="s">
        <v>16</v>
      </c>
      <c r="D70" s="9" t="s">
        <v>1158</v>
      </c>
      <c r="E70" s="11" t="s">
        <v>69</v>
      </c>
      <c r="F70" s="26" t="s">
        <v>2684</v>
      </c>
      <c r="G70" s="9" t="s">
        <v>2685</v>
      </c>
      <c r="H70" s="9" t="s">
        <v>2685</v>
      </c>
      <c r="I70" s="9" t="s">
        <v>140</v>
      </c>
      <c r="J70" s="26" t="s">
        <v>97</v>
      </c>
      <c r="K70" s="26" t="s">
        <v>97</v>
      </c>
      <c r="L70" s="26" t="s">
        <v>2555</v>
      </c>
      <c r="M70" s="26" t="s">
        <v>2556</v>
      </c>
      <c r="N70" s="29">
        <v>14</v>
      </c>
      <c r="O70" s="26" t="s">
        <v>2680</v>
      </c>
      <c r="P70" s="26"/>
      <c r="Q70" s="29" t="s">
        <v>72</v>
      </c>
      <c r="R70" s="26"/>
      <c r="S70" s="26"/>
    </row>
    <row r="71" spans="1:19">
      <c r="A71" s="11">
        <v>81</v>
      </c>
      <c r="B71" s="32">
        <f t="shared" si="9"/>
        <v>81</v>
      </c>
      <c r="C71" s="9" t="s">
        <v>16</v>
      </c>
      <c r="D71" s="9" t="s">
        <v>1158</v>
      </c>
      <c r="E71" s="11" t="s">
        <v>69</v>
      </c>
      <c r="F71" s="26" t="s">
        <v>2706</v>
      </c>
      <c r="G71" s="9" t="s">
        <v>2705</v>
      </c>
      <c r="H71" s="9" t="s">
        <v>2705</v>
      </c>
      <c r="I71" s="9" t="s">
        <v>140</v>
      </c>
      <c r="J71" s="26" t="s">
        <v>97</v>
      </c>
      <c r="K71" s="26" t="s">
        <v>97</v>
      </c>
      <c r="L71" s="26" t="s">
        <v>1161</v>
      </c>
      <c r="M71" s="26" t="s">
        <v>243</v>
      </c>
      <c r="N71" s="29">
        <v>14</v>
      </c>
      <c r="O71" s="26" t="s">
        <v>3285</v>
      </c>
      <c r="P71" s="26" t="s">
        <v>3157</v>
      </c>
      <c r="Q71" s="29" t="s">
        <v>72</v>
      </c>
      <c r="R71" s="26" t="s">
        <v>3038</v>
      </c>
      <c r="S71" s="26"/>
    </row>
    <row r="72" spans="1:19">
      <c r="A72" s="11">
        <v>82</v>
      </c>
      <c r="B72" s="32">
        <f t="shared" si="9"/>
        <v>82</v>
      </c>
      <c r="C72" s="9" t="s">
        <v>16</v>
      </c>
      <c r="D72" s="9" t="s">
        <v>1158</v>
      </c>
      <c r="E72" s="11" t="s">
        <v>69</v>
      </c>
      <c r="F72" s="26" t="s">
        <v>2734</v>
      </c>
      <c r="G72" s="9" t="s">
        <v>2736</v>
      </c>
      <c r="H72" s="9" t="s">
        <v>2735</v>
      </c>
      <c r="I72" s="9" t="s">
        <v>1255</v>
      </c>
      <c r="J72" s="26" t="s">
        <v>97</v>
      </c>
      <c r="K72" s="26" t="s">
        <v>97</v>
      </c>
      <c r="L72" s="26" t="s">
        <v>1161</v>
      </c>
      <c r="M72" s="26" t="s">
        <v>243</v>
      </c>
      <c r="N72" s="29">
        <v>14</v>
      </c>
      <c r="O72" s="26" t="s">
        <v>2683</v>
      </c>
      <c r="P72" s="26"/>
      <c r="Q72" s="29" t="s">
        <v>72</v>
      </c>
      <c r="R72" s="26"/>
      <c r="S72" s="26"/>
    </row>
    <row r="73" spans="1:19">
      <c r="A73" s="11">
        <v>83</v>
      </c>
      <c r="B73" s="32">
        <f t="shared" si="9"/>
        <v>83</v>
      </c>
      <c r="C73" s="9" t="s">
        <v>16</v>
      </c>
      <c r="D73" s="9" t="s">
        <v>1158</v>
      </c>
      <c r="E73" s="11" t="s">
        <v>69</v>
      </c>
      <c r="F73" s="9" t="s">
        <v>3252</v>
      </c>
      <c r="G73" s="10" t="s">
        <v>2738</v>
      </c>
      <c r="H73" s="10" t="s">
        <v>2738</v>
      </c>
      <c r="I73" s="9" t="s">
        <v>1255</v>
      </c>
      <c r="J73" s="26" t="s">
        <v>97</v>
      </c>
      <c r="K73" s="26" t="s">
        <v>97</v>
      </c>
      <c r="L73" s="26" t="s">
        <v>1161</v>
      </c>
      <c r="M73" s="26" t="s">
        <v>243</v>
      </c>
      <c r="N73" s="29">
        <v>14</v>
      </c>
      <c r="O73" s="26" t="s">
        <v>3280</v>
      </c>
      <c r="P73" s="26" t="s">
        <v>2726</v>
      </c>
      <c r="Q73" s="29" t="s">
        <v>1167</v>
      </c>
      <c r="R73" s="26" t="s">
        <v>2739</v>
      </c>
      <c r="S73" s="26"/>
    </row>
    <row r="74" spans="1:19">
      <c r="A74" s="11">
        <v>84</v>
      </c>
      <c r="B74" s="32">
        <f t="shared" ref="B74" si="10">HYPERLINK("#"&amp;A74&amp;"!A1",A74)</f>
        <v>84</v>
      </c>
      <c r="C74" s="9" t="s">
        <v>16</v>
      </c>
      <c r="D74" s="9" t="s">
        <v>1158</v>
      </c>
      <c r="E74" s="11" t="s">
        <v>69</v>
      </c>
      <c r="F74" s="26" t="s">
        <v>2869</v>
      </c>
      <c r="G74" s="9" t="s">
        <v>2870</v>
      </c>
      <c r="H74" s="9" t="s">
        <v>2870</v>
      </c>
      <c r="I74" s="9" t="s">
        <v>1376</v>
      </c>
      <c r="J74" s="26" t="s">
        <v>97</v>
      </c>
      <c r="K74" s="26" t="s">
        <v>97</v>
      </c>
      <c r="L74" s="26" t="s">
        <v>1161</v>
      </c>
      <c r="M74" s="26" t="s">
        <v>243</v>
      </c>
      <c r="N74" s="29">
        <v>14</v>
      </c>
      <c r="O74" s="26" t="s">
        <v>2734</v>
      </c>
      <c r="P74" s="26"/>
      <c r="Q74" s="29" t="s">
        <v>72</v>
      </c>
      <c r="R74" s="26"/>
      <c r="S74" s="26"/>
    </row>
    <row r="75" spans="1:19">
      <c r="A75" s="11">
        <v>85</v>
      </c>
      <c r="B75" s="32">
        <f t="shared" ref="B75:B77" si="11">HYPERLINK("#"&amp;A75&amp;"!A1",A75)</f>
        <v>85</v>
      </c>
      <c r="C75" s="9" t="s">
        <v>16</v>
      </c>
      <c r="D75" s="9" t="s">
        <v>1158</v>
      </c>
      <c r="E75" s="11" t="s">
        <v>69</v>
      </c>
      <c r="F75" s="26" t="s">
        <v>2898</v>
      </c>
      <c r="G75" s="9" t="s">
        <v>2899</v>
      </c>
      <c r="H75" s="9" t="s">
        <v>2899</v>
      </c>
      <c r="I75" s="9" t="s">
        <v>1314</v>
      </c>
      <c r="J75" s="26" t="s">
        <v>97</v>
      </c>
      <c r="K75" s="26" t="s">
        <v>97</v>
      </c>
      <c r="L75" s="26" t="s">
        <v>1161</v>
      </c>
      <c r="M75" s="26" t="s">
        <v>243</v>
      </c>
      <c r="N75" s="29">
        <v>14</v>
      </c>
      <c r="O75" s="26" t="s">
        <v>2734</v>
      </c>
      <c r="P75" s="26"/>
      <c r="Q75" s="29" t="s">
        <v>72</v>
      </c>
      <c r="R75" s="26"/>
      <c r="S75" s="26"/>
    </row>
    <row r="76" spans="1:19">
      <c r="A76" s="11">
        <v>86</v>
      </c>
      <c r="B76" s="32">
        <f t="shared" si="11"/>
        <v>86</v>
      </c>
      <c r="C76" s="9" t="s">
        <v>16</v>
      </c>
      <c r="D76" s="9" t="s">
        <v>1158</v>
      </c>
      <c r="E76" s="11" t="s">
        <v>69</v>
      </c>
      <c r="F76" s="26" t="s">
        <v>2900</v>
      </c>
      <c r="G76" s="9" t="s">
        <v>2901</v>
      </c>
      <c r="H76" s="9" t="s">
        <v>2901</v>
      </c>
      <c r="I76" s="9" t="s">
        <v>1314</v>
      </c>
      <c r="J76" s="26" t="s">
        <v>1338</v>
      </c>
      <c r="K76" s="26" t="s">
        <v>1338</v>
      </c>
      <c r="L76" s="26" t="s">
        <v>1161</v>
      </c>
      <c r="M76" s="26" t="s">
        <v>243</v>
      </c>
      <c r="N76" s="29">
        <v>30</v>
      </c>
      <c r="O76" s="26" t="s">
        <v>2898</v>
      </c>
      <c r="P76" s="26"/>
      <c r="Q76" s="29" t="s">
        <v>72</v>
      </c>
      <c r="R76" s="26"/>
      <c r="S76" s="26"/>
    </row>
    <row r="77" spans="1:19">
      <c r="A77" s="11">
        <v>87</v>
      </c>
      <c r="B77" s="32">
        <f t="shared" si="11"/>
        <v>87</v>
      </c>
      <c r="C77" s="9" t="s">
        <v>16</v>
      </c>
      <c r="D77" s="9" t="s">
        <v>1158</v>
      </c>
      <c r="E77" s="11" t="s">
        <v>69</v>
      </c>
      <c r="F77" s="26" t="s">
        <v>2902</v>
      </c>
      <c r="G77" s="9" t="s">
        <v>2903</v>
      </c>
      <c r="H77" s="9" t="s">
        <v>2903</v>
      </c>
      <c r="I77" s="9" t="s">
        <v>1341</v>
      </c>
      <c r="J77" s="26" t="s">
        <v>1338</v>
      </c>
      <c r="K77" s="26" t="s">
        <v>1338</v>
      </c>
      <c r="L77" s="26" t="s">
        <v>1161</v>
      </c>
      <c r="M77" s="26" t="s">
        <v>243</v>
      </c>
      <c r="N77" s="29">
        <v>30</v>
      </c>
      <c r="O77" s="26" t="s">
        <v>2900</v>
      </c>
      <c r="P77" s="26"/>
      <c r="Q77" s="29" t="s">
        <v>72</v>
      </c>
      <c r="R77" s="26"/>
      <c r="S77" s="26"/>
    </row>
    <row r="78" spans="1:19">
      <c r="A78" s="11">
        <v>88</v>
      </c>
      <c r="B78" s="32">
        <f t="shared" si="9"/>
        <v>88</v>
      </c>
      <c r="C78" s="9" t="s">
        <v>16</v>
      </c>
      <c r="D78" s="9" t="s">
        <v>1158</v>
      </c>
      <c r="E78" s="11" t="s">
        <v>2863</v>
      </c>
      <c r="F78" s="9" t="s">
        <v>2897</v>
      </c>
      <c r="G78" s="10" t="s">
        <v>2740</v>
      </c>
      <c r="H78" s="10" t="s">
        <v>2740</v>
      </c>
      <c r="I78" s="9" t="s">
        <v>1376</v>
      </c>
      <c r="J78" s="26" t="s">
        <v>97</v>
      </c>
      <c r="K78" s="26" t="s">
        <v>97</v>
      </c>
      <c r="L78" s="26" t="s">
        <v>1161</v>
      </c>
      <c r="M78" s="26" t="s">
        <v>243</v>
      </c>
      <c r="N78" s="29">
        <v>14</v>
      </c>
      <c r="O78" s="26" t="s">
        <v>3281</v>
      </c>
      <c r="P78" s="26"/>
      <c r="Q78" s="29" t="s">
        <v>1167</v>
      </c>
      <c r="R78" s="26" t="s">
        <v>2867</v>
      </c>
      <c r="S78" s="26"/>
    </row>
    <row r="79" spans="1:19">
      <c r="A79" s="11">
        <v>89</v>
      </c>
      <c r="B79" s="32">
        <f t="shared" si="9"/>
        <v>89</v>
      </c>
      <c r="C79" s="9" t="s">
        <v>16</v>
      </c>
      <c r="D79" s="9" t="s">
        <v>1158</v>
      </c>
      <c r="E79" s="11" t="s">
        <v>3264</v>
      </c>
      <c r="F79" s="9" t="s">
        <v>2741</v>
      </c>
      <c r="G79" s="10" t="s">
        <v>2742</v>
      </c>
      <c r="H79" s="10" t="s">
        <v>2742</v>
      </c>
      <c r="I79" s="9" t="s">
        <v>1009</v>
      </c>
      <c r="J79" s="26" t="s">
        <v>1338</v>
      </c>
      <c r="K79" s="26" t="s">
        <v>1338</v>
      </c>
      <c r="L79" s="26" t="s">
        <v>1161</v>
      </c>
      <c r="M79" s="26" t="s">
        <v>243</v>
      </c>
      <c r="N79" s="29">
        <v>30</v>
      </c>
      <c r="O79" s="9" t="s">
        <v>2862</v>
      </c>
      <c r="P79" s="26"/>
      <c r="Q79" s="29" t="s">
        <v>2864</v>
      </c>
      <c r="R79" s="26" t="s">
        <v>2895</v>
      </c>
      <c r="S79" s="26"/>
    </row>
    <row r="80" spans="1:19">
      <c r="A80" s="11">
        <v>90</v>
      </c>
      <c r="B80" s="32">
        <f t="shared" si="9"/>
        <v>90</v>
      </c>
      <c r="C80" s="9" t="s">
        <v>16</v>
      </c>
      <c r="D80" s="9" t="s">
        <v>2865</v>
      </c>
      <c r="E80" s="11" t="s">
        <v>2863</v>
      </c>
      <c r="F80" s="9" t="s">
        <v>2743</v>
      </c>
      <c r="G80" s="10" t="s">
        <v>2744</v>
      </c>
      <c r="H80" s="10" t="s">
        <v>2744</v>
      </c>
      <c r="I80" s="9" t="s">
        <v>2866</v>
      </c>
      <c r="J80" s="26" t="s">
        <v>1338</v>
      </c>
      <c r="K80" s="26" t="s">
        <v>1338</v>
      </c>
      <c r="L80" s="26" t="s">
        <v>1161</v>
      </c>
      <c r="M80" s="26" t="s">
        <v>243</v>
      </c>
      <c r="N80" s="29">
        <v>180</v>
      </c>
      <c r="O80" s="9" t="s">
        <v>2862</v>
      </c>
      <c r="P80" s="26"/>
      <c r="Q80" s="29" t="s">
        <v>2864</v>
      </c>
      <c r="R80" s="26" t="s">
        <v>2895</v>
      </c>
      <c r="S80" s="26"/>
    </row>
    <row r="81" spans="1:19">
      <c r="A81" s="11">
        <v>91</v>
      </c>
      <c r="B81" s="32">
        <f t="shared" si="9"/>
        <v>91</v>
      </c>
      <c r="C81" s="9" t="s">
        <v>16</v>
      </c>
      <c r="D81" s="9" t="s">
        <v>2865</v>
      </c>
      <c r="E81" s="11" t="s">
        <v>2863</v>
      </c>
      <c r="F81" s="9" t="s">
        <v>2745</v>
      </c>
      <c r="G81" s="10" t="s">
        <v>2746</v>
      </c>
      <c r="H81" s="10" t="s">
        <v>2746</v>
      </c>
      <c r="I81" s="9" t="s">
        <v>1341</v>
      </c>
      <c r="J81" s="26" t="s">
        <v>1338</v>
      </c>
      <c r="K81" s="26" t="s">
        <v>1338</v>
      </c>
      <c r="L81" s="26" t="s">
        <v>1161</v>
      </c>
      <c r="M81" s="26" t="s">
        <v>243</v>
      </c>
      <c r="N81" s="29">
        <v>180</v>
      </c>
      <c r="O81" s="9" t="s">
        <v>2862</v>
      </c>
      <c r="P81" s="26"/>
      <c r="Q81" s="29" t="s">
        <v>2864</v>
      </c>
      <c r="R81" s="26" t="s">
        <v>2895</v>
      </c>
      <c r="S81" s="26"/>
    </row>
    <row r="82" spans="1:19">
      <c r="A82" s="11">
        <v>92</v>
      </c>
      <c r="B82" s="32">
        <f t="shared" si="9"/>
        <v>92</v>
      </c>
      <c r="C82" s="9" t="s">
        <v>16</v>
      </c>
      <c r="D82" s="9" t="s">
        <v>1158</v>
      </c>
      <c r="E82" s="11" t="s">
        <v>2863</v>
      </c>
      <c r="F82" s="9" t="s">
        <v>2911</v>
      </c>
      <c r="G82" s="10" t="s">
        <v>2912</v>
      </c>
      <c r="H82" s="10" t="s">
        <v>2912</v>
      </c>
      <c r="I82" s="9" t="s">
        <v>1341</v>
      </c>
      <c r="J82" s="26" t="s">
        <v>1338</v>
      </c>
      <c r="K82" s="26" t="s">
        <v>1338</v>
      </c>
      <c r="L82" s="26" t="s">
        <v>1161</v>
      </c>
      <c r="M82" s="26" t="s">
        <v>243</v>
      </c>
      <c r="N82" s="29">
        <v>30</v>
      </c>
      <c r="O82" s="9" t="s">
        <v>3282</v>
      </c>
      <c r="P82" s="26"/>
      <c r="Q82" s="29" t="s">
        <v>72</v>
      </c>
      <c r="R82" s="26" t="s">
        <v>2918</v>
      </c>
      <c r="S82" s="26"/>
    </row>
    <row r="83" spans="1:19">
      <c r="A83" s="11">
        <v>93</v>
      </c>
      <c r="B83" s="32">
        <f t="shared" si="9"/>
        <v>93</v>
      </c>
      <c r="C83" s="9" t="s">
        <v>16</v>
      </c>
      <c r="D83" s="9" t="s">
        <v>2865</v>
      </c>
      <c r="E83" s="11" t="s">
        <v>2863</v>
      </c>
      <c r="F83" s="9" t="s">
        <v>3265</v>
      </c>
      <c r="G83" s="10" t="s">
        <v>2998</v>
      </c>
      <c r="H83" s="10" t="s">
        <v>2998</v>
      </c>
      <c r="I83" s="9" t="s">
        <v>1341</v>
      </c>
      <c r="J83" s="26" t="s">
        <v>1338</v>
      </c>
      <c r="K83" s="26" t="s">
        <v>1338</v>
      </c>
      <c r="L83" s="26" t="s">
        <v>1161</v>
      </c>
      <c r="M83" s="26" t="s">
        <v>243</v>
      </c>
      <c r="N83" s="29">
        <v>180</v>
      </c>
      <c r="O83" s="9" t="s">
        <v>2911</v>
      </c>
      <c r="P83" s="26"/>
      <c r="Q83" s="29" t="s">
        <v>2864</v>
      </c>
      <c r="R83" s="26" t="s">
        <v>2895</v>
      </c>
      <c r="S83" s="26"/>
    </row>
    <row r="84" spans="1:19">
      <c r="A84" s="11">
        <v>94</v>
      </c>
      <c r="B84" s="32">
        <f t="shared" si="9"/>
        <v>94</v>
      </c>
      <c r="C84" s="9" t="s">
        <v>16</v>
      </c>
      <c r="D84" s="9" t="s">
        <v>1158</v>
      </c>
      <c r="E84" s="11" t="s">
        <v>2863</v>
      </c>
      <c r="F84" s="9" t="s">
        <v>3266</v>
      </c>
      <c r="G84" s="10" t="s">
        <v>3267</v>
      </c>
      <c r="H84" s="10" t="s">
        <v>2999</v>
      </c>
      <c r="I84" s="9" t="s">
        <v>3035</v>
      </c>
      <c r="J84" s="26" t="s">
        <v>1338</v>
      </c>
      <c r="K84" s="26" t="s">
        <v>1338</v>
      </c>
      <c r="L84" s="26" t="s">
        <v>1161</v>
      </c>
      <c r="M84" s="26" t="s">
        <v>243</v>
      </c>
      <c r="N84" s="29">
        <v>30</v>
      </c>
      <c r="O84" s="9" t="s">
        <v>2911</v>
      </c>
      <c r="P84" s="26"/>
      <c r="Q84" s="29" t="s">
        <v>2864</v>
      </c>
      <c r="R84" s="26" t="s">
        <v>2895</v>
      </c>
      <c r="S84" s="26"/>
    </row>
    <row r="85" spans="1:19">
      <c r="A85" s="11">
        <v>95</v>
      </c>
      <c r="B85" s="32">
        <f t="shared" si="9"/>
        <v>95</v>
      </c>
      <c r="C85" s="9" t="s">
        <v>16</v>
      </c>
      <c r="D85" s="9" t="s">
        <v>2865</v>
      </c>
      <c r="E85" s="11" t="s">
        <v>2996</v>
      </c>
      <c r="F85" s="9" t="s">
        <v>2997</v>
      </c>
      <c r="G85" s="10" t="s">
        <v>3030</v>
      </c>
      <c r="H85" s="10" t="s">
        <v>3030</v>
      </c>
      <c r="I85" s="9" t="s">
        <v>1341</v>
      </c>
      <c r="J85" s="26" t="s">
        <v>1338</v>
      </c>
      <c r="K85" s="26" t="s">
        <v>1338</v>
      </c>
      <c r="L85" s="26" t="s">
        <v>1161</v>
      </c>
      <c r="M85" s="26" t="s">
        <v>243</v>
      </c>
      <c r="N85" s="29">
        <v>180</v>
      </c>
      <c r="O85" s="9" t="s">
        <v>2907</v>
      </c>
      <c r="P85" s="26"/>
      <c r="Q85" s="29" t="s">
        <v>2864</v>
      </c>
      <c r="R85" s="26" t="s">
        <v>2895</v>
      </c>
      <c r="S85" s="26"/>
    </row>
  </sheetData>
  <phoneticPr fontId="16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917E-9CF8-4468-AD84-625363195136}">
  <sheetPr codeName="Sheet2"/>
  <dimension ref="A1:N98"/>
  <sheetViews>
    <sheetView zoomScale="85" zoomScaleNormal="85" workbookViewId="0">
      <selection activeCell="B1" sqref="B1"/>
    </sheetView>
  </sheetViews>
  <sheetFormatPr defaultColWidth="9" defaultRowHeight="15.6"/>
  <cols>
    <col min="1" max="1" width="5" style="52" customWidth="1"/>
    <col min="2" max="2" width="19.77734375" style="52" customWidth="1"/>
    <col min="3" max="3" width="22.6640625" style="52" bestFit="1" customWidth="1"/>
    <col min="4" max="4" width="20.44140625" style="52" customWidth="1"/>
    <col min="5" max="5" width="16.21875" style="52" customWidth="1"/>
    <col min="6" max="6" width="13.88671875" style="52" customWidth="1"/>
    <col min="7" max="7" width="9.109375" style="52" customWidth="1"/>
    <col min="8" max="8" width="12" style="52" customWidth="1"/>
    <col min="9" max="9" width="10.88671875" style="52" customWidth="1"/>
    <col min="10" max="10" width="12.44140625" style="52" customWidth="1"/>
    <col min="11" max="11" width="14.109375" style="52" customWidth="1"/>
    <col min="12" max="12" width="12.33203125" style="53" customWidth="1"/>
    <col min="13" max="16384" width="9" style="53"/>
  </cols>
  <sheetData>
    <row r="1" spans="2:14">
      <c r="B1" s="48" t="str">
        <f>HYPERLINK("#"&amp;"导航应用"&amp;"!B1","返回")</f>
        <v>返回</v>
      </c>
      <c r="C1" s="51"/>
      <c r="D1" s="51"/>
      <c r="E1" s="51"/>
      <c r="F1" s="51"/>
      <c r="G1" s="51"/>
      <c r="H1" s="51"/>
    </row>
    <row r="2" spans="2:14" ht="17.399999999999999">
      <c r="B2" s="120" t="s">
        <v>18</v>
      </c>
      <c r="C2" s="120"/>
      <c r="D2" s="120"/>
      <c r="E2" s="120"/>
      <c r="F2" s="120"/>
      <c r="G2" s="120"/>
      <c r="H2" s="120"/>
    </row>
    <row r="3" spans="2:14">
      <c r="B3" s="54" t="s">
        <v>3</v>
      </c>
      <c r="C3" s="54" t="s">
        <v>19</v>
      </c>
      <c r="D3" s="54" t="s">
        <v>20</v>
      </c>
      <c r="E3" s="54" t="s">
        <v>21</v>
      </c>
      <c r="F3" s="54" t="s">
        <v>22</v>
      </c>
      <c r="G3" s="54" t="s">
        <v>6</v>
      </c>
      <c r="H3" s="54" t="s">
        <v>23</v>
      </c>
    </row>
    <row r="4" spans="2:14">
      <c r="B4" s="47"/>
      <c r="C4" s="55" t="s">
        <v>828</v>
      </c>
      <c r="D4" s="56" t="s">
        <v>893</v>
      </c>
      <c r="E4" s="47" t="s">
        <v>276</v>
      </c>
      <c r="F4" s="57"/>
      <c r="G4" s="47"/>
      <c r="H4" s="47"/>
      <c r="N4" s="52"/>
    </row>
    <row r="5" spans="2:14">
      <c r="B5" s="58"/>
      <c r="C5" s="58"/>
      <c r="D5" s="58"/>
      <c r="E5" s="58"/>
      <c r="F5" s="58"/>
      <c r="G5" s="58"/>
      <c r="H5" s="58"/>
    </row>
    <row r="6" spans="2:14" ht="17.399999999999999">
      <c r="B6" s="120" t="s">
        <v>25</v>
      </c>
      <c r="C6" s="120"/>
      <c r="D6" s="120"/>
      <c r="E6" s="120"/>
      <c r="F6" s="120"/>
      <c r="G6" s="120"/>
      <c r="H6" s="120"/>
    </row>
    <row r="7" spans="2:14">
      <c r="B7" s="59" t="s">
        <v>26</v>
      </c>
      <c r="C7" s="59" t="s">
        <v>27</v>
      </c>
      <c r="D7" s="59" t="s">
        <v>28</v>
      </c>
      <c r="E7" s="59" t="s">
        <v>29</v>
      </c>
      <c r="F7" s="59" t="s">
        <v>30</v>
      </c>
      <c r="G7" s="59" t="s">
        <v>14</v>
      </c>
      <c r="H7" s="59" t="s">
        <v>31</v>
      </c>
    </row>
    <row r="8" spans="2:14">
      <c r="B8" s="47"/>
      <c r="C8" s="46"/>
      <c r="D8" s="46"/>
      <c r="E8" s="47" t="s">
        <v>55</v>
      </c>
      <c r="F8" s="47"/>
      <c r="G8" s="19"/>
      <c r="H8" s="49" t="s">
        <v>17</v>
      </c>
    </row>
    <row r="9" spans="2:14">
      <c r="B9" s="47"/>
      <c r="C9" s="46"/>
      <c r="D9" s="46"/>
      <c r="E9" s="47" t="s">
        <v>256</v>
      </c>
      <c r="F9" s="47"/>
      <c r="G9" s="19"/>
      <c r="H9" s="49"/>
    </row>
    <row r="11" spans="2:14">
      <c r="B11" s="121" t="s">
        <v>32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3"/>
    </row>
    <row r="12" spans="2:14" ht="24">
      <c r="B12" s="60" t="s">
        <v>33</v>
      </c>
      <c r="C12" s="60" t="s">
        <v>34</v>
      </c>
      <c r="D12" s="60" t="s">
        <v>35</v>
      </c>
      <c r="E12" s="60" t="s">
        <v>36</v>
      </c>
      <c r="F12" s="60" t="s">
        <v>37</v>
      </c>
      <c r="G12" s="60" t="s">
        <v>38</v>
      </c>
      <c r="H12" s="60" t="s">
        <v>39</v>
      </c>
      <c r="I12" s="60" t="s">
        <v>14</v>
      </c>
      <c r="J12" s="60" t="s">
        <v>40</v>
      </c>
      <c r="K12" s="60" t="s">
        <v>41</v>
      </c>
      <c r="L12" s="60" t="s">
        <v>42</v>
      </c>
    </row>
    <row r="13" spans="2:14">
      <c r="B13" s="45" t="s">
        <v>620</v>
      </c>
      <c r="C13" s="47" t="s">
        <v>46</v>
      </c>
      <c r="D13" s="61" t="s">
        <v>621</v>
      </c>
      <c r="E13" s="47"/>
      <c r="F13" s="47"/>
      <c r="G13" s="47"/>
      <c r="H13" s="47"/>
      <c r="I13" s="46"/>
      <c r="J13" s="9" t="s">
        <v>538</v>
      </c>
      <c r="K13" s="9" t="s">
        <v>132</v>
      </c>
      <c r="L13" s="9" t="s">
        <v>132</v>
      </c>
    </row>
    <row r="14" spans="2:14">
      <c r="B14" s="45" t="s">
        <v>618</v>
      </c>
      <c r="C14" s="47" t="s">
        <v>43</v>
      </c>
      <c r="D14" s="61" t="s">
        <v>622</v>
      </c>
      <c r="E14" s="47"/>
      <c r="F14" s="47"/>
      <c r="G14" s="47"/>
      <c r="H14" s="47"/>
      <c r="I14" s="47"/>
      <c r="J14" s="9" t="s">
        <v>538</v>
      </c>
      <c r="K14" s="9" t="s">
        <v>132</v>
      </c>
      <c r="L14" s="9" t="s">
        <v>132</v>
      </c>
    </row>
    <row r="17" spans="2:3">
      <c r="B17" s="50" t="s">
        <v>277</v>
      </c>
    </row>
    <row r="18" spans="2:3">
      <c r="B18" s="50"/>
    </row>
    <row r="19" spans="2:3">
      <c r="B19" s="70" t="s">
        <v>619</v>
      </c>
      <c r="C19" s="70" t="s">
        <v>440</v>
      </c>
    </row>
    <row r="20" spans="2:3">
      <c r="B20" s="71">
        <v>1</v>
      </c>
      <c r="C20" s="71" t="s">
        <v>539</v>
      </c>
    </row>
    <row r="21" spans="2:3">
      <c r="B21" s="71">
        <v>2</v>
      </c>
      <c r="C21" s="71" t="s">
        <v>540</v>
      </c>
    </row>
    <row r="22" spans="2:3">
      <c r="B22" s="71">
        <v>3</v>
      </c>
      <c r="C22" s="71" t="s">
        <v>541</v>
      </c>
    </row>
    <row r="23" spans="2:3">
      <c r="B23" s="71">
        <v>4</v>
      </c>
      <c r="C23" s="71" t="s">
        <v>542</v>
      </c>
    </row>
    <row r="24" spans="2:3">
      <c r="B24" s="71">
        <v>5</v>
      </c>
      <c r="C24" s="71" t="s">
        <v>543</v>
      </c>
    </row>
    <row r="25" spans="2:3">
      <c r="B25" s="71">
        <v>6</v>
      </c>
      <c r="C25" s="71" t="s">
        <v>544</v>
      </c>
    </row>
    <row r="26" spans="2:3">
      <c r="B26" s="71">
        <v>7</v>
      </c>
      <c r="C26" s="71" t="s">
        <v>545</v>
      </c>
    </row>
    <row r="27" spans="2:3">
      <c r="B27" s="71">
        <v>8</v>
      </c>
      <c r="C27" s="71" t="s">
        <v>546</v>
      </c>
    </row>
    <row r="28" spans="2:3">
      <c r="B28" s="71">
        <v>9</v>
      </c>
      <c r="C28" s="71" t="s">
        <v>547</v>
      </c>
    </row>
    <row r="29" spans="2:3">
      <c r="B29" s="71">
        <v>10</v>
      </c>
      <c r="C29" s="71" t="s">
        <v>548</v>
      </c>
    </row>
    <row r="30" spans="2:3">
      <c r="B30" s="71">
        <v>11</v>
      </c>
      <c r="C30" s="71" t="s">
        <v>549</v>
      </c>
    </row>
    <row r="31" spans="2:3">
      <c r="B31" s="71">
        <v>12</v>
      </c>
      <c r="C31" s="71" t="s">
        <v>550</v>
      </c>
    </row>
    <row r="32" spans="2:3">
      <c r="B32" s="71">
        <v>13</v>
      </c>
      <c r="C32" s="71" t="s">
        <v>551</v>
      </c>
    </row>
    <row r="33" spans="2:3">
      <c r="B33" s="71">
        <v>14</v>
      </c>
      <c r="C33" s="71" t="s">
        <v>552</v>
      </c>
    </row>
    <row r="34" spans="2:3">
      <c r="B34" s="71">
        <v>15</v>
      </c>
      <c r="C34" s="71" t="s">
        <v>553</v>
      </c>
    </row>
    <row r="35" spans="2:3">
      <c r="B35" s="71">
        <v>16</v>
      </c>
      <c r="C35" s="71" t="s">
        <v>554</v>
      </c>
    </row>
    <row r="36" spans="2:3">
      <c r="B36" s="71">
        <v>17</v>
      </c>
      <c r="C36" s="71" t="s">
        <v>555</v>
      </c>
    </row>
    <row r="37" spans="2:3" ht="26.4">
      <c r="B37" s="71">
        <v>18</v>
      </c>
      <c r="C37" s="71" t="s">
        <v>556</v>
      </c>
    </row>
    <row r="38" spans="2:3">
      <c r="B38" s="71">
        <v>19</v>
      </c>
      <c r="C38" s="71" t="s">
        <v>557</v>
      </c>
    </row>
    <row r="39" spans="2:3">
      <c r="B39" s="71">
        <v>20</v>
      </c>
      <c r="C39" s="71" t="s">
        <v>558</v>
      </c>
    </row>
    <row r="40" spans="2:3">
      <c r="B40" s="71">
        <v>21</v>
      </c>
      <c r="C40" s="71" t="s">
        <v>559</v>
      </c>
    </row>
    <row r="41" spans="2:3">
      <c r="B41" s="71">
        <v>22</v>
      </c>
      <c r="C41" s="71" t="s">
        <v>560</v>
      </c>
    </row>
    <row r="42" spans="2:3">
      <c r="B42" s="71">
        <v>23</v>
      </c>
      <c r="C42" s="71" t="s">
        <v>561</v>
      </c>
    </row>
    <row r="43" spans="2:3">
      <c r="B43" s="71">
        <v>24</v>
      </c>
      <c r="C43" s="71" t="s">
        <v>562</v>
      </c>
    </row>
    <row r="44" spans="2:3">
      <c r="B44" s="71">
        <v>25</v>
      </c>
      <c r="C44" s="71" t="s">
        <v>563</v>
      </c>
    </row>
    <row r="45" spans="2:3">
      <c r="B45" s="71">
        <v>26</v>
      </c>
      <c r="C45" s="71" t="s">
        <v>564</v>
      </c>
    </row>
    <row r="46" spans="2:3">
      <c r="B46" s="71">
        <v>27</v>
      </c>
      <c r="C46" s="71" t="s">
        <v>565</v>
      </c>
    </row>
    <row r="47" spans="2:3">
      <c r="B47" s="71">
        <v>28</v>
      </c>
      <c r="C47" s="71" t="s">
        <v>566</v>
      </c>
    </row>
    <row r="48" spans="2:3" ht="26.4">
      <c r="B48" s="71">
        <v>29</v>
      </c>
      <c r="C48" s="71" t="s">
        <v>567</v>
      </c>
    </row>
    <row r="49" spans="2:3">
      <c r="B49" s="71">
        <v>30</v>
      </c>
      <c r="C49" s="71" t="s">
        <v>568</v>
      </c>
    </row>
    <row r="50" spans="2:3">
      <c r="B50" s="71">
        <v>31</v>
      </c>
      <c r="C50" s="71" t="s">
        <v>569</v>
      </c>
    </row>
    <row r="51" spans="2:3">
      <c r="B51" s="71">
        <v>32</v>
      </c>
      <c r="C51" s="71" t="s">
        <v>570</v>
      </c>
    </row>
    <row r="52" spans="2:3">
      <c r="B52" s="71">
        <v>33</v>
      </c>
      <c r="C52" s="71" t="s">
        <v>571</v>
      </c>
    </row>
    <row r="53" spans="2:3">
      <c r="B53" s="71">
        <v>34</v>
      </c>
      <c r="C53" s="71" t="s">
        <v>572</v>
      </c>
    </row>
    <row r="54" spans="2:3">
      <c r="B54" s="71">
        <v>35</v>
      </c>
      <c r="C54" s="71" t="s">
        <v>573</v>
      </c>
    </row>
    <row r="55" spans="2:3">
      <c r="B55" s="71">
        <v>36</v>
      </c>
      <c r="C55" s="71" t="s">
        <v>574</v>
      </c>
    </row>
    <row r="56" spans="2:3">
      <c r="B56" s="71">
        <v>37</v>
      </c>
      <c r="C56" s="71" t="s">
        <v>575</v>
      </c>
    </row>
    <row r="57" spans="2:3">
      <c r="B57" s="71">
        <v>38</v>
      </c>
      <c r="C57" s="71" t="s">
        <v>576</v>
      </c>
    </row>
    <row r="58" spans="2:3">
      <c r="B58" s="71">
        <v>39</v>
      </c>
      <c r="C58" s="71" t="s">
        <v>577</v>
      </c>
    </row>
    <row r="59" spans="2:3">
      <c r="B59" s="71">
        <v>40</v>
      </c>
      <c r="C59" s="71" t="s">
        <v>578</v>
      </c>
    </row>
    <row r="60" spans="2:3">
      <c r="B60" s="71">
        <v>41</v>
      </c>
      <c r="C60" s="71" t="s">
        <v>579</v>
      </c>
    </row>
    <row r="61" spans="2:3">
      <c r="B61" s="71">
        <v>42</v>
      </c>
      <c r="C61" s="71" t="s">
        <v>580</v>
      </c>
    </row>
    <row r="62" spans="2:3">
      <c r="B62" s="71">
        <v>43</v>
      </c>
      <c r="C62" s="71" t="s">
        <v>581</v>
      </c>
    </row>
    <row r="63" spans="2:3">
      <c r="B63" s="71">
        <v>44</v>
      </c>
      <c r="C63" s="71" t="s">
        <v>582</v>
      </c>
    </row>
    <row r="64" spans="2:3">
      <c r="B64" s="71">
        <v>45</v>
      </c>
      <c r="C64" s="71" t="s">
        <v>583</v>
      </c>
    </row>
    <row r="65" spans="2:3">
      <c r="B65" s="71">
        <v>46</v>
      </c>
      <c r="C65" s="71" t="s">
        <v>584</v>
      </c>
    </row>
    <row r="66" spans="2:3">
      <c r="B66" s="71">
        <v>47</v>
      </c>
      <c r="C66" s="71" t="s">
        <v>585</v>
      </c>
    </row>
    <row r="67" spans="2:3">
      <c r="B67" s="71">
        <v>48</v>
      </c>
      <c r="C67" s="71" t="s">
        <v>586</v>
      </c>
    </row>
    <row r="68" spans="2:3">
      <c r="B68" s="71">
        <v>49</v>
      </c>
      <c r="C68" s="71" t="s">
        <v>587</v>
      </c>
    </row>
    <row r="69" spans="2:3">
      <c r="B69" s="71">
        <v>50</v>
      </c>
      <c r="C69" s="71" t="s">
        <v>588</v>
      </c>
    </row>
    <row r="70" spans="2:3">
      <c r="B70" s="71">
        <v>51</v>
      </c>
      <c r="C70" s="71" t="s">
        <v>589</v>
      </c>
    </row>
    <row r="71" spans="2:3">
      <c r="B71" s="71">
        <v>52</v>
      </c>
      <c r="C71" s="71" t="s">
        <v>590</v>
      </c>
    </row>
    <row r="72" spans="2:3">
      <c r="B72" s="71">
        <v>53</v>
      </c>
      <c r="C72" s="71" t="s">
        <v>591</v>
      </c>
    </row>
    <row r="73" spans="2:3">
      <c r="B73" s="71">
        <v>54</v>
      </c>
      <c r="C73" s="71" t="s">
        <v>592</v>
      </c>
    </row>
    <row r="74" spans="2:3">
      <c r="B74" s="71">
        <v>55</v>
      </c>
      <c r="C74" s="71" t="s">
        <v>593</v>
      </c>
    </row>
    <row r="75" spans="2:3">
      <c r="B75" s="71">
        <v>56</v>
      </c>
      <c r="C75" s="71" t="s">
        <v>594</v>
      </c>
    </row>
    <row r="76" spans="2:3">
      <c r="B76" s="71">
        <v>57</v>
      </c>
      <c r="C76" s="71" t="s">
        <v>595</v>
      </c>
    </row>
    <row r="77" spans="2:3">
      <c r="B77" s="71">
        <v>58</v>
      </c>
      <c r="C77" s="71" t="s">
        <v>596</v>
      </c>
    </row>
    <row r="78" spans="2:3">
      <c r="B78" s="71">
        <v>59</v>
      </c>
      <c r="C78" s="71" t="s">
        <v>597</v>
      </c>
    </row>
    <row r="79" spans="2:3">
      <c r="B79" s="71">
        <v>60</v>
      </c>
      <c r="C79" s="71" t="s">
        <v>598</v>
      </c>
    </row>
    <row r="80" spans="2:3">
      <c r="B80" s="71">
        <v>61</v>
      </c>
      <c r="C80" s="71" t="s">
        <v>599</v>
      </c>
    </row>
    <row r="81" spans="2:3">
      <c r="B81" s="71">
        <v>62</v>
      </c>
      <c r="C81" s="71" t="s">
        <v>600</v>
      </c>
    </row>
    <row r="82" spans="2:3">
      <c r="B82" s="71">
        <v>63</v>
      </c>
      <c r="C82" s="71" t="s">
        <v>601</v>
      </c>
    </row>
    <row r="83" spans="2:3">
      <c r="B83" s="71">
        <v>64</v>
      </c>
      <c r="C83" s="71" t="s">
        <v>602</v>
      </c>
    </row>
    <row r="84" spans="2:3">
      <c r="B84" s="71">
        <v>65</v>
      </c>
      <c r="C84" s="71" t="s">
        <v>603</v>
      </c>
    </row>
    <row r="85" spans="2:3">
      <c r="B85" s="71">
        <v>66</v>
      </c>
      <c r="C85" s="71" t="s">
        <v>604</v>
      </c>
    </row>
    <row r="86" spans="2:3">
      <c r="B86" s="71">
        <v>67</v>
      </c>
      <c r="C86" s="71" t="s">
        <v>605</v>
      </c>
    </row>
    <row r="87" spans="2:3">
      <c r="B87" s="71">
        <v>68</v>
      </c>
      <c r="C87" s="71" t="s">
        <v>606</v>
      </c>
    </row>
    <row r="88" spans="2:3">
      <c r="B88" s="71">
        <v>69</v>
      </c>
      <c r="C88" s="71" t="s">
        <v>607</v>
      </c>
    </row>
    <row r="89" spans="2:3">
      <c r="B89" s="71">
        <v>70</v>
      </c>
      <c r="C89" s="71" t="s">
        <v>608</v>
      </c>
    </row>
    <row r="90" spans="2:3">
      <c r="B90" s="71">
        <v>71</v>
      </c>
      <c r="C90" s="71" t="s">
        <v>609</v>
      </c>
    </row>
    <row r="91" spans="2:3">
      <c r="B91" s="71">
        <v>72</v>
      </c>
      <c r="C91" s="71" t="s">
        <v>610</v>
      </c>
    </row>
    <row r="92" spans="2:3">
      <c r="B92" s="71">
        <v>73</v>
      </c>
      <c r="C92" s="71" t="s">
        <v>611</v>
      </c>
    </row>
    <row r="93" spans="2:3">
      <c r="B93" s="71">
        <v>74</v>
      </c>
      <c r="C93" s="71" t="s">
        <v>612</v>
      </c>
    </row>
    <row r="94" spans="2:3">
      <c r="B94" s="71">
        <v>75</v>
      </c>
      <c r="C94" s="71" t="s">
        <v>613</v>
      </c>
    </row>
    <row r="95" spans="2:3">
      <c r="B95" s="71">
        <v>76</v>
      </c>
      <c r="C95" s="71" t="s">
        <v>614</v>
      </c>
    </row>
    <row r="96" spans="2:3">
      <c r="B96" s="71">
        <v>77</v>
      </c>
      <c r="C96" s="71" t="s">
        <v>615</v>
      </c>
    </row>
    <row r="97" spans="2:3">
      <c r="B97" s="71">
        <v>78</v>
      </c>
      <c r="C97" s="71" t="s">
        <v>616</v>
      </c>
    </row>
    <row r="98" spans="2:3">
      <c r="B98" s="71">
        <v>79</v>
      </c>
      <c r="C98" s="71" t="s">
        <v>617</v>
      </c>
    </row>
  </sheetData>
  <mergeCells count="3">
    <mergeCell ref="B2:H2"/>
    <mergeCell ref="B6:H6"/>
    <mergeCell ref="B11:L11"/>
  </mergeCells>
  <phoneticPr fontId="16" type="noConversion"/>
  <dataValidations count="1">
    <dataValidation type="list" allowBlank="1" showInputMessage="1" showErrorMessage="1" sqref="E4" xr:uid="{DCA6D54D-5431-4A6F-9936-DE808B438271}">
      <formula1>"quarter,hour,day,week,month,season(季度),year,维表,手动"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3AD0-4AC9-405D-B105-9809A633C16B}">
  <sheetPr codeName="Sheet3"/>
  <dimension ref="A1:N56"/>
  <sheetViews>
    <sheetView workbookViewId="0">
      <selection activeCell="B1" sqref="B1"/>
    </sheetView>
  </sheetViews>
  <sheetFormatPr defaultColWidth="9" defaultRowHeight="11.4"/>
  <cols>
    <col min="1" max="1" width="4.6640625" style="81" customWidth="1"/>
    <col min="2" max="2" width="20.44140625" style="81" bestFit="1" customWidth="1"/>
    <col min="3" max="3" width="20.21875" style="81" customWidth="1"/>
    <col min="4" max="4" width="16.6640625" style="81" customWidth="1"/>
    <col min="5" max="8" width="15.33203125" style="81" customWidth="1"/>
    <col min="9" max="16384" width="9" style="81"/>
  </cols>
  <sheetData>
    <row r="1" spans="1:14" s="2" customFormat="1" ht="13.2">
      <c r="A1" s="4"/>
      <c r="B1" s="5" t="str">
        <f>HYPERLINK("#导航!a2","返回")</f>
        <v>返回</v>
      </c>
      <c r="C1" s="80"/>
      <c r="D1" s="80"/>
      <c r="E1" s="80"/>
      <c r="F1" s="80"/>
      <c r="G1" s="80"/>
      <c r="H1" s="80"/>
      <c r="I1" s="4"/>
      <c r="J1" s="4"/>
      <c r="K1" s="4"/>
    </row>
    <row r="2" spans="1:14" s="2" customFormat="1" ht="13.2">
      <c r="A2" s="4"/>
      <c r="B2" s="124" t="s">
        <v>18</v>
      </c>
      <c r="C2" s="124"/>
      <c r="D2" s="124"/>
      <c r="E2" s="124"/>
      <c r="F2" s="124"/>
      <c r="G2" s="124"/>
      <c r="H2" s="124"/>
      <c r="I2" s="4"/>
      <c r="J2" s="4"/>
      <c r="K2" s="4"/>
    </row>
    <row r="3" spans="1:14" s="2" customFormat="1" ht="13.2">
      <c r="A3" s="4"/>
      <c r="B3" s="7" t="s">
        <v>3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6</v>
      </c>
      <c r="H3" s="7" t="s">
        <v>23</v>
      </c>
      <c r="I3" s="4"/>
      <c r="J3" s="4"/>
      <c r="K3" s="4"/>
    </row>
    <row r="4" spans="1:14" s="2" customFormat="1" ht="13.2">
      <c r="A4" s="4"/>
      <c r="B4" s="17" t="s">
        <v>909</v>
      </c>
      <c r="C4" s="19" t="s">
        <v>910</v>
      </c>
      <c r="D4" s="17" t="s">
        <v>911</v>
      </c>
      <c r="E4" s="11" t="s">
        <v>276</v>
      </c>
      <c r="F4" s="17" t="s">
        <v>912</v>
      </c>
      <c r="G4" s="11" t="s">
        <v>913</v>
      </c>
      <c r="H4" s="11"/>
      <c r="I4" s="4"/>
      <c r="J4" s="4"/>
      <c r="K4" s="4"/>
      <c r="N4" s="4"/>
    </row>
    <row r="5" spans="1:14" s="2" customFormat="1" ht="13.2">
      <c r="A5" s="4"/>
      <c r="B5" s="6"/>
      <c r="C5" s="6"/>
      <c r="D5" s="6"/>
      <c r="E5" s="6"/>
      <c r="F5" s="6"/>
      <c r="G5" s="6"/>
      <c r="H5" s="6"/>
      <c r="I5" s="4"/>
      <c r="J5" s="4"/>
      <c r="K5" s="4"/>
    </row>
    <row r="6" spans="1:14" s="2" customFormat="1" ht="13.2">
      <c r="A6" s="4"/>
      <c r="B6" s="124" t="s">
        <v>25</v>
      </c>
      <c r="C6" s="124"/>
      <c r="D6" s="124"/>
      <c r="E6" s="124"/>
      <c r="F6" s="124"/>
      <c r="G6" s="124"/>
      <c r="H6" s="124"/>
      <c r="I6" s="4"/>
      <c r="J6" s="4"/>
      <c r="K6" s="4"/>
    </row>
    <row r="7" spans="1:14" s="2" customFormat="1" ht="13.2">
      <c r="A7" s="4"/>
      <c r="B7" s="12" t="s">
        <v>26</v>
      </c>
      <c r="C7" s="12" t="s">
        <v>27</v>
      </c>
      <c r="D7" s="12" t="s">
        <v>28</v>
      </c>
      <c r="E7" s="12" t="s">
        <v>29</v>
      </c>
      <c r="F7" s="12" t="s">
        <v>30</v>
      </c>
      <c r="G7" s="12" t="s">
        <v>14</v>
      </c>
      <c r="H7" s="12" t="s">
        <v>31</v>
      </c>
      <c r="I7" s="4"/>
      <c r="J7" s="4"/>
      <c r="K7" s="4"/>
    </row>
    <row r="8" spans="1:14" s="2" customFormat="1" ht="13.2">
      <c r="A8" s="4"/>
      <c r="B8" s="11"/>
      <c r="C8" s="17"/>
      <c r="D8" s="17"/>
      <c r="E8" s="11" t="s">
        <v>55</v>
      </c>
      <c r="F8" s="11"/>
      <c r="G8" s="19"/>
      <c r="H8" s="49" t="s">
        <v>17</v>
      </c>
      <c r="I8" s="4"/>
      <c r="J8" s="4"/>
      <c r="K8" s="4"/>
    </row>
    <row r="9" spans="1:14" s="2" customFormat="1" ht="13.2">
      <c r="A9" s="4"/>
      <c r="B9" s="11"/>
      <c r="C9" s="17"/>
      <c r="D9" s="17"/>
      <c r="E9" s="11" t="s">
        <v>256</v>
      </c>
      <c r="F9" s="11"/>
      <c r="G9" s="19"/>
      <c r="H9" s="49"/>
      <c r="I9" s="4"/>
      <c r="J9" s="4"/>
      <c r="K9" s="4"/>
    </row>
    <row r="10" spans="1:14" s="2" customFormat="1" ht="13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4" s="2" customFormat="1" ht="13.2">
      <c r="A11" s="4"/>
      <c r="B11" s="125" t="s">
        <v>32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7"/>
    </row>
    <row r="12" spans="1:14" s="2" customFormat="1" ht="24">
      <c r="A12" s="4"/>
      <c r="B12" s="73" t="s">
        <v>33</v>
      </c>
      <c r="C12" s="73" t="s">
        <v>34</v>
      </c>
      <c r="D12" s="73" t="s">
        <v>35</v>
      </c>
      <c r="E12" s="73" t="s">
        <v>36</v>
      </c>
      <c r="F12" s="73" t="s">
        <v>37</v>
      </c>
      <c r="G12" s="73" t="s">
        <v>38</v>
      </c>
      <c r="H12" s="73" t="s">
        <v>39</v>
      </c>
      <c r="I12" s="73" t="s">
        <v>14</v>
      </c>
      <c r="J12" s="73" t="s">
        <v>40</v>
      </c>
      <c r="K12" s="73" t="s">
        <v>41</v>
      </c>
      <c r="L12" s="73" t="s">
        <v>42</v>
      </c>
    </row>
    <row r="13" spans="1:14" ht="13.2">
      <c r="B13" s="17" t="s">
        <v>997</v>
      </c>
      <c r="C13" s="17" t="s">
        <v>46</v>
      </c>
      <c r="D13" s="74" t="s">
        <v>914</v>
      </c>
      <c r="E13" s="17"/>
      <c r="F13" s="17"/>
      <c r="G13" s="17"/>
      <c r="H13" s="17"/>
      <c r="I13" s="17"/>
      <c r="J13" s="17"/>
      <c r="K13" s="17"/>
      <c r="L13" s="17"/>
    </row>
    <row r="14" spans="1:14" ht="13.2">
      <c r="B14" s="17" t="s">
        <v>915</v>
      </c>
      <c r="C14" s="17" t="s">
        <v>43</v>
      </c>
      <c r="D14" s="74" t="s">
        <v>916</v>
      </c>
      <c r="E14" s="17"/>
      <c r="F14" s="17"/>
      <c r="G14" s="17"/>
      <c r="H14" s="17"/>
      <c r="I14" s="17"/>
      <c r="J14" s="17"/>
      <c r="K14" s="17"/>
      <c r="L14" s="17"/>
    </row>
    <row r="15" spans="1:14" ht="13.2">
      <c r="B15" s="82" t="s">
        <v>917</v>
      </c>
      <c r="C15" s="17" t="s">
        <v>43</v>
      </c>
      <c r="D15" s="79" t="s">
        <v>918</v>
      </c>
      <c r="E15" s="17"/>
      <c r="F15" s="17"/>
      <c r="G15" s="17"/>
      <c r="H15" s="17"/>
      <c r="I15" s="17"/>
      <c r="J15" s="17"/>
      <c r="K15" s="17"/>
      <c r="L15" s="17"/>
    </row>
    <row r="16" spans="1:14" ht="13.2">
      <c r="B16" s="75" t="s">
        <v>919</v>
      </c>
      <c r="C16" s="17" t="s">
        <v>43</v>
      </c>
      <c r="D16" s="79" t="s">
        <v>920</v>
      </c>
      <c r="E16" s="17"/>
      <c r="F16" s="17"/>
      <c r="G16" s="17"/>
      <c r="H16" s="17"/>
      <c r="I16" s="17"/>
      <c r="J16" s="17"/>
      <c r="K16" s="17"/>
      <c r="L16" s="17"/>
    </row>
    <row r="17" spans="2:12" ht="13.2">
      <c r="B17" s="75" t="s">
        <v>921</v>
      </c>
      <c r="C17" s="17" t="s">
        <v>46</v>
      </c>
      <c r="D17" s="79" t="s">
        <v>922</v>
      </c>
      <c r="E17" s="17"/>
      <c r="F17" s="17"/>
      <c r="G17" s="17"/>
      <c r="H17" s="17"/>
      <c r="I17" s="17"/>
      <c r="J17" s="17"/>
      <c r="K17" s="17"/>
      <c r="L17" s="17"/>
    </row>
    <row r="18" spans="2:12" ht="13.2">
      <c r="B18" s="76"/>
      <c r="C18" s="2"/>
      <c r="D18" s="77"/>
      <c r="E18" s="2"/>
      <c r="F18" s="2"/>
      <c r="G18" s="2"/>
      <c r="H18" s="2"/>
      <c r="I18" s="2"/>
      <c r="J18" s="2"/>
      <c r="K18" s="2"/>
      <c r="L18" s="2"/>
    </row>
    <row r="19" spans="2:12" ht="13.2">
      <c r="B19" s="76"/>
      <c r="C19" s="2"/>
      <c r="D19" s="77"/>
      <c r="E19" s="2"/>
      <c r="F19" s="2"/>
      <c r="G19" s="2"/>
      <c r="H19" s="2"/>
      <c r="I19" s="2"/>
      <c r="J19" s="2"/>
      <c r="K19" s="2"/>
      <c r="L19" s="2"/>
    </row>
    <row r="20" spans="2:12" ht="13.2">
      <c r="B20" s="76"/>
      <c r="C20" s="2"/>
      <c r="D20" s="77"/>
      <c r="E20" s="2"/>
      <c r="F20" s="2"/>
      <c r="G20" s="2"/>
      <c r="H20" s="2"/>
      <c r="I20" s="2"/>
      <c r="J20" s="2"/>
      <c r="K20" s="2"/>
      <c r="L20" s="2"/>
    </row>
    <row r="21" spans="2:12" ht="13.2">
      <c r="B21" s="78" t="s">
        <v>277</v>
      </c>
    </row>
    <row r="22" spans="2:12" ht="26.4">
      <c r="B22" s="17" t="s">
        <v>997</v>
      </c>
      <c r="C22" s="17" t="s">
        <v>915</v>
      </c>
      <c r="D22" s="75" t="s">
        <v>917</v>
      </c>
      <c r="E22" s="75" t="s">
        <v>919</v>
      </c>
      <c r="F22" s="75" t="s">
        <v>921</v>
      </c>
    </row>
    <row r="23" spans="2:12" ht="26.4">
      <c r="B23" s="74" t="s">
        <v>914</v>
      </c>
      <c r="C23" s="74" t="s">
        <v>916</v>
      </c>
      <c r="D23" s="74" t="s">
        <v>918</v>
      </c>
      <c r="E23" s="74" t="s">
        <v>920</v>
      </c>
      <c r="F23" s="79" t="s">
        <v>923</v>
      </c>
    </row>
    <row r="24" spans="2:12" ht="13.2">
      <c r="B24" s="79">
        <v>200</v>
      </c>
      <c r="C24" s="79" t="s">
        <v>924</v>
      </c>
      <c r="D24" s="79"/>
      <c r="E24" s="79" t="s">
        <v>925</v>
      </c>
      <c r="F24" s="79">
        <v>1</v>
      </c>
    </row>
    <row r="25" spans="2:12" ht="13.2">
      <c r="B25" s="79">
        <v>201</v>
      </c>
      <c r="C25" s="79" t="s">
        <v>926</v>
      </c>
      <c r="D25" s="79"/>
      <c r="E25" s="79" t="s">
        <v>927</v>
      </c>
      <c r="F25" s="79">
        <v>1</v>
      </c>
    </row>
    <row r="26" spans="2:12" ht="13.2">
      <c r="B26" s="79">
        <v>202</v>
      </c>
      <c r="C26" s="79" t="s">
        <v>928</v>
      </c>
      <c r="D26" s="79"/>
      <c r="E26" s="79" t="s">
        <v>929</v>
      </c>
      <c r="F26" s="79">
        <v>1</v>
      </c>
    </row>
    <row r="27" spans="2:12" ht="23.25" customHeight="1">
      <c r="B27" s="79">
        <v>203</v>
      </c>
      <c r="C27" s="79" t="s">
        <v>930</v>
      </c>
      <c r="D27" s="79"/>
      <c r="E27" s="79" t="s">
        <v>931</v>
      </c>
      <c r="F27" s="79">
        <v>1</v>
      </c>
    </row>
    <row r="28" spans="2:12" ht="13.2">
      <c r="B28" s="79">
        <v>204</v>
      </c>
      <c r="C28" s="79" t="s">
        <v>932</v>
      </c>
      <c r="D28" s="79"/>
      <c r="E28" s="79" t="s">
        <v>933</v>
      </c>
      <c r="F28" s="79">
        <v>1</v>
      </c>
    </row>
    <row r="29" spans="2:12" ht="23.25" customHeight="1">
      <c r="B29" s="79">
        <v>205</v>
      </c>
      <c r="C29" s="79" t="s">
        <v>934</v>
      </c>
      <c r="D29" s="79"/>
      <c r="E29" s="79" t="s">
        <v>935</v>
      </c>
      <c r="F29" s="79">
        <v>1</v>
      </c>
    </row>
    <row r="30" spans="2:12" ht="23.25" customHeight="1">
      <c r="B30" s="79">
        <v>206</v>
      </c>
      <c r="C30" s="79" t="s">
        <v>936</v>
      </c>
      <c r="D30" s="79"/>
      <c r="E30" s="79" t="s">
        <v>937</v>
      </c>
      <c r="F30" s="79">
        <v>1</v>
      </c>
    </row>
    <row r="31" spans="2:12" ht="23.25" customHeight="1">
      <c r="B31" s="79">
        <v>302</v>
      </c>
      <c r="C31" s="79" t="s">
        <v>938</v>
      </c>
      <c r="D31" s="79"/>
      <c r="E31" s="79" t="s">
        <v>939</v>
      </c>
      <c r="F31" s="79">
        <v>1</v>
      </c>
    </row>
    <row r="32" spans="2:12" ht="13.2">
      <c r="B32" s="79">
        <v>304</v>
      </c>
      <c r="C32" s="79" t="s">
        <v>940</v>
      </c>
      <c r="D32" s="79"/>
      <c r="E32" s="79" t="s">
        <v>941</v>
      </c>
      <c r="F32" s="79">
        <v>1</v>
      </c>
    </row>
    <row r="33" spans="2:6" ht="23.25" customHeight="1">
      <c r="B33" s="79">
        <v>306</v>
      </c>
      <c r="C33" s="79" t="s">
        <v>942</v>
      </c>
      <c r="D33" s="79"/>
      <c r="E33" s="79" t="s">
        <v>943</v>
      </c>
      <c r="F33" s="79">
        <v>1</v>
      </c>
    </row>
    <row r="34" spans="2:6" ht="23.25" customHeight="1">
      <c r="B34" s="79">
        <v>400</v>
      </c>
      <c r="C34" s="79" t="s">
        <v>944</v>
      </c>
      <c r="D34" s="79" t="s">
        <v>945</v>
      </c>
      <c r="E34" s="79" t="s">
        <v>946</v>
      </c>
      <c r="F34" s="79">
        <v>0</v>
      </c>
    </row>
    <row r="35" spans="2:6" ht="23.25" customHeight="1">
      <c r="B35" s="79">
        <v>401</v>
      </c>
      <c r="C35" s="79" t="s">
        <v>947</v>
      </c>
      <c r="D35" s="79" t="s">
        <v>945</v>
      </c>
      <c r="E35" s="79" t="s">
        <v>948</v>
      </c>
      <c r="F35" s="79">
        <v>0</v>
      </c>
    </row>
    <row r="36" spans="2:6" ht="23.25" customHeight="1">
      <c r="B36" s="79">
        <v>403</v>
      </c>
      <c r="C36" s="79" t="s">
        <v>949</v>
      </c>
      <c r="D36" s="79" t="s">
        <v>945</v>
      </c>
      <c r="E36" s="79" t="s">
        <v>950</v>
      </c>
      <c r="F36" s="79">
        <v>0</v>
      </c>
    </row>
    <row r="37" spans="2:6" ht="13.2">
      <c r="B37" s="79">
        <v>404</v>
      </c>
      <c r="C37" s="79" t="s">
        <v>951</v>
      </c>
      <c r="D37" s="79" t="s">
        <v>945</v>
      </c>
      <c r="E37" s="79" t="s">
        <v>952</v>
      </c>
      <c r="F37" s="79">
        <v>0</v>
      </c>
    </row>
    <row r="38" spans="2:6" ht="23.25" customHeight="1">
      <c r="B38" s="79">
        <v>405</v>
      </c>
      <c r="C38" s="79" t="s">
        <v>953</v>
      </c>
      <c r="D38" s="79" t="s">
        <v>945</v>
      </c>
      <c r="E38" s="79" t="s">
        <v>954</v>
      </c>
      <c r="F38" s="79">
        <v>0</v>
      </c>
    </row>
    <row r="39" spans="2:6" ht="45.75" customHeight="1">
      <c r="B39" s="79">
        <v>406</v>
      </c>
      <c r="C39" s="79" t="s">
        <v>955</v>
      </c>
      <c r="D39" s="79" t="s">
        <v>945</v>
      </c>
      <c r="E39" s="79" t="s">
        <v>956</v>
      </c>
      <c r="F39" s="79">
        <v>0</v>
      </c>
    </row>
    <row r="40" spans="2:6" ht="34.5" customHeight="1">
      <c r="B40" s="79">
        <v>407</v>
      </c>
      <c r="C40" s="79" t="s">
        <v>957</v>
      </c>
      <c r="D40" s="79" t="s">
        <v>945</v>
      </c>
      <c r="E40" s="79" t="s">
        <v>958</v>
      </c>
      <c r="F40" s="79">
        <v>0</v>
      </c>
    </row>
    <row r="41" spans="2:6" ht="23.25" customHeight="1">
      <c r="B41" s="79">
        <v>408</v>
      </c>
      <c r="C41" s="79" t="s">
        <v>959</v>
      </c>
      <c r="D41" s="79" t="s">
        <v>945</v>
      </c>
      <c r="E41" s="79" t="s">
        <v>960</v>
      </c>
      <c r="F41" s="79">
        <v>0</v>
      </c>
    </row>
    <row r="42" spans="2:6" ht="23.25" customHeight="1">
      <c r="B42" s="79">
        <v>412</v>
      </c>
      <c r="C42" s="79" t="s">
        <v>961</v>
      </c>
      <c r="D42" s="79" t="s">
        <v>945</v>
      </c>
      <c r="E42" s="79" t="s">
        <v>962</v>
      </c>
      <c r="F42" s="79">
        <v>0</v>
      </c>
    </row>
    <row r="43" spans="2:6" ht="23.25" customHeight="1">
      <c r="B43" s="79">
        <v>413</v>
      </c>
      <c r="C43" s="79" t="s">
        <v>963</v>
      </c>
      <c r="D43" s="79" t="s">
        <v>945</v>
      </c>
      <c r="E43" s="79" t="s">
        <v>964</v>
      </c>
      <c r="F43" s="79">
        <v>0</v>
      </c>
    </row>
    <row r="44" spans="2:6" ht="23.25" customHeight="1">
      <c r="B44" s="79">
        <v>414</v>
      </c>
      <c r="C44" s="79" t="s">
        <v>965</v>
      </c>
      <c r="D44" s="79" t="s">
        <v>945</v>
      </c>
      <c r="E44" s="79" t="s">
        <v>966</v>
      </c>
      <c r="F44" s="79">
        <v>0</v>
      </c>
    </row>
    <row r="45" spans="2:6" ht="23.25" customHeight="1">
      <c r="B45" s="79">
        <v>415</v>
      </c>
      <c r="C45" s="79" t="s">
        <v>967</v>
      </c>
      <c r="D45" s="79" t="s">
        <v>945</v>
      </c>
      <c r="E45" s="79" t="s">
        <v>968</v>
      </c>
      <c r="F45" s="79">
        <v>0</v>
      </c>
    </row>
    <row r="46" spans="2:6" ht="34.5" customHeight="1">
      <c r="B46" s="79">
        <v>416</v>
      </c>
      <c r="C46" s="79" t="s">
        <v>969</v>
      </c>
      <c r="D46" s="79" t="s">
        <v>945</v>
      </c>
      <c r="E46" s="79" t="s">
        <v>970</v>
      </c>
      <c r="F46" s="79">
        <v>0</v>
      </c>
    </row>
    <row r="47" spans="2:6" ht="23.25" customHeight="1">
      <c r="B47" s="79">
        <v>417</v>
      </c>
      <c r="C47" s="79" t="s">
        <v>971</v>
      </c>
      <c r="D47" s="79" t="s">
        <v>945</v>
      </c>
      <c r="E47" s="79" t="s">
        <v>972</v>
      </c>
      <c r="F47" s="79">
        <v>0</v>
      </c>
    </row>
    <row r="48" spans="2:6" ht="23.25" customHeight="1">
      <c r="B48" s="79">
        <v>423</v>
      </c>
      <c r="C48" s="79" t="s">
        <v>973</v>
      </c>
      <c r="D48" s="79" t="s">
        <v>1009</v>
      </c>
      <c r="E48" s="79" t="s">
        <v>974</v>
      </c>
      <c r="F48" s="79">
        <v>0</v>
      </c>
    </row>
    <row r="49" spans="2:6" ht="23.25" customHeight="1">
      <c r="B49" s="79">
        <v>500</v>
      </c>
      <c r="C49" s="79" t="s">
        <v>975</v>
      </c>
      <c r="D49" s="79" t="s">
        <v>1010</v>
      </c>
      <c r="E49" s="79" t="s">
        <v>977</v>
      </c>
      <c r="F49" s="79">
        <v>0</v>
      </c>
    </row>
    <row r="50" spans="2:6" ht="34.5" customHeight="1">
      <c r="B50" s="79">
        <v>501</v>
      </c>
      <c r="C50" s="79" t="s">
        <v>978</v>
      </c>
      <c r="D50" s="79" t="s">
        <v>976</v>
      </c>
      <c r="E50" s="79" t="s">
        <v>979</v>
      </c>
      <c r="F50" s="79">
        <v>0</v>
      </c>
    </row>
    <row r="51" spans="2:6" ht="23.25" customHeight="1">
      <c r="B51" s="79">
        <v>502</v>
      </c>
      <c r="C51" s="79" t="s">
        <v>980</v>
      </c>
      <c r="D51" s="79" t="s">
        <v>976</v>
      </c>
      <c r="E51" s="79" t="s">
        <v>981</v>
      </c>
      <c r="F51" s="79">
        <v>0</v>
      </c>
    </row>
    <row r="52" spans="2:6" ht="23.25" customHeight="1">
      <c r="B52" s="79">
        <v>503</v>
      </c>
      <c r="C52" s="79" t="s">
        <v>982</v>
      </c>
      <c r="D52" s="79" t="s">
        <v>976</v>
      </c>
      <c r="E52" s="79" t="s">
        <v>983</v>
      </c>
      <c r="F52" s="79">
        <v>0</v>
      </c>
    </row>
    <row r="53" spans="2:6" ht="23.25" customHeight="1">
      <c r="B53" s="79">
        <v>504</v>
      </c>
      <c r="C53" s="79" t="s">
        <v>984</v>
      </c>
      <c r="D53" s="79" t="s">
        <v>976</v>
      </c>
      <c r="E53" s="79" t="s">
        <v>985</v>
      </c>
      <c r="F53" s="79">
        <v>0</v>
      </c>
    </row>
    <row r="54" spans="2:6" ht="23.25" customHeight="1">
      <c r="B54" s="79">
        <v>506</v>
      </c>
      <c r="C54" s="79" t="s">
        <v>986</v>
      </c>
      <c r="D54" s="79" t="s">
        <v>976</v>
      </c>
      <c r="E54" s="79" t="s">
        <v>987</v>
      </c>
      <c r="F54" s="79">
        <v>0</v>
      </c>
    </row>
    <row r="55" spans="2:6" ht="13.2">
      <c r="B55" s="79">
        <v>-2</v>
      </c>
      <c r="C55" s="79" t="s">
        <v>988</v>
      </c>
      <c r="D55" s="79"/>
      <c r="E55" s="79" t="s">
        <v>988</v>
      </c>
      <c r="F55" s="79">
        <v>0</v>
      </c>
    </row>
    <row r="56" spans="2:6" ht="23.25" customHeight="1">
      <c r="B56" s="79">
        <v>-1</v>
      </c>
      <c r="C56" s="79" t="s">
        <v>989</v>
      </c>
      <c r="D56" s="79"/>
      <c r="E56" s="79" t="s">
        <v>989</v>
      </c>
      <c r="F56" s="79">
        <v>0</v>
      </c>
    </row>
  </sheetData>
  <mergeCells count="3">
    <mergeCell ref="B2:H2"/>
    <mergeCell ref="B6:H6"/>
    <mergeCell ref="B11:L11"/>
  </mergeCells>
  <phoneticPr fontId="16" type="noConversion"/>
  <dataValidations count="1">
    <dataValidation type="list" allowBlank="1" showInputMessage="1" showErrorMessage="1" sqref="E4" xr:uid="{0D5F5B07-5293-4D47-AD8D-1CD357765011}">
      <formula1>"quarter,hour,day,week,month,year,维表"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826F-859D-4ABD-A7C1-1DD7BC1EA5AE}">
  <dimension ref="A1:Q49"/>
  <sheetViews>
    <sheetView zoomScale="85" zoomScaleNormal="85" workbookViewId="0">
      <pane ySplit="5" topLeftCell="A6" activePane="bottomLeft" state="frozen"/>
      <selection activeCell="B114" sqref="B114"/>
      <selection pane="bottomLeft" activeCell="G9" sqref="G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7.5546875" style="4" customWidth="1"/>
    <col min="7" max="7" width="31.77734375" style="4" customWidth="1"/>
    <col min="8" max="8" width="8.66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 ht="2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243</v>
      </c>
      <c r="C5" s="9" t="s">
        <v>3081</v>
      </c>
      <c r="D5" s="56" t="s">
        <v>3082</v>
      </c>
      <c r="E5" s="11" t="s">
        <v>97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537</v>
      </c>
      <c r="D9" s="10" t="s">
        <v>2658</v>
      </c>
      <c r="E9" s="11" t="s">
        <v>55</v>
      </c>
      <c r="F9" s="17"/>
      <c r="G9" s="72" t="s">
        <v>3150</v>
      </c>
      <c r="H9" s="14" t="s">
        <v>17</v>
      </c>
    </row>
    <row r="10" spans="2:14">
      <c r="B10" s="11"/>
      <c r="C10" s="9" t="s">
        <v>73</v>
      </c>
      <c r="D10" s="9" t="s">
        <v>263</v>
      </c>
      <c r="E10" s="11" t="s">
        <v>1617</v>
      </c>
      <c r="F10" s="17"/>
      <c r="G10" s="17"/>
      <c r="H10" s="14"/>
    </row>
    <row r="11" spans="2:14">
      <c r="B11" s="11"/>
      <c r="C11" s="9" t="s">
        <v>3083</v>
      </c>
      <c r="D11" s="9" t="s">
        <v>3084</v>
      </c>
      <c r="E11" s="11" t="s">
        <v>271</v>
      </c>
      <c r="F11" s="17"/>
      <c r="G11" s="17"/>
      <c r="H11" s="14"/>
    </row>
    <row r="13" spans="2:14">
      <c r="B13" s="4" t="s">
        <v>32</v>
      </c>
    </row>
    <row r="14" spans="2:14">
      <c r="B14" s="124" t="s">
        <v>32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5" spans="2:14" ht="24">
      <c r="B15" s="7" t="s">
        <v>33</v>
      </c>
      <c r="C15" s="7" t="s">
        <v>34</v>
      </c>
      <c r="D15" s="7" t="s">
        <v>35</v>
      </c>
      <c r="E15" s="7" t="s">
        <v>36</v>
      </c>
      <c r="F15" s="12" t="s">
        <v>37</v>
      </c>
      <c r="G15" s="12" t="s">
        <v>38</v>
      </c>
      <c r="H15" s="7" t="s">
        <v>39</v>
      </c>
      <c r="I15" s="7" t="s">
        <v>14</v>
      </c>
      <c r="J15" s="7" t="s">
        <v>40</v>
      </c>
      <c r="K15" s="7" t="s">
        <v>41</v>
      </c>
      <c r="L15" s="7" t="s">
        <v>42</v>
      </c>
    </row>
    <row r="16" spans="2:14" s="1" customFormat="1">
      <c r="B16" s="22" t="s">
        <v>1270</v>
      </c>
      <c r="C16" s="22" t="s">
        <v>43</v>
      </c>
      <c r="D16" s="9" t="s">
        <v>1271</v>
      </c>
      <c r="E16" s="16" t="s">
        <v>128</v>
      </c>
      <c r="F16" s="17" t="s">
        <v>1300</v>
      </c>
      <c r="G16" s="17" t="s">
        <v>129</v>
      </c>
      <c r="H16" s="18"/>
      <c r="I16" s="19"/>
      <c r="J16" s="19" t="s">
        <v>259</v>
      </c>
      <c r="K16" s="19" t="s">
        <v>132</v>
      </c>
      <c r="L16" s="19" t="s">
        <v>132</v>
      </c>
    </row>
    <row r="17" spans="2:12" s="1" customFormat="1">
      <c r="B17" s="22" t="s">
        <v>58</v>
      </c>
      <c r="C17" s="22" t="s">
        <v>43</v>
      </c>
      <c r="D17" s="9" t="s">
        <v>59</v>
      </c>
      <c r="E17" s="16" t="s">
        <v>128</v>
      </c>
      <c r="F17" s="17" t="s">
        <v>1921</v>
      </c>
      <c r="G17" s="17" t="s">
        <v>129</v>
      </c>
      <c r="H17" s="18"/>
      <c r="I17" s="19"/>
      <c r="J17" s="19" t="s">
        <v>259</v>
      </c>
      <c r="K17" s="19" t="s">
        <v>132</v>
      </c>
      <c r="L17" s="19" t="s">
        <v>132</v>
      </c>
    </row>
    <row r="18" spans="2:12" s="1" customFormat="1">
      <c r="B18" s="22" t="s">
        <v>3085</v>
      </c>
      <c r="C18" s="22" t="s">
        <v>45</v>
      </c>
      <c r="D18" s="9" t="s">
        <v>3110</v>
      </c>
      <c r="E18" s="16" t="s">
        <v>128</v>
      </c>
      <c r="F18" s="17"/>
      <c r="G18" s="17" t="s">
        <v>3141</v>
      </c>
      <c r="H18" s="18"/>
      <c r="I18" s="19"/>
      <c r="J18" s="19" t="s">
        <v>259</v>
      </c>
      <c r="K18" s="19" t="s">
        <v>132</v>
      </c>
      <c r="L18" s="19" t="s">
        <v>132</v>
      </c>
    </row>
    <row r="19" spans="2:12" s="1" customFormat="1">
      <c r="B19" s="22" t="s">
        <v>1176</v>
      </c>
      <c r="C19" s="22" t="s">
        <v>46</v>
      </c>
      <c r="D19" s="9" t="s">
        <v>1177</v>
      </c>
      <c r="E19" s="16" t="s">
        <v>128</v>
      </c>
      <c r="F19" s="17"/>
      <c r="G19" s="17" t="s">
        <v>3142</v>
      </c>
      <c r="H19" s="18"/>
      <c r="I19" s="19"/>
      <c r="J19" s="19" t="s">
        <v>259</v>
      </c>
      <c r="K19" s="19" t="s">
        <v>132</v>
      </c>
      <c r="L19" s="19" t="s">
        <v>132</v>
      </c>
    </row>
    <row r="20" spans="2:12" s="1" customFormat="1">
      <c r="B20" s="22" t="s">
        <v>344</v>
      </c>
      <c r="C20" s="22" t="s">
        <v>1322</v>
      </c>
      <c r="D20" s="9" t="s">
        <v>3111</v>
      </c>
      <c r="E20" s="16" t="s">
        <v>128</v>
      </c>
      <c r="F20" s="17"/>
      <c r="G20" s="17" t="s">
        <v>3143</v>
      </c>
      <c r="H20" s="18"/>
      <c r="I20" s="19"/>
      <c r="J20" s="19" t="s">
        <v>259</v>
      </c>
      <c r="K20" s="19" t="s">
        <v>132</v>
      </c>
      <c r="L20" s="19" t="s">
        <v>132</v>
      </c>
    </row>
    <row r="21" spans="2:12" s="1" customFormat="1">
      <c r="B21" s="22" t="s">
        <v>346</v>
      </c>
      <c r="C21" s="22" t="s">
        <v>1322</v>
      </c>
      <c r="D21" s="9" t="s">
        <v>3112</v>
      </c>
      <c r="E21" s="16" t="s">
        <v>128</v>
      </c>
      <c r="F21" s="17"/>
      <c r="G21" s="17" t="s">
        <v>3144</v>
      </c>
      <c r="H21" s="18"/>
      <c r="I21" s="19"/>
      <c r="J21" s="19" t="s">
        <v>259</v>
      </c>
      <c r="K21" s="19" t="s">
        <v>132</v>
      </c>
      <c r="L21" s="19" t="s">
        <v>132</v>
      </c>
    </row>
    <row r="22" spans="2:12" s="1" customFormat="1">
      <c r="B22" s="22" t="s">
        <v>3086</v>
      </c>
      <c r="C22" s="22" t="s">
        <v>46</v>
      </c>
      <c r="D22" s="9" t="s">
        <v>3113</v>
      </c>
      <c r="E22" s="16" t="s">
        <v>271</v>
      </c>
      <c r="F22" s="17" t="s">
        <v>3086</v>
      </c>
      <c r="G22" s="17" t="s">
        <v>129</v>
      </c>
      <c r="H22" s="18"/>
      <c r="I22" s="19"/>
      <c r="J22" s="19" t="s">
        <v>259</v>
      </c>
      <c r="K22" s="19" t="s">
        <v>132</v>
      </c>
      <c r="L22" s="19" t="s">
        <v>132</v>
      </c>
    </row>
    <row r="23" spans="2:12" s="1" customFormat="1">
      <c r="B23" s="22" t="s">
        <v>3087</v>
      </c>
      <c r="C23" s="22" t="s">
        <v>56</v>
      </c>
      <c r="D23" s="9" t="s">
        <v>3114</v>
      </c>
      <c r="E23" s="16" t="s">
        <v>271</v>
      </c>
      <c r="F23" s="17" t="s">
        <v>3087</v>
      </c>
      <c r="G23" s="17" t="s">
        <v>129</v>
      </c>
      <c r="H23" s="18"/>
      <c r="I23" s="19"/>
      <c r="J23" s="19" t="s">
        <v>259</v>
      </c>
      <c r="K23" s="19" t="s">
        <v>132</v>
      </c>
      <c r="L23" s="19" t="s">
        <v>132</v>
      </c>
    </row>
    <row r="24" spans="2:12" s="1" customFormat="1">
      <c r="B24" s="22" t="s">
        <v>3088</v>
      </c>
      <c r="C24" s="22" t="s">
        <v>56</v>
      </c>
      <c r="D24" s="9" t="s">
        <v>3115</v>
      </c>
      <c r="E24" s="16" t="s">
        <v>271</v>
      </c>
      <c r="F24" s="17" t="s">
        <v>3088</v>
      </c>
      <c r="G24" s="17" t="s">
        <v>129</v>
      </c>
      <c r="H24" s="18"/>
      <c r="I24" s="19"/>
      <c r="J24" s="19" t="s">
        <v>259</v>
      </c>
      <c r="K24" s="19" t="s">
        <v>132</v>
      </c>
      <c r="L24" s="19" t="s">
        <v>132</v>
      </c>
    </row>
    <row r="25" spans="2:12" s="1" customFormat="1">
      <c r="B25" s="22" t="s">
        <v>3089</v>
      </c>
      <c r="C25" s="22" t="s">
        <v>43</v>
      </c>
      <c r="D25" s="9" t="s">
        <v>3116</v>
      </c>
      <c r="E25" s="16" t="s">
        <v>128</v>
      </c>
      <c r="F25" s="17"/>
      <c r="G25" s="17" t="s">
        <v>3145</v>
      </c>
      <c r="H25" s="18"/>
      <c r="I25" s="19"/>
      <c r="J25" s="19" t="s">
        <v>259</v>
      </c>
      <c r="K25" s="19" t="s">
        <v>132</v>
      </c>
      <c r="L25" s="19" t="s">
        <v>132</v>
      </c>
    </row>
    <row r="26" spans="2:12" s="1" customFormat="1">
      <c r="B26" s="22" t="s">
        <v>3090</v>
      </c>
      <c r="C26" s="22" t="s">
        <v>43</v>
      </c>
      <c r="D26" s="9" t="s">
        <v>3117</v>
      </c>
      <c r="E26" s="16" t="s">
        <v>128</v>
      </c>
      <c r="F26" s="17"/>
      <c r="G26" s="17" t="s">
        <v>3146</v>
      </c>
      <c r="H26" s="18"/>
      <c r="I26" s="64"/>
      <c r="J26" s="19" t="s">
        <v>259</v>
      </c>
      <c r="K26" s="19" t="s">
        <v>132</v>
      </c>
      <c r="L26" s="19" t="s">
        <v>132</v>
      </c>
    </row>
    <row r="27" spans="2:12" s="1" customFormat="1">
      <c r="B27" s="22" t="s">
        <v>3135</v>
      </c>
      <c r="C27" s="22" t="s">
        <v>43</v>
      </c>
      <c r="D27" s="9" t="s">
        <v>3136</v>
      </c>
      <c r="E27" s="16" t="s">
        <v>128</v>
      </c>
      <c r="F27" s="17"/>
      <c r="G27" s="17" t="s">
        <v>3140</v>
      </c>
      <c r="H27" s="18"/>
      <c r="I27" s="20"/>
      <c r="J27" s="19" t="s">
        <v>259</v>
      </c>
      <c r="K27" s="19" t="s">
        <v>132</v>
      </c>
      <c r="L27" s="19" t="s">
        <v>132</v>
      </c>
    </row>
    <row r="28" spans="2:12" s="1" customFormat="1">
      <c r="B28" s="22" t="s">
        <v>3091</v>
      </c>
      <c r="C28" s="22" t="s">
        <v>46</v>
      </c>
      <c r="D28" s="9" t="s">
        <v>3118</v>
      </c>
      <c r="E28" s="16" t="s">
        <v>271</v>
      </c>
      <c r="F28" s="17" t="s">
        <v>3091</v>
      </c>
      <c r="G28" s="17" t="s">
        <v>129</v>
      </c>
      <c r="H28" s="18"/>
      <c r="I28" s="19"/>
      <c r="J28" s="19" t="s">
        <v>259</v>
      </c>
      <c r="K28" s="19" t="s">
        <v>132</v>
      </c>
      <c r="L28" s="19" t="s">
        <v>132</v>
      </c>
    </row>
    <row r="29" spans="2:12" s="1" customFormat="1">
      <c r="B29" s="22" t="s">
        <v>3092</v>
      </c>
      <c r="C29" s="22" t="s">
        <v>3093</v>
      </c>
      <c r="D29" s="9" t="s">
        <v>3119</v>
      </c>
      <c r="E29" s="16" t="s">
        <v>271</v>
      </c>
      <c r="F29" s="17" t="s">
        <v>3092</v>
      </c>
      <c r="G29" s="17" t="s">
        <v>129</v>
      </c>
      <c r="H29" s="18"/>
      <c r="I29" s="19"/>
      <c r="J29" s="19" t="s">
        <v>259</v>
      </c>
      <c r="K29" s="19" t="s">
        <v>132</v>
      </c>
      <c r="L29" s="19" t="s">
        <v>132</v>
      </c>
    </row>
    <row r="30" spans="2:12" s="1" customFormat="1">
      <c r="B30" s="22" t="s">
        <v>3094</v>
      </c>
      <c r="C30" s="22" t="s">
        <v>3093</v>
      </c>
      <c r="D30" s="9" t="s">
        <v>3120</v>
      </c>
      <c r="E30" s="16" t="s">
        <v>271</v>
      </c>
      <c r="F30" s="17" t="s">
        <v>3094</v>
      </c>
      <c r="G30" s="17" t="s">
        <v>129</v>
      </c>
      <c r="H30" s="18"/>
      <c r="I30" s="19"/>
      <c r="J30" s="19" t="s">
        <v>259</v>
      </c>
      <c r="K30" s="19" t="s">
        <v>132</v>
      </c>
      <c r="L30" s="19" t="s">
        <v>132</v>
      </c>
    </row>
    <row r="31" spans="2:12" s="1" customFormat="1">
      <c r="B31" s="22" t="s">
        <v>3095</v>
      </c>
      <c r="C31" s="22" t="s">
        <v>3093</v>
      </c>
      <c r="D31" s="9" t="s">
        <v>3121</v>
      </c>
      <c r="E31" s="16" t="s">
        <v>271</v>
      </c>
      <c r="F31" s="17" t="s">
        <v>3095</v>
      </c>
      <c r="G31" s="17" t="s">
        <v>129</v>
      </c>
      <c r="H31" s="18"/>
      <c r="I31" s="19"/>
      <c r="J31" s="19" t="s">
        <v>259</v>
      </c>
      <c r="K31" s="19" t="s">
        <v>132</v>
      </c>
      <c r="L31" s="19" t="s">
        <v>132</v>
      </c>
    </row>
    <row r="32" spans="2:12" s="1" customFormat="1">
      <c r="B32" s="22" t="s">
        <v>3096</v>
      </c>
      <c r="C32" s="22" t="s">
        <v>3093</v>
      </c>
      <c r="D32" s="9" t="s">
        <v>3122</v>
      </c>
      <c r="E32" s="16" t="s">
        <v>271</v>
      </c>
      <c r="F32" s="17" t="s">
        <v>3096</v>
      </c>
      <c r="G32" s="17" t="s">
        <v>129</v>
      </c>
      <c r="H32" s="18"/>
      <c r="I32" s="19"/>
      <c r="J32" s="19" t="s">
        <v>259</v>
      </c>
      <c r="K32" s="19" t="s">
        <v>132</v>
      </c>
      <c r="L32" s="19" t="s">
        <v>132</v>
      </c>
    </row>
    <row r="33" spans="2:17" s="1" customFormat="1">
      <c r="B33" s="22" t="s">
        <v>3097</v>
      </c>
      <c r="C33" s="22" t="s">
        <v>3093</v>
      </c>
      <c r="D33" s="9" t="s">
        <v>3123</v>
      </c>
      <c r="E33" s="16" t="s">
        <v>271</v>
      </c>
      <c r="F33" s="17" t="s">
        <v>3097</v>
      </c>
      <c r="G33" s="17" t="s">
        <v>129</v>
      </c>
      <c r="H33" s="18"/>
      <c r="I33" s="19"/>
      <c r="J33" s="19" t="s">
        <v>259</v>
      </c>
      <c r="K33" s="19" t="s">
        <v>132</v>
      </c>
      <c r="L33" s="19" t="s">
        <v>132</v>
      </c>
    </row>
    <row r="34" spans="2:17" s="1" customFormat="1">
      <c r="B34" s="22" t="s">
        <v>3098</v>
      </c>
      <c r="C34" s="22" t="s">
        <v>3093</v>
      </c>
      <c r="D34" s="9" t="s">
        <v>3124</v>
      </c>
      <c r="E34" s="16" t="s">
        <v>271</v>
      </c>
      <c r="F34" s="17" t="s">
        <v>3098</v>
      </c>
      <c r="G34" s="17" t="s">
        <v>129</v>
      </c>
      <c r="H34" s="18"/>
      <c r="I34" s="19"/>
      <c r="J34" s="19" t="s">
        <v>259</v>
      </c>
      <c r="K34" s="19" t="s">
        <v>132</v>
      </c>
      <c r="L34" s="19" t="s">
        <v>132</v>
      </c>
    </row>
    <row r="35" spans="2:17" s="1" customFormat="1">
      <c r="B35" s="22" t="s">
        <v>3099</v>
      </c>
      <c r="C35" s="22" t="s">
        <v>3093</v>
      </c>
      <c r="D35" s="9" t="s">
        <v>3125</v>
      </c>
      <c r="E35" s="16" t="s">
        <v>271</v>
      </c>
      <c r="F35" s="17" t="s">
        <v>3099</v>
      </c>
      <c r="G35" s="17" t="s">
        <v>129</v>
      </c>
      <c r="H35" s="18"/>
      <c r="I35" s="19"/>
      <c r="J35" s="19" t="s">
        <v>259</v>
      </c>
      <c r="K35" s="19" t="s">
        <v>132</v>
      </c>
      <c r="L35" s="19" t="s">
        <v>132</v>
      </c>
    </row>
    <row r="36" spans="2:17" s="1" customFormat="1">
      <c r="B36" s="22" t="s">
        <v>3100</v>
      </c>
      <c r="C36" s="22" t="s">
        <v>45</v>
      </c>
      <c r="D36" s="9" t="s">
        <v>3126</v>
      </c>
      <c r="E36" s="16" t="s">
        <v>271</v>
      </c>
      <c r="F36" s="17" t="s">
        <v>3100</v>
      </c>
      <c r="G36" s="17" t="s">
        <v>129</v>
      </c>
      <c r="H36" s="18"/>
      <c r="I36" s="19"/>
      <c r="J36" s="19" t="s">
        <v>259</v>
      </c>
      <c r="K36" s="19" t="s">
        <v>132</v>
      </c>
      <c r="L36" s="19" t="s">
        <v>132</v>
      </c>
    </row>
    <row r="37" spans="2:17" s="1" customFormat="1">
      <c r="B37" s="22" t="s">
        <v>3101</v>
      </c>
      <c r="C37" s="62" t="s">
        <v>43</v>
      </c>
      <c r="D37" s="9" t="s">
        <v>3127</v>
      </c>
      <c r="E37" s="16" t="s">
        <v>271</v>
      </c>
      <c r="F37" s="17" t="s">
        <v>3101</v>
      </c>
      <c r="G37" s="17" t="s">
        <v>129</v>
      </c>
      <c r="H37" s="18"/>
      <c r="I37" s="19"/>
      <c r="J37" s="19" t="s">
        <v>259</v>
      </c>
      <c r="K37" s="19" t="s">
        <v>132</v>
      </c>
      <c r="L37" s="19" t="s">
        <v>132</v>
      </c>
    </row>
    <row r="38" spans="2:17" s="1" customFormat="1">
      <c r="B38" s="22" t="s">
        <v>3134</v>
      </c>
      <c r="C38" s="62" t="s">
        <v>46</v>
      </c>
      <c r="D38" s="9" t="s">
        <v>3137</v>
      </c>
      <c r="E38" s="16" t="s">
        <v>3139</v>
      </c>
      <c r="F38" s="17"/>
      <c r="G38" s="17" t="s">
        <v>3147</v>
      </c>
      <c r="H38" s="18"/>
      <c r="I38" s="19"/>
      <c r="J38" s="19" t="s">
        <v>259</v>
      </c>
      <c r="K38" s="19" t="s">
        <v>132</v>
      </c>
      <c r="L38" s="19" t="s">
        <v>132</v>
      </c>
    </row>
    <row r="39" spans="2:17" s="1" customFormat="1">
      <c r="B39" s="22" t="s">
        <v>3102</v>
      </c>
      <c r="C39" s="62" t="s">
        <v>46</v>
      </c>
      <c r="D39" s="9" t="s">
        <v>3128</v>
      </c>
      <c r="E39" s="16" t="s">
        <v>271</v>
      </c>
      <c r="F39" s="17" t="s">
        <v>3102</v>
      </c>
      <c r="G39" s="17" t="s">
        <v>129</v>
      </c>
      <c r="H39" s="18"/>
      <c r="I39" s="19"/>
      <c r="J39" s="19" t="s">
        <v>259</v>
      </c>
      <c r="K39" s="19" t="s">
        <v>132</v>
      </c>
      <c r="L39" s="19" t="s">
        <v>132</v>
      </c>
    </row>
    <row r="40" spans="2:17" s="1" customFormat="1">
      <c r="B40" s="22" t="s">
        <v>3103</v>
      </c>
      <c r="C40" s="62" t="s">
        <v>46</v>
      </c>
      <c r="D40" s="9" t="s">
        <v>3129</v>
      </c>
      <c r="E40" s="16" t="s">
        <v>271</v>
      </c>
      <c r="F40" s="17" t="s">
        <v>3103</v>
      </c>
      <c r="G40" s="17" t="s">
        <v>129</v>
      </c>
      <c r="H40" s="18"/>
      <c r="I40" s="19"/>
      <c r="J40" s="19" t="s">
        <v>259</v>
      </c>
      <c r="K40" s="19" t="s">
        <v>132</v>
      </c>
      <c r="L40" s="19" t="s">
        <v>132</v>
      </c>
    </row>
    <row r="41" spans="2:17" s="1" customFormat="1">
      <c r="B41" s="22" t="s">
        <v>3104</v>
      </c>
      <c r="C41" s="62" t="s">
        <v>3105</v>
      </c>
      <c r="D41" s="9" t="s">
        <v>3130</v>
      </c>
      <c r="E41" s="16" t="s">
        <v>271</v>
      </c>
      <c r="F41" s="17" t="s">
        <v>3104</v>
      </c>
      <c r="G41" s="17" t="s">
        <v>129</v>
      </c>
      <c r="H41" s="18"/>
      <c r="I41" s="19"/>
      <c r="J41" s="19" t="s">
        <v>259</v>
      </c>
      <c r="K41" s="19" t="s">
        <v>132</v>
      </c>
      <c r="L41" s="19" t="s">
        <v>132</v>
      </c>
    </row>
    <row r="42" spans="2:17" s="1" customFormat="1">
      <c r="B42" s="22" t="s">
        <v>3106</v>
      </c>
      <c r="C42" s="62" t="s">
        <v>56</v>
      </c>
      <c r="D42" s="9" t="s">
        <v>3131</v>
      </c>
      <c r="E42" s="16" t="s">
        <v>271</v>
      </c>
      <c r="F42" s="17" t="s">
        <v>3149</v>
      </c>
      <c r="G42" s="17" t="s">
        <v>129</v>
      </c>
      <c r="H42" s="18"/>
      <c r="I42" s="19"/>
      <c r="J42" s="19" t="s">
        <v>259</v>
      </c>
      <c r="K42" s="19" t="s">
        <v>132</v>
      </c>
      <c r="L42" s="19" t="s">
        <v>132</v>
      </c>
    </row>
    <row r="43" spans="2:17" s="1" customFormat="1">
      <c r="B43" s="22" t="s">
        <v>3107</v>
      </c>
      <c r="C43" s="62" t="s">
        <v>43</v>
      </c>
      <c r="D43" s="9" t="s">
        <v>3132</v>
      </c>
      <c r="E43" s="16" t="s">
        <v>271</v>
      </c>
      <c r="F43" s="17" t="s">
        <v>3107</v>
      </c>
      <c r="G43" s="17" t="s">
        <v>129</v>
      </c>
      <c r="H43" s="18"/>
      <c r="I43" s="19"/>
      <c r="J43" s="19" t="s">
        <v>259</v>
      </c>
      <c r="K43" s="19" t="s">
        <v>132</v>
      </c>
      <c r="L43" s="19" t="s">
        <v>132</v>
      </c>
    </row>
    <row r="44" spans="2:17" s="1" customFormat="1">
      <c r="B44" s="22" t="s">
        <v>3108</v>
      </c>
      <c r="C44" s="62" t="s">
        <v>46</v>
      </c>
      <c r="D44" s="9" t="s">
        <v>3133</v>
      </c>
      <c r="E44" s="16" t="s">
        <v>271</v>
      </c>
      <c r="F44" s="17" t="s">
        <v>3108</v>
      </c>
      <c r="G44" s="17" t="s">
        <v>129</v>
      </c>
      <c r="H44" s="18"/>
      <c r="I44" s="19"/>
      <c r="J44" s="19" t="s">
        <v>259</v>
      </c>
      <c r="K44" s="19" t="s">
        <v>132</v>
      </c>
      <c r="L44" s="19" t="s">
        <v>132</v>
      </c>
    </row>
    <row r="45" spans="2:17" s="1" customFormat="1">
      <c r="B45" s="22" t="s">
        <v>3109</v>
      </c>
      <c r="C45" s="62" t="s">
        <v>56</v>
      </c>
      <c r="D45" s="9" t="s">
        <v>3138</v>
      </c>
      <c r="E45" s="16" t="s">
        <v>3139</v>
      </c>
      <c r="F45" s="17"/>
      <c r="G45" s="17" t="s">
        <v>3148</v>
      </c>
      <c r="H45" s="18"/>
      <c r="I45" s="19"/>
      <c r="J45" s="19" t="s">
        <v>259</v>
      </c>
      <c r="K45" s="19" t="s">
        <v>132</v>
      </c>
      <c r="L45" s="19" t="s">
        <v>132</v>
      </c>
    </row>
    <row r="46" spans="2:17" s="3" customFormat="1">
      <c r="B46" s="23" t="s">
        <v>47</v>
      </c>
      <c r="C46" s="24" t="s">
        <v>46</v>
      </c>
      <c r="D46" s="21" t="s">
        <v>48</v>
      </c>
      <c r="E46" s="44"/>
      <c r="F46" s="44"/>
      <c r="G46" s="44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2:17" s="3" customFormat="1">
      <c r="B47" s="23" t="s">
        <v>49</v>
      </c>
      <c r="C47" s="24" t="s">
        <v>43</v>
      </c>
      <c r="D47" s="21" t="s">
        <v>50</v>
      </c>
      <c r="E47" s="44"/>
      <c r="F47" s="44"/>
      <c r="G47" s="44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 spans="2:17" s="3" customFormat="1">
      <c r="B48" s="23" t="s">
        <v>51</v>
      </c>
      <c r="C48" s="24" t="s">
        <v>46</v>
      </c>
      <c r="D48" s="21" t="s">
        <v>52</v>
      </c>
      <c r="E48" s="44"/>
      <c r="F48" s="44"/>
      <c r="G48" s="44"/>
      <c r="H48" s="23"/>
      <c r="I48" s="23"/>
      <c r="J48" s="23"/>
      <c r="K48" s="23"/>
      <c r="L48" s="23"/>
      <c r="M48" s="23"/>
      <c r="N48" s="23"/>
      <c r="O48" s="23"/>
      <c r="P48" s="23"/>
      <c r="Q48" s="23"/>
    </row>
    <row r="49" spans="2:17" s="3" customFormat="1">
      <c r="B49" s="23" t="s">
        <v>120</v>
      </c>
      <c r="C49" s="24" t="s">
        <v>46</v>
      </c>
      <c r="D49" s="21" t="s">
        <v>270</v>
      </c>
      <c r="E49" s="44"/>
      <c r="F49" s="44"/>
      <c r="G49" s="44"/>
      <c r="H49" s="23"/>
      <c r="I49" s="23"/>
      <c r="J49" s="23"/>
      <c r="K49" s="23"/>
      <c r="L49" s="23"/>
      <c r="M49" s="23"/>
      <c r="N49" s="23"/>
      <c r="O49" s="23"/>
      <c r="P49" s="23"/>
      <c r="Q49" s="23"/>
    </row>
  </sheetData>
  <autoFilter ref="A15:Q48" xr:uid="{00000000-0009-0000-0000-00000B000000}"/>
  <mergeCells count="4">
    <mergeCell ref="B2:H2"/>
    <mergeCell ref="B3:H3"/>
    <mergeCell ref="B7:H7"/>
    <mergeCell ref="B14:L14"/>
  </mergeCells>
  <phoneticPr fontId="1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C41A-A42E-4B28-B50B-D5205060E5B9}">
  <sheetPr codeName="Sheet4"/>
  <dimension ref="A1:Q152"/>
  <sheetViews>
    <sheetView zoomScale="85" zoomScaleNormal="85" workbookViewId="0">
      <pane ySplit="5" topLeftCell="A6" activePane="bottomLeft" state="frozen"/>
      <selection activeCell="B114" sqref="B114"/>
      <selection pane="bottomLeft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7.5546875" style="4" customWidth="1"/>
    <col min="7" max="7" width="31.77734375" style="4" customWidth="1"/>
    <col min="8" max="8" width="8.66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 ht="2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243</v>
      </c>
      <c r="C5" s="9" t="s">
        <v>3151</v>
      </c>
      <c r="D5" s="10" t="s">
        <v>323</v>
      </c>
      <c r="E5" s="11" t="s">
        <v>92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537</v>
      </c>
      <c r="D9" s="10" t="s">
        <v>2658</v>
      </c>
      <c r="E9" s="11" t="s">
        <v>55</v>
      </c>
      <c r="F9" s="17"/>
      <c r="G9" s="17"/>
      <c r="H9" s="14" t="s">
        <v>17</v>
      </c>
    </row>
    <row r="10" spans="2:14">
      <c r="B10" s="11"/>
      <c r="C10" s="9" t="s">
        <v>73</v>
      </c>
      <c r="D10" s="9" t="s">
        <v>263</v>
      </c>
      <c r="E10" s="11" t="s">
        <v>75</v>
      </c>
      <c r="F10" s="17"/>
      <c r="G10" s="17" t="s">
        <v>633</v>
      </c>
      <c r="H10" s="14"/>
    </row>
    <row r="11" spans="2:14">
      <c r="B11" s="11"/>
      <c r="C11" s="9" t="s">
        <v>325</v>
      </c>
      <c r="D11" s="9" t="s">
        <v>327</v>
      </c>
      <c r="E11" s="11" t="s">
        <v>328</v>
      </c>
      <c r="F11" s="17"/>
      <c r="G11" s="17" t="s">
        <v>634</v>
      </c>
      <c r="H11" s="14"/>
    </row>
    <row r="12" spans="2:14">
      <c r="B12" s="11"/>
      <c r="C12" s="9" t="s">
        <v>326</v>
      </c>
      <c r="D12" s="9" t="s">
        <v>74</v>
      </c>
      <c r="E12" s="11" t="s">
        <v>76</v>
      </c>
      <c r="F12" s="17"/>
      <c r="G12" s="17" t="s">
        <v>635</v>
      </c>
      <c r="H12" s="14"/>
    </row>
    <row r="13" spans="2:14">
      <c r="B13" s="11"/>
      <c r="C13" s="55" t="s">
        <v>828</v>
      </c>
      <c r="D13" s="56" t="s">
        <v>894</v>
      </c>
      <c r="E13" s="11" t="s">
        <v>271</v>
      </c>
      <c r="F13" s="17"/>
      <c r="G13" s="17" t="s">
        <v>636</v>
      </c>
      <c r="H13" s="14"/>
    </row>
    <row r="14" spans="2:14">
      <c r="B14" s="11"/>
      <c r="C14" s="55" t="s">
        <v>1159</v>
      </c>
      <c r="D14" s="56" t="s">
        <v>911</v>
      </c>
      <c r="E14" s="11" t="s">
        <v>996</v>
      </c>
      <c r="F14" s="17"/>
      <c r="G14" s="17" t="s">
        <v>998</v>
      </c>
      <c r="H14" s="83"/>
    </row>
    <row r="16" spans="2:14">
      <c r="B16" s="4" t="s">
        <v>32</v>
      </c>
    </row>
    <row r="17" spans="2:12">
      <c r="B17" s="124" t="s">
        <v>32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</row>
    <row r="18" spans="2:12" ht="24">
      <c r="B18" s="7" t="s">
        <v>33</v>
      </c>
      <c r="C18" s="7" t="s">
        <v>34</v>
      </c>
      <c r="D18" s="7" t="s">
        <v>35</v>
      </c>
      <c r="E18" s="7" t="s">
        <v>36</v>
      </c>
      <c r="F18" s="12" t="s">
        <v>37</v>
      </c>
      <c r="G18" s="12" t="s">
        <v>38</v>
      </c>
      <c r="H18" s="7" t="s">
        <v>39</v>
      </c>
      <c r="I18" s="7" t="s">
        <v>14</v>
      </c>
      <c r="J18" s="7" t="s">
        <v>40</v>
      </c>
      <c r="K18" s="7" t="s">
        <v>41</v>
      </c>
      <c r="L18" s="7" t="s">
        <v>42</v>
      </c>
    </row>
    <row r="19" spans="2:12" s="1" customFormat="1">
      <c r="B19" s="22" t="s">
        <v>77</v>
      </c>
      <c r="C19" s="22" t="s">
        <v>46</v>
      </c>
      <c r="D19" s="9" t="s">
        <v>329</v>
      </c>
      <c r="E19" s="16" t="s">
        <v>897</v>
      </c>
      <c r="F19" s="17"/>
      <c r="G19" s="17" t="s">
        <v>510</v>
      </c>
      <c r="H19" s="18"/>
      <c r="I19" s="19"/>
      <c r="J19" s="19" t="s">
        <v>269</v>
      </c>
      <c r="K19" s="19" t="s">
        <v>132</v>
      </c>
      <c r="L19" s="19" t="s">
        <v>132</v>
      </c>
    </row>
    <row r="20" spans="2:12" s="1" customFormat="1">
      <c r="B20" s="22" t="s">
        <v>81</v>
      </c>
      <c r="C20" s="22" t="s">
        <v>43</v>
      </c>
      <c r="D20" s="9" t="s">
        <v>330</v>
      </c>
      <c r="E20" s="16" t="s">
        <v>897</v>
      </c>
      <c r="F20" s="17"/>
      <c r="G20" s="17" t="s">
        <v>510</v>
      </c>
      <c r="H20" s="18"/>
      <c r="I20" s="19"/>
      <c r="J20" s="19" t="s">
        <v>269</v>
      </c>
      <c r="K20" s="19" t="s">
        <v>132</v>
      </c>
      <c r="L20" s="19" t="s">
        <v>132</v>
      </c>
    </row>
    <row r="21" spans="2:12" s="1" customFormat="1">
      <c r="B21" s="22" t="s">
        <v>58</v>
      </c>
      <c r="C21" s="22" t="s">
        <v>43</v>
      </c>
      <c r="D21" s="9" t="s">
        <v>59</v>
      </c>
      <c r="E21" s="16" t="s">
        <v>897</v>
      </c>
      <c r="F21" s="17"/>
      <c r="G21" s="17" t="s">
        <v>191</v>
      </c>
      <c r="H21" s="18"/>
      <c r="I21" s="19"/>
      <c r="J21" s="19" t="s">
        <v>269</v>
      </c>
      <c r="K21" s="19" t="s">
        <v>132</v>
      </c>
      <c r="L21" s="19" t="s">
        <v>132</v>
      </c>
    </row>
    <row r="22" spans="2:12" s="1" customFormat="1">
      <c r="B22" s="22" t="s">
        <v>82</v>
      </c>
      <c r="C22" s="22" t="s">
        <v>43</v>
      </c>
      <c r="D22" s="9" t="s">
        <v>283</v>
      </c>
      <c r="E22" s="16" t="s">
        <v>897</v>
      </c>
      <c r="F22" s="17" t="s">
        <v>82</v>
      </c>
      <c r="G22" s="17" t="s">
        <v>510</v>
      </c>
      <c r="H22" s="18"/>
      <c r="I22" s="19"/>
      <c r="J22" s="19" t="s">
        <v>269</v>
      </c>
      <c r="K22" s="19" t="s">
        <v>132</v>
      </c>
      <c r="L22" s="19" t="s">
        <v>132</v>
      </c>
    </row>
    <row r="23" spans="2:12" s="1" customFormat="1">
      <c r="B23" s="22" t="s">
        <v>83</v>
      </c>
      <c r="C23" s="22" t="s">
        <v>43</v>
      </c>
      <c r="D23" s="9" t="s">
        <v>284</v>
      </c>
      <c r="E23" s="16" t="s">
        <v>897</v>
      </c>
      <c r="F23" s="17" t="s">
        <v>83</v>
      </c>
      <c r="G23" s="17" t="s">
        <v>510</v>
      </c>
      <c r="H23" s="18"/>
      <c r="I23" s="19"/>
      <c r="J23" s="19" t="s">
        <v>269</v>
      </c>
      <c r="K23" s="19" t="s">
        <v>132</v>
      </c>
      <c r="L23" s="19" t="s">
        <v>132</v>
      </c>
    </row>
    <row r="24" spans="2:12" s="1" customFormat="1">
      <c r="B24" s="22" t="s">
        <v>331</v>
      </c>
      <c r="C24" s="22" t="s">
        <v>43</v>
      </c>
      <c r="D24" s="9" t="s">
        <v>332</v>
      </c>
      <c r="E24" s="16" t="s">
        <v>897</v>
      </c>
      <c r="F24" s="17" t="s">
        <v>331</v>
      </c>
      <c r="G24" s="17" t="s">
        <v>510</v>
      </c>
      <c r="H24" s="18"/>
      <c r="I24" s="19"/>
      <c r="J24" s="19" t="s">
        <v>269</v>
      </c>
      <c r="K24" s="19" t="s">
        <v>132</v>
      </c>
      <c r="L24" s="19" t="s">
        <v>132</v>
      </c>
    </row>
    <row r="25" spans="2:12" s="1" customFormat="1">
      <c r="B25" s="22" t="s">
        <v>333</v>
      </c>
      <c r="C25" s="22" t="s">
        <v>46</v>
      </c>
      <c r="D25" s="9" t="s">
        <v>334</v>
      </c>
      <c r="E25" s="16" t="s">
        <v>897</v>
      </c>
      <c r="F25" s="17" t="s">
        <v>333</v>
      </c>
      <c r="G25" s="17" t="s">
        <v>510</v>
      </c>
      <c r="H25" s="18"/>
      <c r="I25" s="19"/>
      <c r="J25" s="19" t="s">
        <v>269</v>
      </c>
      <c r="K25" s="19" t="s">
        <v>132</v>
      </c>
      <c r="L25" s="19" t="s">
        <v>132</v>
      </c>
    </row>
    <row r="26" spans="2:12" s="1" customFormat="1">
      <c r="B26" s="22" t="s">
        <v>335</v>
      </c>
      <c r="C26" s="22" t="s">
        <v>43</v>
      </c>
      <c r="D26" s="9" t="s">
        <v>336</v>
      </c>
      <c r="E26" s="16" t="s">
        <v>897</v>
      </c>
      <c r="F26" s="17" t="s">
        <v>335</v>
      </c>
      <c r="G26" s="17" t="s">
        <v>510</v>
      </c>
      <c r="H26" s="18"/>
      <c r="I26" s="19"/>
      <c r="J26" s="19" t="s">
        <v>269</v>
      </c>
      <c r="K26" s="19" t="s">
        <v>132</v>
      </c>
      <c r="L26" s="19" t="s">
        <v>132</v>
      </c>
    </row>
    <row r="27" spans="2:12" s="1" customFormat="1">
      <c r="B27" s="22" t="s">
        <v>337</v>
      </c>
      <c r="C27" s="22" t="s">
        <v>46</v>
      </c>
      <c r="D27" s="9" t="s">
        <v>338</v>
      </c>
      <c r="E27" s="16" t="s">
        <v>897</v>
      </c>
      <c r="F27" s="17" t="s">
        <v>337</v>
      </c>
      <c r="G27" s="17" t="s">
        <v>510</v>
      </c>
      <c r="H27" s="18"/>
      <c r="I27" s="19"/>
      <c r="J27" s="19" t="s">
        <v>269</v>
      </c>
      <c r="K27" s="19" t="s">
        <v>132</v>
      </c>
      <c r="L27" s="19" t="s">
        <v>132</v>
      </c>
    </row>
    <row r="28" spans="2:12" s="1" customFormat="1">
      <c r="B28" s="22" t="s">
        <v>84</v>
      </c>
      <c r="C28" s="22" t="s">
        <v>43</v>
      </c>
      <c r="D28" s="9" t="s">
        <v>106</v>
      </c>
      <c r="E28" s="16" t="s">
        <v>897</v>
      </c>
      <c r="F28" s="17" t="s">
        <v>84</v>
      </c>
      <c r="G28" s="17" t="s">
        <v>510</v>
      </c>
      <c r="H28" s="18"/>
      <c r="I28" s="19"/>
      <c r="J28" s="19" t="s">
        <v>269</v>
      </c>
      <c r="K28" s="19" t="s">
        <v>132</v>
      </c>
      <c r="L28" s="19" t="s">
        <v>132</v>
      </c>
    </row>
    <row r="29" spans="2:12" s="1" customFormat="1" ht="26.4">
      <c r="B29" s="22" t="s">
        <v>908</v>
      </c>
      <c r="C29" s="22" t="s">
        <v>43</v>
      </c>
      <c r="D29" s="9" t="s">
        <v>340</v>
      </c>
      <c r="E29" s="16" t="s">
        <v>897</v>
      </c>
      <c r="F29" s="17" t="s">
        <v>339</v>
      </c>
      <c r="G29" s="17" t="s">
        <v>510</v>
      </c>
      <c r="H29" s="18"/>
      <c r="I29" s="64" t="s">
        <v>511</v>
      </c>
      <c r="J29" s="19" t="s">
        <v>269</v>
      </c>
      <c r="K29" s="19" t="s">
        <v>132</v>
      </c>
      <c r="L29" s="19" t="s">
        <v>132</v>
      </c>
    </row>
    <row r="30" spans="2:12" s="1" customFormat="1">
      <c r="B30" s="22" t="s">
        <v>78</v>
      </c>
      <c r="C30" s="22" t="s">
        <v>43</v>
      </c>
      <c r="D30" s="9" t="s">
        <v>103</v>
      </c>
      <c r="E30" s="16" t="s">
        <v>897</v>
      </c>
      <c r="F30" s="17" t="s">
        <v>78</v>
      </c>
      <c r="G30" s="17" t="s">
        <v>510</v>
      </c>
      <c r="H30" s="18"/>
      <c r="I30" s="20" t="s">
        <v>512</v>
      </c>
      <c r="J30" s="19" t="s">
        <v>269</v>
      </c>
      <c r="K30" s="19" t="s">
        <v>132</v>
      </c>
      <c r="L30" s="19" t="s">
        <v>132</v>
      </c>
    </row>
    <row r="31" spans="2:12" s="1" customFormat="1">
      <c r="B31" s="22" t="s">
        <v>79</v>
      </c>
      <c r="C31" s="22" t="s">
        <v>43</v>
      </c>
      <c r="D31" s="9" t="s">
        <v>104</v>
      </c>
      <c r="E31" s="16" t="s">
        <v>897</v>
      </c>
      <c r="F31" s="17" t="s">
        <v>79</v>
      </c>
      <c r="G31" s="17" t="s">
        <v>510</v>
      </c>
      <c r="H31" s="18"/>
      <c r="I31" s="19"/>
      <c r="J31" s="19" t="s">
        <v>269</v>
      </c>
      <c r="K31" s="19" t="s">
        <v>132</v>
      </c>
      <c r="L31" s="19" t="s">
        <v>132</v>
      </c>
    </row>
    <row r="32" spans="2:12" s="1" customFormat="1">
      <c r="B32" s="22" t="s">
        <v>80</v>
      </c>
      <c r="C32" s="22" t="s">
        <v>46</v>
      </c>
      <c r="D32" s="9" t="s">
        <v>341</v>
      </c>
      <c r="E32" s="16" t="s">
        <v>897</v>
      </c>
      <c r="F32" s="17" t="s">
        <v>80</v>
      </c>
      <c r="G32" s="17" t="s">
        <v>510</v>
      </c>
      <c r="H32" s="18"/>
      <c r="I32" s="19"/>
      <c r="J32" s="19" t="s">
        <v>269</v>
      </c>
      <c r="K32" s="19" t="s">
        <v>132</v>
      </c>
      <c r="L32" s="19" t="s">
        <v>132</v>
      </c>
    </row>
    <row r="33" spans="2:12" s="1" customFormat="1">
      <c r="B33" s="22" t="s">
        <v>342</v>
      </c>
      <c r="C33" s="22" t="s">
        <v>46</v>
      </c>
      <c r="D33" s="9" t="s">
        <v>343</v>
      </c>
      <c r="E33" s="16" t="s">
        <v>897</v>
      </c>
      <c r="F33" s="17" t="s">
        <v>342</v>
      </c>
      <c r="G33" s="17" t="s">
        <v>510</v>
      </c>
      <c r="H33" s="18"/>
      <c r="I33" s="19"/>
      <c r="J33" s="19" t="s">
        <v>269</v>
      </c>
      <c r="K33" s="19" t="s">
        <v>132</v>
      </c>
      <c r="L33" s="19" t="s">
        <v>132</v>
      </c>
    </row>
    <row r="34" spans="2:12" s="1" customFormat="1">
      <c r="B34" s="22" t="s">
        <v>904</v>
      </c>
      <c r="C34" s="22" t="s">
        <v>43</v>
      </c>
      <c r="D34" s="9" t="s">
        <v>107</v>
      </c>
      <c r="E34" s="16" t="s">
        <v>897</v>
      </c>
      <c r="F34" s="17"/>
      <c r="G34" s="17" t="s">
        <v>905</v>
      </c>
      <c r="H34" s="18"/>
      <c r="I34" s="19"/>
      <c r="J34" s="19" t="s">
        <v>269</v>
      </c>
      <c r="K34" s="19" t="s">
        <v>132</v>
      </c>
      <c r="L34" s="19" t="s">
        <v>132</v>
      </c>
    </row>
    <row r="35" spans="2:12" s="1" customFormat="1">
      <c r="B35" s="22" t="s">
        <v>1302</v>
      </c>
      <c r="C35" s="22" t="s">
        <v>43</v>
      </c>
      <c r="D35" s="9" t="s">
        <v>345</v>
      </c>
      <c r="E35" s="16" t="s">
        <v>897</v>
      </c>
      <c r="F35" s="17" t="s">
        <v>344</v>
      </c>
      <c r="G35" s="17" t="s">
        <v>510</v>
      </c>
      <c r="H35" s="18"/>
      <c r="I35" s="19"/>
      <c r="J35" s="19" t="s">
        <v>269</v>
      </c>
      <c r="K35" s="19" t="s">
        <v>132</v>
      </c>
      <c r="L35" s="19" t="s">
        <v>132</v>
      </c>
    </row>
    <row r="36" spans="2:12" s="1" customFormat="1">
      <c r="B36" s="22" t="s">
        <v>1303</v>
      </c>
      <c r="C36" s="22" t="s">
        <v>43</v>
      </c>
      <c r="D36" s="9" t="s">
        <v>347</v>
      </c>
      <c r="E36" s="16" t="s">
        <v>897</v>
      </c>
      <c r="F36" s="17" t="s">
        <v>346</v>
      </c>
      <c r="G36" s="17" t="s">
        <v>510</v>
      </c>
      <c r="H36" s="18"/>
      <c r="I36" s="19"/>
      <c r="J36" s="19" t="s">
        <v>269</v>
      </c>
      <c r="K36" s="19" t="s">
        <v>132</v>
      </c>
      <c r="L36" s="19" t="s">
        <v>132</v>
      </c>
    </row>
    <row r="37" spans="2:12" s="1" customFormat="1">
      <c r="B37" s="22" t="s">
        <v>254</v>
      </c>
      <c r="C37" s="22" t="s">
        <v>45</v>
      </c>
      <c r="D37" s="9" t="s">
        <v>348</v>
      </c>
      <c r="E37" s="16" t="s">
        <v>897</v>
      </c>
      <c r="F37" s="17" t="s">
        <v>254</v>
      </c>
      <c r="G37" s="17" t="s">
        <v>510</v>
      </c>
      <c r="H37" s="18"/>
      <c r="I37" s="19"/>
      <c r="J37" s="19" t="s">
        <v>269</v>
      </c>
      <c r="K37" s="19" t="s">
        <v>132</v>
      </c>
      <c r="L37" s="19" t="s">
        <v>132</v>
      </c>
    </row>
    <row r="38" spans="2:12" s="1" customFormat="1">
      <c r="B38" s="22" t="s">
        <v>349</v>
      </c>
      <c r="C38" s="22" t="s">
        <v>45</v>
      </c>
      <c r="D38" s="9" t="s">
        <v>350</v>
      </c>
      <c r="E38" s="16" t="s">
        <v>897</v>
      </c>
      <c r="F38" s="17" t="s">
        <v>349</v>
      </c>
      <c r="G38" s="17" t="s">
        <v>510</v>
      </c>
      <c r="H38" s="18"/>
      <c r="I38" s="19"/>
      <c r="J38" s="19" t="s">
        <v>269</v>
      </c>
      <c r="K38" s="19" t="s">
        <v>132</v>
      </c>
      <c r="L38" s="19" t="s">
        <v>132</v>
      </c>
    </row>
    <row r="39" spans="2:12" s="1" customFormat="1">
      <c r="B39" s="22" t="s">
        <v>351</v>
      </c>
      <c r="C39" s="22" t="s">
        <v>45</v>
      </c>
      <c r="D39" s="9" t="s">
        <v>352</v>
      </c>
      <c r="E39" s="16" t="s">
        <v>897</v>
      </c>
      <c r="F39" s="17" t="s">
        <v>351</v>
      </c>
      <c r="G39" s="17" t="s">
        <v>510</v>
      </c>
      <c r="H39" s="18"/>
      <c r="I39" s="19"/>
      <c r="J39" s="19" t="s">
        <v>269</v>
      </c>
      <c r="K39" s="19" t="s">
        <v>132</v>
      </c>
      <c r="L39" s="19" t="s">
        <v>132</v>
      </c>
    </row>
    <row r="40" spans="2:12" s="1" customFormat="1">
      <c r="B40" s="22" t="s">
        <v>353</v>
      </c>
      <c r="C40" s="22" t="s">
        <v>45</v>
      </c>
      <c r="D40" s="9" t="s">
        <v>161</v>
      </c>
      <c r="E40" s="16" t="s">
        <v>897</v>
      </c>
      <c r="F40" s="17" t="s">
        <v>353</v>
      </c>
      <c r="G40" s="17" t="s">
        <v>510</v>
      </c>
      <c r="H40" s="18"/>
      <c r="I40" s="19"/>
      <c r="J40" s="19" t="s">
        <v>269</v>
      </c>
      <c r="K40" s="19" t="s">
        <v>132</v>
      </c>
      <c r="L40" s="19" t="s">
        <v>132</v>
      </c>
    </row>
    <row r="41" spans="2:12" s="1" customFormat="1">
      <c r="B41" s="22" t="s">
        <v>354</v>
      </c>
      <c r="C41" s="22" t="s">
        <v>45</v>
      </c>
      <c r="D41" s="9" t="s">
        <v>162</v>
      </c>
      <c r="E41" s="16" t="s">
        <v>897</v>
      </c>
      <c r="F41" s="17" t="s">
        <v>354</v>
      </c>
      <c r="G41" s="17" t="s">
        <v>510</v>
      </c>
      <c r="H41" s="18"/>
      <c r="I41" s="19"/>
      <c r="J41" s="19" t="s">
        <v>269</v>
      </c>
      <c r="K41" s="19" t="s">
        <v>132</v>
      </c>
      <c r="L41" s="19" t="s">
        <v>132</v>
      </c>
    </row>
    <row r="42" spans="2:12" s="1" customFormat="1">
      <c r="B42" s="22" t="s">
        <v>355</v>
      </c>
      <c r="C42" s="22" t="s">
        <v>43</v>
      </c>
      <c r="D42" s="9" t="s">
        <v>356</v>
      </c>
      <c r="E42" s="16" t="s">
        <v>897</v>
      </c>
      <c r="F42" s="17" t="s">
        <v>355</v>
      </c>
      <c r="G42" s="17" t="s">
        <v>510</v>
      </c>
      <c r="H42" s="18"/>
      <c r="I42" s="19"/>
      <c r="J42" s="19" t="s">
        <v>269</v>
      </c>
      <c r="K42" s="19" t="s">
        <v>132</v>
      </c>
      <c r="L42" s="19" t="s">
        <v>132</v>
      </c>
    </row>
    <row r="43" spans="2:12" s="1" customFormat="1">
      <c r="B43" s="22" t="s">
        <v>357</v>
      </c>
      <c r="C43" s="22" t="s">
        <v>46</v>
      </c>
      <c r="D43" s="9" t="s">
        <v>358</v>
      </c>
      <c r="E43" s="16" t="s">
        <v>897</v>
      </c>
      <c r="F43" s="17" t="s">
        <v>357</v>
      </c>
      <c r="G43" s="17" t="s">
        <v>510</v>
      </c>
      <c r="H43" s="18"/>
      <c r="I43" s="19"/>
      <c r="J43" s="19" t="s">
        <v>269</v>
      </c>
      <c r="K43" s="19" t="s">
        <v>132</v>
      </c>
      <c r="L43" s="19" t="s">
        <v>132</v>
      </c>
    </row>
    <row r="44" spans="2:12" s="1" customFormat="1">
      <c r="B44" s="22" t="s">
        <v>86</v>
      </c>
      <c r="C44" s="22" t="s">
        <v>43</v>
      </c>
      <c r="D44" s="9" t="s">
        <v>108</v>
      </c>
      <c r="E44" s="16" t="s">
        <v>897</v>
      </c>
      <c r="F44" s="17" t="s">
        <v>86</v>
      </c>
      <c r="G44" s="17" t="s">
        <v>510</v>
      </c>
      <c r="H44" s="18"/>
      <c r="I44" s="19"/>
      <c r="J44" s="19" t="s">
        <v>269</v>
      </c>
      <c r="K44" s="19" t="s">
        <v>132</v>
      </c>
      <c r="L44" s="19" t="s">
        <v>132</v>
      </c>
    </row>
    <row r="45" spans="2:12" s="1" customFormat="1">
      <c r="B45" s="22" t="s">
        <v>359</v>
      </c>
      <c r="C45" s="22" t="s">
        <v>46</v>
      </c>
      <c r="D45" s="9" t="s">
        <v>360</v>
      </c>
      <c r="E45" s="16" t="s">
        <v>897</v>
      </c>
      <c r="F45" s="17" t="s">
        <v>359</v>
      </c>
      <c r="G45" s="17" t="s">
        <v>510</v>
      </c>
      <c r="H45" s="18"/>
      <c r="I45" s="19"/>
      <c r="J45" s="19" t="s">
        <v>269</v>
      </c>
      <c r="K45" s="19" t="s">
        <v>132</v>
      </c>
      <c r="L45" s="19" t="s">
        <v>132</v>
      </c>
    </row>
    <row r="46" spans="2:12" s="1" customFormat="1">
      <c r="B46" s="22" t="s">
        <v>361</v>
      </c>
      <c r="C46" s="22" t="s">
        <v>46</v>
      </c>
      <c r="D46" s="9" t="s">
        <v>362</v>
      </c>
      <c r="E46" s="16" t="s">
        <v>897</v>
      </c>
      <c r="F46" s="17" t="s">
        <v>361</v>
      </c>
      <c r="G46" s="17" t="s">
        <v>510</v>
      </c>
      <c r="H46" s="18"/>
      <c r="I46" s="19"/>
      <c r="J46" s="19" t="s">
        <v>269</v>
      </c>
      <c r="K46" s="19" t="s">
        <v>132</v>
      </c>
      <c r="L46" s="19" t="s">
        <v>132</v>
      </c>
    </row>
    <row r="47" spans="2:12" s="1" customFormat="1">
      <c r="B47" s="22" t="s">
        <v>87</v>
      </c>
      <c r="C47" s="22" t="s">
        <v>43</v>
      </c>
      <c r="D47" s="9" t="s">
        <v>109</v>
      </c>
      <c r="E47" s="16" t="s">
        <v>897</v>
      </c>
      <c r="F47" s="17" t="s">
        <v>87</v>
      </c>
      <c r="G47" s="17" t="s">
        <v>510</v>
      </c>
      <c r="H47" s="18"/>
      <c r="I47" s="19"/>
      <c r="J47" s="19" t="s">
        <v>269</v>
      </c>
      <c r="K47" s="19" t="s">
        <v>132</v>
      </c>
      <c r="L47" s="19" t="s">
        <v>132</v>
      </c>
    </row>
    <row r="48" spans="2:12" s="1" customFormat="1">
      <c r="B48" s="22" t="s">
        <v>117</v>
      </c>
      <c r="C48" s="22" t="s">
        <v>46</v>
      </c>
      <c r="D48" s="9" t="s">
        <v>285</v>
      </c>
      <c r="E48" s="16" t="s">
        <v>897</v>
      </c>
      <c r="F48" s="17" t="s">
        <v>117</v>
      </c>
      <c r="G48" s="17" t="s">
        <v>510</v>
      </c>
      <c r="H48" s="18"/>
      <c r="I48" s="19"/>
      <c r="J48" s="19" t="s">
        <v>269</v>
      </c>
      <c r="K48" s="19" t="s">
        <v>132</v>
      </c>
      <c r="L48" s="19" t="s">
        <v>132</v>
      </c>
    </row>
    <row r="49" spans="2:12" s="1" customFormat="1">
      <c r="B49" s="22" t="s">
        <v>363</v>
      </c>
      <c r="C49" s="22" t="s">
        <v>45</v>
      </c>
      <c r="D49" s="9" t="s">
        <v>364</v>
      </c>
      <c r="E49" s="16" t="s">
        <v>897</v>
      </c>
      <c r="F49" s="17" t="s">
        <v>363</v>
      </c>
      <c r="G49" s="17" t="s">
        <v>510</v>
      </c>
      <c r="H49" s="18"/>
      <c r="I49" s="19"/>
      <c r="J49" s="19" t="s">
        <v>269</v>
      </c>
      <c r="K49" s="19" t="s">
        <v>132</v>
      </c>
      <c r="L49" s="19" t="s">
        <v>132</v>
      </c>
    </row>
    <row r="50" spans="2:12" s="1" customFormat="1">
      <c r="B50" s="22" t="s">
        <v>365</v>
      </c>
      <c r="C50" s="22" t="s">
        <v>45</v>
      </c>
      <c r="D50" s="9" t="s">
        <v>366</v>
      </c>
      <c r="E50" s="16" t="s">
        <v>897</v>
      </c>
      <c r="F50" s="17" t="s">
        <v>365</v>
      </c>
      <c r="G50" s="17" t="s">
        <v>510</v>
      </c>
      <c r="H50" s="18"/>
      <c r="I50" s="19"/>
      <c r="J50" s="19" t="s">
        <v>269</v>
      </c>
      <c r="K50" s="19" t="s">
        <v>132</v>
      </c>
      <c r="L50" s="19" t="s">
        <v>132</v>
      </c>
    </row>
    <row r="51" spans="2:12" s="1" customFormat="1">
      <c r="B51" s="22" t="s">
        <v>367</v>
      </c>
      <c r="C51" s="22" t="s">
        <v>45</v>
      </c>
      <c r="D51" s="9" t="s">
        <v>368</v>
      </c>
      <c r="E51" s="16" t="s">
        <v>897</v>
      </c>
      <c r="F51" s="17" t="s">
        <v>367</v>
      </c>
      <c r="G51" s="17" t="s">
        <v>510</v>
      </c>
      <c r="H51" s="18"/>
      <c r="I51" s="19"/>
      <c r="J51" s="19" t="s">
        <v>269</v>
      </c>
      <c r="K51" s="19" t="s">
        <v>132</v>
      </c>
      <c r="L51" s="19" t="s">
        <v>132</v>
      </c>
    </row>
    <row r="52" spans="2:12" s="1" customFormat="1">
      <c r="B52" s="22" t="s">
        <v>369</v>
      </c>
      <c r="C52" s="22" t="s">
        <v>45</v>
      </c>
      <c r="D52" s="9" t="s">
        <v>370</v>
      </c>
      <c r="E52" s="16" t="s">
        <v>897</v>
      </c>
      <c r="F52" s="17" t="s">
        <v>369</v>
      </c>
      <c r="G52" s="17" t="s">
        <v>510</v>
      </c>
      <c r="H52" s="18"/>
      <c r="I52" s="19"/>
      <c r="J52" s="19" t="s">
        <v>269</v>
      </c>
      <c r="K52" s="19" t="s">
        <v>132</v>
      </c>
      <c r="L52" s="19" t="s">
        <v>132</v>
      </c>
    </row>
    <row r="53" spans="2:12" s="1" customFormat="1">
      <c r="B53" s="22" t="s">
        <v>371</v>
      </c>
      <c r="C53" s="22" t="s">
        <v>45</v>
      </c>
      <c r="D53" s="9" t="s">
        <v>372</v>
      </c>
      <c r="E53" s="16" t="s">
        <v>897</v>
      </c>
      <c r="F53" s="17"/>
      <c r="G53" s="17" t="s">
        <v>526</v>
      </c>
      <c r="H53" s="18"/>
      <c r="I53" s="19"/>
      <c r="J53" s="19" t="s">
        <v>269</v>
      </c>
      <c r="K53" s="19" t="s">
        <v>203</v>
      </c>
      <c r="L53" s="19" t="s">
        <v>627</v>
      </c>
    </row>
    <row r="54" spans="2:12" s="1" customFormat="1">
      <c r="B54" s="22" t="s">
        <v>373</v>
      </c>
      <c r="C54" s="22" t="s">
        <v>45</v>
      </c>
      <c r="D54" s="9" t="s">
        <v>374</v>
      </c>
      <c r="E54" s="16" t="s">
        <v>897</v>
      </c>
      <c r="F54" s="17"/>
      <c r="G54" s="17" t="s">
        <v>3258</v>
      </c>
      <c r="H54" s="18"/>
      <c r="I54" s="19"/>
      <c r="J54" s="19" t="s">
        <v>269</v>
      </c>
      <c r="K54" s="19" t="s">
        <v>203</v>
      </c>
      <c r="L54" s="19" t="s">
        <v>627</v>
      </c>
    </row>
    <row r="55" spans="2:12" s="1" customFormat="1">
      <c r="B55" s="22" t="s">
        <v>375</v>
      </c>
      <c r="C55" s="22" t="s">
        <v>45</v>
      </c>
      <c r="D55" s="9" t="s">
        <v>1260</v>
      </c>
      <c r="E55" s="16" t="s">
        <v>897</v>
      </c>
      <c r="F55" s="17" t="s">
        <v>375</v>
      </c>
      <c r="G55" s="17" t="s">
        <v>510</v>
      </c>
      <c r="H55" s="18"/>
      <c r="I55" s="19"/>
      <c r="J55" s="19" t="s">
        <v>269</v>
      </c>
      <c r="K55" s="19" t="s">
        <v>132</v>
      </c>
      <c r="L55" s="19" t="s">
        <v>132</v>
      </c>
    </row>
    <row r="56" spans="2:12" s="1" customFormat="1">
      <c r="B56" s="22" t="s">
        <v>376</v>
      </c>
      <c r="C56" s="22" t="s">
        <v>45</v>
      </c>
      <c r="D56" s="9" t="s">
        <v>1261</v>
      </c>
      <c r="E56" s="16" t="s">
        <v>897</v>
      </c>
      <c r="F56" s="17" t="s">
        <v>376</v>
      </c>
      <c r="G56" s="17" t="s">
        <v>510</v>
      </c>
      <c r="H56" s="18"/>
      <c r="I56" s="19"/>
      <c r="J56" s="19" t="s">
        <v>269</v>
      </c>
      <c r="K56" s="19" t="s">
        <v>132</v>
      </c>
      <c r="L56" s="19" t="s">
        <v>132</v>
      </c>
    </row>
    <row r="57" spans="2:12" s="1" customFormat="1">
      <c r="B57" s="22" t="s">
        <v>377</v>
      </c>
      <c r="C57" s="22" t="s">
        <v>45</v>
      </c>
      <c r="D57" s="9" t="s">
        <v>518</v>
      </c>
      <c r="E57" s="16" t="s">
        <v>897</v>
      </c>
      <c r="F57" s="17" t="s">
        <v>377</v>
      </c>
      <c r="G57" s="17" t="s">
        <v>527</v>
      </c>
      <c r="H57" s="18"/>
      <c r="I57" s="19"/>
      <c r="J57" s="19" t="s">
        <v>269</v>
      </c>
      <c r="K57" s="19" t="s">
        <v>203</v>
      </c>
      <c r="L57" s="19" t="s">
        <v>628</v>
      </c>
    </row>
    <row r="58" spans="2:12" s="1" customFormat="1">
      <c r="B58" s="22" t="s">
        <v>378</v>
      </c>
      <c r="C58" s="22" t="s">
        <v>45</v>
      </c>
      <c r="D58" s="9" t="s">
        <v>519</v>
      </c>
      <c r="E58" s="16" t="s">
        <v>897</v>
      </c>
      <c r="F58" s="17" t="s">
        <v>378</v>
      </c>
      <c r="G58" s="17" t="s">
        <v>528</v>
      </c>
      <c r="H58" s="18"/>
      <c r="I58" s="19"/>
      <c r="J58" s="19" t="s">
        <v>269</v>
      </c>
      <c r="K58" s="19" t="s">
        <v>203</v>
      </c>
      <c r="L58" s="19" t="s">
        <v>628</v>
      </c>
    </row>
    <row r="59" spans="2:12" s="1" customFormat="1">
      <c r="B59" s="22" t="s">
        <v>379</v>
      </c>
      <c r="C59" s="22" t="s">
        <v>46</v>
      </c>
      <c r="D59" s="9" t="s">
        <v>380</v>
      </c>
      <c r="E59" s="16" t="s">
        <v>897</v>
      </c>
      <c r="F59" s="17" t="s">
        <v>379</v>
      </c>
      <c r="G59" s="17" t="s">
        <v>510</v>
      </c>
      <c r="H59" s="18"/>
      <c r="I59" s="19"/>
      <c r="J59" s="19" t="s">
        <v>269</v>
      </c>
      <c r="K59" s="19" t="s">
        <v>132</v>
      </c>
      <c r="L59" s="19" t="s">
        <v>132</v>
      </c>
    </row>
    <row r="60" spans="2:12" s="1" customFormat="1">
      <c r="B60" s="22" t="s">
        <v>381</v>
      </c>
      <c r="C60" s="22" t="s">
        <v>46</v>
      </c>
      <c r="D60" s="9" t="s">
        <v>382</v>
      </c>
      <c r="E60" s="16" t="s">
        <v>897</v>
      </c>
      <c r="F60" s="17" t="s">
        <v>381</v>
      </c>
      <c r="G60" s="17" t="s">
        <v>510</v>
      </c>
      <c r="H60" s="18"/>
      <c r="I60" s="19"/>
      <c r="J60" s="19" t="s">
        <v>269</v>
      </c>
      <c r="K60" s="19" t="s">
        <v>132</v>
      </c>
      <c r="L60" s="19" t="s">
        <v>132</v>
      </c>
    </row>
    <row r="61" spans="2:12" s="1" customFormat="1">
      <c r="B61" s="22" t="s">
        <v>383</v>
      </c>
      <c r="C61" s="22" t="s">
        <v>46</v>
      </c>
      <c r="D61" s="9" t="s">
        <v>384</v>
      </c>
      <c r="E61" s="16" t="s">
        <v>897</v>
      </c>
      <c r="F61" s="17" t="s">
        <v>383</v>
      </c>
      <c r="G61" s="17" t="s">
        <v>510</v>
      </c>
      <c r="H61" s="18"/>
      <c r="I61" s="19"/>
      <c r="J61" s="19" t="s">
        <v>269</v>
      </c>
      <c r="K61" s="19" t="s">
        <v>132</v>
      </c>
      <c r="L61" s="19" t="s">
        <v>132</v>
      </c>
    </row>
    <row r="62" spans="2:12" s="1" customFormat="1">
      <c r="B62" s="22" t="s">
        <v>385</v>
      </c>
      <c r="C62" s="22" t="s">
        <v>46</v>
      </c>
      <c r="D62" s="9" t="s">
        <v>386</v>
      </c>
      <c r="E62" s="16" t="s">
        <v>897</v>
      </c>
      <c r="F62" s="17" t="s">
        <v>385</v>
      </c>
      <c r="G62" s="17" t="s">
        <v>510</v>
      </c>
      <c r="H62" s="18"/>
      <c r="I62" s="19"/>
      <c r="J62" s="19" t="s">
        <v>269</v>
      </c>
      <c r="K62" s="19" t="s">
        <v>132</v>
      </c>
      <c r="L62" s="19" t="s">
        <v>132</v>
      </c>
    </row>
    <row r="63" spans="2:12" s="1" customFormat="1">
      <c r="B63" s="22" t="s">
        <v>88</v>
      </c>
      <c r="C63" s="22" t="s">
        <v>46</v>
      </c>
      <c r="D63" s="9" t="s">
        <v>110</v>
      </c>
      <c r="E63" s="16" t="s">
        <v>897</v>
      </c>
      <c r="F63" s="17" t="s">
        <v>88</v>
      </c>
      <c r="G63" s="17" t="s">
        <v>510</v>
      </c>
      <c r="H63" s="18"/>
      <c r="I63" s="19"/>
      <c r="J63" s="19" t="s">
        <v>269</v>
      </c>
      <c r="K63" s="19" t="s">
        <v>132</v>
      </c>
      <c r="L63" s="19" t="s">
        <v>132</v>
      </c>
    </row>
    <row r="64" spans="2:12" s="1" customFormat="1">
      <c r="B64" s="22" t="s">
        <v>89</v>
      </c>
      <c r="C64" s="22" t="s">
        <v>46</v>
      </c>
      <c r="D64" s="9" t="s">
        <v>111</v>
      </c>
      <c r="E64" s="16" t="s">
        <v>897</v>
      </c>
      <c r="F64" s="17" t="s">
        <v>89</v>
      </c>
      <c r="G64" s="17" t="s">
        <v>510</v>
      </c>
      <c r="H64" s="18"/>
      <c r="I64" s="19"/>
      <c r="J64" s="19" t="s">
        <v>269</v>
      </c>
      <c r="K64" s="19" t="s">
        <v>132</v>
      </c>
      <c r="L64" s="19" t="s">
        <v>132</v>
      </c>
    </row>
    <row r="65" spans="2:12" s="1" customFormat="1">
      <c r="B65" s="22" t="s">
        <v>264</v>
      </c>
      <c r="C65" s="22" t="s">
        <v>45</v>
      </c>
      <c r="D65" s="13" t="s">
        <v>264</v>
      </c>
      <c r="E65" s="16" t="s">
        <v>897</v>
      </c>
      <c r="F65" s="17" t="s">
        <v>264</v>
      </c>
      <c r="G65" s="17" t="s">
        <v>510</v>
      </c>
      <c r="H65" s="18"/>
      <c r="I65" s="19"/>
      <c r="J65" s="19" t="s">
        <v>269</v>
      </c>
      <c r="K65" s="19" t="s">
        <v>132</v>
      </c>
      <c r="L65" s="19" t="s">
        <v>132</v>
      </c>
    </row>
    <row r="66" spans="2:12" s="1" customFormat="1">
      <c r="B66" s="22" t="s">
        <v>265</v>
      </c>
      <c r="C66" s="22" t="s">
        <v>45</v>
      </c>
      <c r="D66" s="13" t="s">
        <v>265</v>
      </c>
      <c r="E66" s="16" t="s">
        <v>897</v>
      </c>
      <c r="F66" s="17" t="s">
        <v>265</v>
      </c>
      <c r="G66" s="17" t="s">
        <v>510</v>
      </c>
      <c r="H66" s="18"/>
      <c r="I66" s="19"/>
      <c r="J66" s="19" t="s">
        <v>269</v>
      </c>
      <c r="K66" s="19" t="s">
        <v>132</v>
      </c>
      <c r="L66" s="19" t="s">
        <v>132</v>
      </c>
    </row>
    <row r="67" spans="2:12" s="1" customFormat="1">
      <c r="B67" s="22" t="s">
        <v>907</v>
      </c>
      <c r="C67" s="22" t="s">
        <v>46</v>
      </c>
      <c r="D67" s="9" t="s">
        <v>509</v>
      </c>
      <c r="E67" s="16" t="s">
        <v>897</v>
      </c>
      <c r="F67" s="17" t="s">
        <v>387</v>
      </c>
      <c r="G67" s="17" t="s">
        <v>510</v>
      </c>
      <c r="H67" s="18"/>
      <c r="I67" s="19"/>
      <c r="J67" s="19" t="s">
        <v>269</v>
      </c>
      <c r="K67" s="19" t="s">
        <v>132</v>
      </c>
      <c r="L67" s="19" t="s">
        <v>132</v>
      </c>
    </row>
    <row r="68" spans="2:12" s="1" customFormat="1">
      <c r="B68" s="22" t="s">
        <v>388</v>
      </c>
      <c r="C68" s="22" t="s">
        <v>46</v>
      </c>
      <c r="D68" s="9" t="s">
        <v>389</v>
      </c>
      <c r="E68" s="16" t="s">
        <v>897</v>
      </c>
      <c r="F68" s="17" t="s">
        <v>388</v>
      </c>
      <c r="G68" s="17" t="s">
        <v>510</v>
      </c>
      <c r="H68" s="18"/>
      <c r="I68" s="19"/>
      <c r="J68" s="19" t="s">
        <v>269</v>
      </c>
      <c r="K68" s="19" t="s">
        <v>132</v>
      </c>
      <c r="L68" s="19" t="s">
        <v>132</v>
      </c>
    </row>
    <row r="69" spans="2:12" s="1" customFormat="1">
      <c r="B69" s="22" t="s">
        <v>390</v>
      </c>
      <c r="C69" s="22" t="s">
        <v>46</v>
      </c>
      <c r="D69" s="9" t="s">
        <v>391</v>
      </c>
      <c r="E69" s="16" t="s">
        <v>897</v>
      </c>
      <c r="F69" s="17" t="s">
        <v>390</v>
      </c>
      <c r="G69" s="17" t="s">
        <v>510</v>
      </c>
      <c r="H69" s="18"/>
      <c r="I69" s="19"/>
      <c r="J69" s="19" t="s">
        <v>269</v>
      </c>
      <c r="K69" s="19" t="s">
        <v>132</v>
      </c>
      <c r="L69" s="19" t="s">
        <v>132</v>
      </c>
    </row>
    <row r="70" spans="2:12" s="1" customFormat="1">
      <c r="B70" s="22" t="s">
        <v>392</v>
      </c>
      <c r="C70" s="22" t="s">
        <v>46</v>
      </c>
      <c r="D70" s="9" t="s">
        <v>393</v>
      </c>
      <c r="E70" s="16" t="s">
        <v>897</v>
      </c>
      <c r="F70" s="17" t="s">
        <v>392</v>
      </c>
      <c r="G70" s="17" t="s">
        <v>510</v>
      </c>
      <c r="H70" s="18"/>
      <c r="I70" s="19"/>
      <c r="J70" s="19" t="s">
        <v>269</v>
      </c>
      <c r="K70" s="19" t="s">
        <v>132</v>
      </c>
      <c r="L70" s="19" t="s">
        <v>132</v>
      </c>
    </row>
    <row r="71" spans="2:12" s="1" customFormat="1">
      <c r="B71" s="22" t="s">
        <v>394</v>
      </c>
      <c r="C71" s="22" t="s">
        <v>46</v>
      </c>
      <c r="D71" s="9" t="s">
        <v>395</v>
      </c>
      <c r="E71" s="16" t="s">
        <v>897</v>
      </c>
      <c r="F71" s="17" t="s">
        <v>394</v>
      </c>
      <c r="G71" s="17" t="s">
        <v>510</v>
      </c>
      <c r="H71" s="18"/>
      <c r="I71" s="19"/>
      <c r="J71" s="19" t="s">
        <v>269</v>
      </c>
      <c r="K71" s="19" t="s">
        <v>132</v>
      </c>
      <c r="L71" s="19" t="s">
        <v>132</v>
      </c>
    </row>
    <row r="72" spans="2:12" s="1" customFormat="1">
      <c r="B72" s="22" t="s">
        <v>396</v>
      </c>
      <c r="C72" s="22" t="s">
        <v>46</v>
      </c>
      <c r="D72" s="9" t="s">
        <v>397</v>
      </c>
      <c r="E72" s="16" t="s">
        <v>897</v>
      </c>
      <c r="F72" s="17" t="s">
        <v>396</v>
      </c>
      <c r="G72" s="17" t="s">
        <v>510</v>
      </c>
      <c r="H72" s="18"/>
      <c r="I72" s="19"/>
      <c r="J72" s="19" t="s">
        <v>269</v>
      </c>
      <c r="K72" s="19" t="s">
        <v>132</v>
      </c>
      <c r="L72" s="19" t="s">
        <v>132</v>
      </c>
    </row>
    <row r="73" spans="2:12" s="1" customFormat="1">
      <c r="B73" s="22" t="s">
        <v>398</v>
      </c>
      <c r="C73" s="22" t="s">
        <v>46</v>
      </c>
      <c r="D73" s="9" t="s">
        <v>399</v>
      </c>
      <c r="E73" s="16" t="s">
        <v>897</v>
      </c>
      <c r="F73" s="17" t="s">
        <v>398</v>
      </c>
      <c r="G73" s="17" t="s">
        <v>510</v>
      </c>
      <c r="H73" s="18"/>
      <c r="I73" s="19"/>
      <c r="J73" s="19" t="s">
        <v>269</v>
      </c>
      <c r="K73" s="19" t="s">
        <v>132</v>
      </c>
      <c r="L73" s="19" t="s">
        <v>132</v>
      </c>
    </row>
    <row r="74" spans="2:12" s="1" customFormat="1">
      <c r="B74" s="22" t="s">
        <v>400</v>
      </c>
      <c r="C74" s="22" t="s">
        <v>46</v>
      </c>
      <c r="D74" s="9" t="s">
        <v>401</v>
      </c>
      <c r="E74" s="16" t="s">
        <v>897</v>
      </c>
      <c r="F74" s="17" t="s">
        <v>400</v>
      </c>
      <c r="G74" s="17" t="s">
        <v>510</v>
      </c>
      <c r="H74" s="18"/>
      <c r="I74" s="19"/>
      <c r="J74" s="19" t="s">
        <v>269</v>
      </c>
      <c r="K74" s="19" t="s">
        <v>132</v>
      </c>
      <c r="L74" s="19" t="s">
        <v>132</v>
      </c>
    </row>
    <row r="75" spans="2:12" s="1" customFormat="1">
      <c r="B75" s="22" t="s">
        <v>402</v>
      </c>
      <c r="C75" s="22" t="s">
        <v>46</v>
      </c>
      <c r="D75" s="9" t="s">
        <v>403</v>
      </c>
      <c r="E75" s="16" t="s">
        <v>897</v>
      </c>
      <c r="F75" s="17" t="s">
        <v>402</v>
      </c>
      <c r="G75" s="17" t="s">
        <v>510</v>
      </c>
      <c r="H75" s="18"/>
      <c r="I75" s="19"/>
      <c r="J75" s="19" t="s">
        <v>269</v>
      </c>
      <c r="K75" s="19" t="s">
        <v>132</v>
      </c>
      <c r="L75" s="19" t="s">
        <v>132</v>
      </c>
    </row>
    <row r="76" spans="2:12" s="1" customFormat="1">
      <c r="B76" s="22" t="s">
        <v>404</v>
      </c>
      <c r="C76" s="22" t="s">
        <v>45</v>
      </c>
      <c r="D76" s="9" t="s">
        <v>167</v>
      </c>
      <c r="E76" s="16" t="s">
        <v>897</v>
      </c>
      <c r="F76" s="17" t="s">
        <v>404</v>
      </c>
      <c r="G76" s="17" t="s">
        <v>510</v>
      </c>
      <c r="H76" s="18"/>
      <c r="I76" s="19"/>
      <c r="J76" s="19" t="s">
        <v>269</v>
      </c>
      <c r="K76" s="19" t="s">
        <v>132</v>
      </c>
      <c r="L76" s="19" t="s">
        <v>132</v>
      </c>
    </row>
    <row r="77" spans="2:12" s="1" customFormat="1">
      <c r="B77" s="22" t="s">
        <v>317</v>
      </c>
      <c r="C77" s="22" t="s">
        <v>45</v>
      </c>
      <c r="D77" s="9" t="s">
        <v>168</v>
      </c>
      <c r="E77" s="16" t="s">
        <v>897</v>
      </c>
      <c r="F77" s="17" t="s">
        <v>405</v>
      </c>
      <c r="G77" s="17" t="s">
        <v>510</v>
      </c>
      <c r="H77" s="18"/>
      <c r="I77" s="19"/>
      <c r="J77" s="19" t="s">
        <v>269</v>
      </c>
      <c r="K77" s="19" t="s">
        <v>132</v>
      </c>
      <c r="L77" s="19" t="s">
        <v>132</v>
      </c>
    </row>
    <row r="78" spans="2:12" s="1" customFormat="1">
      <c r="B78" s="22" t="s">
        <v>406</v>
      </c>
      <c r="C78" s="22" t="s">
        <v>46</v>
      </c>
      <c r="D78" s="9" t="s">
        <v>407</v>
      </c>
      <c r="E78" s="16" t="s">
        <v>897</v>
      </c>
      <c r="F78" s="17" t="s">
        <v>406</v>
      </c>
      <c r="G78" s="17" t="s">
        <v>510</v>
      </c>
      <c r="H78" s="18"/>
      <c r="I78" s="19"/>
      <c r="J78" s="19" t="s">
        <v>269</v>
      </c>
      <c r="K78" s="19" t="s">
        <v>132</v>
      </c>
      <c r="L78" s="19" t="s">
        <v>132</v>
      </c>
    </row>
    <row r="79" spans="2:12" s="1" customFormat="1">
      <c r="B79" s="22" t="s">
        <v>408</v>
      </c>
      <c r="C79" s="22" t="s">
        <v>46</v>
      </c>
      <c r="D79" s="9" t="s">
        <v>409</v>
      </c>
      <c r="E79" s="16" t="s">
        <v>897</v>
      </c>
      <c r="F79" s="17" t="s">
        <v>408</v>
      </c>
      <c r="G79" s="17" t="s">
        <v>510</v>
      </c>
      <c r="H79" s="18"/>
      <c r="I79" s="19"/>
      <c r="J79" s="19" t="s">
        <v>269</v>
      </c>
      <c r="K79" s="19" t="s">
        <v>132</v>
      </c>
      <c r="L79" s="19" t="s">
        <v>132</v>
      </c>
    </row>
    <row r="80" spans="2:12" s="1" customFormat="1">
      <c r="B80" s="22" t="s">
        <v>410</v>
      </c>
      <c r="C80" s="22" t="s">
        <v>46</v>
      </c>
      <c r="D80" s="9" t="s">
        <v>411</v>
      </c>
      <c r="E80" s="16" t="s">
        <v>897</v>
      </c>
      <c r="F80" s="17" t="s">
        <v>410</v>
      </c>
      <c r="G80" s="17" t="s">
        <v>510</v>
      </c>
      <c r="H80" s="18"/>
      <c r="I80" s="19"/>
      <c r="J80" s="19" t="s">
        <v>269</v>
      </c>
      <c r="K80" s="19" t="s">
        <v>132</v>
      </c>
      <c r="L80" s="19" t="s">
        <v>132</v>
      </c>
    </row>
    <row r="81" spans="2:12" s="1" customFormat="1">
      <c r="B81" s="22" t="s">
        <v>412</v>
      </c>
      <c r="C81" s="22" t="s">
        <v>46</v>
      </c>
      <c r="D81" s="9" t="s">
        <v>413</v>
      </c>
      <c r="E81" s="16" t="s">
        <v>897</v>
      </c>
      <c r="F81" s="17" t="s">
        <v>412</v>
      </c>
      <c r="G81" s="17" t="s">
        <v>510</v>
      </c>
      <c r="H81" s="18"/>
      <c r="I81" s="19"/>
      <c r="J81" s="19" t="s">
        <v>269</v>
      </c>
      <c r="K81" s="19" t="s">
        <v>132</v>
      </c>
      <c r="L81" s="19" t="s">
        <v>132</v>
      </c>
    </row>
    <row r="82" spans="2:12" s="1" customFormat="1">
      <c r="B82" s="22" t="s">
        <v>414</v>
      </c>
      <c r="C82" s="22" t="s">
        <v>46</v>
      </c>
      <c r="D82" s="9" t="s">
        <v>415</v>
      </c>
      <c r="E82" s="16" t="s">
        <v>897</v>
      </c>
      <c r="F82" s="17" t="s">
        <v>414</v>
      </c>
      <c r="G82" s="17" t="s">
        <v>510</v>
      </c>
      <c r="H82" s="18"/>
      <c r="I82" s="19"/>
      <c r="J82" s="19" t="s">
        <v>269</v>
      </c>
      <c r="K82" s="19" t="s">
        <v>132</v>
      </c>
      <c r="L82" s="19" t="s">
        <v>132</v>
      </c>
    </row>
    <row r="83" spans="2:12" s="1" customFormat="1">
      <c r="B83" s="22" t="s">
        <v>416</v>
      </c>
      <c r="C83" s="22" t="s">
        <v>46</v>
      </c>
      <c r="D83" s="9" t="s">
        <v>417</v>
      </c>
      <c r="E83" s="16" t="s">
        <v>897</v>
      </c>
      <c r="F83" s="17" t="s">
        <v>416</v>
      </c>
      <c r="G83" s="17" t="s">
        <v>510</v>
      </c>
      <c r="H83" s="18"/>
      <c r="I83" s="19"/>
      <c r="J83" s="19" t="s">
        <v>269</v>
      </c>
      <c r="K83" s="19" t="s">
        <v>132</v>
      </c>
      <c r="L83" s="19" t="s">
        <v>132</v>
      </c>
    </row>
    <row r="84" spans="2:12" s="1" customFormat="1">
      <c r="B84" s="22" t="s">
        <v>418</v>
      </c>
      <c r="C84" s="22" t="s">
        <v>46</v>
      </c>
      <c r="D84" s="9" t="s">
        <v>419</v>
      </c>
      <c r="E84" s="16" t="s">
        <v>897</v>
      </c>
      <c r="F84" s="17" t="s">
        <v>418</v>
      </c>
      <c r="G84" s="17" t="s">
        <v>510</v>
      </c>
      <c r="H84" s="18"/>
      <c r="I84" s="19"/>
      <c r="J84" s="19" t="s">
        <v>269</v>
      </c>
      <c r="K84" s="19" t="s">
        <v>132</v>
      </c>
      <c r="L84" s="19" t="s">
        <v>132</v>
      </c>
    </row>
    <row r="85" spans="2:12" s="1" customFormat="1">
      <c r="B85" s="22" t="s">
        <v>420</v>
      </c>
      <c r="C85" s="22" t="s">
        <v>46</v>
      </c>
      <c r="D85" s="9" t="s">
        <v>421</v>
      </c>
      <c r="E85" s="16" t="s">
        <v>897</v>
      </c>
      <c r="F85" s="17" t="s">
        <v>420</v>
      </c>
      <c r="G85" s="17" t="s">
        <v>510</v>
      </c>
      <c r="H85" s="18"/>
      <c r="I85" s="19"/>
      <c r="J85" s="19" t="s">
        <v>269</v>
      </c>
      <c r="K85" s="19" t="s">
        <v>132</v>
      </c>
      <c r="L85" s="19" t="s">
        <v>132</v>
      </c>
    </row>
    <row r="86" spans="2:12" s="1" customFormat="1">
      <c r="B86" s="22" t="s">
        <v>422</v>
      </c>
      <c r="C86" s="22" t="s">
        <v>46</v>
      </c>
      <c r="D86" s="9" t="s">
        <v>423</v>
      </c>
      <c r="E86" s="16" t="s">
        <v>897</v>
      </c>
      <c r="F86" s="17" t="s">
        <v>422</v>
      </c>
      <c r="G86" s="17" t="s">
        <v>510</v>
      </c>
      <c r="H86" s="18"/>
      <c r="I86" s="19"/>
      <c r="J86" s="19" t="s">
        <v>269</v>
      </c>
      <c r="K86" s="19" t="s">
        <v>132</v>
      </c>
      <c r="L86" s="19" t="s">
        <v>132</v>
      </c>
    </row>
    <row r="87" spans="2:12" s="1" customFormat="1">
      <c r="B87" s="22" t="s">
        <v>424</v>
      </c>
      <c r="C87" s="22" t="s">
        <v>46</v>
      </c>
      <c r="D87" s="9" t="s">
        <v>425</v>
      </c>
      <c r="E87" s="16" t="s">
        <v>897</v>
      </c>
      <c r="F87" s="17" t="s">
        <v>424</v>
      </c>
      <c r="G87" s="17" t="s">
        <v>510</v>
      </c>
      <c r="H87" s="18"/>
      <c r="I87" s="19"/>
      <c r="J87" s="19" t="s">
        <v>269</v>
      </c>
      <c r="K87" s="19" t="s">
        <v>132</v>
      </c>
      <c r="L87" s="19" t="s">
        <v>132</v>
      </c>
    </row>
    <row r="88" spans="2:12" s="1" customFormat="1">
      <c r="B88" s="22" t="s">
        <v>426</v>
      </c>
      <c r="C88" s="22" t="s">
        <v>46</v>
      </c>
      <c r="D88" s="9" t="s">
        <v>427</v>
      </c>
      <c r="E88" s="16" t="s">
        <v>897</v>
      </c>
      <c r="F88" s="17" t="s">
        <v>426</v>
      </c>
      <c r="G88" s="17" t="s">
        <v>510</v>
      </c>
      <c r="H88" s="18"/>
      <c r="I88" s="19"/>
      <c r="J88" s="19" t="s">
        <v>269</v>
      </c>
      <c r="K88" s="19" t="s">
        <v>132</v>
      </c>
      <c r="L88" s="19" t="s">
        <v>132</v>
      </c>
    </row>
    <row r="89" spans="2:12" s="1" customFormat="1">
      <c r="B89" s="22" t="s">
        <v>428</v>
      </c>
      <c r="C89" s="22" t="s">
        <v>46</v>
      </c>
      <c r="D89" s="9" t="s">
        <v>429</v>
      </c>
      <c r="E89" s="16" t="s">
        <v>897</v>
      </c>
      <c r="F89" s="17" t="s">
        <v>428</v>
      </c>
      <c r="G89" s="17" t="s">
        <v>510</v>
      </c>
      <c r="H89" s="18"/>
      <c r="I89" s="19"/>
      <c r="J89" s="19" t="s">
        <v>269</v>
      </c>
      <c r="K89" s="19" t="s">
        <v>132</v>
      </c>
      <c r="L89" s="19" t="s">
        <v>132</v>
      </c>
    </row>
    <row r="90" spans="2:12" s="1" customFormat="1">
      <c r="B90" s="22" t="s">
        <v>430</v>
      </c>
      <c r="C90" s="22" t="s">
        <v>46</v>
      </c>
      <c r="D90" s="9" t="s">
        <v>431</v>
      </c>
      <c r="E90" s="16" t="s">
        <v>897</v>
      </c>
      <c r="F90" s="17" t="s">
        <v>430</v>
      </c>
      <c r="G90" s="17" t="s">
        <v>510</v>
      </c>
      <c r="H90" s="18"/>
      <c r="I90" s="19"/>
      <c r="J90" s="19" t="s">
        <v>269</v>
      </c>
      <c r="K90" s="19" t="s">
        <v>132</v>
      </c>
      <c r="L90" s="19" t="s">
        <v>132</v>
      </c>
    </row>
    <row r="91" spans="2:12" s="1" customFormat="1">
      <c r="B91" s="22" t="s">
        <v>432</v>
      </c>
      <c r="C91" s="22" t="s">
        <v>46</v>
      </c>
      <c r="D91" s="9" t="s">
        <v>433</v>
      </c>
      <c r="E91" s="16" t="s">
        <v>897</v>
      </c>
      <c r="F91" s="17" t="s">
        <v>432</v>
      </c>
      <c r="G91" s="17" t="s">
        <v>510</v>
      </c>
      <c r="H91" s="18"/>
      <c r="I91" s="19"/>
      <c r="J91" s="19" t="s">
        <v>269</v>
      </c>
      <c r="K91" s="19" t="s">
        <v>132</v>
      </c>
      <c r="L91" s="19" t="s">
        <v>132</v>
      </c>
    </row>
    <row r="92" spans="2:12" s="1" customFormat="1">
      <c r="B92" s="22" t="s">
        <v>434</v>
      </c>
      <c r="C92" s="22" t="s">
        <v>43</v>
      </c>
      <c r="D92" s="9" t="s">
        <v>435</v>
      </c>
      <c r="E92" s="16" t="s">
        <v>897</v>
      </c>
      <c r="F92" s="17" t="s">
        <v>434</v>
      </c>
      <c r="G92" s="17" t="s">
        <v>510</v>
      </c>
      <c r="H92" s="18"/>
      <c r="I92" s="19"/>
      <c r="J92" s="19" t="s">
        <v>269</v>
      </c>
      <c r="K92" s="19" t="s">
        <v>132</v>
      </c>
      <c r="L92" s="19" t="s">
        <v>132</v>
      </c>
    </row>
    <row r="93" spans="2:12" s="1" customFormat="1">
      <c r="B93" s="22" t="s">
        <v>436</v>
      </c>
      <c r="C93" s="22" t="s">
        <v>43</v>
      </c>
      <c r="D93" s="9" t="s">
        <v>437</v>
      </c>
      <c r="E93" s="16" t="s">
        <v>897</v>
      </c>
      <c r="F93" s="17" t="s">
        <v>436</v>
      </c>
      <c r="G93" s="17" t="s">
        <v>510</v>
      </c>
      <c r="H93" s="18"/>
      <c r="I93" s="19"/>
      <c r="J93" s="19" t="s">
        <v>269</v>
      </c>
      <c r="K93" s="19" t="s">
        <v>132</v>
      </c>
      <c r="L93" s="19" t="s">
        <v>132</v>
      </c>
    </row>
    <row r="94" spans="2:12" s="1" customFormat="1">
      <c r="B94" s="22" t="s">
        <v>438</v>
      </c>
      <c r="C94" s="22" t="s">
        <v>43</v>
      </c>
      <c r="D94" s="9" t="s">
        <v>439</v>
      </c>
      <c r="E94" s="16" t="s">
        <v>897</v>
      </c>
      <c r="F94" s="17" t="s">
        <v>438</v>
      </c>
      <c r="G94" s="17" t="s">
        <v>510</v>
      </c>
      <c r="H94" s="18"/>
      <c r="I94" s="19"/>
      <c r="J94" s="19" t="s">
        <v>269</v>
      </c>
      <c r="K94" s="19" t="s">
        <v>132</v>
      </c>
      <c r="L94" s="19" t="s">
        <v>132</v>
      </c>
    </row>
    <row r="95" spans="2:12" s="1" customFormat="1">
      <c r="B95" s="22" t="s">
        <v>440</v>
      </c>
      <c r="C95" s="22" t="s">
        <v>43</v>
      </c>
      <c r="D95" s="9" t="s">
        <v>441</v>
      </c>
      <c r="E95" s="16" t="s">
        <v>897</v>
      </c>
      <c r="F95" s="17" t="s">
        <v>440</v>
      </c>
      <c r="G95" s="17" t="s">
        <v>510</v>
      </c>
      <c r="H95" s="18"/>
      <c r="I95" s="19"/>
      <c r="J95" s="19" t="s">
        <v>269</v>
      </c>
      <c r="K95" s="19" t="s">
        <v>132</v>
      </c>
      <c r="L95" s="19" t="s">
        <v>132</v>
      </c>
    </row>
    <row r="96" spans="2:12" s="1" customFormat="1">
      <c r="B96" s="22" t="s">
        <v>442</v>
      </c>
      <c r="C96" s="22" t="s">
        <v>45</v>
      </c>
      <c r="D96" s="9" t="s">
        <v>443</v>
      </c>
      <c r="E96" s="16" t="s">
        <v>897</v>
      </c>
      <c r="F96" s="17" t="s">
        <v>442</v>
      </c>
      <c r="G96" s="17" t="s">
        <v>510</v>
      </c>
      <c r="H96" s="18"/>
      <c r="I96" s="19"/>
      <c r="J96" s="19" t="s">
        <v>269</v>
      </c>
      <c r="K96" s="19" t="s">
        <v>132</v>
      </c>
      <c r="L96" s="19" t="s">
        <v>132</v>
      </c>
    </row>
    <row r="97" spans="2:12" s="1" customFormat="1">
      <c r="B97" s="22" t="s">
        <v>444</v>
      </c>
      <c r="C97" s="22" t="s">
        <v>43</v>
      </c>
      <c r="D97" s="9" t="s">
        <v>445</v>
      </c>
      <c r="E97" s="16" t="s">
        <v>897</v>
      </c>
      <c r="F97" s="17" t="s">
        <v>444</v>
      </c>
      <c r="G97" s="17" t="s">
        <v>510</v>
      </c>
      <c r="H97" s="18"/>
      <c r="I97" s="19"/>
      <c r="J97" s="19" t="s">
        <v>269</v>
      </c>
      <c r="K97" s="19" t="s">
        <v>132</v>
      </c>
      <c r="L97" s="19" t="s">
        <v>132</v>
      </c>
    </row>
    <row r="98" spans="2:12" s="1" customFormat="1">
      <c r="B98" s="22" t="s">
        <v>446</v>
      </c>
      <c r="C98" s="22" t="s">
        <v>46</v>
      </c>
      <c r="D98" s="9" t="s">
        <v>447</v>
      </c>
      <c r="E98" s="16" t="s">
        <v>897</v>
      </c>
      <c r="F98" s="17" t="s">
        <v>446</v>
      </c>
      <c r="G98" s="17" t="s">
        <v>510</v>
      </c>
      <c r="H98" s="18"/>
      <c r="I98" s="19"/>
      <c r="J98" s="19" t="s">
        <v>269</v>
      </c>
      <c r="K98" s="19" t="s">
        <v>132</v>
      </c>
      <c r="L98" s="19" t="s">
        <v>132</v>
      </c>
    </row>
    <row r="99" spans="2:12" s="1" customFormat="1">
      <c r="B99" s="22" t="s">
        <v>448</v>
      </c>
      <c r="C99" s="22" t="s">
        <v>43</v>
      </c>
      <c r="D99" s="9" t="s">
        <v>449</v>
      </c>
      <c r="E99" s="16" t="s">
        <v>897</v>
      </c>
      <c r="F99" s="17" t="s">
        <v>448</v>
      </c>
      <c r="G99" s="17" t="s">
        <v>510</v>
      </c>
      <c r="H99" s="18"/>
      <c r="I99" s="19"/>
      <c r="J99" s="19" t="s">
        <v>269</v>
      </c>
      <c r="K99" s="19" t="s">
        <v>132</v>
      </c>
      <c r="L99" s="19" t="s">
        <v>132</v>
      </c>
    </row>
    <row r="100" spans="2:12" s="1" customFormat="1">
      <c r="B100" s="22" t="s">
        <v>450</v>
      </c>
      <c r="C100" s="22" t="s">
        <v>46</v>
      </c>
      <c r="D100" s="9" t="s">
        <v>451</v>
      </c>
      <c r="E100" s="16" t="s">
        <v>897</v>
      </c>
      <c r="F100" s="17" t="s">
        <v>450</v>
      </c>
      <c r="G100" s="17" t="s">
        <v>510</v>
      </c>
      <c r="H100" s="18"/>
      <c r="I100" s="19"/>
      <c r="J100" s="19" t="s">
        <v>269</v>
      </c>
      <c r="K100" s="19" t="s">
        <v>132</v>
      </c>
      <c r="L100" s="19" t="s">
        <v>132</v>
      </c>
    </row>
    <row r="101" spans="2:12" s="1" customFormat="1">
      <c r="B101" s="22" t="s">
        <v>452</v>
      </c>
      <c r="C101" s="22" t="s">
        <v>46</v>
      </c>
      <c r="D101" s="9" t="s">
        <v>453</v>
      </c>
      <c r="E101" s="16" t="s">
        <v>897</v>
      </c>
      <c r="F101" s="17" t="s">
        <v>452</v>
      </c>
      <c r="G101" s="17" t="s">
        <v>510</v>
      </c>
      <c r="H101" s="18"/>
      <c r="I101" s="19"/>
      <c r="J101" s="19" t="s">
        <v>269</v>
      </c>
      <c r="K101" s="19" t="s">
        <v>132</v>
      </c>
      <c r="L101" s="19" t="s">
        <v>132</v>
      </c>
    </row>
    <row r="102" spans="2:12" s="1" customFormat="1">
      <c r="B102" s="22" t="s">
        <v>529</v>
      </c>
      <c r="C102" s="22" t="s">
        <v>45</v>
      </c>
      <c r="D102" s="9" t="s">
        <v>455</v>
      </c>
      <c r="E102" s="16" t="s">
        <v>897</v>
      </c>
      <c r="F102" s="17" t="s">
        <v>454</v>
      </c>
      <c r="G102" s="17" t="s">
        <v>510</v>
      </c>
      <c r="H102" s="18"/>
      <c r="I102" s="19"/>
      <c r="J102" s="19" t="s">
        <v>269</v>
      </c>
      <c r="K102" s="19" t="s">
        <v>132</v>
      </c>
      <c r="L102" s="19" t="s">
        <v>132</v>
      </c>
    </row>
    <row r="103" spans="2:12" s="1" customFormat="1">
      <c r="B103" s="22" t="s">
        <v>456</v>
      </c>
      <c r="C103" s="22" t="s">
        <v>46</v>
      </c>
      <c r="D103" s="9" t="s">
        <v>457</v>
      </c>
      <c r="E103" s="16" t="s">
        <v>897</v>
      </c>
      <c r="F103" s="17" t="s">
        <v>456</v>
      </c>
      <c r="G103" s="17" t="s">
        <v>510</v>
      </c>
      <c r="H103" s="18"/>
      <c r="I103" s="19"/>
      <c r="J103" s="19" t="s">
        <v>269</v>
      </c>
      <c r="K103" s="19" t="s">
        <v>132</v>
      </c>
      <c r="L103" s="19" t="s">
        <v>132</v>
      </c>
    </row>
    <row r="104" spans="2:12" s="1" customFormat="1">
      <c r="B104" s="22" t="s">
        <v>458</v>
      </c>
      <c r="C104" s="22" t="s">
        <v>45</v>
      </c>
      <c r="D104" s="9" t="s">
        <v>459</v>
      </c>
      <c r="E104" s="16" t="s">
        <v>897</v>
      </c>
      <c r="F104" s="17" t="s">
        <v>458</v>
      </c>
      <c r="G104" s="17" t="s">
        <v>510</v>
      </c>
      <c r="H104" s="18"/>
      <c r="I104" s="19"/>
      <c r="J104" s="19" t="s">
        <v>269</v>
      </c>
      <c r="K104" s="19" t="s">
        <v>132</v>
      </c>
      <c r="L104" s="19" t="s">
        <v>132</v>
      </c>
    </row>
    <row r="105" spans="2:12" s="1" customFormat="1">
      <c r="B105" s="22" t="s">
        <v>460</v>
      </c>
      <c r="C105" s="22" t="s">
        <v>45</v>
      </c>
      <c r="D105" s="9" t="s">
        <v>461</v>
      </c>
      <c r="E105" s="16" t="s">
        <v>897</v>
      </c>
      <c r="F105" s="17" t="s">
        <v>460</v>
      </c>
      <c r="G105" s="17" t="s">
        <v>510</v>
      </c>
      <c r="H105" s="18"/>
      <c r="I105" s="19"/>
      <c r="J105" s="19" t="s">
        <v>269</v>
      </c>
      <c r="K105" s="19" t="s">
        <v>132</v>
      </c>
      <c r="L105" s="19" t="s">
        <v>132</v>
      </c>
    </row>
    <row r="106" spans="2:12" s="1" customFormat="1">
      <c r="B106" s="22" t="s">
        <v>462</v>
      </c>
      <c r="C106" s="22" t="s">
        <v>45</v>
      </c>
      <c r="D106" s="9" t="s">
        <v>463</v>
      </c>
      <c r="E106" s="16" t="s">
        <v>897</v>
      </c>
      <c r="F106" s="17" t="s">
        <v>462</v>
      </c>
      <c r="G106" s="17" t="s">
        <v>510</v>
      </c>
      <c r="H106" s="18"/>
      <c r="I106" s="19"/>
      <c r="J106" s="19" t="s">
        <v>269</v>
      </c>
      <c r="K106" s="19" t="s">
        <v>132</v>
      </c>
      <c r="L106" s="19" t="s">
        <v>132</v>
      </c>
    </row>
    <row r="107" spans="2:12" s="1" customFormat="1">
      <c r="B107" s="22" t="s">
        <v>464</v>
      </c>
      <c r="C107" s="22" t="s">
        <v>45</v>
      </c>
      <c r="D107" s="9" t="s">
        <v>465</v>
      </c>
      <c r="E107" s="16" t="s">
        <v>897</v>
      </c>
      <c r="F107" s="17" t="s">
        <v>464</v>
      </c>
      <c r="G107" s="17" t="s">
        <v>510</v>
      </c>
      <c r="H107" s="18"/>
      <c r="I107" s="19"/>
      <c r="J107" s="19" t="s">
        <v>269</v>
      </c>
      <c r="K107" s="19" t="s">
        <v>132</v>
      </c>
      <c r="L107" s="19" t="s">
        <v>132</v>
      </c>
    </row>
    <row r="108" spans="2:12" s="1" customFormat="1">
      <c r="B108" s="22" t="s">
        <v>466</v>
      </c>
      <c r="C108" s="22" t="s">
        <v>45</v>
      </c>
      <c r="D108" s="9" t="s">
        <v>467</v>
      </c>
      <c r="E108" s="16" t="s">
        <v>897</v>
      </c>
      <c r="F108" s="17" t="s">
        <v>466</v>
      </c>
      <c r="G108" s="17" t="s">
        <v>510</v>
      </c>
      <c r="H108" s="18"/>
      <c r="I108" s="19"/>
      <c r="J108" s="19" t="s">
        <v>269</v>
      </c>
      <c r="K108" s="19" t="s">
        <v>132</v>
      </c>
      <c r="L108" s="19" t="s">
        <v>132</v>
      </c>
    </row>
    <row r="109" spans="2:12" s="1" customFormat="1">
      <c r="B109" s="22" t="s">
        <v>468</v>
      </c>
      <c r="C109" s="22" t="s">
        <v>45</v>
      </c>
      <c r="D109" s="9" t="s">
        <v>469</v>
      </c>
      <c r="E109" s="16" t="s">
        <v>897</v>
      </c>
      <c r="F109" s="17" t="s">
        <v>468</v>
      </c>
      <c r="G109" s="17" t="s">
        <v>510</v>
      </c>
      <c r="H109" s="18"/>
      <c r="I109" s="19"/>
      <c r="J109" s="19" t="s">
        <v>269</v>
      </c>
      <c r="K109" s="19" t="s">
        <v>132</v>
      </c>
      <c r="L109" s="19" t="s">
        <v>132</v>
      </c>
    </row>
    <row r="110" spans="2:12" s="1" customFormat="1">
      <c r="B110" s="22" t="s">
        <v>470</v>
      </c>
      <c r="C110" s="22" t="s">
        <v>46</v>
      </c>
      <c r="D110" s="9" t="s">
        <v>471</v>
      </c>
      <c r="E110" s="16" t="s">
        <v>897</v>
      </c>
      <c r="F110" s="17" t="s">
        <v>470</v>
      </c>
      <c r="G110" s="17" t="s">
        <v>510</v>
      </c>
      <c r="H110" s="18"/>
      <c r="I110" s="19"/>
      <c r="J110" s="19" t="s">
        <v>269</v>
      </c>
      <c r="K110" s="19" t="s">
        <v>132</v>
      </c>
      <c r="L110" s="19" t="s">
        <v>132</v>
      </c>
    </row>
    <row r="111" spans="2:12" s="1" customFormat="1">
      <c r="B111" s="22" t="s">
        <v>472</v>
      </c>
      <c r="C111" s="22" t="s">
        <v>45</v>
      </c>
      <c r="D111" s="9" t="s">
        <v>473</v>
      </c>
      <c r="E111" s="16" t="s">
        <v>897</v>
      </c>
      <c r="F111" s="17" t="s">
        <v>472</v>
      </c>
      <c r="G111" s="17" t="s">
        <v>510</v>
      </c>
      <c r="H111" s="18"/>
      <c r="I111" s="19"/>
      <c r="J111" s="19" t="s">
        <v>269</v>
      </c>
      <c r="K111" s="19" t="s">
        <v>132</v>
      </c>
      <c r="L111" s="19" t="s">
        <v>132</v>
      </c>
    </row>
    <row r="112" spans="2:12" s="1" customFormat="1">
      <c r="B112" s="22" t="s">
        <v>474</v>
      </c>
      <c r="C112" s="22" t="s">
        <v>45</v>
      </c>
      <c r="D112" s="9" t="s">
        <v>475</v>
      </c>
      <c r="E112" s="16" t="s">
        <v>897</v>
      </c>
      <c r="F112" s="17" t="s">
        <v>474</v>
      </c>
      <c r="G112" s="17" t="s">
        <v>510</v>
      </c>
      <c r="H112" s="18"/>
      <c r="I112" s="19"/>
      <c r="J112" s="19" t="s">
        <v>269</v>
      </c>
      <c r="K112" s="19" t="s">
        <v>132</v>
      </c>
      <c r="L112" s="19" t="s">
        <v>132</v>
      </c>
    </row>
    <row r="113" spans="2:12" s="1" customFormat="1">
      <c r="B113" s="22" t="s">
        <v>476</v>
      </c>
      <c r="C113" s="22" t="s">
        <v>43</v>
      </c>
      <c r="D113" s="13" t="s">
        <v>476</v>
      </c>
      <c r="E113" s="16" t="s">
        <v>897</v>
      </c>
      <c r="F113" s="17" t="s">
        <v>476</v>
      </c>
      <c r="G113" s="17" t="s">
        <v>510</v>
      </c>
      <c r="H113" s="18"/>
      <c r="I113" s="19"/>
      <c r="J113" s="19" t="s">
        <v>269</v>
      </c>
      <c r="K113" s="19" t="s">
        <v>132</v>
      </c>
      <c r="L113" s="19" t="s">
        <v>132</v>
      </c>
    </row>
    <row r="114" spans="2:12" s="1" customFormat="1">
      <c r="B114" s="22" t="s">
        <v>477</v>
      </c>
      <c r="C114" s="22" t="s">
        <v>45</v>
      </c>
      <c r="D114" s="9" t="s">
        <v>478</v>
      </c>
      <c r="E114" s="16" t="s">
        <v>897</v>
      </c>
      <c r="F114" s="17" t="s">
        <v>477</v>
      </c>
      <c r="G114" s="17" t="s">
        <v>510</v>
      </c>
      <c r="H114" s="18"/>
      <c r="I114" s="19"/>
      <c r="J114" s="19" t="s">
        <v>269</v>
      </c>
      <c r="K114" s="19" t="s">
        <v>132</v>
      </c>
      <c r="L114" s="19" t="s">
        <v>132</v>
      </c>
    </row>
    <row r="115" spans="2:12" s="1" customFormat="1">
      <c r="B115" s="22" t="s">
        <v>479</v>
      </c>
      <c r="C115" s="22" t="s">
        <v>46</v>
      </c>
      <c r="D115" s="9" t="s">
        <v>480</v>
      </c>
      <c r="E115" s="16" t="s">
        <v>897</v>
      </c>
      <c r="F115" s="17" t="s">
        <v>479</v>
      </c>
      <c r="G115" s="17" t="s">
        <v>510</v>
      </c>
      <c r="H115" s="18"/>
      <c r="I115" s="19"/>
      <c r="J115" s="19" t="s">
        <v>269</v>
      </c>
      <c r="K115" s="19" t="s">
        <v>132</v>
      </c>
      <c r="L115" s="19" t="s">
        <v>132</v>
      </c>
    </row>
    <row r="116" spans="2:12" s="1" customFormat="1">
      <c r="B116" s="22" t="s">
        <v>481</v>
      </c>
      <c r="C116" s="22" t="s">
        <v>43</v>
      </c>
      <c r="D116" s="13" t="s">
        <v>481</v>
      </c>
      <c r="E116" s="16" t="s">
        <v>897</v>
      </c>
      <c r="F116" s="17" t="s">
        <v>481</v>
      </c>
      <c r="G116" s="17" t="s">
        <v>510</v>
      </c>
      <c r="H116" s="18"/>
      <c r="I116" s="19"/>
      <c r="J116" s="19" t="s">
        <v>269</v>
      </c>
      <c r="K116" s="19" t="s">
        <v>132</v>
      </c>
      <c r="L116" s="19" t="s">
        <v>132</v>
      </c>
    </row>
    <row r="117" spans="2:12" s="1" customFormat="1">
      <c r="B117" s="22" t="s">
        <v>482</v>
      </c>
      <c r="C117" s="22" t="s">
        <v>43</v>
      </c>
      <c r="D117" s="13" t="s">
        <v>482</v>
      </c>
      <c r="E117" s="16" t="s">
        <v>897</v>
      </c>
      <c r="F117" s="17" t="s">
        <v>482</v>
      </c>
      <c r="G117" s="17" t="s">
        <v>510</v>
      </c>
      <c r="H117" s="18"/>
      <c r="I117" s="19"/>
      <c r="J117" s="19" t="s">
        <v>269</v>
      </c>
      <c r="K117" s="19" t="s">
        <v>132</v>
      </c>
      <c r="L117" s="19" t="s">
        <v>132</v>
      </c>
    </row>
    <row r="118" spans="2:12" s="1" customFormat="1">
      <c r="B118" s="22" t="s">
        <v>483</v>
      </c>
      <c r="C118" s="22" t="s">
        <v>46</v>
      </c>
      <c r="D118" s="9" t="s">
        <v>484</v>
      </c>
      <c r="E118" s="16" t="s">
        <v>897</v>
      </c>
      <c r="F118" s="17" t="s">
        <v>483</v>
      </c>
      <c r="G118" s="17" t="s">
        <v>510</v>
      </c>
      <c r="H118" s="18"/>
      <c r="I118" s="19"/>
      <c r="J118" s="19" t="s">
        <v>269</v>
      </c>
      <c r="K118" s="19" t="s">
        <v>132</v>
      </c>
      <c r="L118" s="19" t="s">
        <v>132</v>
      </c>
    </row>
    <row r="119" spans="2:12" s="1" customFormat="1">
      <c r="B119" s="22" t="s">
        <v>485</v>
      </c>
      <c r="C119" s="22" t="s">
        <v>45</v>
      </c>
      <c r="D119" s="9" t="s">
        <v>486</v>
      </c>
      <c r="E119" s="16" t="s">
        <v>897</v>
      </c>
      <c r="F119" s="17" t="s">
        <v>485</v>
      </c>
      <c r="G119" s="17" t="s">
        <v>510</v>
      </c>
      <c r="H119" s="18"/>
      <c r="I119" s="19"/>
      <c r="J119" s="19" t="s">
        <v>269</v>
      </c>
      <c r="K119" s="19" t="s">
        <v>132</v>
      </c>
      <c r="L119" s="19" t="s">
        <v>132</v>
      </c>
    </row>
    <row r="120" spans="2:12" s="1" customFormat="1">
      <c r="B120" s="22" t="s">
        <v>851</v>
      </c>
      <c r="C120" s="22" t="s">
        <v>45</v>
      </c>
      <c r="D120" s="9" t="s">
        <v>488</v>
      </c>
      <c r="E120" s="16" t="s">
        <v>897</v>
      </c>
      <c r="F120" s="17" t="s">
        <v>487</v>
      </c>
      <c r="G120" s="17" t="s">
        <v>510</v>
      </c>
      <c r="H120" s="18"/>
      <c r="I120" s="19"/>
      <c r="J120" s="19" t="s">
        <v>269</v>
      </c>
      <c r="K120" s="19" t="s">
        <v>132</v>
      </c>
      <c r="L120" s="19" t="s">
        <v>132</v>
      </c>
    </row>
    <row r="121" spans="2:12" s="1" customFormat="1">
      <c r="B121" s="22" t="s">
        <v>852</v>
      </c>
      <c r="C121" s="22" t="s">
        <v>45</v>
      </c>
      <c r="D121" s="9" t="s">
        <v>490</v>
      </c>
      <c r="E121" s="16" t="s">
        <v>897</v>
      </c>
      <c r="F121" s="17" t="s">
        <v>489</v>
      </c>
      <c r="G121" s="17" t="s">
        <v>510</v>
      </c>
      <c r="H121" s="18"/>
      <c r="I121" s="19"/>
      <c r="J121" s="19" t="s">
        <v>269</v>
      </c>
      <c r="K121" s="19" t="s">
        <v>132</v>
      </c>
      <c r="L121" s="19" t="s">
        <v>132</v>
      </c>
    </row>
    <row r="122" spans="2:12" s="1" customFormat="1">
      <c r="B122" s="22" t="s">
        <v>491</v>
      </c>
      <c r="C122" s="22" t="s">
        <v>45</v>
      </c>
      <c r="D122" s="9" t="s">
        <v>492</v>
      </c>
      <c r="E122" s="16" t="s">
        <v>897</v>
      </c>
      <c r="F122" s="17" t="s">
        <v>491</v>
      </c>
      <c r="G122" s="17" t="s">
        <v>510</v>
      </c>
      <c r="H122" s="18"/>
      <c r="I122" s="19"/>
      <c r="J122" s="19" t="s">
        <v>269</v>
      </c>
      <c r="K122" s="19" t="s">
        <v>132</v>
      </c>
      <c r="L122" s="19" t="s">
        <v>132</v>
      </c>
    </row>
    <row r="123" spans="2:12" s="1" customFormat="1">
      <c r="B123" s="22" t="s">
        <v>493</v>
      </c>
      <c r="C123" s="22" t="s">
        <v>45</v>
      </c>
      <c r="D123" s="9" t="s">
        <v>494</v>
      </c>
      <c r="E123" s="16" t="s">
        <v>897</v>
      </c>
      <c r="F123" s="17" t="s">
        <v>493</v>
      </c>
      <c r="G123" s="17" t="s">
        <v>510</v>
      </c>
      <c r="H123" s="18"/>
      <c r="I123" s="19"/>
      <c r="J123" s="19" t="s">
        <v>269</v>
      </c>
      <c r="K123" s="19" t="s">
        <v>132</v>
      </c>
      <c r="L123" s="19" t="s">
        <v>132</v>
      </c>
    </row>
    <row r="124" spans="2:12" s="1" customFormat="1">
      <c r="B124" s="22" t="s">
        <v>495</v>
      </c>
      <c r="C124" s="22" t="s">
        <v>46</v>
      </c>
      <c r="D124" s="9" t="s">
        <v>496</v>
      </c>
      <c r="E124" s="16" t="s">
        <v>897</v>
      </c>
      <c r="F124" s="17" t="s">
        <v>495</v>
      </c>
      <c r="G124" s="17" t="s">
        <v>510</v>
      </c>
      <c r="H124" s="18"/>
      <c r="I124" s="19"/>
      <c r="J124" s="19" t="s">
        <v>269</v>
      </c>
      <c r="K124" s="19" t="s">
        <v>132</v>
      </c>
      <c r="L124" s="19" t="s">
        <v>132</v>
      </c>
    </row>
    <row r="125" spans="2:12" s="1" customFormat="1">
      <c r="B125" s="22" t="s">
        <v>513</v>
      </c>
      <c r="C125" s="22" t="s">
        <v>45</v>
      </c>
      <c r="D125" s="9" t="s">
        <v>514</v>
      </c>
      <c r="E125" s="16" t="s">
        <v>897</v>
      </c>
      <c r="F125" s="17"/>
      <c r="G125" s="17" t="s">
        <v>525</v>
      </c>
      <c r="H125" s="18"/>
      <c r="I125" s="19"/>
      <c r="J125" s="19" t="s">
        <v>269</v>
      </c>
      <c r="K125" s="19" t="s">
        <v>132</v>
      </c>
      <c r="L125" s="19" t="s">
        <v>132</v>
      </c>
    </row>
    <row r="126" spans="2:12" s="1" customFormat="1">
      <c r="B126" s="22" t="s">
        <v>61</v>
      </c>
      <c r="C126" s="22" t="s">
        <v>46</v>
      </c>
      <c r="D126" s="9" t="s">
        <v>520</v>
      </c>
      <c r="E126" s="16" t="s">
        <v>122</v>
      </c>
      <c r="F126" s="9" t="s">
        <v>123</v>
      </c>
      <c r="G126" s="17" t="s">
        <v>121</v>
      </c>
      <c r="H126" s="18"/>
      <c r="I126" s="19"/>
      <c r="J126" s="19" t="s">
        <v>269</v>
      </c>
      <c r="K126" s="19" t="s">
        <v>132</v>
      </c>
      <c r="L126" s="19" t="s">
        <v>132</v>
      </c>
    </row>
    <row r="127" spans="2:12" s="1" customFormat="1">
      <c r="B127" s="22" t="s">
        <v>62</v>
      </c>
      <c r="C127" s="22" t="s">
        <v>46</v>
      </c>
      <c r="D127" s="9" t="s">
        <v>521</v>
      </c>
      <c r="E127" s="16" t="s">
        <v>122</v>
      </c>
      <c r="F127" s="9" t="s">
        <v>124</v>
      </c>
      <c r="G127" s="17" t="s">
        <v>121</v>
      </c>
      <c r="H127" s="18"/>
      <c r="I127" s="19"/>
      <c r="J127" s="19" t="s">
        <v>269</v>
      </c>
      <c r="K127" s="19" t="s">
        <v>132</v>
      </c>
      <c r="L127" s="19" t="s">
        <v>132</v>
      </c>
    </row>
    <row r="128" spans="2:12" s="1" customFormat="1" ht="26.4">
      <c r="B128" s="22" t="s">
        <v>64</v>
      </c>
      <c r="C128" s="22" t="s">
        <v>43</v>
      </c>
      <c r="D128" s="9" t="s">
        <v>522</v>
      </c>
      <c r="E128" s="16" t="s">
        <v>122</v>
      </c>
      <c r="F128" s="13" t="s">
        <v>125</v>
      </c>
      <c r="G128" s="17" t="s">
        <v>121</v>
      </c>
      <c r="H128" s="18"/>
      <c r="I128" s="19"/>
      <c r="J128" s="19" t="s">
        <v>269</v>
      </c>
      <c r="K128" s="19" t="s">
        <v>132</v>
      </c>
      <c r="L128" s="19" t="s">
        <v>132</v>
      </c>
    </row>
    <row r="129" spans="2:12" s="1" customFormat="1" ht="26.4">
      <c r="B129" s="22" t="s">
        <v>65</v>
      </c>
      <c r="C129" s="22" t="s">
        <v>43</v>
      </c>
      <c r="D129" s="9" t="s">
        <v>523</v>
      </c>
      <c r="E129" s="16" t="s">
        <v>122</v>
      </c>
      <c r="F129" s="13" t="s">
        <v>126</v>
      </c>
      <c r="G129" s="17" t="s">
        <v>121</v>
      </c>
      <c r="H129" s="18"/>
      <c r="I129" s="19"/>
      <c r="J129" s="19" t="s">
        <v>269</v>
      </c>
      <c r="K129" s="19" t="s">
        <v>132</v>
      </c>
      <c r="L129" s="19" t="s">
        <v>132</v>
      </c>
    </row>
    <row r="130" spans="2:12" s="1" customFormat="1" ht="26.4">
      <c r="B130" s="22" t="s">
        <v>66</v>
      </c>
      <c r="C130" s="22" t="s">
        <v>43</v>
      </c>
      <c r="D130" s="9" t="s">
        <v>524</v>
      </c>
      <c r="E130" s="16" t="s">
        <v>122</v>
      </c>
      <c r="F130" s="13" t="s">
        <v>127</v>
      </c>
      <c r="G130" s="17" t="s">
        <v>121</v>
      </c>
      <c r="H130" s="18"/>
      <c r="I130" s="19"/>
      <c r="J130" s="19" t="s">
        <v>269</v>
      </c>
      <c r="K130" s="19" t="s">
        <v>132</v>
      </c>
      <c r="L130" s="19" t="s">
        <v>132</v>
      </c>
    </row>
    <row r="131" spans="2:12" s="1" customFormat="1">
      <c r="B131" s="22" t="s">
        <v>3152</v>
      </c>
      <c r="C131" s="22" t="s">
        <v>45</v>
      </c>
      <c r="D131" s="9" t="s">
        <v>497</v>
      </c>
      <c r="E131" s="16" t="s">
        <v>897</v>
      </c>
      <c r="F131" s="22"/>
      <c r="G131" s="17" t="s">
        <v>3153</v>
      </c>
      <c r="H131" s="18"/>
      <c r="I131" s="19"/>
      <c r="J131" s="19" t="s">
        <v>269</v>
      </c>
      <c r="K131" s="19" t="s">
        <v>132</v>
      </c>
      <c r="L131" s="19" t="s">
        <v>629</v>
      </c>
    </row>
    <row r="132" spans="2:12" s="1" customFormat="1">
      <c r="B132" s="22" t="s">
        <v>812</v>
      </c>
      <c r="C132" s="62" t="s">
        <v>45</v>
      </c>
      <c r="D132" s="9" t="s">
        <v>498</v>
      </c>
      <c r="E132" s="16" t="s">
        <v>897</v>
      </c>
      <c r="F132" s="22"/>
      <c r="G132" s="17" t="s">
        <v>531</v>
      </c>
      <c r="H132" s="18"/>
      <c r="I132" s="19"/>
      <c r="J132" s="19" t="s">
        <v>259</v>
      </c>
      <c r="K132" s="19" t="s">
        <v>132</v>
      </c>
      <c r="L132" s="19" t="s">
        <v>629</v>
      </c>
    </row>
    <row r="133" spans="2:12" s="1" customFormat="1">
      <c r="B133" s="22" t="s">
        <v>499</v>
      </c>
      <c r="C133" s="62" t="s">
        <v>45</v>
      </c>
      <c r="D133" s="9" t="s">
        <v>500</v>
      </c>
      <c r="E133" s="16" t="s">
        <v>897</v>
      </c>
      <c r="F133" s="22"/>
      <c r="G133" s="17" t="s">
        <v>530</v>
      </c>
      <c r="H133" s="18"/>
      <c r="I133" s="19"/>
      <c r="J133" s="19" t="s">
        <v>259</v>
      </c>
      <c r="K133" s="19" t="s">
        <v>132</v>
      </c>
      <c r="L133" s="19" t="s">
        <v>629</v>
      </c>
    </row>
    <row r="134" spans="2:12" s="1" customFormat="1">
      <c r="B134" s="22" t="s">
        <v>535</v>
      </c>
      <c r="C134" s="62" t="s">
        <v>45</v>
      </c>
      <c r="D134" s="9" t="s">
        <v>534</v>
      </c>
      <c r="E134" s="16" t="s">
        <v>897</v>
      </c>
      <c r="F134" s="22"/>
      <c r="G134" s="17" t="s">
        <v>532</v>
      </c>
      <c r="H134" s="18"/>
      <c r="I134" s="88" t="s">
        <v>1382</v>
      </c>
      <c r="J134" s="19" t="s">
        <v>259</v>
      </c>
      <c r="K134" s="19" t="s">
        <v>203</v>
      </c>
      <c r="L134" s="19" t="s">
        <v>630</v>
      </c>
    </row>
    <row r="135" spans="2:12" s="1" customFormat="1">
      <c r="B135" s="22" t="s">
        <v>855</v>
      </c>
      <c r="C135" s="62" t="s">
        <v>45</v>
      </c>
      <c r="D135" s="9" t="s">
        <v>760</v>
      </c>
      <c r="E135" s="16" t="s">
        <v>897</v>
      </c>
      <c r="F135" s="22"/>
      <c r="G135" s="17" t="s">
        <v>761</v>
      </c>
      <c r="H135" s="18"/>
      <c r="I135" s="88" t="s">
        <v>1379</v>
      </c>
      <c r="J135" s="19" t="s">
        <v>259</v>
      </c>
      <c r="K135" s="19" t="s">
        <v>203</v>
      </c>
      <c r="L135" s="19" t="s">
        <v>627</v>
      </c>
    </row>
    <row r="136" spans="2:12" s="1" customFormat="1">
      <c r="B136" s="22" t="s">
        <v>889</v>
      </c>
      <c r="C136" s="62" t="s">
        <v>45</v>
      </c>
      <c r="D136" s="9" t="s">
        <v>503</v>
      </c>
      <c r="E136" s="16" t="s">
        <v>897</v>
      </c>
      <c r="F136" s="22"/>
      <c r="G136" s="17" t="s">
        <v>533</v>
      </c>
      <c r="H136" s="18"/>
      <c r="I136" s="88" t="s">
        <v>1380</v>
      </c>
      <c r="J136" s="19" t="s">
        <v>259</v>
      </c>
      <c r="K136" s="19" t="s">
        <v>203</v>
      </c>
      <c r="L136" s="19" t="s">
        <v>627</v>
      </c>
    </row>
    <row r="137" spans="2:12" s="1" customFormat="1">
      <c r="B137" s="22" t="s">
        <v>504</v>
      </c>
      <c r="C137" s="62" t="s">
        <v>45</v>
      </c>
      <c r="D137" s="9" t="s">
        <v>517</v>
      </c>
      <c r="E137" s="16" t="s">
        <v>897</v>
      </c>
      <c r="F137" s="22"/>
      <c r="G137" s="17" t="s">
        <v>2677</v>
      </c>
      <c r="H137" s="18"/>
      <c r="I137" s="88" t="s">
        <v>1381</v>
      </c>
      <c r="J137" s="19" t="s">
        <v>259</v>
      </c>
      <c r="K137" s="19" t="s">
        <v>203</v>
      </c>
      <c r="L137" s="19" t="s">
        <v>631</v>
      </c>
    </row>
    <row r="138" spans="2:12" s="1" customFormat="1">
      <c r="B138" s="22" t="s">
        <v>799</v>
      </c>
      <c r="C138" s="62" t="s">
        <v>45</v>
      </c>
      <c r="D138" s="9" t="s">
        <v>506</v>
      </c>
      <c r="E138" s="16" t="s">
        <v>897</v>
      </c>
      <c r="F138" s="22"/>
      <c r="G138" s="17" t="s">
        <v>2678</v>
      </c>
      <c r="H138" s="18"/>
      <c r="I138" s="88" t="s">
        <v>1377</v>
      </c>
      <c r="J138" s="19" t="s">
        <v>259</v>
      </c>
      <c r="K138" s="19" t="s">
        <v>203</v>
      </c>
      <c r="L138" s="19" t="s">
        <v>631</v>
      </c>
    </row>
    <row r="139" spans="2:12" s="1" customFormat="1">
      <c r="B139" s="22" t="s">
        <v>623</v>
      </c>
      <c r="C139" s="62" t="s">
        <v>45</v>
      </c>
      <c r="D139" s="9" t="s">
        <v>536</v>
      </c>
      <c r="E139" s="16" t="s">
        <v>897</v>
      </c>
      <c r="F139" s="22"/>
      <c r="G139" s="17" t="s">
        <v>2679</v>
      </c>
      <c r="H139" s="18"/>
      <c r="I139" s="88" t="s">
        <v>1378</v>
      </c>
      <c r="J139" s="19" t="s">
        <v>259</v>
      </c>
      <c r="K139" s="19" t="s">
        <v>203</v>
      </c>
      <c r="L139" s="19" t="s">
        <v>631</v>
      </c>
    </row>
    <row r="140" spans="2:12" s="1" customFormat="1">
      <c r="B140" s="22" t="s">
        <v>827</v>
      </c>
      <c r="C140" s="62" t="s">
        <v>94</v>
      </c>
      <c r="D140" s="9" t="s">
        <v>625</v>
      </c>
      <c r="E140" s="16" t="s">
        <v>271</v>
      </c>
      <c r="F140" s="22"/>
      <c r="G140" s="17" t="s">
        <v>624</v>
      </c>
      <c r="H140" s="18"/>
      <c r="I140" s="19"/>
      <c r="J140" s="19" t="s">
        <v>259</v>
      </c>
      <c r="K140" s="19" t="s">
        <v>132</v>
      </c>
      <c r="L140" s="19" t="s">
        <v>629</v>
      </c>
    </row>
    <row r="141" spans="2:12" s="1" customFormat="1">
      <c r="B141" s="22" t="s">
        <v>139</v>
      </c>
      <c r="C141" s="62" t="s">
        <v>43</v>
      </c>
      <c r="D141" s="9" t="s">
        <v>637</v>
      </c>
      <c r="E141" s="16" t="s">
        <v>897</v>
      </c>
      <c r="F141" s="22"/>
      <c r="G141" s="17" t="s">
        <v>672</v>
      </c>
      <c r="H141" s="18"/>
      <c r="I141" s="17" t="s">
        <v>130</v>
      </c>
      <c r="J141" s="19" t="s">
        <v>259</v>
      </c>
      <c r="K141" s="19" t="s">
        <v>132</v>
      </c>
      <c r="L141" s="19" t="s">
        <v>673</v>
      </c>
    </row>
    <row r="142" spans="2:12" s="1" customFormat="1">
      <c r="B142" s="22" t="s">
        <v>906</v>
      </c>
      <c r="C142" s="62" t="s">
        <v>43</v>
      </c>
      <c r="D142" s="9" t="s">
        <v>626</v>
      </c>
      <c r="E142" s="16" t="s">
        <v>897</v>
      </c>
      <c r="F142" s="22"/>
      <c r="G142" s="17" t="s">
        <v>1673</v>
      </c>
      <c r="H142" s="18"/>
      <c r="I142" s="19"/>
      <c r="J142" s="19" t="s">
        <v>259</v>
      </c>
      <c r="K142" s="19" t="s">
        <v>132</v>
      </c>
      <c r="L142" s="19" t="s">
        <v>632</v>
      </c>
    </row>
    <row r="143" spans="2:12" s="1" customFormat="1">
      <c r="B143" s="22" t="s">
        <v>1052</v>
      </c>
      <c r="C143" s="62" t="s">
        <v>46</v>
      </c>
      <c r="D143" s="9" t="s">
        <v>508</v>
      </c>
      <c r="E143" s="16" t="s">
        <v>897</v>
      </c>
      <c r="F143" s="22"/>
      <c r="G143" s="17" t="s">
        <v>2015</v>
      </c>
      <c r="H143" s="18"/>
      <c r="I143" s="19"/>
      <c r="J143" s="19" t="s">
        <v>259</v>
      </c>
      <c r="K143" s="19" t="s">
        <v>132</v>
      </c>
      <c r="L143" s="19" t="s">
        <v>629</v>
      </c>
    </row>
    <row r="144" spans="2:12" s="1" customFormat="1">
      <c r="B144" s="22" t="s">
        <v>1000</v>
      </c>
      <c r="C144" s="62" t="s">
        <v>46</v>
      </c>
      <c r="D144" s="9" t="s">
        <v>515</v>
      </c>
      <c r="E144" s="16" t="s">
        <v>897</v>
      </c>
      <c r="F144" s="22"/>
      <c r="G144" s="17" t="s">
        <v>895</v>
      </c>
      <c r="H144" s="18"/>
      <c r="I144" s="19"/>
      <c r="J144" s="19" t="s">
        <v>259</v>
      </c>
      <c r="K144" s="19" t="s">
        <v>132</v>
      </c>
      <c r="L144" s="19" t="s">
        <v>629</v>
      </c>
    </row>
    <row r="145" spans="2:17" s="1" customFormat="1">
      <c r="B145" s="22" t="s">
        <v>199</v>
      </c>
      <c r="C145" s="62" t="s">
        <v>46</v>
      </c>
      <c r="D145" s="9" t="s">
        <v>516</v>
      </c>
      <c r="E145" s="16" t="s">
        <v>897</v>
      </c>
      <c r="F145" s="22"/>
      <c r="G145" s="17" t="s">
        <v>896</v>
      </c>
      <c r="H145" s="18"/>
      <c r="I145" s="19"/>
      <c r="J145" s="19" t="s">
        <v>259</v>
      </c>
      <c r="K145" s="19" t="s">
        <v>132</v>
      </c>
      <c r="L145" s="19" t="s">
        <v>629</v>
      </c>
    </row>
    <row r="146" spans="2:17" s="1" customFormat="1">
      <c r="B146" s="22" t="s">
        <v>1002</v>
      </c>
      <c r="C146" s="62" t="s">
        <v>46</v>
      </c>
      <c r="D146" s="9" t="s">
        <v>1003</v>
      </c>
      <c r="E146" s="16" t="s">
        <v>996</v>
      </c>
      <c r="F146" s="9"/>
      <c r="G146" s="17" t="s">
        <v>1012</v>
      </c>
      <c r="H146" s="18"/>
      <c r="I146" s="19"/>
      <c r="J146" s="19"/>
      <c r="K146" s="19"/>
      <c r="L146" s="19"/>
    </row>
    <row r="147" spans="2:17" s="1" customFormat="1">
      <c r="B147" s="22" t="s">
        <v>1005</v>
      </c>
      <c r="C147" s="62" t="s">
        <v>46</v>
      </c>
      <c r="D147" s="9" t="s">
        <v>1007</v>
      </c>
      <c r="E147" s="16" t="s">
        <v>996</v>
      </c>
      <c r="F147" s="9"/>
      <c r="G147" s="17" t="s">
        <v>1011</v>
      </c>
      <c r="H147" s="18"/>
      <c r="I147" s="19"/>
      <c r="J147" s="19"/>
      <c r="K147" s="19"/>
      <c r="L147" s="19"/>
    </row>
    <row r="148" spans="2:17" s="1" customFormat="1">
      <c r="B148" s="22" t="s">
        <v>1006</v>
      </c>
      <c r="C148" s="62" t="s">
        <v>991</v>
      </c>
      <c r="D148" s="9" t="s">
        <v>1008</v>
      </c>
      <c r="E148" s="16" t="s">
        <v>996</v>
      </c>
      <c r="F148" s="17" t="s">
        <v>1013</v>
      </c>
      <c r="G148" s="17" t="s">
        <v>995</v>
      </c>
      <c r="H148" s="18"/>
      <c r="I148" s="19"/>
      <c r="J148" s="19"/>
      <c r="K148" s="19"/>
      <c r="L148" s="19"/>
    </row>
    <row r="149" spans="2:17" s="3" customFormat="1">
      <c r="B149" s="23" t="s">
        <v>47</v>
      </c>
      <c r="C149" s="24" t="s">
        <v>46</v>
      </c>
      <c r="D149" s="21" t="s">
        <v>48</v>
      </c>
      <c r="E149" s="44"/>
      <c r="F149" s="44"/>
      <c r="G149" s="44"/>
      <c r="H149" s="23"/>
      <c r="I149" s="23"/>
      <c r="J149" s="23"/>
      <c r="K149" s="23"/>
      <c r="L149" s="23"/>
      <c r="M149" s="23"/>
      <c r="N149" s="23"/>
      <c r="O149" s="23"/>
      <c r="P149" s="23"/>
      <c r="Q149" s="23"/>
    </row>
    <row r="150" spans="2:17" s="3" customFormat="1">
      <c r="B150" s="23" t="s">
        <v>49</v>
      </c>
      <c r="C150" s="24" t="s">
        <v>43</v>
      </c>
      <c r="D150" s="21" t="s">
        <v>50</v>
      </c>
      <c r="E150" s="44"/>
      <c r="F150" s="44"/>
      <c r="G150" s="44"/>
      <c r="H150" s="23"/>
      <c r="I150" s="23"/>
      <c r="J150" s="23"/>
      <c r="K150" s="23"/>
      <c r="L150" s="23"/>
      <c r="M150" s="23"/>
      <c r="N150" s="23"/>
      <c r="O150" s="23"/>
      <c r="P150" s="23"/>
      <c r="Q150" s="23"/>
    </row>
    <row r="151" spans="2:17" s="3" customFormat="1">
      <c r="B151" s="23" t="s">
        <v>51</v>
      </c>
      <c r="C151" s="24" t="s">
        <v>46</v>
      </c>
      <c r="D151" s="21" t="s">
        <v>52</v>
      </c>
      <c r="E151" s="44"/>
      <c r="F151" s="44"/>
      <c r="G151" s="44"/>
      <c r="H151" s="23"/>
      <c r="I151" s="23"/>
      <c r="J151" s="23"/>
      <c r="K151" s="23"/>
      <c r="L151" s="23"/>
      <c r="M151" s="23"/>
      <c r="N151" s="23"/>
      <c r="O151" s="23"/>
      <c r="P151" s="23"/>
      <c r="Q151" s="23"/>
    </row>
    <row r="152" spans="2:17" s="3" customFormat="1">
      <c r="B152" s="23" t="s">
        <v>120</v>
      </c>
      <c r="C152" s="24" t="s">
        <v>46</v>
      </c>
      <c r="D152" s="21" t="s">
        <v>270</v>
      </c>
      <c r="E152" s="44"/>
      <c r="F152" s="44"/>
      <c r="G152" s="44"/>
      <c r="H152" s="23"/>
      <c r="I152" s="23"/>
      <c r="J152" s="23"/>
      <c r="K152" s="23"/>
      <c r="L152" s="23"/>
      <c r="M152" s="23"/>
      <c r="N152" s="23"/>
      <c r="O152" s="23"/>
      <c r="P152" s="23"/>
      <c r="Q152" s="23"/>
    </row>
  </sheetData>
  <autoFilter ref="A18:Q151" xr:uid="{00000000-0009-0000-0000-00000B000000}"/>
  <mergeCells count="4">
    <mergeCell ref="B2:H2"/>
    <mergeCell ref="B3:H3"/>
    <mergeCell ref="B7:H7"/>
    <mergeCell ref="B17:L17"/>
  </mergeCells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FA29-E820-4A10-98BC-CF6E577605DD}">
  <sheetPr codeName="Sheet5"/>
  <dimension ref="A1:Q156"/>
  <sheetViews>
    <sheetView zoomScale="85" zoomScaleNormal="85" workbookViewId="0">
      <pane ySplit="5" topLeftCell="A16" activePane="bottomLeft" state="frozen"/>
      <selection pane="bottomLeft" activeCell="B1" sqref="B1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9" t="s">
        <v>668</v>
      </c>
      <c r="D5" s="10" t="s">
        <v>670</v>
      </c>
      <c r="E5" s="11" t="s">
        <v>24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321</v>
      </c>
      <c r="D9" s="10" t="s">
        <v>323</v>
      </c>
      <c r="E9" s="11" t="s">
        <v>55</v>
      </c>
      <c r="F9" s="17"/>
      <c r="G9" s="17"/>
      <c r="H9" s="14" t="s">
        <v>17</v>
      </c>
    </row>
    <row r="11" spans="2:14">
      <c r="B11" s="4" t="s">
        <v>32</v>
      </c>
    </row>
    <row r="12" spans="2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2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2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2:14" s="1" customFormat="1">
      <c r="B16" s="22" t="s">
        <v>92</v>
      </c>
      <c r="C16" s="22" t="s">
        <v>94</v>
      </c>
      <c r="D16" s="9" t="s">
        <v>98</v>
      </c>
      <c r="E16" s="16" t="s">
        <v>128</v>
      </c>
      <c r="F16" s="17" t="s">
        <v>120</v>
      </c>
      <c r="G16" s="17" t="s">
        <v>129</v>
      </c>
      <c r="H16" s="18"/>
      <c r="I16" s="19"/>
      <c r="J16" s="19" t="s">
        <v>131</v>
      </c>
      <c r="K16" s="19" t="s">
        <v>132</v>
      </c>
      <c r="L16" s="19" t="s">
        <v>676</v>
      </c>
    </row>
    <row r="17" spans="1:12" s="1" customFormat="1">
      <c r="A17" s="15"/>
      <c r="B17" s="22" t="s">
        <v>77</v>
      </c>
      <c r="C17" s="22" t="s">
        <v>94</v>
      </c>
      <c r="D17" s="9" t="s">
        <v>113</v>
      </c>
      <c r="E17" s="16" t="s">
        <v>128</v>
      </c>
      <c r="F17" s="17" t="s">
        <v>77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677</v>
      </c>
    </row>
    <row r="18" spans="1:12" s="1" customFormat="1">
      <c r="A18" s="15"/>
      <c r="B18" s="22" t="s">
        <v>80</v>
      </c>
      <c r="C18" s="22" t="s">
        <v>94</v>
      </c>
      <c r="D18" s="9" t="s">
        <v>99</v>
      </c>
      <c r="E18" s="16" t="s">
        <v>128</v>
      </c>
      <c r="F18" s="17" t="s">
        <v>80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678</v>
      </c>
    </row>
    <row r="19" spans="1:12" s="1" customFormat="1">
      <c r="A19" s="15"/>
      <c r="B19" s="22" t="s">
        <v>136</v>
      </c>
      <c r="C19" s="22" t="s">
        <v>94</v>
      </c>
      <c r="D19" s="9" t="s">
        <v>137</v>
      </c>
      <c r="E19" s="16" t="s">
        <v>128</v>
      </c>
      <c r="F19" s="17" t="s">
        <v>138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22" t="s">
        <v>61</v>
      </c>
      <c r="C20" s="22" t="s">
        <v>94</v>
      </c>
      <c r="D20" s="9" t="s">
        <v>100</v>
      </c>
      <c r="E20" s="16" t="s">
        <v>128</v>
      </c>
      <c r="F20" s="9" t="s">
        <v>123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679</v>
      </c>
    </row>
    <row r="21" spans="1:12" s="1" customFormat="1">
      <c r="A21" s="15"/>
      <c r="B21" s="11" t="s">
        <v>62</v>
      </c>
      <c r="C21" s="22" t="s">
        <v>94</v>
      </c>
      <c r="D21" s="9" t="s">
        <v>101</v>
      </c>
      <c r="E21" s="16" t="s">
        <v>128</v>
      </c>
      <c r="F21" s="9" t="s">
        <v>124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679</v>
      </c>
    </row>
    <row r="22" spans="1:12" s="1" customFormat="1">
      <c r="A22" s="15"/>
      <c r="B22" s="11" t="s">
        <v>64</v>
      </c>
      <c r="C22" s="22" t="s">
        <v>93</v>
      </c>
      <c r="D22" s="9" t="s">
        <v>63</v>
      </c>
      <c r="E22" s="16" t="s">
        <v>128</v>
      </c>
      <c r="F22" s="9" t="s">
        <v>318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65</v>
      </c>
      <c r="C23" s="22" t="s">
        <v>93</v>
      </c>
      <c r="D23" s="9" t="s">
        <v>102</v>
      </c>
      <c r="E23" s="16" t="s">
        <v>128</v>
      </c>
      <c r="F23" s="9" t="s">
        <v>273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66</v>
      </c>
      <c r="C24" s="22" t="s">
        <v>93</v>
      </c>
      <c r="D24" s="9" t="s">
        <v>68</v>
      </c>
      <c r="E24" s="16" t="s">
        <v>128</v>
      </c>
      <c r="F24" s="9" t="s">
        <v>272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95</v>
      </c>
      <c r="C25" s="11" t="s">
        <v>93</v>
      </c>
      <c r="D25" s="9" t="s">
        <v>114</v>
      </c>
      <c r="E25" s="16" t="s">
        <v>128</v>
      </c>
      <c r="F25" s="9" t="s">
        <v>95</v>
      </c>
      <c r="G25" s="17" t="s">
        <v>129</v>
      </c>
      <c r="H25" s="18"/>
      <c r="I25" s="35"/>
      <c r="J25" s="19" t="s">
        <v>131</v>
      </c>
      <c r="K25" s="19" t="s">
        <v>132</v>
      </c>
      <c r="L25" s="19" t="s">
        <v>44</v>
      </c>
    </row>
    <row r="26" spans="1:12" s="1" customFormat="1">
      <c r="A26" s="15"/>
      <c r="B26" s="11" t="s">
        <v>78</v>
      </c>
      <c r="C26" s="11" t="s">
        <v>93</v>
      </c>
      <c r="D26" s="9" t="s">
        <v>103</v>
      </c>
      <c r="E26" s="16" t="s">
        <v>128</v>
      </c>
      <c r="F26" s="17" t="s">
        <v>78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44</v>
      </c>
    </row>
    <row r="27" spans="1:12" s="1" customFormat="1">
      <c r="A27" s="15"/>
      <c r="B27" s="11" t="s">
        <v>3154</v>
      </c>
      <c r="C27" s="11" t="s">
        <v>43</v>
      </c>
      <c r="D27" s="9" t="s">
        <v>57</v>
      </c>
      <c r="E27" s="16" t="s">
        <v>128</v>
      </c>
      <c r="F27" s="17" t="s">
        <v>81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2" s="1" customFormat="1">
      <c r="A28" s="15"/>
      <c r="B28" s="11" t="s">
        <v>58</v>
      </c>
      <c r="C28" s="11" t="s">
        <v>43</v>
      </c>
      <c r="D28" s="9" t="s">
        <v>59</v>
      </c>
      <c r="E28" s="16" t="s">
        <v>128</v>
      </c>
      <c r="F28" s="9" t="s">
        <v>58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2" s="1" customFormat="1">
      <c r="A29" s="15"/>
      <c r="B29" s="11" t="s">
        <v>82</v>
      </c>
      <c r="C29" s="11" t="s">
        <v>43</v>
      </c>
      <c r="D29" s="9" t="s">
        <v>105</v>
      </c>
      <c r="E29" s="16" t="s">
        <v>128</v>
      </c>
      <c r="F29" s="17" t="s">
        <v>82</v>
      </c>
      <c r="G29" s="17" t="s">
        <v>129</v>
      </c>
      <c r="H29" s="18"/>
      <c r="I29" s="20"/>
      <c r="J29" s="19" t="s">
        <v>131</v>
      </c>
      <c r="K29" s="19" t="s">
        <v>132</v>
      </c>
      <c r="L29" s="19" t="s">
        <v>44</v>
      </c>
    </row>
    <row r="30" spans="1:12" s="1" customFormat="1">
      <c r="A30" s="15"/>
      <c r="B30" s="11" t="s">
        <v>3155</v>
      </c>
      <c r="C30" s="11" t="s">
        <v>43</v>
      </c>
      <c r="D30" s="9" t="s">
        <v>135</v>
      </c>
      <c r="E30" s="16" t="s">
        <v>128</v>
      </c>
      <c r="F30" s="17" t="s">
        <v>83</v>
      </c>
      <c r="G30" s="17" t="s">
        <v>129</v>
      </c>
      <c r="H30" s="18"/>
      <c r="I30" s="20"/>
      <c r="J30" s="19" t="s">
        <v>131</v>
      </c>
      <c r="K30" s="19" t="s">
        <v>132</v>
      </c>
      <c r="L30" s="19" t="s">
        <v>44</v>
      </c>
    </row>
    <row r="31" spans="1:12" s="1" customFormat="1">
      <c r="A31" s="15"/>
      <c r="B31" s="22" t="s">
        <v>195</v>
      </c>
      <c r="C31" s="11" t="s">
        <v>43</v>
      </c>
      <c r="D31" s="9" t="s">
        <v>106</v>
      </c>
      <c r="E31" s="16" t="s">
        <v>128</v>
      </c>
      <c r="F31" s="17" t="s">
        <v>84</v>
      </c>
      <c r="G31" s="17" t="s">
        <v>129</v>
      </c>
      <c r="H31" s="18"/>
      <c r="I31" s="20"/>
      <c r="J31" s="19" t="s">
        <v>131</v>
      </c>
      <c r="K31" s="19" t="s">
        <v>132</v>
      </c>
      <c r="L31" s="19" t="s">
        <v>44</v>
      </c>
    </row>
    <row r="32" spans="1:12" s="1" customFormat="1">
      <c r="B32" s="22" t="s">
        <v>85</v>
      </c>
      <c r="C32" s="11" t="s">
        <v>43</v>
      </c>
      <c r="D32" s="9" t="s">
        <v>107</v>
      </c>
      <c r="E32" s="16" t="s">
        <v>128</v>
      </c>
      <c r="F32" s="17" t="s">
        <v>85</v>
      </c>
      <c r="G32" s="17" t="s">
        <v>129</v>
      </c>
      <c r="H32" s="18"/>
      <c r="I32" s="19"/>
      <c r="J32" s="19" t="s">
        <v>131</v>
      </c>
      <c r="K32" s="19" t="s">
        <v>132</v>
      </c>
      <c r="L32" s="19" t="s">
        <v>44</v>
      </c>
    </row>
    <row r="33" spans="1:13" s="1" customFormat="1">
      <c r="B33" s="22" t="s">
        <v>507</v>
      </c>
      <c r="C33" s="62" t="s">
        <v>43</v>
      </c>
      <c r="D33" s="9" t="s">
        <v>626</v>
      </c>
      <c r="E33" s="16" t="s">
        <v>128</v>
      </c>
      <c r="F33" s="9" t="s">
        <v>507</v>
      </c>
      <c r="G33" s="17" t="s">
        <v>129</v>
      </c>
      <c r="H33" s="18"/>
      <c r="I33" s="19"/>
      <c r="J33" s="19" t="s">
        <v>131</v>
      </c>
      <c r="K33" s="19" t="s">
        <v>132</v>
      </c>
      <c r="L33" s="19" t="s">
        <v>632</v>
      </c>
    </row>
    <row r="34" spans="1:13" s="1" customFormat="1">
      <c r="B34" s="22" t="s">
        <v>86</v>
      </c>
      <c r="C34" s="11" t="s">
        <v>43</v>
      </c>
      <c r="D34" s="9" t="s">
        <v>108</v>
      </c>
      <c r="E34" s="16" t="s">
        <v>128</v>
      </c>
      <c r="F34" s="17" t="s">
        <v>86</v>
      </c>
      <c r="G34" s="17" t="s">
        <v>129</v>
      </c>
      <c r="H34" s="18"/>
      <c r="I34" s="19"/>
      <c r="J34" s="19" t="s">
        <v>131</v>
      </c>
      <c r="K34" s="19" t="s">
        <v>132</v>
      </c>
      <c r="L34" s="19" t="s">
        <v>44</v>
      </c>
    </row>
    <row r="35" spans="1:13" s="15" customFormat="1">
      <c r="B35" s="22" t="s">
        <v>87</v>
      </c>
      <c r="C35" s="11" t="s">
        <v>43</v>
      </c>
      <c r="D35" s="9" t="s">
        <v>109</v>
      </c>
      <c r="E35" s="16" t="s">
        <v>128</v>
      </c>
      <c r="F35" s="17" t="s">
        <v>87</v>
      </c>
      <c r="G35" s="17" t="s">
        <v>129</v>
      </c>
      <c r="H35" s="18"/>
      <c r="I35" s="20"/>
      <c r="J35" s="19" t="s">
        <v>131</v>
      </c>
      <c r="K35" s="19" t="s">
        <v>132</v>
      </c>
      <c r="L35" s="19" t="s">
        <v>679</v>
      </c>
      <c r="M35" s="1"/>
    </row>
    <row r="36" spans="1:13" s="15" customFormat="1">
      <c r="B36" s="22" t="s">
        <v>88</v>
      </c>
      <c r="C36" s="11" t="s">
        <v>43</v>
      </c>
      <c r="D36" s="9" t="s">
        <v>110</v>
      </c>
      <c r="E36" s="16" t="s">
        <v>128</v>
      </c>
      <c r="F36" s="17" t="s">
        <v>88</v>
      </c>
      <c r="G36" s="17" t="s">
        <v>129</v>
      </c>
      <c r="H36" s="18"/>
      <c r="I36" s="20"/>
      <c r="J36" s="19" t="s">
        <v>131</v>
      </c>
      <c r="K36" s="19" t="s">
        <v>132</v>
      </c>
      <c r="L36" s="19" t="s">
        <v>44</v>
      </c>
      <c r="M36" s="1"/>
    </row>
    <row r="37" spans="1:13" s="68" customFormat="1">
      <c r="A37" s="65"/>
      <c r="B37" s="66" t="s">
        <v>89</v>
      </c>
      <c r="C37" s="11" t="s">
        <v>43</v>
      </c>
      <c r="D37" s="9" t="s">
        <v>111</v>
      </c>
      <c r="E37" s="16" t="s">
        <v>128</v>
      </c>
      <c r="F37" s="17" t="s">
        <v>89</v>
      </c>
      <c r="G37" s="17" t="s">
        <v>129</v>
      </c>
      <c r="H37" s="18"/>
      <c r="I37" s="67"/>
      <c r="J37" s="19" t="s">
        <v>131</v>
      </c>
      <c r="K37" s="19" t="s">
        <v>132</v>
      </c>
      <c r="L37" s="19" t="s">
        <v>44</v>
      </c>
      <c r="M37" s="1"/>
    </row>
    <row r="38" spans="1:13" s="68" customFormat="1">
      <c r="A38" s="65"/>
      <c r="B38" s="66" t="s">
        <v>117</v>
      </c>
      <c r="C38" s="11" t="s">
        <v>46</v>
      </c>
      <c r="D38" s="9" t="s">
        <v>143</v>
      </c>
      <c r="E38" s="16" t="s">
        <v>128</v>
      </c>
      <c r="F38" s="17" t="s">
        <v>117</v>
      </c>
      <c r="G38" s="17" t="s">
        <v>129</v>
      </c>
      <c r="H38" s="18"/>
      <c r="I38" s="67"/>
      <c r="J38" s="19" t="s">
        <v>131</v>
      </c>
      <c r="K38" s="19" t="s">
        <v>132</v>
      </c>
      <c r="L38" s="19" t="s">
        <v>680</v>
      </c>
      <c r="M38" s="1"/>
    </row>
    <row r="39" spans="1:13" s="68" customFormat="1">
      <c r="A39" s="65"/>
      <c r="B39" s="66" t="s">
        <v>142</v>
      </c>
      <c r="C39" s="11" t="s">
        <v>46</v>
      </c>
      <c r="D39" s="9" t="s">
        <v>144</v>
      </c>
      <c r="E39" s="16" t="s">
        <v>128</v>
      </c>
      <c r="F39" s="13" t="s">
        <v>907</v>
      </c>
      <c r="G39" s="17" t="s">
        <v>129</v>
      </c>
      <c r="H39" s="18"/>
      <c r="I39" s="67"/>
      <c r="J39" s="19" t="s">
        <v>131</v>
      </c>
      <c r="K39" s="19" t="s">
        <v>132</v>
      </c>
      <c r="L39" s="19" t="s">
        <v>44</v>
      </c>
      <c r="M39" s="1"/>
    </row>
    <row r="40" spans="1:13" s="1" customFormat="1">
      <c r="A40" s="15"/>
      <c r="B40" s="11" t="s">
        <v>139</v>
      </c>
      <c r="C40" s="11" t="s">
        <v>43</v>
      </c>
      <c r="D40" s="9" t="s">
        <v>115</v>
      </c>
      <c r="E40" s="16" t="s">
        <v>128</v>
      </c>
      <c r="F40" s="17" t="s">
        <v>139</v>
      </c>
      <c r="G40" s="17" t="s">
        <v>129</v>
      </c>
      <c r="H40" s="18"/>
      <c r="I40" s="17"/>
      <c r="J40" s="19" t="s">
        <v>131</v>
      </c>
      <c r="K40" s="19" t="s">
        <v>132</v>
      </c>
      <c r="L40" s="19" t="s">
        <v>44</v>
      </c>
    </row>
    <row r="41" spans="1:13" s="1" customFormat="1">
      <c r="A41" s="15"/>
      <c r="B41" s="11" t="s">
        <v>1050</v>
      </c>
      <c r="C41" s="11" t="s">
        <v>992</v>
      </c>
      <c r="D41" s="9" t="s">
        <v>1051</v>
      </c>
      <c r="E41" s="16" t="s">
        <v>128</v>
      </c>
      <c r="F41" s="9" t="s">
        <v>1050</v>
      </c>
      <c r="G41" s="17" t="s">
        <v>129</v>
      </c>
      <c r="H41" s="18"/>
      <c r="I41" s="17"/>
      <c r="J41" s="19" t="s">
        <v>131</v>
      </c>
      <c r="K41" s="19" t="s">
        <v>132</v>
      </c>
      <c r="L41" s="19" t="s">
        <v>44</v>
      </c>
    </row>
    <row r="42" spans="1:13" s="1" customFormat="1">
      <c r="A42" s="15"/>
      <c r="B42" s="11" t="s">
        <v>197</v>
      </c>
      <c r="C42" s="11" t="s">
        <v>94</v>
      </c>
      <c r="D42" s="9" t="s">
        <v>198</v>
      </c>
      <c r="E42" s="16" t="s">
        <v>128</v>
      </c>
      <c r="F42" s="17" t="s">
        <v>197</v>
      </c>
      <c r="G42" s="17" t="s">
        <v>129</v>
      </c>
      <c r="H42" s="18"/>
      <c r="I42" s="17"/>
      <c r="J42" s="19" t="s">
        <v>131</v>
      </c>
      <c r="K42" s="19" t="s">
        <v>132</v>
      </c>
      <c r="L42" s="19" t="s">
        <v>281</v>
      </c>
    </row>
    <row r="43" spans="1:13" s="1" customFormat="1">
      <c r="A43" s="15"/>
      <c r="B43" s="11" t="s">
        <v>200</v>
      </c>
      <c r="C43" s="11" t="s">
        <v>94</v>
      </c>
      <c r="D43" s="9" t="s">
        <v>201</v>
      </c>
      <c r="E43" s="16" t="s">
        <v>128</v>
      </c>
      <c r="F43" s="17" t="s">
        <v>200</v>
      </c>
      <c r="G43" s="17" t="s">
        <v>129</v>
      </c>
      <c r="H43" s="18"/>
      <c r="I43" s="17"/>
      <c r="J43" s="19" t="s">
        <v>131</v>
      </c>
      <c r="K43" s="19" t="s">
        <v>132</v>
      </c>
      <c r="L43" s="19" t="s">
        <v>281</v>
      </c>
    </row>
    <row r="44" spans="1:13" s="1" customFormat="1">
      <c r="A44" s="15"/>
      <c r="B44" s="22" t="s">
        <v>1002</v>
      </c>
      <c r="C44" s="62" t="s">
        <v>46</v>
      </c>
      <c r="D44" s="9" t="s">
        <v>1003</v>
      </c>
      <c r="E44" s="16" t="s">
        <v>128</v>
      </c>
      <c r="F44" s="17" t="s">
        <v>1001</v>
      </c>
      <c r="G44" s="17" t="s">
        <v>129</v>
      </c>
      <c r="H44" s="18"/>
      <c r="I44" s="17"/>
      <c r="J44" s="19" t="s">
        <v>131</v>
      </c>
      <c r="K44" s="19" t="s">
        <v>132</v>
      </c>
      <c r="L44" s="19" t="s">
        <v>281</v>
      </c>
    </row>
    <row r="45" spans="1:13" s="1" customFormat="1">
      <c r="A45" s="15"/>
      <c r="B45" s="22" t="s">
        <v>1005</v>
      </c>
      <c r="C45" s="62" t="s">
        <v>46</v>
      </c>
      <c r="D45" s="9" t="s">
        <v>1007</v>
      </c>
      <c r="E45" s="16" t="s">
        <v>128</v>
      </c>
      <c r="F45" s="17" t="s">
        <v>1004</v>
      </c>
      <c r="G45" s="17" t="s">
        <v>129</v>
      </c>
      <c r="H45" s="18"/>
      <c r="I45" s="17"/>
      <c r="J45" s="19" t="s">
        <v>131</v>
      </c>
      <c r="K45" s="19" t="s">
        <v>132</v>
      </c>
      <c r="L45" s="19" t="s">
        <v>281</v>
      </c>
    </row>
    <row r="46" spans="1:13" s="1" customFormat="1">
      <c r="A46" s="15"/>
      <c r="B46" s="22" t="s">
        <v>1006</v>
      </c>
      <c r="C46" s="62" t="s">
        <v>991</v>
      </c>
      <c r="D46" s="9" t="s">
        <v>1008</v>
      </c>
      <c r="E46" s="16" t="s">
        <v>128</v>
      </c>
      <c r="F46" s="17" t="s">
        <v>990</v>
      </c>
      <c r="G46" s="17" t="s">
        <v>129</v>
      </c>
      <c r="H46" s="18"/>
      <c r="I46" s="17"/>
      <c r="J46" s="19" t="s">
        <v>131</v>
      </c>
      <c r="K46" s="19" t="s">
        <v>132</v>
      </c>
      <c r="L46" s="19" t="s">
        <v>281</v>
      </c>
    </row>
    <row r="47" spans="1:13" s="1" customFormat="1">
      <c r="A47" s="15"/>
      <c r="B47" s="11" t="s">
        <v>145</v>
      </c>
      <c r="C47" s="11" t="s">
        <v>45</v>
      </c>
      <c r="D47" s="9" t="s">
        <v>146</v>
      </c>
      <c r="E47" s="16" t="s">
        <v>128</v>
      </c>
      <c r="F47" s="17"/>
      <c r="G47" s="17" t="s">
        <v>1053</v>
      </c>
      <c r="H47" s="18"/>
      <c r="I47" s="17"/>
      <c r="J47" s="19" t="s">
        <v>133</v>
      </c>
      <c r="K47" s="19" t="s">
        <v>132</v>
      </c>
      <c r="L47" s="19" t="s">
        <v>134</v>
      </c>
    </row>
    <row r="48" spans="1:13" s="1" customFormat="1">
      <c r="A48" s="15"/>
      <c r="B48" s="11" t="s">
        <v>189</v>
      </c>
      <c r="C48" s="11" t="s">
        <v>45</v>
      </c>
      <c r="D48" s="9" t="s">
        <v>190</v>
      </c>
      <c r="E48" s="16" t="s">
        <v>128</v>
      </c>
      <c r="F48" s="17"/>
      <c r="G48" s="17" t="s">
        <v>188</v>
      </c>
      <c r="H48" s="18"/>
      <c r="I48" s="17"/>
      <c r="J48" s="19" t="s">
        <v>133</v>
      </c>
      <c r="K48" s="19" t="s">
        <v>132</v>
      </c>
      <c r="L48" s="19" t="s">
        <v>134</v>
      </c>
    </row>
    <row r="49" spans="1:12" s="1" customFormat="1">
      <c r="A49" s="15"/>
      <c r="B49" s="11" t="s">
        <v>192</v>
      </c>
      <c r="C49" s="11" t="s">
        <v>45</v>
      </c>
      <c r="D49" s="9" t="s">
        <v>193</v>
      </c>
      <c r="E49" s="16" t="s">
        <v>128</v>
      </c>
      <c r="F49" s="17"/>
      <c r="G49" s="17" t="s">
        <v>194</v>
      </c>
      <c r="H49" s="18"/>
      <c r="I49" s="17"/>
      <c r="J49" s="19" t="s">
        <v>133</v>
      </c>
      <c r="K49" s="19" t="s">
        <v>132</v>
      </c>
      <c r="L49" s="19" t="s">
        <v>134</v>
      </c>
    </row>
    <row r="50" spans="1:12" s="1" customFormat="1">
      <c r="A50" s="15"/>
      <c r="B50" s="22" t="s">
        <v>255</v>
      </c>
      <c r="C50" s="22" t="s">
        <v>45</v>
      </c>
      <c r="D50" s="9" t="s">
        <v>348</v>
      </c>
      <c r="E50" s="16" t="s">
        <v>128</v>
      </c>
      <c r="F50" s="17"/>
      <c r="G50" s="17" t="s">
        <v>257</v>
      </c>
      <c r="H50" s="18"/>
      <c r="I50" s="17"/>
      <c r="J50" s="19" t="s">
        <v>133</v>
      </c>
      <c r="K50" s="19" t="s">
        <v>203</v>
      </c>
      <c r="L50" s="19" t="s">
        <v>134</v>
      </c>
    </row>
    <row r="51" spans="1:12" s="1" customFormat="1">
      <c r="A51" s="15"/>
      <c r="B51" s="11" t="s">
        <v>207</v>
      </c>
      <c r="C51" s="11" t="s">
        <v>45</v>
      </c>
      <c r="D51" s="9" t="s">
        <v>759</v>
      </c>
      <c r="E51" s="16" t="s">
        <v>128</v>
      </c>
      <c r="F51" s="72"/>
      <c r="G51" s="17" t="s">
        <v>320</v>
      </c>
      <c r="H51" s="18"/>
      <c r="I51" s="17"/>
      <c r="J51" s="19" t="s">
        <v>133</v>
      </c>
      <c r="K51" s="19" t="s">
        <v>204</v>
      </c>
      <c r="L51" s="19" t="s">
        <v>134</v>
      </c>
    </row>
    <row r="52" spans="1:12" s="1" customFormat="1">
      <c r="A52" s="15"/>
      <c r="B52" s="11" t="s">
        <v>208</v>
      </c>
      <c r="C52" s="11" t="s">
        <v>45</v>
      </c>
      <c r="D52" s="9" t="s">
        <v>160</v>
      </c>
      <c r="E52" s="16" t="s">
        <v>128</v>
      </c>
      <c r="F52" s="72"/>
      <c r="G52" s="17" t="s">
        <v>319</v>
      </c>
      <c r="H52" s="18"/>
      <c r="I52" s="17"/>
      <c r="J52" s="19" t="s">
        <v>133</v>
      </c>
      <c r="K52" s="19" t="s">
        <v>204</v>
      </c>
      <c r="L52" s="19" t="s">
        <v>134</v>
      </c>
    </row>
    <row r="53" spans="1:12" s="1" customFormat="1">
      <c r="A53" s="15"/>
      <c r="B53" s="11" t="s">
        <v>763</v>
      </c>
      <c r="C53" s="11" t="s">
        <v>45</v>
      </c>
      <c r="D53" s="9" t="s">
        <v>181</v>
      </c>
      <c r="E53" s="16" t="s">
        <v>128</v>
      </c>
      <c r="F53" s="72"/>
      <c r="G53" s="9" t="s">
        <v>764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803</v>
      </c>
      <c r="C54" s="11" t="s">
        <v>45</v>
      </c>
      <c r="D54" s="9" t="s">
        <v>183</v>
      </c>
      <c r="E54" s="16" t="s">
        <v>128</v>
      </c>
      <c r="F54" s="72"/>
      <c r="G54" s="17" t="s">
        <v>773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804</v>
      </c>
      <c r="C55" s="11" t="s">
        <v>45</v>
      </c>
      <c r="D55" s="9" t="s">
        <v>182</v>
      </c>
      <c r="E55" s="16" t="s">
        <v>128</v>
      </c>
      <c r="F55" s="72"/>
      <c r="G55" s="17" t="s">
        <v>774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805</v>
      </c>
      <c r="C56" s="11" t="s">
        <v>45</v>
      </c>
      <c r="D56" s="9" t="s">
        <v>184</v>
      </c>
      <c r="E56" s="16" t="s">
        <v>128</v>
      </c>
      <c r="F56" s="72"/>
      <c r="G56" s="17" t="s">
        <v>765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806</v>
      </c>
      <c r="C57" s="11" t="s">
        <v>45</v>
      </c>
      <c r="D57" s="9" t="s">
        <v>186</v>
      </c>
      <c r="E57" s="16" t="s">
        <v>128</v>
      </c>
      <c r="F57" s="72"/>
      <c r="G57" s="17" t="s">
        <v>775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807</v>
      </c>
      <c r="C58" s="11" t="s">
        <v>45</v>
      </c>
      <c r="D58" s="9" t="s">
        <v>185</v>
      </c>
      <c r="E58" s="16" t="s">
        <v>128</v>
      </c>
      <c r="F58" s="72"/>
      <c r="G58" s="9" t="s">
        <v>776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808</v>
      </c>
      <c r="C59" s="11" t="s">
        <v>45</v>
      </c>
      <c r="D59" s="9" t="s">
        <v>187</v>
      </c>
      <c r="E59" s="16" t="s">
        <v>128</v>
      </c>
      <c r="F59" s="72"/>
      <c r="G59" s="9" t="s">
        <v>777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210</v>
      </c>
      <c r="C60" s="11" t="s">
        <v>45</v>
      </c>
      <c r="D60" s="9" t="s">
        <v>1056</v>
      </c>
      <c r="E60" s="16" t="s">
        <v>128</v>
      </c>
      <c r="F60" s="72"/>
      <c r="G60" s="17" t="s">
        <v>224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209</v>
      </c>
      <c r="C61" s="11" t="s">
        <v>45</v>
      </c>
      <c r="D61" s="9" t="s">
        <v>1055</v>
      </c>
      <c r="E61" s="16" t="s">
        <v>128</v>
      </c>
      <c r="F61" s="72"/>
      <c r="G61" s="17" t="s">
        <v>223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211</v>
      </c>
      <c r="C62" s="11" t="s">
        <v>45</v>
      </c>
      <c r="D62" s="9" t="s">
        <v>163</v>
      </c>
      <c r="E62" s="16" t="s">
        <v>128</v>
      </c>
      <c r="F62" s="72"/>
      <c r="G62" s="17" t="s">
        <v>225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212</v>
      </c>
      <c r="C63" s="11" t="s">
        <v>45</v>
      </c>
      <c r="D63" s="9" t="s">
        <v>164</v>
      </c>
      <c r="E63" s="16" t="s">
        <v>128</v>
      </c>
      <c r="F63" s="72"/>
      <c r="G63" s="17" t="s">
        <v>226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213</v>
      </c>
      <c r="C64" s="11" t="s">
        <v>45</v>
      </c>
      <c r="D64" s="9" t="s">
        <v>165</v>
      </c>
      <c r="E64" s="16" t="s">
        <v>128</v>
      </c>
      <c r="F64" s="72"/>
      <c r="G64" s="17" t="s">
        <v>766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214</v>
      </c>
      <c r="C65" s="11" t="s">
        <v>45</v>
      </c>
      <c r="D65" s="9" t="s">
        <v>166</v>
      </c>
      <c r="E65" s="16" t="s">
        <v>128</v>
      </c>
      <c r="F65" s="72"/>
      <c r="G65" s="17" t="s">
        <v>767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217</v>
      </c>
      <c r="C66" s="11" t="s">
        <v>45</v>
      </c>
      <c r="D66" s="9" t="s">
        <v>171</v>
      </c>
      <c r="E66" s="16" t="s">
        <v>128</v>
      </c>
      <c r="F66" s="72"/>
      <c r="G66" s="17" t="s">
        <v>779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218</v>
      </c>
      <c r="C67" s="11" t="s">
        <v>45</v>
      </c>
      <c r="D67" s="9" t="s">
        <v>172</v>
      </c>
      <c r="E67" s="16" t="s">
        <v>128</v>
      </c>
      <c r="F67" s="72"/>
      <c r="G67" s="17" t="s">
        <v>780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219</v>
      </c>
      <c r="C68" s="11" t="s">
        <v>45</v>
      </c>
      <c r="D68" s="9" t="s">
        <v>173</v>
      </c>
      <c r="E68" s="16" t="s">
        <v>128</v>
      </c>
      <c r="F68" s="72"/>
      <c r="G68" s="17" t="s">
        <v>1057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220</v>
      </c>
      <c r="C69" s="11" t="s">
        <v>45</v>
      </c>
      <c r="D69" s="9" t="s">
        <v>174</v>
      </c>
      <c r="E69" s="16" t="s">
        <v>128</v>
      </c>
      <c r="F69" s="72"/>
      <c r="G69" s="17" t="s">
        <v>771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215</v>
      </c>
      <c r="C70" s="11" t="s">
        <v>45</v>
      </c>
      <c r="D70" s="9" t="s">
        <v>1260</v>
      </c>
      <c r="E70" s="16" t="s">
        <v>128</v>
      </c>
      <c r="F70" s="72"/>
      <c r="G70" s="17" t="s">
        <v>227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216</v>
      </c>
      <c r="C71" s="11" t="s">
        <v>45</v>
      </c>
      <c r="D71" s="9" t="s">
        <v>1261</v>
      </c>
      <c r="E71" s="16" t="s">
        <v>128</v>
      </c>
      <c r="F71" s="72"/>
      <c r="G71" s="17" t="s">
        <v>228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316</v>
      </c>
      <c r="C72" s="11" t="s">
        <v>45</v>
      </c>
      <c r="D72" s="9" t="s">
        <v>167</v>
      </c>
      <c r="E72" s="16" t="s">
        <v>128</v>
      </c>
      <c r="F72" s="72"/>
      <c r="G72" s="17" t="s">
        <v>772</v>
      </c>
      <c r="H72" s="18"/>
      <c r="I72" s="17"/>
      <c r="J72" s="19" t="s">
        <v>133</v>
      </c>
      <c r="K72" s="19" t="s">
        <v>202</v>
      </c>
      <c r="L72" s="19" t="s">
        <v>67</v>
      </c>
    </row>
    <row r="73" spans="1:12" s="1" customFormat="1">
      <c r="A73" s="15"/>
      <c r="B73" s="11" t="s">
        <v>809</v>
      </c>
      <c r="C73" s="11" t="s">
        <v>45</v>
      </c>
      <c r="D73" s="9" t="s">
        <v>175</v>
      </c>
      <c r="E73" s="16" t="s">
        <v>128</v>
      </c>
      <c r="F73" s="72"/>
      <c r="G73" s="17" t="s">
        <v>781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317</v>
      </c>
      <c r="C74" s="11" t="s">
        <v>45</v>
      </c>
      <c r="D74" s="9" t="s">
        <v>168</v>
      </c>
      <c r="E74" s="16" t="s">
        <v>128</v>
      </c>
      <c r="F74" s="72"/>
      <c r="G74" s="17" t="s">
        <v>778</v>
      </c>
      <c r="H74" s="18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810</v>
      </c>
      <c r="C75" s="11" t="s">
        <v>45</v>
      </c>
      <c r="D75" s="9" t="s">
        <v>176</v>
      </c>
      <c r="E75" s="16" t="s">
        <v>128</v>
      </c>
      <c r="F75" s="72"/>
      <c r="G75" s="17" t="s">
        <v>782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1213</v>
      </c>
      <c r="C76" s="11" t="s">
        <v>45</v>
      </c>
      <c r="D76" s="9" t="s">
        <v>178</v>
      </c>
      <c r="E76" s="16" t="s">
        <v>128</v>
      </c>
      <c r="F76" s="72"/>
      <c r="G76" s="17" t="s">
        <v>783</v>
      </c>
      <c r="H76" s="18"/>
      <c r="I76" s="17"/>
      <c r="J76" s="19" t="s">
        <v>133</v>
      </c>
      <c r="K76" s="19" t="s">
        <v>202</v>
      </c>
      <c r="L76" s="19" t="s">
        <v>67</v>
      </c>
    </row>
    <row r="77" spans="1:12" s="1" customFormat="1">
      <c r="A77" s="15"/>
      <c r="B77" s="11" t="s">
        <v>221</v>
      </c>
      <c r="C77" s="11" t="s">
        <v>45</v>
      </c>
      <c r="D77" s="9" t="s">
        <v>177</v>
      </c>
      <c r="E77" s="16" t="s">
        <v>128</v>
      </c>
      <c r="F77" s="72"/>
      <c r="G77" s="17" t="s">
        <v>784</v>
      </c>
      <c r="H77" s="18"/>
      <c r="I77" s="17"/>
      <c r="J77" s="19" t="s">
        <v>133</v>
      </c>
      <c r="K77" s="19" t="s">
        <v>204</v>
      </c>
      <c r="L77" s="19" t="s">
        <v>67</v>
      </c>
    </row>
    <row r="78" spans="1:12" s="1" customFormat="1">
      <c r="A78" s="15"/>
      <c r="B78" s="11" t="s">
        <v>1212</v>
      </c>
      <c r="C78" s="11" t="s">
        <v>45</v>
      </c>
      <c r="D78" s="9" t="s">
        <v>180</v>
      </c>
      <c r="E78" s="16" t="s">
        <v>128</v>
      </c>
      <c r="F78" s="72"/>
      <c r="G78" s="17" t="s">
        <v>785</v>
      </c>
      <c r="H78" s="18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222</v>
      </c>
      <c r="C79" s="11" t="s">
        <v>45</v>
      </c>
      <c r="D79" s="9" t="s">
        <v>179</v>
      </c>
      <c r="E79" s="16" t="s">
        <v>128</v>
      </c>
      <c r="F79" s="72"/>
      <c r="G79" s="17" t="s">
        <v>786</v>
      </c>
      <c r="H79" s="18"/>
      <c r="I79" s="17"/>
      <c r="J79" s="19" t="s">
        <v>133</v>
      </c>
      <c r="K79" s="19" t="s">
        <v>204</v>
      </c>
      <c r="L79" s="19" t="s">
        <v>67</v>
      </c>
    </row>
    <row r="80" spans="1:12" s="1" customFormat="1">
      <c r="A80" s="15"/>
      <c r="B80" s="11" t="s">
        <v>811</v>
      </c>
      <c r="C80" s="11" t="s">
        <v>45</v>
      </c>
      <c r="D80" s="9" t="s">
        <v>643</v>
      </c>
      <c r="E80" s="16" t="s">
        <v>128</v>
      </c>
      <c r="F80" s="72"/>
      <c r="G80" s="17" t="s">
        <v>768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812</v>
      </c>
      <c r="C81" s="11" t="s">
        <v>45</v>
      </c>
      <c r="D81" s="9" t="s">
        <v>813</v>
      </c>
      <c r="E81" s="16" t="s">
        <v>128</v>
      </c>
      <c r="F81" s="72"/>
      <c r="G81" s="17" t="s">
        <v>769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814</v>
      </c>
      <c r="C82" s="11" t="s">
        <v>45</v>
      </c>
      <c r="D82" s="9" t="s">
        <v>500</v>
      </c>
      <c r="E82" s="16" t="s">
        <v>128</v>
      </c>
      <c r="F82" s="72"/>
      <c r="G82" s="17" t="s">
        <v>815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205</v>
      </c>
      <c r="C83" s="11" t="s">
        <v>45</v>
      </c>
      <c r="D83" s="9" t="s">
        <v>147</v>
      </c>
      <c r="E83" s="16" t="s">
        <v>128</v>
      </c>
      <c r="F83" s="72"/>
      <c r="G83" s="17" t="s">
        <v>1047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206</v>
      </c>
      <c r="C84" s="11" t="s">
        <v>280</v>
      </c>
      <c r="D84" s="9" t="s">
        <v>820</v>
      </c>
      <c r="E84" s="16" t="s">
        <v>128</v>
      </c>
      <c r="F84" s="72"/>
      <c r="G84" s="17" t="s">
        <v>821</v>
      </c>
      <c r="H84" s="18"/>
      <c r="I84" s="17"/>
      <c r="J84" s="19" t="s">
        <v>133</v>
      </c>
      <c r="K84" s="19" t="s">
        <v>202</v>
      </c>
      <c r="L84" s="19" t="s">
        <v>67</v>
      </c>
    </row>
    <row r="85" spans="1:12" s="1" customFormat="1">
      <c r="A85" s="15"/>
      <c r="B85" s="11" t="s">
        <v>1022</v>
      </c>
      <c r="C85" s="11" t="s">
        <v>45</v>
      </c>
      <c r="D85" s="9" t="s">
        <v>1018</v>
      </c>
      <c r="E85" s="16" t="s">
        <v>128</v>
      </c>
      <c r="F85" s="72"/>
      <c r="G85" s="17" t="s">
        <v>787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1014</v>
      </c>
      <c r="C86" s="11" t="s">
        <v>45</v>
      </c>
      <c r="D86" s="9" t="s">
        <v>1019</v>
      </c>
      <c r="E86" s="16" t="s">
        <v>128</v>
      </c>
      <c r="F86" s="72"/>
      <c r="G86" s="17" t="s">
        <v>788</v>
      </c>
      <c r="H86" s="18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1015</v>
      </c>
      <c r="C87" s="11" t="s">
        <v>45</v>
      </c>
      <c r="D87" s="9" t="s">
        <v>1020</v>
      </c>
      <c r="E87" s="16" t="s">
        <v>128</v>
      </c>
      <c r="F87" s="72"/>
      <c r="G87" s="17" t="s">
        <v>789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1016</v>
      </c>
      <c r="C88" s="11" t="s">
        <v>45</v>
      </c>
      <c r="D88" s="9" t="s">
        <v>1021</v>
      </c>
      <c r="E88" s="16" t="s">
        <v>128</v>
      </c>
      <c r="F88" s="72"/>
      <c r="G88" s="17" t="s">
        <v>790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1017</v>
      </c>
      <c r="C89" s="11" t="s">
        <v>45</v>
      </c>
      <c r="D89" s="9" t="s">
        <v>1042</v>
      </c>
      <c r="E89" s="16" t="s">
        <v>128</v>
      </c>
      <c r="F89" s="72"/>
      <c r="G89" s="17" t="s">
        <v>791</v>
      </c>
      <c r="H89" s="18"/>
      <c r="I89" s="17"/>
      <c r="J89" s="19" t="s">
        <v>133</v>
      </c>
      <c r="K89" s="19" t="s">
        <v>44</v>
      </c>
      <c r="L89" s="19" t="s">
        <v>67</v>
      </c>
    </row>
    <row r="90" spans="1:12" s="1" customFormat="1">
      <c r="A90" s="15"/>
      <c r="B90" s="11" t="s">
        <v>1049</v>
      </c>
      <c r="C90" s="11" t="s">
        <v>45</v>
      </c>
      <c r="D90" s="9" t="s">
        <v>153</v>
      </c>
      <c r="E90" s="16" t="s">
        <v>128</v>
      </c>
      <c r="F90" s="72"/>
      <c r="G90" s="17" t="s">
        <v>1048</v>
      </c>
      <c r="H90" s="18"/>
      <c r="I90" s="17"/>
      <c r="J90" s="19" t="s">
        <v>133</v>
      </c>
      <c r="K90" s="19" t="s">
        <v>44</v>
      </c>
      <c r="L90" s="19" t="s">
        <v>67</v>
      </c>
    </row>
    <row r="91" spans="1:12" s="1" customFormat="1">
      <c r="A91" s="15"/>
      <c r="B91" s="11" t="s">
        <v>823</v>
      </c>
      <c r="C91" s="11" t="s">
        <v>280</v>
      </c>
      <c r="D91" s="9" t="s">
        <v>1474</v>
      </c>
      <c r="E91" s="16" t="s">
        <v>128</v>
      </c>
      <c r="F91" s="72"/>
      <c r="G91" s="17" t="s">
        <v>822</v>
      </c>
      <c r="H91" s="18"/>
      <c r="I91" s="17"/>
      <c r="J91" s="19" t="s">
        <v>133</v>
      </c>
      <c r="K91" s="19" t="s">
        <v>202</v>
      </c>
      <c r="L91" s="19" t="s">
        <v>67</v>
      </c>
    </row>
    <row r="92" spans="1:12" s="1" customFormat="1">
      <c r="A92" s="15"/>
      <c r="B92" s="11" t="s">
        <v>1030</v>
      </c>
      <c r="C92" s="11" t="s">
        <v>45</v>
      </c>
      <c r="D92" s="9" t="s">
        <v>1026</v>
      </c>
      <c r="E92" s="16" t="s">
        <v>128</v>
      </c>
      <c r="F92" s="72"/>
      <c r="G92" s="17" t="s">
        <v>792</v>
      </c>
      <c r="H92" s="18"/>
      <c r="I92" s="17"/>
      <c r="J92" s="19" t="s">
        <v>133</v>
      </c>
      <c r="K92" s="19" t="s">
        <v>44</v>
      </c>
      <c r="L92" s="19" t="s">
        <v>67</v>
      </c>
    </row>
    <row r="93" spans="1:12" s="1" customFormat="1">
      <c r="A93" s="15"/>
      <c r="B93" s="11" t="s">
        <v>1023</v>
      </c>
      <c r="C93" s="11" t="s">
        <v>45</v>
      </c>
      <c r="D93" s="9" t="s">
        <v>1027</v>
      </c>
      <c r="E93" s="16" t="s">
        <v>128</v>
      </c>
      <c r="F93" s="72"/>
      <c r="G93" s="17" t="s">
        <v>793</v>
      </c>
      <c r="H93" s="18"/>
      <c r="I93" s="17"/>
      <c r="J93" s="19" t="s">
        <v>133</v>
      </c>
      <c r="K93" s="19" t="s">
        <v>44</v>
      </c>
      <c r="L93" s="19" t="s">
        <v>67</v>
      </c>
    </row>
    <row r="94" spans="1:12" s="1" customFormat="1">
      <c r="A94" s="15"/>
      <c r="B94" s="11" t="s">
        <v>1024</v>
      </c>
      <c r="C94" s="11" t="s">
        <v>45</v>
      </c>
      <c r="D94" s="9" t="s">
        <v>1028</v>
      </c>
      <c r="E94" s="16" t="s">
        <v>128</v>
      </c>
      <c r="F94" s="72"/>
      <c r="G94" s="17" t="s">
        <v>794</v>
      </c>
      <c r="H94" s="18"/>
      <c r="I94" s="17"/>
      <c r="J94" s="19" t="s">
        <v>133</v>
      </c>
      <c r="K94" s="19" t="s">
        <v>44</v>
      </c>
      <c r="L94" s="19" t="s">
        <v>67</v>
      </c>
    </row>
    <row r="95" spans="1:12" s="1" customFormat="1">
      <c r="A95" s="15"/>
      <c r="B95" s="11" t="s">
        <v>1032</v>
      </c>
      <c r="C95" s="11" t="s">
        <v>45</v>
      </c>
      <c r="D95" s="9" t="s">
        <v>1029</v>
      </c>
      <c r="E95" s="16" t="s">
        <v>128</v>
      </c>
      <c r="F95" s="72"/>
      <c r="G95" s="17" t="s">
        <v>795</v>
      </c>
      <c r="H95" s="18"/>
      <c r="I95" s="17"/>
      <c r="J95" s="19" t="s">
        <v>133</v>
      </c>
      <c r="K95" s="19" t="s">
        <v>44</v>
      </c>
      <c r="L95" s="19" t="s">
        <v>67</v>
      </c>
    </row>
    <row r="96" spans="1:12" s="1" customFormat="1">
      <c r="A96" s="15"/>
      <c r="B96" s="11" t="s">
        <v>1025</v>
      </c>
      <c r="C96" s="11" t="s">
        <v>45</v>
      </c>
      <c r="D96" s="9" t="s">
        <v>1043</v>
      </c>
      <c r="E96" s="16" t="s">
        <v>128</v>
      </c>
      <c r="F96" s="72"/>
      <c r="G96" s="17" t="s">
        <v>796</v>
      </c>
      <c r="H96" s="18"/>
      <c r="I96" s="17"/>
      <c r="J96" s="19" t="s">
        <v>133</v>
      </c>
      <c r="K96" s="19" t="s">
        <v>44</v>
      </c>
      <c r="L96" s="19" t="s">
        <v>67</v>
      </c>
    </row>
    <row r="97" spans="1:12" s="1" customFormat="1">
      <c r="A97" s="15"/>
      <c r="B97" s="11" t="s">
        <v>1084</v>
      </c>
      <c r="C97" s="11" t="s">
        <v>280</v>
      </c>
      <c r="D97" s="9" t="s">
        <v>1086</v>
      </c>
      <c r="E97" s="16" t="s">
        <v>128</v>
      </c>
      <c r="F97" s="72"/>
      <c r="G97" s="17" t="s">
        <v>1085</v>
      </c>
      <c r="H97" s="18"/>
      <c r="I97" s="17"/>
      <c r="J97" s="19" t="s">
        <v>133</v>
      </c>
      <c r="K97" s="19" t="s">
        <v>202</v>
      </c>
      <c r="L97" s="19" t="s">
        <v>67</v>
      </c>
    </row>
    <row r="98" spans="1:12" s="1" customFormat="1">
      <c r="A98" s="15"/>
      <c r="B98" s="11" t="s">
        <v>1083</v>
      </c>
      <c r="C98" s="11" t="s">
        <v>280</v>
      </c>
      <c r="D98" s="9" t="s">
        <v>841</v>
      </c>
      <c r="E98" s="16" t="s">
        <v>128</v>
      </c>
      <c r="F98" s="72"/>
      <c r="G98" s="17" t="s">
        <v>840</v>
      </c>
      <c r="H98" s="18"/>
      <c r="I98" s="17"/>
      <c r="J98" s="19" t="s">
        <v>133</v>
      </c>
      <c r="K98" s="19" t="s">
        <v>202</v>
      </c>
      <c r="L98" s="19" t="s">
        <v>67</v>
      </c>
    </row>
    <row r="99" spans="1:12" s="1" customFormat="1">
      <c r="A99" s="15"/>
      <c r="B99" s="11" t="s">
        <v>1033</v>
      </c>
      <c r="C99" s="11" t="s">
        <v>45</v>
      </c>
      <c r="D99" s="9" t="s">
        <v>1038</v>
      </c>
      <c r="E99" s="16" t="s">
        <v>128</v>
      </c>
      <c r="F99" s="72"/>
      <c r="G99" s="17" t="s">
        <v>1031</v>
      </c>
      <c r="H99" s="18"/>
      <c r="I99" s="17"/>
      <c r="J99" s="19" t="s">
        <v>133</v>
      </c>
      <c r="K99" s="19" t="s">
        <v>44</v>
      </c>
      <c r="L99" s="19" t="s">
        <v>67</v>
      </c>
    </row>
    <row r="100" spans="1:12" s="1" customFormat="1">
      <c r="A100" s="15"/>
      <c r="B100" s="11" t="s">
        <v>1034</v>
      </c>
      <c r="C100" s="11" t="s">
        <v>45</v>
      </c>
      <c r="D100" s="9" t="s">
        <v>1039</v>
      </c>
      <c r="E100" s="16" t="s">
        <v>128</v>
      </c>
      <c r="F100" s="72"/>
      <c r="G100" s="17" t="s">
        <v>898</v>
      </c>
      <c r="H100" s="18"/>
      <c r="I100" s="17"/>
      <c r="J100" s="19" t="s">
        <v>133</v>
      </c>
      <c r="K100" s="19" t="s">
        <v>44</v>
      </c>
      <c r="L100" s="19" t="s">
        <v>67</v>
      </c>
    </row>
    <row r="101" spans="1:12" s="1" customFormat="1">
      <c r="A101" s="15"/>
      <c r="B101" s="11" t="s">
        <v>1035</v>
      </c>
      <c r="C101" s="11" t="s">
        <v>45</v>
      </c>
      <c r="D101" s="9" t="s">
        <v>1040</v>
      </c>
      <c r="E101" s="16" t="s">
        <v>128</v>
      </c>
      <c r="F101" s="72"/>
      <c r="G101" s="17" t="s">
        <v>899</v>
      </c>
      <c r="H101" s="18"/>
      <c r="I101" s="17"/>
      <c r="J101" s="19" t="s">
        <v>133</v>
      </c>
      <c r="K101" s="19" t="s">
        <v>44</v>
      </c>
      <c r="L101" s="19" t="s">
        <v>67</v>
      </c>
    </row>
    <row r="102" spans="1:12" s="1" customFormat="1">
      <c r="A102" s="15"/>
      <c r="B102" s="11" t="s">
        <v>1036</v>
      </c>
      <c r="C102" s="11" t="s">
        <v>45</v>
      </c>
      <c r="D102" s="9" t="s">
        <v>1041</v>
      </c>
      <c r="E102" s="16" t="s">
        <v>128</v>
      </c>
      <c r="F102" s="72"/>
      <c r="G102" s="17" t="s">
        <v>900</v>
      </c>
      <c r="H102" s="18"/>
      <c r="I102" s="17"/>
      <c r="J102" s="19" t="s">
        <v>133</v>
      </c>
      <c r="K102" s="19" t="s">
        <v>44</v>
      </c>
      <c r="L102" s="19" t="s">
        <v>67</v>
      </c>
    </row>
    <row r="103" spans="1:12" s="1" customFormat="1">
      <c r="A103" s="15"/>
      <c r="B103" s="11" t="s">
        <v>1037</v>
      </c>
      <c r="C103" s="11" t="s">
        <v>45</v>
      </c>
      <c r="D103" s="9" t="s">
        <v>1044</v>
      </c>
      <c r="E103" s="16" t="s">
        <v>128</v>
      </c>
      <c r="F103" s="72"/>
      <c r="G103" s="17" t="s">
        <v>901</v>
      </c>
      <c r="H103" s="18"/>
      <c r="I103" s="17"/>
      <c r="J103" s="19" t="s">
        <v>133</v>
      </c>
      <c r="K103" s="19" t="s">
        <v>44</v>
      </c>
      <c r="L103" s="19" t="s">
        <v>67</v>
      </c>
    </row>
    <row r="104" spans="1:12" s="1" customFormat="1">
      <c r="A104" s="15"/>
      <c r="B104" s="11" t="s">
        <v>816</v>
      </c>
      <c r="C104" s="11" t="s">
        <v>280</v>
      </c>
      <c r="D104" s="9" t="s">
        <v>839</v>
      </c>
      <c r="E104" s="16" t="s">
        <v>128</v>
      </c>
      <c r="F104" s="72"/>
      <c r="G104" s="17" t="s">
        <v>838</v>
      </c>
      <c r="H104" s="18"/>
      <c r="I104" s="17"/>
      <c r="J104" s="19" t="s">
        <v>133</v>
      </c>
      <c r="K104" s="19" t="s">
        <v>202</v>
      </c>
      <c r="L104" s="19" t="s">
        <v>67</v>
      </c>
    </row>
    <row r="105" spans="1:12" s="1" customFormat="1">
      <c r="A105" s="15"/>
      <c r="B105" s="11" t="s">
        <v>817</v>
      </c>
      <c r="C105" s="11" t="s">
        <v>45</v>
      </c>
      <c r="D105" s="9" t="s">
        <v>658</v>
      </c>
      <c r="E105" s="16" t="s">
        <v>128</v>
      </c>
      <c r="F105" s="72"/>
      <c r="G105" s="17" t="s">
        <v>1045</v>
      </c>
      <c r="H105" s="18"/>
      <c r="I105" s="17"/>
      <c r="J105" s="19" t="s">
        <v>133</v>
      </c>
      <c r="K105" s="19" t="s">
        <v>44</v>
      </c>
      <c r="L105" s="19" t="s">
        <v>67</v>
      </c>
    </row>
    <row r="106" spans="1:12" s="1" customFormat="1">
      <c r="A106" s="15"/>
      <c r="B106" s="11" t="s">
        <v>818</v>
      </c>
      <c r="C106" s="11" t="s">
        <v>280</v>
      </c>
      <c r="D106" s="9" t="s">
        <v>842</v>
      </c>
      <c r="E106" s="16" t="s">
        <v>128</v>
      </c>
      <c r="F106" s="72"/>
      <c r="G106" s="17" t="s">
        <v>835</v>
      </c>
      <c r="H106" s="18"/>
      <c r="I106" s="17"/>
      <c r="J106" s="19" t="s">
        <v>133</v>
      </c>
      <c r="K106" s="19" t="s">
        <v>202</v>
      </c>
      <c r="L106" s="19" t="s">
        <v>67</v>
      </c>
    </row>
    <row r="107" spans="1:12" s="1" customFormat="1">
      <c r="A107" s="15"/>
      <c r="B107" s="11" t="s">
        <v>819</v>
      </c>
      <c r="C107" s="11" t="s">
        <v>45</v>
      </c>
      <c r="D107" s="9" t="s">
        <v>660</v>
      </c>
      <c r="E107" s="16" t="s">
        <v>128</v>
      </c>
      <c r="F107" s="72"/>
      <c r="G107" s="17" t="s">
        <v>1046</v>
      </c>
      <c r="H107" s="18"/>
      <c r="I107" s="17"/>
      <c r="J107" s="19" t="s">
        <v>133</v>
      </c>
      <c r="K107" s="19" t="s">
        <v>44</v>
      </c>
      <c r="L107" s="19" t="s">
        <v>67</v>
      </c>
    </row>
    <row r="108" spans="1:12" s="1" customFormat="1">
      <c r="A108" s="15"/>
      <c r="B108" s="11" t="s">
        <v>829</v>
      </c>
      <c r="C108" s="11" t="s">
        <v>280</v>
      </c>
      <c r="D108" s="9" t="s">
        <v>505</v>
      </c>
      <c r="E108" s="16" t="s">
        <v>128</v>
      </c>
      <c r="F108" s="72"/>
      <c r="G108" s="17" t="s">
        <v>843</v>
      </c>
      <c r="H108" s="18"/>
      <c r="I108" s="17"/>
      <c r="J108" s="19" t="s">
        <v>133</v>
      </c>
      <c r="K108" s="19" t="s">
        <v>902</v>
      </c>
      <c r="L108" s="19" t="s">
        <v>67</v>
      </c>
    </row>
    <row r="109" spans="1:12" s="1" customFormat="1">
      <c r="A109" s="15"/>
      <c r="B109" s="11" t="s">
        <v>1525</v>
      </c>
      <c r="C109" s="11" t="s">
        <v>45</v>
      </c>
      <c r="D109" s="9" t="s">
        <v>1526</v>
      </c>
      <c r="E109" s="16" t="s">
        <v>128</v>
      </c>
      <c r="F109" s="72"/>
      <c r="G109" s="17" t="s">
        <v>1535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11" t="s">
        <v>1527</v>
      </c>
      <c r="C110" s="11" t="s">
        <v>45</v>
      </c>
      <c r="D110" s="9" t="s">
        <v>1528</v>
      </c>
      <c r="E110" s="16" t="s">
        <v>128</v>
      </c>
      <c r="F110" s="72"/>
      <c r="G110" s="17" t="s">
        <v>1536</v>
      </c>
      <c r="H110" s="18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11" t="s">
        <v>1529</v>
      </c>
      <c r="C111" s="11" t="s">
        <v>45</v>
      </c>
      <c r="D111" s="9" t="s">
        <v>1530</v>
      </c>
      <c r="E111" s="16" t="s">
        <v>128</v>
      </c>
      <c r="F111" s="72"/>
      <c r="G111" s="17" t="s">
        <v>1537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11" t="s">
        <v>1531</v>
      </c>
      <c r="C112" s="11" t="s">
        <v>45</v>
      </c>
      <c r="D112" s="9" t="s">
        <v>1532</v>
      </c>
      <c r="E112" s="16" t="s">
        <v>128</v>
      </c>
      <c r="F112" s="72"/>
      <c r="G112" s="17" t="s">
        <v>1538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11" t="s">
        <v>1533</v>
      </c>
      <c r="C113" s="11" t="s">
        <v>45</v>
      </c>
      <c r="D113" s="9" t="s">
        <v>1534</v>
      </c>
      <c r="E113" s="16" t="s">
        <v>128</v>
      </c>
      <c r="F113" s="72"/>
      <c r="G113" s="17" t="s">
        <v>1539</v>
      </c>
      <c r="H113" s="18"/>
      <c r="I113" s="17"/>
      <c r="J113" s="19" t="s">
        <v>133</v>
      </c>
      <c r="K113" s="19" t="s">
        <v>903</v>
      </c>
      <c r="L113" s="19" t="s">
        <v>67</v>
      </c>
    </row>
    <row r="114" spans="1:12" s="1" customFormat="1">
      <c r="A114" s="15"/>
      <c r="B114" s="11" t="s">
        <v>799</v>
      </c>
      <c r="C114" s="11" t="s">
        <v>280</v>
      </c>
      <c r="D114" s="9" t="s">
        <v>506</v>
      </c>
      <c r="E114" s="16" t="s">
        <v>128</v>
      </c>
      <c r="F114" s="72"/>
      <c r="G114" s="17" t="s">
        <v>844</v>
      </c>
      <c r="H114" s="18"/>
      <c r="I114" s="17"/>
      <c r="J114" s="19" t="s">
        <v>133</v>
      </c>
      <c r="K114" s="19" t="s">
        <v>902</v>
      </c>
      <c r="L114" s="19" t="s">
        <v>67</v>
      </c>
    </row>
    <row r="115" spans="1:12" s="1" customFormat="1">
      <c r="A115" s="15"/>
      <c r="B115" s="11" t="s">
        <v>1549</v>
      </c>
      <c r="C115" s="11" t="s">
        <v>45</v>
      </c>
      <c r="D115" s="9" t="s">
        <v>1540</v>
      </c>
      <c r="E115" s="16" t="s">
        <v>128</v>
      </c>
      <c r="F115" s="72"/>
      <c r="G115" s="17" t="s">
        <v>1550</v>
      </c>
      <c r="H115" s="18"/>
      <c r="I115" s="17"/>
      <c r="J115" s="19" t="s">
        <v>133</v>
      </c>
      <c r="K115" s="19" t="s">
        <v>903</v>
      </c>
      <c r="L115" s="19" t="s">
        <v>67</v>
      </c>
    </row>
    <row r="116" spans="1:12" s="1" customFormat="1">
      <c r="A116" s="15"/>
      <c r="B116" s="11" t="s">
        <v>1541</v>
      </c>
      <c r="C116" s="11" t="s">
        <v>45</v>
      </c>
      <c r="D116" s="9" t="s">
        <v>1542</v>
      </c>
      <c r="E116" s="16" t="s">
        <v>128</v>
      </c>
      <c r="F116" s="72"/>
      <c r="G116" s="17" t="s">
        <v>1551</v>
      </c>
      <c r="H116" s="18"/>
      <c r="I116" s="17"/>
      <c r="J116" s="19" t="s">
        <v>133</v>
      </c>
      <c r="K116" s="19" t="s">
        <v>903</v>
      </c>
      <c r="L116" s="19" t="s">
        <v>67</v>
      </c>
    </row>
    <row r="117" spans="1:12" s="1" customFormat="1">
      <c r="A117" s="15"/>
      <c r="B117" s="11" t="s">
        <v>1543</v>
      </c>
      <c r="C117" s="11" t="s">
        <v>45</v>
      </c>
      <c r="D117" s="9" t="s">
        <v>1544</v>
      </c>
      <c r="E117" s="16" t="s">
        <v>128</v>
      </c>
      <c r="F117" s="72"/>
      <c r="G117" s="17" t="s">
        <v>1552</v>
      </c>
      <c r="H117" s="18"/>
      <c r="I117" s="17"/>
      <c r="J117" s="19" t="s">
        <v>133</v>
      </c>
      <c r="K117" s="19" t="s">
        <v>903</v>
      </c>
      <c r="L117" s="19" t="s">
        <v>67</v>
      </c>
    </row>
    <row r="118" spans="1:12" s="1" customFormat="1">
      <c r="A118" s="15"/>
      <c r="B118" s="11" t="s">
        <v>1545</v>
      </c>
      <c r="C118" s="11" t="s">
        <v>45</v>
      </c>
      <c r="D118" s="9" t="s">
        <v>1546</v>
      </c>
      <c r="E118" s="16" t="s">
        <v>128</v>
      </c>
      <c r="F118" s="72"/>
      <c r="G118" s="17" t="s">
        <v>1553</v>
      </c>
      <c r="H118" s="18"/>
      <c r="I118" s="17"/>
      <c r="J118" s="19" t="s">
        <v>133</v>
      </c>
      <c r="K118" s="19" t="s">
        <v>903</v>
      </c>
      <c r="L118" s="19" t="s">
        <v>67</v>
      </c>
    </row>
    <row r="119" spans="1:12" s="1" customFormat="1">
      <c r="A119" s="15"/>
      <c r="B119" s="11" t="s">
        <v>1547</v>
      </c>
      <c r="C119" s="11" t="s">
        <v>45</v>
      </c>
      <c r="D119" s="9" t="s">
        <v>1548</v>
      </c>
      <c r="E119" s="16" t="s">
        <v>128</v>
      </c>
      <c r="F119" s="72"/>
      <c r="G119" s="17" t="s">
        <v>1554</v>
      </c>
      <c r="H119" s="18"/>
      <c r="I119" s="17"/>
      <c r="J119" s="19" t="s">
        <v>133</v>
      </c>
      <c r="K119" s="19" t="s">
        <v>903</v>
      </c>
      <c r="L119" s="19" t="s">
        <v>67</v>
      </c>
    </row>
    <row r="120" spans="1:12" s="1" customFormat="1">
      <c r="A120" s="15"/>
      <c r="B120" s="11" t="s">
        <v>830</v>
      </c>
      <c r="C120" s="11" t="s">
        <v>45</v>
      </c>
      <c r="D120" s="9" t="s">
        <v>837</v>
      </c>
      <c r="E120" s="16" t="s">
        <v>128</v>
      </c>
      <c r="F120" s="72"/>
      <c r="G120" s="17" t="s">
        <v>797</v>
      </c>
      <c r="H120" s="18"/>
      <c r="I120" s="17"/>
      <c r="J120" s="19" t="s">
        <v>133</v>
      </c>
      <c r="K120" s="19" t="s">
        <v>44</v>
      </c>
      <c r="L120" s="19" t="s">
        <v>67</v>
      </c>
    </row>
    <row r="121" spans="1:12" s="1" customFormat="1">
      <c r="A121" s="15"/>
      <c r="B121" s="11" t="s">
        <v>623</v>
      </c>
      <c r="C121" s="11" t="s">
        <v>280</v>
      </c>
      <c r="D121" s="9" t="s">
        <v>836</v>
      </c>
      <c r="E121" s="16" t="s">
        <v>128</v>
      </c>
      <c r="F121" s="72"/>
      <c r="G121" s="17" t="s">
        <v>832</v>
      </c>
      <c r="H121" s="18"/>
      <c r="I121" s="17"/>
      <c r="J121" s="19" t="s">
        <v>133</v>
      </c>
      <c r="K121" s="19" t="s">
        <v>202</v>
      </c>
      <c r="L121" s="19" t="s">
        <v>67</v>
      </c>
    </row>
    <row r="122" spans="1:12" s="1" customFormat="1">
      <c r="A122" s="15"/>
      <c r="B122" s="95" t="s">
        <v>1564</v>
      </c>
      <c r="C122" s="95" t="s">
        <v>45</v>
      </c>
      <c r="D122" s="96" t="s">
        <v>1555</v>
      </c>
      <c r="E122" s="16" t="s">
        <v>128</v>
      </c>
      <c r="F122" s="72"/>
      <c r="G122" s="17" t="s">
        <v>1565</v>
      </c>
      <c r="H122" s="18"/>
      <c r="I122" s="17"/>
      <c r="J122" s="19" t="s">
        <v>133</v>
      </c>
      <c r="K122" s="19" t="s">
        <v>903</v>
      </c>
      <c r="L122" s="19" t="s">
        <v>67</v>
      </c>
    </row>
    <row r="123" spans="1:12" s="1" customFormat="1">
      <c r="A123" s="15"/>
      <c r="B123" s="95" t="s">
        <v>1556</v>
      </c>
      <c r="C123" s="95" t="s">
        <v>45</v>
      </c>
      <c r="D123" s="96" t="s">
        <v>1557</v>
      </c>
      <c r="E123" s="16" t="s">
        <v>128</v>
      </c>
      <c r="F123" s="72"/>
      <c r="G123" s="17" t="s">
        <v>1566</v>
      </c>
      <c r="H123" s="18"/>
      <c r="I123" s="17"/>
      <c r="J123" s="19" t="s">
        <v>133</v>
      </c>
      <c r="K123" s="19" t="s">
        <v>903</v>
      </c>
      <c r="L123" s="19" t="s">
        <v>67</v>
      </c>
    </row>
    <row r="124" spans="1:12" s="1" customFormat="1">
      <c r="A124" s="15"/>
      <c r="B124" s="95" t="s">
        <v>1558</v>
      </c>
      <c r="C124" s="95" t="s">
        <v>45</v>
      </c>
      <c r="D124" s="96" t="s">
        <v>1559</v>
      </c>
      <c r="E124" s="16" t="s">
        <v>128</v>
      </c>
      <c r="F124" s="72"/>
      <c r="G124" s="17" t="s">
        <v>1567</v>
      </c>
      <c r="H124" s="18"/>
      <c r="I124" s="17"/>
      <c r="J124" s="19" t="s">
        <v>133</v>
      </c>
      <c r="K124" s="19" t="s">
        <v>903</v>
      </c>
      <c r="L124" s="19" t="s">
        <v>67</v>
      </c>
    </row>
    <row r="125" spans="1:12" s="1" customFormat="1">
      <c r="A125" s="15"/>
      <c r="B125" s="95" t="s">
        <v>1560</v>
      </c>
      <c r="C125" s="95" t="s">
        <v>45</v>
      </c>
      <c r="D125" s="96" t="s">
        <v>1561</v>
      </c>
      <c r="E125" s="16" t="s">
        <v>128</v>
      </c>
      <c r="F125" s="72"/>
      <c r="G125" s="17" t="s">
        <v>1568</v>
      </c>
      <c r="H125" s="18"/>
      <c r="I125" s="17"/>
      <c r="J125" s="19" t="s">
        <v>133</v>
      </c>
      <c r="K125" s="19" t="s">
        <v>903</v>
      </c>
      <c r="L125" s="19" t="s">
        <v>67</v>
      </c>
    </row>
    <row r="126" spans="1:12" s="1" customFormat="1">
      <c r="A126" s="15"/>
      <c r="B126" s="95" t="s">
        <v>1562</v>
      </c>
      <c r="C126" s="95" t="s">
        <v>45</v>
      </c>
      <c r="D126" s="96" t="s">
        <v>1563</v>
      </c>
      <c r="E126" s="16" t="s">
        <v>128</v>
      </c>
      <c r="F126" s="72"/>
      <c r="G126" s="17" t="s">
        <v>1569</v>
      </c>
      <c r="H126" s="18"/>
      <c r="I126" s="17"/>
      <c r="J126" s="19" t="s">
        <v>133</v>
      </c>
      <c r="K126" s="19" t="s">
        <v>903</v>
      </c>
      <c r="L126" s="19" t="s">
        <v>67</v>
      </c>
    </row>
    <row r="127" spans="1:12" s="1" customFormat="1">
      <c r="A127" s="15"/>
      <c r="B127" s="11" t="s">
        <v>831</v>
      </c>
      <c r="C127" s="11" t="s">
        <v>45</v>
      </c>
      <c r="D127" s="9" t="s">
        <v>825</v>
      </c>
      <c r="E127" s="16" t="s">
        <v>128</v>
      </c>
      <c r="F127" s="72"/>
      <c r="G127" s="17" t="s">
        <v>1061</v>
      </c>
      <c r="H127" s="18"/>
      <c r="I127" s="17"/>
      <c r="J127" s="19" t="s">
        <v>133</v>
      </c>
      <c r="K127" s="19" t="s">
        <v>903</v>
      </c>
      <c r="L127" s="19" t="s">
        <v>67</v>
      </c>
    </row>
    <row r="128" spans="1:12" s="1" customFormat="1">
      <c r="A128" s="15"/>
      <c r="B128" s="11" t="s">
        <v>1098</v>
      </c>
      <c r="C128" s="11" t="s">
        <v>280</v>
      </c>
      <c r="D128" s="9" t="s">
        <v>826</v>
      </c>
      <c r="E128" s="16" t="s">
        <v>128</v>
      </c>
      <c r="F128" s="72"/>
      <c r="G128" s="17" t="s">
        <v>1062</v>
      </c>
      <c r="H128" s="18"/>
      <c r="I128" s="17"/>
      <c r="J128" s="19" t="s">
        <v>133</v>
      </c>
      <c r="K128" s="19" t="s">
        <v>202</v>
      </c>
      <c r="L128" s="19" t="s">
        <v>67</v>
      </c>
    </row>
    <row r="129" spans="1:12" s="1" customFormat="1">
      <c r="A129" s="15"/>
      <c r="B129" s="11" t="s">
        <v>834</v>
      </c>
      <c r="C129" s="11" t="s">
        <v>280</v>
      </c>
      <c r="D129" s="9" t="s">
        <v>833</v>
      </c>
      <c r="E129" s="16" t="s">
        <v>128</v>
      </c>
      <c r="F129" s="72"/>
      <c r="G129" s="17" t="s">
        <v>1063</v>
      </c>
      <c r="H129" s="18"/>
      <c r="I129" s="17"/>
      <c r="J129" s="19" t="s">
        <v>133</v>
      </c>
      <c r="K129" s="19" t="s">
        <v>202</v>
      </c>
      <c r="L129" s="19" t="s">
        <v>67</v>
      </c>
    </row>
    <row r="130" spans="1:12" s="1" customFormat="1">
      <c r="A130" s="15"/>
      <c r="B130" s="11" t="s">
        <v>845</v>
      </c>
      <c r="C130" s="11" t="s">
        <v>280</v>
      </c>
      <c r="D130" s="9" t="s">
        <v>846</v>
      </c>
      <c r="E130" s="16" t="s">
        <v>128</v>
      </c>
      <c r="F130" s="72"/>
      <c r="G130" s="17" t="s">
        <v>847</v>
      </c>
      <c r="H130" s="18"/>
      <c r="I130" s="17"/>
      <c r="J130" s="19" t="s">
        <v>133</v>
      </c>
      <c r="K130" s="19" t="s">
        <v>202</v>
      </c>
      <c r="L130" s="19" t="s">
        <v>67</v>
      </c>
    </row>
    <row r="131" spans="1:12" s="1" customFormat="1">
      <c r="A131" s="15"/>
      <c r="B131" s="11" t="s">
        <v>848</v>
      </c>
      <c r="C131" s="11" t="s">
        <v>45</v>
      </c>
      <c r="D131" s="9" t="s">
        <v>850</v>
      </c>
      <c r="E131" s="16" t="s">
        <v>128</v>
      </c>
      <c r="F131" s="72"/>
      <c r="G131" s="17" t="s">
        <v>1258</v>
      </c>
      <c r="H131" s="18"/>
      <c r="I131" s="17"/>
      <c r="J131" s="19" t="s">
        <v>133</v>
      </c>
      <c r="K131" s="19" t="s">
        <v>903</v>
      </c>
      <c r="L131" s="19" t="s">
        <v>67</v>
      </c>
    </row>
    <row r="132" spans="1:12" s="1" customFormat="1">
      <c r="A132" s="15"/>
      <c r="B132" s="11" t="s">
        <v>849</v>
      </c>
      <c r="C132" s="11" t="s">
        <v>45</v>
      </c>
      <c r="D132" s="9" t="s">
        <v>116</v>
      </c>
      <c r="E132" s="16" t="s">
        <v>128</v>
      </c>
      <c r="F132" s="72"/>
      <c r="G132" s="17" t="s">
        <v>853</v>
      </c>
      <c r="H132" s="18"/>
      <c r="I132" s="17"/>
      <c r="J132" s="19" t="s">
        <v>133</v>
      </c>
      <c r="K132" s="19" t="s">
        <v>903</v>
      </c>
      <c r="L132" s="19" t="s">
        <v>67</v>
      </c>
    </row>
    <row r="133" spans="1:12" s="1" customFormat="1">
      <c r="A133" s="15"/>
      <c r="B133" s="11" t="s">
        <v>854</v>
      </c>
      <c r="C133" s="11" t="s">
        <v>1202</v>
      </c>
      <c r="D133" s="9" t="s">
        <v>502</v>
      </c>
      <c r="E133" s="16" t="s">
        <v>128</v>
      </c>
      <c r="F133" s="72"/>
      <c r="G133" s="17" t="s">
        <v>858</v>
      </c>
      <c r="H133" s="18"/>
      <c r="I133" s="17"/>
      <c r="J133" s="19" t="s">
        <v>133</v>
      </c>
      <c r="K133" s="19" t="s">
        <v>202</v>
      </c>
      <c r="L133" s="19" t="s">
        <v>67</v>
      </c>
    </row>
    <row r="134" spans="1:12" s="1" customFormat="1">
      <c r="A134" s="15"/>
      <c r="B134" s="11" t="s">
        <v>856</v>
      </c>
      <c r="C134" s="11" t="s">
        <v>45</v>
      </c>
      <c r="D134" s="9" t="s">
        <v>857</v>
      </c>
      <c r="E134" s="16" t="s">
        <v>128</v>
      </c>
      <c r="F134" s="72"/>
      <c r="G134" s="17" t="s">
        <v>1257</v>
      </c>
      <c r="H134" s="18"/>
      <c r="I134" s="17"/>
      <c r="J134" s="19" t="s">
        <v>133</v>
      </c>
      <c r="K134" s="19" t="s">
        <v>903</v>
      </c>
      <c r="L134" s="19" t="s">
        <v>67</v>
      </c>
    </row>
    <row r="135" spans="1:12" s="1" customFormat="1">
      <c r="A135" s="15"/>
      <c r="B135" s="11" t="s">
        <v>798</v>
      </c>
      <c r="C135" s="11" t="s">
        <v>56</v>
      </c>
      <c r="D135" s="9" t="s">
        <v>687</v>
      </c>
      <c r="E135" s="16" t="s">
        <v>128</v>
      </c>
      <c r="F135" s="72"/>
      <c r="G135" s="17" t="s">
        <v>800</v>
      </c>
      <c r="H135" s="18"/>
      <c r="I135" s="17"/>
      <c r="J135" s="19" t="s">
        <v>133</v>
      </c>
      <c r="K135" s="19" t="s">
        <v>202</v>
      </c>
      <c r="L135" s="19" t="s">
        <v>67</v>
      </c>
    </row>
    <row r="136" spans="1:12" s="1" customFormat="1">
      <c r="A136" s="15"/>
      <c r="B136" s="11" t="s">
        <v>1054</v>
      </c>
      <c r="C136" s="11" t="s">
        <v>56</v>
      </c>
      <c r="D136" s="9" t="s">
        <v>666</v>
      </c>
      <c r="E136" s="16" t="s">
        <v>128</v>
      </c>
      <c r="F136" s="72"/>
      <c r="G136" s="17" t="s">
        <v>801</v>
      </c>
      <c r="H136" s="18"/>
      <c r="I136" s="17"/>
      <c r="J136" s="19" t="s">
        <v>133</v>
      </c>
      <c r="K136" s="19" t="s">
        <v>44</v>
      </c>
      <c r="L136" s="19" t="s">
        <v>67</v>
      </c>
    </row>
    <row r="137" spans="1:12" s="1" customFormat="1">
      <c r="A137" s="15"/>
      <c r="B137" s="11" t="s">
        <v>1064</v>
      </c>
      <c r="C137" s="11" t="s">
        <v>56</v>
      </c>
      <c r="D137" s="9" t="s">
        <v>688</v>
      </c>
      <c r="E137" s="16" t="s">
        <v>128</v>
      </c>
      <c r="F137" s="72"/>
      <c r="G137" s="17" t="s">
        <v>802</v>
      </c>
      <c r="H137" s="18"/>
      <c r="I137" s="17"/>
      <c r="J137" s="19" t="s">
        <v>133</v>
      </c>
      <c r="K137" s="19" t="s">
        <v>762</v>
      </c>
      <c r="L137" s="19" t="s">
        <v>67</v>
      </c>
    </row>
    <row r="138" spans="1:12" s="1" customFormat="1">
      <c r="A138" s="15"/>
      <c r="B138" s="11" t="s">
        <v>315</v>
      </c>
      <c r="C138" s="11" t="s">
        <v>45</v>
      </c>
      <c r="D138" s="9" t="s">
        <v>112</v>
      </c>
      <c r="E138" s="16" t="s">
        <v>128</v>
      </c>
      <c r="F138" s="72"/>
      <c r="G138" s="17" t="s">
        <v>770</v>
      </c>
      <c r="H138" s="18"/>
      <c r="I138" s="17"/>
      <c r="J138" s="19" t="s">
        <v>133</v>
      </c>
      <c r="K138" s="19" t="s">
        <v>44</v>
      </c>
      <c r="L138" s="19" t="s">
        <v>67</v>
      </c>
    </row>
    <row r="139" spans="1:12" s="1" customFormat="1">
      <c r="A139" s="15"/>
      <c r="B139" s="11" t="s">
        <v>868</v>
      </c>
      <c r="C139" s="11" t="s">
        <v>45</v>
      </c>
      <c r="D139" s="9" t="s">
        <v>859</v>
      </c>
      <c r="E139" s="16" t="s">
        <v>128</v>
      </c>
      <c r="F139" s="72"/>
      <c r="G139" s="17" t="s">
        <v>883</v>
      </c>
      <c r="H139" s="18"/>
      <c r="I139" s="17"/>
      <c r="J139" s="19" t="s">
        <v>133</v>
      </c>
      <c r="K139" s="19" t="s">
        <v>44</v>
      </c>
      <c r="L139" s="19" t="s">
        <v>67</v>
      </c>
    </row>
    <row r="140" spans="1:12" s="1" customFormat="1">
      <c r="A140" s="15"/>
      <c r="B140" s="11" t="s">
        <v>869</v>
      </c>
      <c r="C140" s="11" t="s">
        <v>45</v>
      </c>
      <c r="D140" s="9" t="s">
        <v>860</v>
      </c>
      <c r="E140" s="16" t="s">
        <v>128</v>
      </c>
      <c r="F140" s="72"/>
      <c r="G140" s="17" t="s">
        <v>884</v>
      </c>
      <c r="H140" s="18"/>
      <c r="I140" s="17"/>
      <c r="J140" s="19" t="s">
        <v>133</v>
      </c>
      <c r="K140" s="19" t="s">
        <v>44</v>
      </c>
      <c r="L140" s="19" t="s">
        <v>67</v>
      </c>
    </row>
    <row r="141" spans="1:12" s="1" customFormat="1">
      <c r="A141" s="15"/>
      <c r="B141" s="11" t="s">
        <v>870</v>
      </c>
      <c r="C141" s="11" t="s">
        <v>45</v>
      </c>
      <c r="D141" s="9" t="s">
        <v>861</v>
      </c>
      <c r="E141" s="16" t="s">
        <v>128</v>
      </c>
      <c r="F141" s="72"/>
      <c r="G141" s="17" t="s">
        <v>885</v>
      </c>
      <c r="H141" s="18"/>
      <c r="I141" s="17"/>
      <c r="J141" s="19" t="s">
        <v>133</v>
      </c>
      <c r="K141" s="19" t="s">
        <v>44</v>
      </c>
      <c r="L141" s="19" t="s">
        <v>67</v>
      </c>
    </row>
    <row r="142" spans="1:12" s="1" customFormat="1">
      <c r="A142" s="15"/>
      <c r="B142" s="11" t="s">
        <v>871</v>
      </c>
      <c r="C142" s="11" t="s">
        <v>45</v>
      </c>
      <c r="D142" s="9" t="s">
        <v>880</v>
      </c>
      <c r="E142" s="16" t="s">
        <v>128</v>
      </c>
      <c r="F142" s="72"/>
      <c r="G142" s="17" t="s">
        <v>1058</v>
      </c>
      <c r="H142" s="18"/>
      <c r="I142" s="17"/>
      <c r="J142" s="19" t="s">
        <v>133</v>
      </c>
      <c r="K142" s="19" t="s">
        <v>44</v>
      </c>
      <c r="L142" s="19" t="s">
        <v>67</v>
      </c>
    </row>
    <row r="143" spans="1:12" s="1" customFormat="1">
      <c r="A143" s="15"/>
      <c r="B143" s="11" t="s">
        <v>872</v>
      </c>
      <c r="C143" s="11" t="s">
        <v>45</v>
      </c>
      <c r="D143" s="9" t="s">
        <v>881</v>
      </c>
      <c r="E143" s="16" t="s">
        <v>128</v>
      </c>
      <c r="F143" s="72"/>
      <c r="G143" s="17" t="s">
        <v>1059</v>
      </c>
      <c r="H143" s="18"/>
      <c r="I143" s="17"/>
      <c r="J143" s="19" t="s">
        <v>133</v>
      </c>
      <c r="K143" s="19" t="s">
        <v>44</v>
      </c>
      <c r="L143" s="19" t="s">
        <v>67</v>
      </c>
    </row>
    <row r="144" spans="1:12" s="1" customFormat="1">
      <c r="A144" s="15"/>
      <c r="B144" s="11" t="s">
        <v>873</v>
      </c>
      <c r="C144" s="11" t="s">
        <v>45</v>
      </c>
      <c r="D144" s="9" t="s">
        <v>882</v>
      </c>
      <c r="E144" s="16" t="s">
        <v>128</v>
      </c>
      <c r="F144" s="72"/>
      <c r="G144" s="17" t="s">
        <v>1060</v>
      </c>
      <c r="H144" s="18"/>
      <c r="I144" s="17"/>
      <c r="J144" s="19" t="s">
        <v>133</v>
      </c>
      <c r="K144" s="19" t="s">
        <v>44</v>
      </c>
      <c r="L144" s="19" t="s">
        <v>67</v>
      </c>
    </row>
    <row r="145" spans="1:17" s="1" customFormat="1">
      <c r="A145" s="15"/>
      <c r="B145" s="11" t="s">
        <v>874</v>
      </c>
      <c r="C145" s="11" t="s">
        <v>45</v>
      </c>
      <c r="D145" s="9" t="s">
        <v>862</v>
      </c>
      <c r="E145" s="16" t="s">
        <v>128</v>
      </c>
      <c r="F145" s="72"/>
      <c r="G145" s="17" t="s">
        <v>886</v>
      </c>
      <c r="H145" s="18"/>
      <c r="I145" s="17"/>
      <c r="J145" s="19" t="s">
        <v>133</v>
      </c>
      <c r="K145" s="19" t="s">
        <v>44</v>
      </c>
      <c r="L145" s="19" t="s">
        <v>67</v>
      </c>
    </row>
    <row r="146" spans="1:17" s="1" customFormat="1">
      <c r="A146" s="15"/>
      <c r="B146" s="11" t="s">
        <v>875</v>
      </c>
      <c r="C146" s="11" t="s">
        <v>45</v>
      </c>
      <c r="D146" s="9" t="s">
        <v>863</v>
      </c>
      <c r="E146" s="16" t="s">
        <v>128</v>
      </c>
      <c r="F146" s="72"/>
      <c r="G146" s="17" t="s">
        <v>888</v>
      </c>
      <c r="H146" s="18"/>
      <c r="I146" s="17"/>
      <c r="J146" s="19" t="s">
        <v>133</v>
      </c>
      <c r="K146" s="19" t="s">
        <v>44</v>
      </c>
      <c r="L146" s="19" t="s">
        <v>67</v>
      </c>
    </row>
    <row r="147" spans="1:17" s="1" customFormat="1">
      <c r="A147" s="15"/>
      <c r="B147" s="11" t="s">
        <v>876</v>
      </c>
      <c r="C147" s="11" t="s">
        <v>45</v>
      </c>
      <c r="D147" s="9" t="s">
        <v>864</v>
      </c>
      <c r="E147" s="16" t="s">
        <v>128</v>
      </c>
      <c r="F147" s="72"/>
      <c r="G147" s="17" t="s">
        <v>887</v>
      </c>
      <c r="H147" s="18"/>
      <c r="I147" s="17"/>
      <c r="J147" s="19" t="s">
        <v>133</v>
      </c>
      <c r="K147" s="19" t="s">
        <v>44</v>
      </c>
      <c r="L147" s="19" t="s">
        <v>67</v>
      </c>
    </row>
    <row r="148" spans="1:17" s="1" customFormat="1">
      <c r="A148" s="15"/>
      <c r="B148" s="11" t="s">
        <v>877</v>
      </c>
      <c r="C148" s="11" t="s">
        <v>45</v>
      </c>
      <c r="D148" s="9" t="s">
        <v>865</v>
      </c>
      <c r="E148" s="16" t="s">
        <v>128</v>
      </c>
      <c r="F148" s="72"/>
      <c r="G148" s="17" t="s">
        <v>890</v>
      </c>
      <c r="H148" s="18"/>
      <c r="I148" s="17"/>
      <c r="J148" s="19" t="s">
        <v>133</v>
      </c>
      <c r="K148" s="19" t="s">
        <v>44</v>
      </c>
      <c r="L148" s="19" t="s">
        <v>67</v>
      </c>
    </row>
    <row r="149" spans="1:17" s="1" customFormat="1">
      <c r="A149" s="15"/>
      <c r="B149" s="11" t="s">
        <v>878</v>
      </c>
      <c r="C149" s="11" t="s">
        <v>45</v>
      </c>
      <c r="D149" s="9" t="s">
        <v>866</v>
      </c>
      <c r="E149" s="16" t="s">
        <v>128</v>
      </c>
      <c r="F149" s="72"/>
      <c r="G149" s="17" t="s">
        <v>892</v>
      </c>
      <c r="H149" s="18"/>
      <c r="I149" s="17"/>
      <c r="J149" s="19" t="s">
        <v>133</v>
      </c>
      <c r="K149" s="19" t="s">
        <v>44</v>
      </c>
      <c r="L149" s="19" t="s">
        <v>67</v>
      </c>
    </row>
    <row r="150" spans="1:17" s="1" customFormat="1">
      <c r="A150" s="15"/>
      <c r="B150" s="11" t="s">
        <v>879</v>
      </c>
      <c r="C150" s="11" t="s">
        <v>45</v>
      </c>
      <c r="D150" s="9" t="s">
        <v>867</v>
      </c>
      <c r="E150" s="16" t="s">
        <v>128</v>
      </c>
      <c r="F150" s="72"/>
      <c r="G150" s="17" t="s">
        <v>891</v>
      </c>
      <c r="H150" s="18"/>
      <c r="I150" s="17"/>
      <c r="J150" s="19" t="s">
        <v>133</v>
      </c>
      <c r="K150" s="19" t="s">
        <v>44</v>
      </c>
      <c r="L150" s="19" t="s">
        <v>67</v>
      </c>
    </row>
    <row r="151" spans="1:17" s="1" customFormat="1">
      <c r="A151" s="15"/>
      <c r="B151" s="11" t="s">
        <v>1280</v>
      </c>
      <c r="C151" s="11" t="s">
        <v>43</v>
      </c>
      <c r="D151" s="9" t="s">
        <v>1281</v>
      </c>
      <c r="E151" s="16" t="s">
        <v>55</v>
      </c>
      <c r="F151" s="13"/>
      <c r="G151" s="13" t="s">
        <v>1304</v>
      </c>
      <c r="H151" s="18"/>
      <c r="I151" s="87">
        <v>20250415101139</v>
      </c>
      <c r="J151" s="19" t="s">
        <v>133</v>
      </c>
      <c r="K151" s="19" t="s">
        <v>44</v>
      </c>
      <c r="L151" s="19" t="s">
        <v>1306</v>
      </c>
    </row>
    <row r="152" spans="1:17" s="1" customFormat="1">
      <c r="A152" s="15"/>
      <c r="B152" s="11" t="s">
        <v>1283</v>
      </c>
      <c r="C152" s="11" t="s">
        <v>43</v>
      </c>
      <c r="D152" s="9" t="s">
        <v>1284</v>
      </c>
      <c r="E152" s="16" t="s">
        <v>55</v>
      </c>
      <c r="F152" s="13"/>
      <c r="G152" s="13" t="s">
        <v>1305</v>
      </c>
      <c r="H152" s="18"/>
      <c r="I152" s="87">
        <v>20250415101024</v>
      </c>
      <c r="J152" s="19" t="s">
        <v>133</v>
      </c>
      <c r="K152" s="19" t="s">
        <v>44</v>
      </c>
      <c r="L152" s="19" t="s">
        <v>1306</v>
      </c>
    </row>
    <row r="153" spans="1:17" s="3" customFormat="1">
      <c r="B153" s="23" t="s">
        <v>47</v>
      </c>
      <c r="C153" s="24" t="s">
        <v>46</v>
      </c>
      <c r="D153" s="21" t="s">
        <v>48</v>
      </c>
      <c r="E153" s="44"/>
      <c r="F153" s="44"/>
      <c r="G153" s="44" t="s">
        <v>282</v>
      </c>
      <c r="H153" s="23" t="s">
        <v>282</v>
      </c>
      <c r="I153" s="23"/>
      <c r="J153" s="23"/>
      <c r="K153" s="23"/>
      <c r="L153" s="23"/>
      <c r="M153" s="23"/>
      <c r="N153" s="23"/>
      <c r="O153" s="23"/>
      <c r="P153" s="23"/>
      <c r="Q153" s="23"/>
    </row>
    <row r="154" spans="1:17" s="3" customFormat="1">
      <c r="B154" s="23" t="s">
        <v>49</v>
      </c>
      <c r="C154" s="24" t="s">
        <v>43</v>
      </c>
      <c r="D154" s="21" t="s">
        <v>50</v>
      </c>
      <c r="E154" s="44"/>
      <c r="F154" s="44"/>
      <c r="G154" s="44" t="s">
        <v>282</v>
      </c>
      <c r="H154" s="23" t="s">
        <v>282</v>
      </c>
      <c r="I154" s="23"/>
      <c r="J154" s="23"/>
      <c r="K154" s="23"/>
      <c r="L154" s="23"/>
      <c r="M154" s="23"/>
      <c r="N154" s="23"/>
      <c r="O154" s="23"/>
      <c r="P154" s="23"/>
      <c r="Q154" s="23"/>
    </row>
    <row r="155" spans="1:17" s="3" customFormat="1">
      <c r="B155" s="23" t="s">
        <v>51</v>
      </c>
      <c r="C155" s="24" t="s">
        <v>46</v>
      </c>
      <c r="D155" s="21" t="s">
        <v>52</v>
      </c>
      <c r="E155" s="44"/>
      <c r="F155" s="44"/>
      <c r="G155" s="44" t="s">
        <v>282</v>
      </c>
      <c r="H155" s="23" t="s">
        <v>282</v>
      </c>
      <c r="I155" s="23"/>
      <c r="J155" s="23"/>
      <c r="K155" s="23"/>
      <c r="L155" s="23"/>
      <c r="M155" s="23"/>
      <c r="N155" s="23"/>
      <c r="O155" s="23"/>
      <c r="P155" s="23"/>
      <c r="Q155" s="23"/>
    </row>
    <row r="156" spans="1:17" s="3" customFormat="1">
      <c r="B156" s="23" t="s">
        <v>53</v>
      </c>
      <c r="C156" s="24" t="s">
        <v>46</v>
      </c>
      <c r="D156" s="21" t="s">
        <v>54</v>
      </c>
      <c r="E156" s="44"/>
      <c r="F156" s="44"/>
      <c r="G156" s="44" t="s">
        <v>282</v>
      </c>
      <c r="H156" s="23" t="s">
        <v>282</v>
      </c>
      <c r="I156" s="23"/>
      <c r="J156" s="23"/>
      <c r="K156" s="23"/>
      <c r="L156" s="23"/>
      <c r="M156" s="23"/>
      <c r="N156" s="23"/>
      <c r="O156" s="23"/>
      <c r="P156" s="23"/>
      <c r="Q156" s="23"/>
    </row>
  </sheetData>
  <autoFilter ref="A13:Q156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2008-F824-458B-B0C6-1101930D00AC}">
  <sheetPr codeName="Sheet6"/>
  <dimension ref="A1:Q154"/>
  <sheetViews>
    <sheetView zoomScale="85" zoomScaleNormal="85" workbookViewId="0">
      <pane ySplit="5" topLeftCell="A6" activePane="bottomLeft" state="frozen"/>
      <selection pane="bottomLeft" activeCell="D9" sqref="D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1065</v>
      </c>
      <c r="D5" s="10" t="s">
        <v>1066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668</v>
      </c>
      <c r="D9" s="10" t="s">
        <v>670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2" s="1" customFormat="1">
      <c r="A17" s="15"/>
      <c r="B17" s="22" t="s">
        <v>80</v>
      </c>
      <c r="C17" s="22" t="s">
        <v>94</v>
      </c>
      <c r="D17" s="9" t="s">
        <v>99</v>
      </c>
      <c r="E17" s="16" t="s">
        <v>128</v>
      </c>
      <c r="F17" s="17" t="s">
        <v>80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678</v>
      </c>
    </row>
    <row r="18" spans="1:12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1068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61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62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679</v>
      </c>
    </row>
    <row r="21" spans="1:12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64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65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66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1069</v>
      </c>
      <c r="G24" s="17" t="s">
        <v>129</v>
      </c>
      <c r="H24" s="18"/>
      <c r="I24" s="35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2" s="1" customFormat="1">
      <c r="A26" s="15"/>
      <c r="B26" s="11" t="s">
        <v>81</v>
      </c>
      <c r="C26" s="11" t="s">
        <v>43</v>
      </c>
      <c r="D26" s="9" t="s">
        <v>57</v>
      </c>
      <c r="E26" s="16" t="s">
        <v>128</v>
      </c>
      <c r="F26" s="17" t="s">
        <v>81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44</v>
      </c>
    </row>
    <row r="27" spans="1:12" s="1" customFormat="1">
      <c r="A27" s="15"/>
      <c r="B27" s="11" t="s">
        <v>58</v>
      </c>
      <c r="C27" s="11" t="s">
        <v>43</v>
      </c>
      <c r="D27" s="9" t="s">
        <v>59</v>
      </c>
      <c r="E27" s="16" t="s">
        <v>128</v>
      </c>
      <c r="F27" s="9" t="s">
        <v>58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2" s="1" customFormat="1">
      <c r="A28" s="15"/>
      <c r="B28" s="11" t="s">
        <v>82</v>
      </c>
      <c r="C28" s="11" t="s">
        <v>43</v>
      </c>
      <c r="D28" s="9" t="s">
        <v>105</v>
      </c>
      <c r="E28" s="16" t="s">
        <v>128</v>
      </c>
      <c r="F28" s="17" t="s">
        <v>82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2" s="1" customFormat="1">
      <c r="A29" s="15"/>
      <c r="B29" s="11" t="s">
        <v>3155</v>
      </c>
      <c r="C29" s="11" t="s">
        <v>43</v>
      </c>
      <c r="D29" s="9" t="s">
        <v>135</v>
      </c>
      <c r="E29" s="16" t="s">
        <v>128</v>
      </c>
      <c r="F29" s="17" t="s">
        <v>83</v>
      </c>
      <c r="G29" s="17" t="s">
        <v>129</v>
      </c>
      <c r="H29" s="18"/>
      <c r="I29" s="20"/>
      <c r="J29" s="19" t="s">
        <v>131</v>
      </c>
      <c r="K29" s="19" t="s">
        <v>132</v>
      </c>
      <c r="L29" s="19" t="s">
        <v>44</v>
      </c>
    </row>
    <row r="30" spans="1:12" s="1" customFormat="1">
      <c r="A30" s="15"/>
      <c r="B30" s="22" t="s">
        <v>195</v>
      </c>
      <c r="C30" s="11" t="s">
        <v>43</v>
      </c>
      <c r="D30" s="9" t="s">
        <v>106</v>
      </c>
      <c r="E30" s="16" t="s">
        <v>128</v>
      </c>
      <c r="F30" s="17" t="s">
        <v>84</v>
      </c>
      <c r="G30" s="17" t="s">
        <v>129</v>
      </c>
      <c r="H30" s="18"/>
      <c r="I30" s="20"/>
      <c r="J30" s="19" t="s">
        <v>131</v>
      </c>
      <c r="K30" s="19" t="s">
        <v>132</v>
      </c>
      <c r="L30" s="19" t="s">
        <v>44</v>
      </c>
    </row>
    <row r="31" spans="1:12" s="1" customFormat="1">
      <c r="B31" s="22" t="s">
        <v>85</v>
      </c>
      <c r="C31" s="11" t="s">
        <v>43</v>
      </c>
      <c r="D31" s="9" t="s">
        <v>107</v>
      </c>
      <c r="E31" s="16" t="s">
        <v>128</v>
      </c>
      <c r="F31" s="17" t="s">
        <v>85</v>
      </c>
      <c r="G31" s="17" t="s">
        <v>129</v>
      </c>
      <c r="H31" s="18"/>
      <c r="I31" s="19"/>
      <c r="J31" s="19" t="s">
        <v>131</v>
      </c>
      <c r="K31" s="19" t="s">
        <v>132</v>
      </c>
      <c r="L31" s="19" t="s">
        <v>44</v>
      </c>
    </row>
    <row r="32" spans="1:12" s="1" customFormat="1">
      <c r="B32" s="22" t="s">
        <v>507</v>
      </c>
      <c r="C32" s="62" t="s">
        <v>43</v>
      </c>
      <c r="D32" s="9" t="s">
        <v>626</v>
      </c>
      <c r="E32" s="16" t="s">
        <v>128</v>
      </c>
      <c r="F32" s="9" t="s">
        <v>507</v>
      </c>
      <c r="G32" s="17" t="s">
        <v>129</v>
      </c>
      <c r="H32" s="18"/>
      <c r="I32" s="19"/>
      <c r="J32" s="19" t="s">
        <v>131</v>
      </c>
      <c r="K32" s="19" t="s">
        <v>132</v>
      </c>
      <c r="L32" s="19" t="s">
        <v>632</v>
      </c>
    </row>
    <row r="33" spans="1:13" s="1" customFormat="1">
      <c r="B33" s="22" t="s">
        <v>86</v>
      </c>
      <c r="C33" s="11" t="s">
        <v>43</v>
      </c>
      <c r="D33" s="9" t="s">
        <v>108</v>
      </c>
      <c r="E33" s="16" t="s">
        <v>128</v>
      </c>
      <c r="F33" s="17" t="s">
        <v>86</v>
      </c>
      <c r="G33" s="17" t="s">
        <v>129</v>
      </c>
      <c r="H33" s="18"/>
      <c r="I33" s="19"/>
      <c r="J33" s="19" t="s">
        <v>131</v>
      </c>
      <c r="K33" s="19" t="s">
        <v>132</v>
      </c>
      <c r="L33" s="19" t="s">
        <v>44</v>
      </c>
    </row>
    <row r="34" spans="1:13" s="15" customFormat="1">
      <c r="B34" s="22" t="s">
        <v>87</v>
      </c>
      <c r="C34" s="11" t="s">
        <v>43</v>
      </c>
      <c r="D34" s="9" t="s">
        <v>109</v>
      </c>
      <c r="E34" s="16" t="s">
        <v>128</v>
      </c>
      <c r="F34" s="17" t="s">
        <v>87</v>
      </c>
      <c r="G34" s="17" t="s">
        <v>129</v>
      </c>
      <c r="H34" s="18"/>
      <c r="I34" s="20"/>
      <c r="J34" s="19" t="s">
        <v>131</v>
      </c>
      <c r="K34" s="19" t="s">
        <v>132</v>
      </c>
      <c r="L34" s="19" t="s">
        <v>679</v>
      </c>
      <c r="M34" s="1"/>
    </row>
    <row r="35" spans="1:13" s="15" customFormat="1">
      <c r="B35" s="22" t="s">
        <v>88</v>
      </c>
      <c r="C35" s="11" t="s">
        <v>43</v>
      </c>
      <c r="D35" s="9" t="s">
        <v>110</v>
      </c>
      <c r="E35" s="16" t="s">
        <v>128</v>
      </c>
      <c r="F35" s="17" t="s">
        <v>88</v>
      </c>
      <c r="G35" s="17" t="s">
        <v>129</v>
      </c>
      <c r="H35" s="18"/>
      <c r="I35" s="20"/>
      <c r="J35" s="19" t="s">
        <v>131</v>
      </c>
      <c r="K35" s="19" t="s">
        <v>132</v>
      </c>
      <c r="L35" s="19" t="s">
        <v>44</v>
      </c>
      <c r="M35" s="1"/>
    </row>
    <row r="36" spans="1:13" s="68" customFormat="1">
      <c r="A36" s="65"/>
      <c r="B36" s="66" t="s">
        <v>89</v>
      </c>
      <c r="C36" s="11" t="s">
        <v>43</v>
      </c>
      <c r="D36" s="9" t="s">
        <v>111</v>
      </c>
      <c r="E36" s="16" t="s">
        <v>128</v>
      </c>
      <c r="F36" s="17" t="s">
        <v>89</v>
      </c>
      <c r="G36" s="17" t="s">
        <v>129</v>
      </c>
      <c r="H36" s="18"/>
      <c r="I36" s="67"/>
      <c r="J36" s="19" t="s">
        <v>131</v>
      </c>
      <c r="K36" s="19" t="s">
        <v>132</v>
      </c>
      <c r="L36" s="19" t="s">
        <v>44</v>
      </c>
      <c r="M36" s="1"/>
    </row>
    <row r="37" spans="1:13" s="68" customFormat="1">
      <c r="A37" s="65"/>
      <c r="B37" s="66" t="s">
        <v>117</v>
      </c>
      <c r="C37" s="11" t="s">
        <v>46</v>
      </c>
      <c r="D37" s="9" t="s">
        <v>143</v>
      </c>
      <c r="E37" s="16" t="s">
        <v>128</v>
      </c>
      <c r="F37" s="17" t="s">
        <v>117</v>
      </c>
      <c r="G37" s="17" t="s">
        <v>129</v>
      </c>
      <c r="H37" s="18"/>
      <c r="I37" s="67"/>
      <c r="J37" s="19" t="s">
        <v>131</v>
      </c>
      <c r="K37" s="19" t="s">
        <v>132</v>
      </c>
      <c r="L37" s="19" t="s">
        <v>680</v>
      </c>
      <c r="M37" s="1"/>
    </row>
    <row r="38" spans="1:13" s="68" customFormat="1">
      <c r="A38" s="65"/>
      <c r="B38" s="66" t="s">
        <v>142</v>
      </c>
      <c r="C38" s="11" t="s">
        <v>46</v>
      </c>
      <c r="D38" s="9" t="s">
        <v>144</v>
      </c>
      <c r="E38" s="16" t="s">
        <v>128</v>
      </c>
      <c r="F38" s="13" t="s">
        <v>1070</v>
      </c>
      <c r="G38" s="17" t="s">
        <v>129</v>
      </c>
      <c r="H38" s="18"/>
      <c r="I38" s="67"/>
      <c r="J38" s="19" t="s">
        <v>131</v>
      </c>
      <c r="K38" s="19" t="s">
        <v>132</v>
      </c>
      <c r="L38" s="19" t="s">
        <v>44</v>
      </c>
      <c r="M38" s="1"/>
    </row>
    <row r="39" spans="1:13" s="1" customFormat="1">
      <c r="A39" s="15"/>
      <c r="B39" s="11" t="s">
        <v>139</v>
      </c>
      <c r="C39" s="11" t="s">
        <v>43</v>
      </c>
      <c r="D39" s="9" t="s">
        <v>115</v>
      </c>
      <c r="E39" s="16" t="s">
        <v>128</v>
      </c>
      <c r="F39" s="17" t="s">
        <v>1071</v>
      </c>
      <c r="G39" s="17" t="s">
        <v>129</v>
      </c>
      <c r="H39" s="18"/>
      <c r="I39" s="17"/>
      <c r="J39" s="19" t="s">
        <v>131</v>
      </c>
      <c r="K39" s="19" t="s">
        <v>132</v>
      </c>
      <c r="L39" s="19" t="s">
        <v>44</v>
      </c>
    </row>
    <row r="40" spans="1:13" s="1" customFormat="1">
      <c r="A40" s="15"/>
      <c r="B40" s="11" t="s">
        <v>1050</v>
      </c>
      <c r="C40" s="11" t="s">
        <v>992</v>
      </c>
      <c r="D40" s="9" t="s">
        <v>1051</v>
      </c>
      <c r="E40" s="16" t="s">
        <v>128</v>
      </c>
      <c r="F40" s="9" t="s">
        <v>452</v>
      </c>
      <c r="G40" s="17" t="s">
        <v>129</v>
      </c>
      <c r="H40" s="18"/>
      <c r="I40" s="17"/>
      <c r="J40" s="19" t="s">
        <v>131</v>
      </c>
      <c r="K40" s="19" t="s">
        <v>132</v>
      </c>
      <c r="L40" s="19" t="s">
        <v>44</v>
      </c>
    </row>
    <row r="41" spans="1:13" s="1" customFormat="1">
      <c r="A41" s="15"/>
      <c r="B41" s="11" t="s">
        <v>197</v>
      </c>
      <c r="C41" s="11" t="s">
        <v>94</v>
      </c>
      <c r="D41" s="9" t="s">
        <v>198</v>
      </c>
      <c r="E41" s="16" t="s">
        <v>128</v>
      </c>
      <c r="F41" s="17" t="s">
        <v>196</v>
      </c>
      <c r="G41" s="17" t="s">
        <v>129</v>
      </c>
      <c r="H41" s="18"/>
      <c r="I41" s="17"/>
      <c r="J41" s="19" t="s">
        <v>131</v>
      </c>
      <c r="K41" s="19" t="s">
        <v>132</v>
      </c>
      <c r="L41" s="19" t="s">
        <v>281</v>
      </c>
    </row>
    <row r="42" spans="1:13" s="1" customFormat="1">
      <c r="A42" s="15"/>
      <c r="B42" s="11" t="s">
        <v>200</v>
      </c>
      <c r="C42" s="11" t="s">
        <v>94</v>
      </c>
      <c r="D42" s="9" t="s">
        <v>201</v>
      </c>
      <c r="E42" s="16" t="s">
        <v>128</v>
      </c>
      <c r="F42" s="17" t="s">
        <v>199</v>
      </c>
      <c r="G42" s="17" t="s">
        <v>129</v>
      </c>
      <c r="H42" s="18"/>
      <c r="I42" s="17"/>
      <c r="J42" s="19" t="s">
        <v>131</v>
      </c>
      <c r="K42" s="19" t="s">
        <v>132</v>
      </c>
      <c r="L42" s="19" t="s">
        <v>281</v>
      </c>
    </row>
    <row r="43" spans="1:13" s="1" customFormat="1">
      <c r="A43" s="15"/>
      <c r="B43" s="22" t="s">
        <v>1002</v>
      </c>
      <c r="C43" s="62" t="s">
        <v>46</v>
      </c>
      <c r="D43" s="9" t="s">
        <v>1003</v>
      </c>
      <c r="E43" s="16" t="s">
        <v>128</v>
      </c>
      <c r="F43" s="17" t="s">
        <v>1001</v>
      </c>
      <c r="G43" s="17" t="s">
        <v>129</v>
      </c>
      <c r="H43" s="18"/>
      <c r="I43" s="17"/>
      <c r="J43" s="19" t="s">
        <v>131</v>
      </c>
      <c r="K43" s="19" t="s">
        <v>132</v>
      </c>
      <c r="L43" s="19" t="s">
        <v>281</v>
      </c>
    </row>
    <row r="44" spans="1:13" s="1" customFormat="1">
      <c r="A44" s="15"/>
      <c r="B44" s="22" t="s">
        <v>1005</v>
      </c>
      <c r="C44" s="62" t="s">
        <v>46</v>
      </c>
      <c r="D44" s="9" t="s">
        <v>1007</v>
      </c>
      <c r="E44" s="16" t="s">
        <v>128</v>
      </c>
      <c r="F44" s="17" t="s">
        <v>1004</v>
      </c>
      <c r="G44" s="17" t="s">
        <v>129</v>
      </c>
      <c r="H44" s="18"/>
      <c r="I44" s="17"/>
      <c r="J44" s="19" t="s">
        <v>131</v>
      </c>
      <c r="K44" s="19" t="s">
        <v>132</v>
      </c>
      <c r="L44" s="19" t="s">
        <v>281</v>
      </c>
    </row>
    <row r="45" spans="1:13" s="1" customFormat="1">
      <c r="A45" s="15"/>
      <c r="B45" s="22" t="s">
        <v>1006</v>
      </c>
      <c r="C45" s="62" t="s">
        <v>991</v>
      </c>
      <c r="D45" s="9" t="s">
        <v>1008</v>
      </c>
      <c r="E45" s="16" t="s">
        <v>128</v>
      </c>
      <c r="F45" s="17" t="s">
        <v>990</v>
      </c>
      <c r="G45" s="17" t="s">
        <v>129</v>
      </c>
      <c r="H45" s="18"/>
      <c r="I45" s="17"/>
      <c r="J45" s="19" t="s">
        <v>131</v>
      </c>
      <c r="K45" s="19" t="s">
        <v>132</v>
      </c>
      <c r="L45" s="19" t="s">
        <v>281</v>
      </c>
    </row>
    <row r="46" spans="1:13" s="1" customFormat="1">
      <c r="A46" s="15"/>
      <c r="B46" s="11" t="s">
        <v>1072</v>
      </c>
      <c r="C46" s="11" t="s">
        <v>45</v>
      </c>
      <c r="D46" s="9" t="s">
        <v>146</v>
      </c>
      <c r="E46" s="16" t="s">
        <v>128</v>
      </c>
      <c r="F46" s="17"/>
      <c r="G46" s="17" t="s">
        <v>1073</v>
      </c>
      <c r="H46" s="18"/>
      <c r="I46" s="17"/>
      <c r="J46" s="19" t="s">
        <v>133</v>
      </c>
      <c r="K46" s="19" t="s">
        <v>132</v>
      </c>
      <c r="L46" s="19" t="s">
        <v>134</v>
      </c>
    </row>
    <row r="47" spans="1:13" s="1" customFormat="1">
      <c r="A47" s="15"/>
      <c r="B47" s="11" t="s">
        <v>189</v>
      </c>
      <c r="C47" s="11" t="s">
        <v>45</v>
      </c>
      <c r="D47" s="9" t="s">
        <v>190</v>
      </c>
      <c r="E47" s="16" t="s">
        <v>128</v>
      </c>
      <c r="F47" s="17"/>
      <c r="G47" s="17" t="s">
        <v>1259</v>
      </c>
      <c r="H47" s="18"/>
      <c r="I47" s="17"/>
      <c r="J47" s="19" t="s">
        <v>133</v>
      </c>
      <c r="K47" s="19" t="s">
        <v>132</v>
      </c>
      <c r="L47" s="19" t="s">
        <v>134</v>
      </c>
    </row>
    <row r="48" spans="1:13" s="1" customFormat="1">
      <c r="A48" s="15"/>
      <c r="B48" s="11" t="s">
        <v>192</v>
      </c>
      <c r="C48" s="11" t="s">
        <v>45</v>
      </c>
      <c r="D48" s="9" t="s">
        <v>193</v>
      </c>
      <c r="E48" s="16" t="s">
        <v>128</v>
      </c>
      <c r="F48" s="17"/>
      <c r="G48" s="17" t="s">
        <v>1074</v>
      </c>
      <c r="H48" s="18"/>
      <c r="I48" s="17"/>
      <c r="J48" s="19" t="s">
        <v>133</v>
      </c>
      <c r="K48" s="19" t="s">
        <v>132</v>
      </c>
      <c r="L48" s="19" t="s">
        <v>134</v>
      </c>
    </row>
    <row r="49" spans="1:12" s="1" customFormat="1">
      <c r="A49" s="15"/>
      <c r="B49" s="22" t="s">
        <v>255</v>
      </c>
      <c r="C49" s="22" t="s">
        <v>45</v>
      </c>
      <c r="D49" s="9" t="s">
        <v>348</v>
      </c>
      <c r="E49" s="16" t="s">
        <v>128</v>
      </c>
      <c r="F49" s="17"/>
      <c r="G49" s="17" t="s">
        <v>257</v>
      </c>
      <c r="H49" s="18"/>
      <c r="I49" s="17"/>
      <c r="J49" s="19" t="s">
        <v>133</v>
      </c>
      <c r="K49" s="19" t="s">
        <v>203</v>
      </c>
      <c r="L49" s="19" t="s">
        <v>134</v>
      </c>
    </row>
    <row r="50" spans="1:12" s="1" customFormat="1">
      <c r="A50" s="15"/>
      <c r="B50" s="11" t="s">
        <v>207</v>
      </c>
      <c r="C50" s="11" t="s">
        <v>45</v>
      </c>
      <c r="D50" s="9" t="s">
        <v>759</v>
      </c>
      <c r="E50" s="16" t="s">
        <v>128</v>
      </c>
      <c r="F50" s="72"/>
      <c r="G50" s="17" t="s">
        <v>320</v>
      </c>
      <c r="H50" s="18"/>
      <c r="I50" s="17"/>
      <c r="J50" s="19" t="s">
        <v>133</v>
      </c>
      <c r="K50" s="19" t="s">
        <v>204</v>
      </c>
      <c r="L50" s="19" t="s">
        <v>134</v>
      </c>
    </row>
    <row r="51" spans="1:12" s="1" customFormat="1">
      <c r="A51" s="15"/>
      <c r="B51" s="11" t="s">
        <v>208</v>
      </c>
      <c r="C51" s="11" t="s">
        <v>45</v>
      </c>
      <c r="D51" s="9" t="s">
        <v>160</v>
      </c>
      <c r="E51" s="16" t="s">
        <v>128</v>
      </c>
      <c r="F51" s="72"/>
      <c r="G51" s="17" t="s">
        <v>319</v>
      </c>
      <c r="H51" s="18"/>
      <c r="I51" s="17"/>
      <c r="J51" s="19" t="s">
        <v>133</v>
      </c>
      <c r="K51" s="19" t="s">
        <v>204</v>
      </c>
      <c r="L51" s="19" t="s">
        <v>134</v>
      </c>
    </row>
    <row r="52" spans="1:12" s="1" customFormat="1">
      <c r="A52" s="15"/>
      <c r="B52" s="11" t="s">
        <v>763</v>
      </c>
      <c r="C52" s="11" t="s">
        <v>45</v>
      </c>
      <c r="D52" s="9" t="s">
        <v>181</v>
      </c>
      <c r="E52" s="16" t="s">
        <v>128</v>
      </c>
      <c r="F52" s="72"/>
      <c r="G52" s="9" t="s">
        <v>1076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803</v>
      </c>
      <c r="C53" s="11" t="s">
        <v>45</v>
      </c>
      <c r="D53" s="9" t="s">
        <v>183</v>
      </c>
      <c r="E53" s="16" t="s">
        <v>128</v>
      </c>
      <c r="F53" s="72"/>
      <c r="G53" s="17" t="s">
        <v>1078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804</v>
      </c>
      <c r="C54" s="11" t="s">
        <v>45</v>
      </c>
      <c r="D54" s="9" t="s">
        <v>182</v>
      </c>
      <c r="E54" s="16" t="s">
        <v>128</v>
      </c>
      <c r="F54" s="72"/>
      <c r="G54" s="17" t="s">
        <v>1080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805</v>
      </c>
      <c r="C55" s="11" t="s">
        <v>45</v>
      </c>
      <c r="D55" s="9" t="s">
        <v>184</v>
      </c>
      <c r="E55" s="16" t="s">
        <v>128</v>
      </c>
      <c r="F55" s="72"/>
      <c r="G55" s="17" t="s">
        <v>1110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806</v>
      </c>
      <c r="C56" s="11" t="s">
        <v>45</v>
      </c>
      <c r="D56" s="9" t="s">
        <v>186</v>
      </c>
      <c r="E56" s="16" t="s">
        <v>128</v>
      </c>
      <c r="F56" s="72"/>
      <c r="G56" s="17" t="s">
        <v>1111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807</v>
      </c>
      <c r="C57" s="11" t="s">
        <v>45</v>
      </c>
      <c r="D57" s="9" t="s">
        <v>185</v>
      </c>
      <c r="E57" s="16" t="s">
        <v>128</v>
      </c>
      <c r="F57" s="72"/>
      <c r="G57" s="17" t="s">
        <v>1112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808</v>
      </c>
      <c r="C58" s="11" t="s">
        <v>45</v>
      </c>
      <c r="D58" s="9" t="s">
        <v>187</v>
      </c>
      <c r="E58" s="16" t="s">
        <v>128</v>
      </c>
      <c r="F58" s="72"/>
      <c r="G58" s="17" t="s">
        <v>1113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210</v>
      </c>
      <c r="C59" s="11" t="s">
        <v>45</v>
      </c>
      <c r="D59" s="9" t="s">
        <v>1056</v>
      </c>
      <c r="E59" s="16" t="s">
        <v>128</v>
      </c>
      <c r="F59" s="72"/>
      <c r="G59" s="17" t="s">
        <v>224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209</v>
      </c>
      <c r="C60" s="11" t="s">
        <v>45</v>
      </c>
      <c r="D60" s="9" t="s">
        <v>1055</v>
      </c>
      <c r="E60" s="16" t="s">
        <v>128</v>
      </c>
      <c r="F60" s="72"/>
      <c r="G60" s="17" t="s">
        <v>223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211</v>
      </c>
      <c r="C61" s="11" t="s">
        <v>45</v>
      </c>
      <c r="D61" s="9" t="s">
        <v>163</v>
      </c>
      <c r="E61" s="16" t="s">
        <v>128</v>
      </c>
      <c r="F61" s="72"/>
      <c r="G61" s="17" t="s">
        <v>225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212</v>
      </c>
      <c r="C62" s="11" t="s">
        <v>45</v>
      </c>
      <c r="D62" s="9" t="s">
        <v>164</v>
      </c>
      <c r="E62" s="16" t="s">
        <v>128</v>
      </c>
      <c r="F62" s="72"/>
      <c r="G62" s="17" t="s">
        <v>226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213</v>
      </c>
      <c r="C63" s="11" t="s">
        <v>45</v>
      </c>
      <c r="D63" s="9" t="s">
        <v>165</v>
      </c>
      <c r="E63" s="16" t="s">
        <v>128</v>
      </c>
      <c r="F63" s="72"/>
      <c r="G63" s="17" t="s">
        <v>1114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214</v>
      </c>
      <c r="C64" s="11" t="s">
        <v>45</v>
      </c>
      <c r="D64" s="9" t="s">
        <v>166</v>
      </c>
      <c r="E64" s="16" t="s">
        <v>128</v>
      </c>
      <c r="F64" s="72"/>
      <c r="G64" s="17" t="s">
        <v>1115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217</v>
      </c>
      <c r="C65" s="11" t="s">
        <v>45</v>
      </c>
      <c r="D65" s="9" t="s">
        <v>171</v>
      </c>
      <c r="E65" s="16" t="s">
        <v>128</v>
      </c>
      <c r="F65" s="72"/>
      <c r="G65" s="17" t="s">
        <v>1116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218</v>
      </c>
      <c r="C66" s="11" t="s">
        <v>45</v>
      </c>
      <c r="D66" s="9" t="s">
        <v>172</v>
      </c>
      <c r="E66" s="16" t="s">
        <v>128</v>
      </c>
      <c r="F66" s="72"/>
      <c r="G66" s="17" t="s">
        <v>1117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219</v>
      </c>
      <c r="C67" s="11" t="s">
        <v>45</v>
      </c>
      <c r="D67" s="9" t="s">
        <v>173</v>
      </c>
      <c r="E67" s="16" t="s">
        <v>128</v>
      </c>
      <c r="F67" s="72"/>
      <c r="G67" s="17" t="s">
        <v>1118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220</v>
      </c>
      <c r="C68" s="11" t="s">
        <v>45</v>
      </c>
      <c r="D68" s="9" t="s">
        <v>174</v>
      </c>
      <c r="E68" s="16" t="s">
        <v>128</v>
      </c>
      <c r="F68" s="72"/>
      <c r="G68" s="17" t="s">
        <v>1119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215</v>
      </c>
      <c r="C69" s="11" t="s">
        <v>45</v>
      </c>
      <c r="D69" s="9" t="s">
        <v>1260</v>
      </c>
      <c r="E69" s="16" t="s">
        <v>128</v>
      </c>
      <c r="F69" s="72"/>
      <c r="G69" s="17" t="s">
        <v>227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216</v>
      </c>
      <c r="C70" s="11" t="s">
        <v>45</v>
      </c>
      <c r="D70" s="9" t="s">
        <v>1261</v>
      </c>
      <c r="E70" s="16" t="s">
        <v>128</v>
      </c>
      <c r="F70" s="72"/>
      <c r="G70" s="17" t="s">
        <v>228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316</v>
      </c>
      <c r="C71" s="11" t="s">
        <v>45</v>
      </c>
      <c r="D71" s="9" t="s">
        <v>167</v>
      </c>
      <c r="E71" s="16" t="s">
        <v>128</v>
      </c>
      <c r="F71" s="72"/>
      <c r="G71" s="17" t="s">
        <v>772</v>
      </c>
      <c r="H71" s="18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809</v>
      </c>
      <c r="C72" s="11" t="s">
        <v>45</v>
      </c>
      <c r="D72" s="9" t="s">
        <v>175</v>
      </c>
      <c r="E72" s="16" t="s">
        <v>128</v>
      </c>
      <c r="F72" s="72"/>
      <c r="G72" s="17" t="s">
        <v>1120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317</v>
      </c>
      <c r="C73" s="11" t="s">
        <v>45</v>
      </c>
      <c r="D73" s="9" t="s">
        <v>168</v>
      </c>
      <c r="E73" s="16" t="s">
        <v>128</v>
      </c>
      <c r="F73" s="72"/>
      <c r="G73" s="17" t="s">
        <v>1487</v>
      </c>
      <c r="H73" s="18"/>
      <c r="I73" s="17"/>
      <c r="J73" s="19" t="s">
        <v>133</v>
      </c>
      <c r="K73" s="19" t="s">
        <v>202</v>
      </c>
      <c r="L73" s="19" t="s">
        <v>67</v>
      </c>
    </row>
    <row r="74" spans="1:12" s="1" customFormat="1">
      <c r="A74" s="15"/>
      <c r="B74" s="11" t="s">
        <v>810</v>
      </c>
      <c r="C74" s="11" t="s">
        <v>45</v>
      </c>
      <c r="D74" s="9" t="s">
        <v>176</v>
      </c>
      <c r="E74" s="16" t="s">
        <v>128</v>
      </c>
      <c r="F74" s="72"/>
      <c r="G74" s="17" t="s">
        <v>1121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1213</v>
      </c>
      <c r="C75" s="11" t="s">
        <v>45</v>
      </c>
      <c r="D75" s="9" t="s">
        <v>178</v>
      </c>
      <c r="E75" s="16" t="s">
        <v>128</v>
      </c>
      <c r="F75" s="72"/>
      <c r="G75" s="17" t="s">
        <v>1215</v>
      </c>
      <c r="H75" s="18"/>
      <c r="I75" s="17"/>
      <c r="J75" s="19" t="s">
        <v>133</v>
      </c>
      <c r="K75" s="19" t="s">
        <v>202</v>
      </c>
      <c r="L75" s="19" t="s">
        <v>67</v>
      </c>
    </row>
    <row r="76" spans="1:12" s="1" customFormat="1">
      <c r="A76" s="15"/>
      <c r="B76" s="11" t="s">
        <v>221</v>
      </c>
      <c r="C76" s="11" t="s">
        <v>45</v>
      </c>
      <c r="D76" s="9" t="s">
        <v>177</v>
      </c>
      <c r="E76" s="16" t="s">
        <v>128</v>
      </c>
      <c r="F76" s="72"/>
      <c r="G76" s="17" t="s">
        <v>1122</v>
      </c>
      <c r="H76" s="18"/>
      <c r="I76" s="17"/>
      <c r="J76" s="19" t="s">
        <v>133</v>
      </c>
      <c r="K76" s="19" t="s">
        <v>204</v>
      </c>
      <c r="L76" s="19" t="s">
        <v>67</v>
      </c>
    </row>
    <row r="77" spans="1:12" s="1" customFormat="1">
      <c r="A77" s="15"/>
      <c r="B77" s="11" t="s">
        <v>1212</v>
      </c>
      <c r="C77" s="11" t="s">
        <v>45</v>
      </c>
      <c r="D77" s="9" t="s">
        <v>180</v>
      </c>
      <c r="E77" s="16" t="s">
        <v>128</v>
      </c>
      <c r="F77" s="72"/>
      <c r="G77" s="17" t="s">
        <v>1214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222</v>
      </c>
      <c r="C78" s="11" t="s">
        <v>45</v>
      </c>
      <c r="D78" s="9" t="s">
        <v>179</v>
      </c>
      <c r="E78" s="16" t="s">
        <v>128</v>
      </c>
      <c r="F78" s="72"/>
      <c r="G78" s="17" t="s">
        <v>1123</v>
      </c>
      <c r="H78" s="18"/>
      <c r="I78" s="17"/>
      <c r="J78" s="19" t="s">
        <v>133</v>
      </c>
      <c r="K78" s="19" t="s">
        <v>204</v>
      </c>
      <c r="L78" s="19" t="s">
        <v>67</v>
      </c>
    </row>
    <row r="79" spans="1:12" s="1" customFormat="1">
      <c r="A79" s="15"/>
      <c r="B79" s="11" t="s">
        <v>811</v>
      </c>
      <c r="C79" s="11" t="s">
        <v>45</v>
      </c>
      <c r="D79" s="9" t="s">
        <v>643</v>
      </c>
      <c r="E79" s="16" t="s">
        <v>128</v>
      </c>
      <c r="F79" s="72"/>
      <c r="G79" s="17" t="s">
        <v>768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812</v>
      </c>
      <c r="C80" s="11" t="s">
        <v>45</v>
      </c>
      <c r="D80" s="9" t="s">
        <v>813</v>
      </c>
      <c r="E80" s="16" t="s">
        <v>128</v>
      </c>
      <c r="F80" s="72"/>
      <c r="G80" s="17" t="s">
        <v>1124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814</v>
      </c>
      <c r="C81" s="11" t="s">
        <v>45</v>
      </c>
      <c r="D81" s="9" t="s">
        <v>500</v>
      </c>
      <c r="E81" s="16" t="s">
        <v>128</v>
      </c>
      <c r="F81" s="72"/>
      <c r="G81" s="17" t="s">
        <v>1125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205</v>
      </c>
      <c r="C82" s="11" t="s">
        <v>45</v>
      </c>
      <c r="D82" s="9" t="s">
        <v>147</v>
      </c>
      <c r="E82" s="16" t="s">
        <v>128</v>
      </c>
      <c r="F82" s="72"/>
      <c r="G82" s="17" t="s">
        <v>1126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206</v>
      </c>
      <c r="C83" s="11" t="s">
        <v>280</v>
      </c>
      <c r="D83" s="9" t="s">
        <v>820</v>
      </c>
      <c r="E83" s="16" t="s">
        <v>128</v>
      </c>
      <c r="F83" s="72"/>
      <c r="G83" s="17" t="s">
        <v>1081</v>
      </c>
      <c r="H83" s="18"/>
      <c r="I83" s="17"/>
      <c r="J83" s="19" t="s">
        <v>133</v>
      </c>
      <c r="K83" s="19" t="s">
        <v>202</v>
      </c>
      <c r="L83" s="19" t="s">
        <v>67</v>
      </c>
    </row>
    <row r="84" spans="1:12" s="1" customFormat="1">
      <c r="A84" s="15"/>
      <c r="B84" s="11" t="s">
        <v>1022</v>
      </c>
      <c r="C84" s="11" t="s">
        <v>45</v>
      </c>
      <c r="D84" s="9" t="s">
        <v>1018</v>
      </c>
      <c r="E84" s="16" t="s">
        <v>128</v>
      </c>
      <c r="F84" s="72"/>
      <c r="G84" s="17" t="s">
        <v>1127</v>
      </c>
      <c r="H84" s="18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1014</v>
      </c>
      <c r="C85" s="11" t="s">
        <v>45</v>
      </c>
      <c r="D85" s="9" t="s">
        <v>1019</v>
      </c>
      <c r="E85" s="16" t="s">
        <v>128</v>
      </c>
      <c r="F85" s="72"/>
      <c r="G85" s="17" t="s">
        <v>1128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1015</v>
      </c>
      <c r="C86" s="11" t="s">
        <v>45</v>
      </c>
      <c r="D86" s="9" t="s">
        <v>1020</v>
      </c>
      <c r="E86" s="16" t="s">
        <v>128</v>
      </c>
      <c r="F86" s="72"/>
      <c r="G86" s="17" t="s">
        <v>1129</v>
      </c>
      <c r="H86" s="18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1016</v>
      </c>
      <c r="C87" s="11" t="s">
        <v>45</v>
      </c>
      <c r="D87" s="9" t="s">
        <v>1021</v>
      </c>
      <c r="E87" s="16" t="s">
        <v>128</v>
      </c>
      <c r="F87" s="72"/>
      <c r="G87" s="17" t="s">
        <v>1130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1017</v>
      </c>
      <c r="C88" s="11" t="s">
        <v>45</v>
      </c>
      <c r="D88" s="9" t="s">
        <v>1042</v>
      </c>
      <c r="E88" s="16" t="s">
        <v>128</v>
      </c>
      <c r="F88" s="72"/>
      <c r="G88" s="17" t="s">
        <v>1131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1049</v>
      </c>
      <c r="C89" s="11" t="s">
        <v>45</v>
      </c>
      <c r="D89" s="9" t="s">
        <v>153</v>
      </c>
      <c r="E89" s="16" t="s">
        <v>128</v>
      </c>
      <c r="F89" s="72"/>
      <c r="G89" s="17" t="s">
        <v>1132</v>
      </c>
      <c r="H89" s="18"/>
      <c r="I89" s="17"/>
      <c r="J89" s="19" t="s">
        <v>133</v>
      </c>
      <c r="K89" s="19" t="s">
        <v>44</v>
      </c>
      <c r="L89" s="19" t="s">
        <v>67</v>
      </c>
    </row>
    <row r="90" spans="1:12" s="1" customFormat="1">
      <c r="A90" s="15"/>
      <c r="B90" s="11" t="s">
        <v>823</v>
      </c>
      <c r="C90" s="11" t="s">
        <v>280</v>
      </c>
      <c r="D90" s="9" t="s">
        <v>1474</v>
      </c>
      <c r="E90" s="16" t="s">
        <v>128</v>
      </c>
      <c r="F90" s="72"/>
      <c r="G90" s="17" t="s">
        <v>1082</v>
      </c>
      <c r="H90" s="18"/>
      <c r="I90" s="17"/>
      <c r="J90" s="19" t="s">
        <v>133</v>
      </c>
      <c r="K90" s="19" t="s">
        <v>202</v>
      </c>
      <c r="L90" s="19" t="s">
        <v>67</v>
      </c>
    </row>
    <row r="91" spans="1:12" s="1" customFormat="1">
      <c r="A91" s="15"/>
      <c r="B91" s="11" t="s">
        <v>1030</v>
      </c>
      <c r="C91" s="11" t="s">
        <v>45</v>
      </c>
      <c r="D91" s="9" t="s">
        <v>1026</v>
      </c>
      <c r="E91" s="16" t="s">
        <v>128</v>
      </c>
      <c r="F91" s="72"/>
      <c r="G91" s="17" t="s">
        <v>1133</v>
      </c>
      <c r="H91" s="18"/>
      <c r="I91" s="17"/>
      <c r="J91" s="19" t="s">
        <v>133</v>
      </c>
      <c r="K91" s="19" t="s">
        <v>44</v>
      </c>
      <c r="L91" s="19" t="s">
        <v>67</v>
      </c>
    </row>
    <row r="92" spans="1:12" s="1" customFormat="1">
      <c r="A92" s="15"/>
      <c r="B92" s="11" t="s">
        <v>1023</v>
      </c>
      <c r="C92" s="11" t="s">
        <v>45</v>
      </c>
      <c r="D92" s="9" t="s">
        <v>1027</v>
      </c>
      <c r="E92" s="16" t="s">
        <v>128</v>
      </c>
      <c r="F92" s="72"/>
      <c r="G92" s="17" t="s">
        <v>1134</v>
      </c>
      <c r="H92" s="18"/>
      <c r="I92" s="17"/>
      <c r="J92" s="19" t="s">
        <v>133</v>
      </c>
      <c r="K92" s="19" t="s">
        <v>44</v>
      </c>
      <c r="L92" s="19" t="s">
        <v>67</v>
      </c>
    </row>
    <row r="93" spans="1:12" s="1" customFormat="1">
      <c r="A93" s="15"/>
      <c r="B93" s="11" t="s">
        <v>1024</v>
      </c>
      <c r="C93" s="11" t="s">
        <v>45</v>
      </c>
      <c r="D93" s="9" t="s">
        <v>1028</v>
      </c>
      <c r="E93" s="16" t="s">
        <v>128</v>
      </c>
      <c r="F93" s="72"/>
      <c r="G93" s="17" t="s">
        <v>1135</v>
      </c>
      <c r="H93" s="18"/>
      <c r="I93" s="17"/>
      <c r="J93" s="19" t="s">
        <v>133</v>
      </c>
      <c r="K93" s="19" t="s">
        <v>44</v>
      </c>
      <c r="L93" s="19" t="s">
        <v>67</v>
      </c>
    </row>
    <row r="94" spans="1:12" s="1" customFormat="1">
      <c r="A94" s="15"/>
      <c r="B94" s="11" t="s">
        <v>1032</v>
      </c>
      <c r="C94" s="11" t="s">
        <v>45</v>
      </c>
      <c r="D94" s="9" t="s">
        <v>1029</v>
      </c>
      <c r="E94" s="16" t="s">
        <v>128</v>
      </c>
      <c r="F94" s="72"/>
      <c r="G94" s="17" t="s">
        <v>1136</v>
      </c>
      <c r="H94" s="18"/>
      <c r="I94" s="17"/>
      <c r="J94" s="19" t="s">
        <v>133</v>
      </c>
      <c r="K94" s="19" t="s">
        <v>44</v>
      </c>
      <c r="L94" s="19" t="s">
        <v>67</v>
      </c>
    </row>
    <row r="95" spans="1:12" s="1" customFormat="1">
      <c r="A95" s="15"/>
      <c r="B95" s="11" t="s">
        <v>1025</v>
      </c>
      <c r="C95" s="11" t="s">
        <v>45</v>
      </c>
      <c r="D95" s="9" t="s">
        <v>1043</v>
      </c>
      <c r="E95" s="16" t="s">
        <v>128</v>
      </c>
      <c r="F95" s="72"/>
      <c r="G95" s="17" t="s">
        <v>1137</v>
      </c>
      <c r="H95" s="18"/>
      <c r="I95" s="17"/>
      <c r="J95" s="19" t="s">
        <v>133</v>
      </c>
      <c r="K95" s="19" t="s">
        <v>44</v>
      </c>
      <c r="L95" s="19" t="s">
        <v>67</v>
      </c>
    </row>
    <row r="96" spans="1:12" s="1" customFormat="1">
      <c r="A96" s="15"/>
      <c r="B96" s="11" t="s">
        <v>1084</v>
      </c>
      <c r="C96" s="11" t="s">
        <v>280</v>
      </c>
      <c r="D96" s="9" t="s">
        <v>1086</v>
      </c>
      <c r="E96" s="16" t="s">
        <v>128</v>
      </c>
      <c r="F96" s="72"/>
      <c r="G96" s="17" t="s">
        <v>1087</v>
      </c>
      <c r="H96" s="18"/>
      <c r="I96" s="17"/>
      <c r="J96" s="19" t="s">
        <v>133</v>
      </c>
      <c r="K96" s="19" t="s">
        <v>202</v>
      </c>
      <c r="L96" s="19" t="s">
        <v>67</v>
      </c>
    </row>
    <row r="97" spans="1:12" s="1" customFormat="1">
      <c r="A97" s="15"/>
      <c r="B97" s="11" t="s">
        <v>1083</v>
      </c>
      <c r="C97" s="11" t="s">
        <v>280</v>
      </c>
      <c r="D97" s="9" t="s">
        <v>841</v>
      </c>
      <c r="E97" s="16" t="s">
        <v>128</v>
      </c>
      <c r="F97" s="72"/>
      <c r="G97" s="17" t="s">
        <v>1866</v>
      </c>
      <c r="H97" s="18"/>
      <c r="I97" s="17"/>
      <c r="J97" s="19" t="s">
        <v>133</v>
      </c>
      <c r="K97" s="19" t="s">
        <v>202</v>
      </c>
      <c r="L97" s="19" t="s">
        <v>67</v>
      </c>
    </row>
    <row r="98" spans="1:12" s="1" customFormat="1">
      <c r="A98" s="15"/>
      <c r="B98" s="11" t="s">
        <v>1033</v>
      </c>
      <c r="C98" s="11" t="s">
        <v>45</v>
      </c>
      <c r="D98" s="9" t="s">
        <v>1038</v>
      </c>
      <c r="E98" s="16" t="s">
        <v>128</v>
      </c>
      <c r="F98" s="72"/>
      <c r="G98" s="17" t="s">
        <v>1138</v>
      </c>
      <c r="H98" s="18"/>
      <c r="I98" s="17"/>
      <c r="J98" s="19" t="s">
        <v>133</v>
      </c>
      <c r="K98" s="19" t="s">
        <v>44</v>
      </c>
      <c r="L98" s="19" t="s">
        <v>67</v>
      </c>
    </row>
    <row r="99" spans="1:12" s="1" customFormat="1">
      <c r="A99" s="15"/>
      <c r="B99" s="11" t="s">
        <v>1034</v>
      </c>
      <c r="C99" s="11" t="s">
        <v>45</v>
      </c>
      <c r="D99" s="9" t="s">
        <v>1039</v>
      </c>
      <c r="E99" s="16" t="s">
        <v>128</v>
      </c>
      <c r="F99" s="72"/>
      <c r="G99" s="17" t="s">
        <v>1139</v>
      </c>
      <c r="H99" s="18"/>
      <c r="I99" s="17"/>
      <c r="J99" s="19" t="s">
        <v>133</v>
      </c>
      <c r="K99" s="19" t="s">
        <v>44</v>
      </c>
      <c r="L99" s="19" t="s">
        <v>67</v>
      </c>
    </row>
    <row r="100" spans="1:12" s="1" customFormat="1">
      <c r="A100" s="15"/>
      <c r="B100" s="11" t="s">
        <v>1035</v>
      </c>
      <c r="C100" s="11" t="s">
        <v>45</v>
      </c>
      <c r="D100" s="9" t="s">
        <v>1040</v>
      </c>
      <c r="E100" s="16" t="s">
        <v>128</v>
      </c>
      <c r="F100" s="72"/>
      <c r="G100" s="17" t="s">
        <v>1140</v>
      </c>
      <c r="H100" s="18"/>
      <c r="I100" s="17"/>
      <c r="J100" s="19" t="s">
        <v>133</v>
      </c>
      <c r="K100" s="19" t="s">
        <v>44</v>
      </c>
      <c r="L100" s="19" t="s">
        <v>67</v>
      </c>
    </row>
    <row r="101" spans="1:12" s="1" customFormat="1">
      <c r="A101" s="15"/>
      <c r="B101" s="11" t="s">
        <v>1036</v>
      </c>
      <c r="C101" s="11" t="s">
        <v>45</v>
      </c>
      <c r="D101" s="9" t="s">
        <v>1041</v>
      </c>
      <c r="E101" s="16" t="s">
        <v>128</v>
      </c>
      <c r="F101" s="72"/>
      <c r="G101" s="17" t="s">
        <v>1141</v>
      </c>
      <c r="H101" s="18"/>
      <c r="I101" s="17"/>
      <c r="J101" s="19" t="s">
        <v>133</v>
      </c>
      <c r="K101" s="19" t="s">
        <v>44</v>
      </c>
      <c r="L101" s="19" t="s">
        <v>67</v>
      </c>
    </row>
    <row r="102" spans="1:12" s="1" customFormat="1">
      <c r="A102" s="15"/>
      <c r="B102" s="11" t="s">
        <v>1037</v>
      </c>
      <c r="C102" s="11" t="s">
        <v>45</v>
      </c>
      <c r="D102" s="9" t="s">
        <v>1044</v>
      </c>
      <c r="E102" s="16" t="s">
        <v>128</v>
      </c>
      <c r="F102" s="72"/>
      <c r="G102" s="17" t="s">
        <v>1142</v>
      </c>
      <c r="H102" s="18"/>
      <c r="I102" s="17"/>
      <c r="J102" s="19" t="s">
        <v>133</v>
      </c>
      <c r="K102" s="19" t="s">
        <v>44</v>
      </c>
      <c r="L102" s="19" t="s">
        <v>67</v>
      </c>
    </row>
    <row r="103" spans="1:12" s="1" customFormat="1">
      <c r="A103" s="15"/>
      <c r="B103" s="11" t="s">
        <v>816</v>
      </c>
      <c r="C103" s="11" t="s">
        <v>280</v>
      </c>
      <c r="D103" s="9" t="s">
        <v>839</v>
      </c>
      <c r="E103" s="16" t="s">
        <v>128</v>
      </c>
      <c r="F103" s="72"/>
      <c r="G103" s="17" t="s">
        <v>1088</v>
      </c>
      <c r="H103" s="18"/>
      <c r="I103" s="17"/>
      <c r="J103" s="19" t="s">
        <v>133</v>
      </c>
      <c r="K103" s="19" t="s">
        <v>202</v>
      </c>
      <c r="L103" s="19" t="s">
        <v>67</v>
      </c>
    </row>
    <row r="104" spans="1:12" s="1" customFormat="1">
      <c r="A104" s="15"/>
      <c r="B104" s="11" t="s">
        <v>817</v>
      </c>
      <c r="C104" s="11" t="s">
        <v>45</v>
      </c>
      <c r="D104" s="9" t="s">
        <v>658</v>
      </c>
      <c r="E104" s="16" t="s">
        <v>128</v>
      </c>
      <c r="F104" s="72"/>
      <c r="G104" s="17" t="s">
        <v>1090</v>
      </c>
      <c r="H104" s="18"/>
      <c r="I104" s="17"/>
      <c r="J104" s="19" t="s">
        <v>133</v>
      </c>
      <c r="K104" s="19" t="s">
        <v>44</v>
      </c>
      <c r="L104" s="19" t="s">
        <v>67</v>
      </c>
    </row>
    <row r="105" spans="1:12" s="1" customFormat="1">
      <c r="A105" s="15"/>
      <c r="B105" s="11" t="s">
        <v>818</v>
      </c>
      <c r="C105" s="11" t="s">
        <v>280</v>
      </c>
      <c r="D105" s="9" t="s">
        <v>842</v>
      </c>
      <c r="E105" s="16" t="s">
        <v>128</v>
      </c>
      <c r="F105" s="72"/>
      <c r="G105" s="17" t="s">
        <v>1091</v>
      </c>
      <c r="H105" s="18"/>
      <c r="I105" s="17"/>
      <c r="J105" s="19" t="s">
        <v>133</v>
      </c>
      <c r="K105" s="19" t="s">
        <v>202</v>
      </c>
      <c r="L105" s="19" t="s">
        <v>67</v>
      </c>
    </row>
    <row r="106" spans="1:12" s="1" customFormat="1">
      <c r="A106" s="15"/>
      <c r="B106" s="11" t="s">
        <v>819</v>
      </c>
      <c r="C106" s="11" t="s">
        <v>45</v>
      </c>
      <c r="D106" s="9" t="s">
        <v>660</v>
      </c>
      <c r="E106" s="16" t="s">
        <v>128</v>
      </c>
      <c r="F106" s="72"/>
      <c r="G106" s="17" t="s">
        <v>1093</v>
      </c>
      <c r="H106" s="18"/>
      <c r="I106" s="17"/>
      <c r="J106" s="19" t="s">
        <v>133</v>
      </c>
      <c r="K106" s="19" t="s">
        <v>44</v>
      </c>
      <c r="L106" s="19" t="s">
        <v>67</v>
      </c>
    </row>
    <row r="107" spans="1:12" s="1" customFormat="1">
      <c r="A107" s="15"/>
      <c r="B107" s="11" t="s">
        <v>829</v>
      </c>
      <c r="C107" s="11" t="s">
        <v>280</v>
      </c>
      <c r="D107" s="9" t="s">
        <v>3156</v>
      </c>
      <c r="E107" s="16" t="s">
        <v>128</v>
      </c>
      <c r="F107" s="72"/>
      <c r="G107" s="17" t="s">
        <v>1094</v>
      </c>
      <c r="H107" s="18"/>
      <c r="I107" s="17"/>
      <c r="J107" s="19" t="s">
        <v>133</v>
      </c>
      <c r="K107" s="19" t="s">
        <v>203</v>
      </c>
      <c r="L107" s="19" t="s">
        <v>67</v>
      </c>
    </row>
    <row r="108" spans="1:12" s="1" customFormat="1">
      <c r="A108" s="15"/>
      <c r="B108" s="11" t="s">
        <v>1570</v>
      </c>
      <c r="C108" s="11" t="s">
        <v>45</v>
      </c>
      <c r="D108" s="9" t="s">
        <v>1526</v>
      </c>
      <c r="E108" s="16" t="s">
        <v>128</v>
      </c>
      <c r="F108" s="72"/>
      <c r="G108" s="17" t="s">
        <v>1571</v>
      </c>
      <c r="H108" s="18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A109" s="15"/>
      <c r="B109" s="11" t="s">
        <v>1527</v>
      </c>
      <c r="C109" s="11" t="s">
        <v>45</v>
      </c>
      <c r="D109" s="9" t="s">
        <v>1528</v>
      </c>
      <c r="E109" s="16" t="s">
        <v>128</v>
      </c>
      <c r="F109" s="72"/>
      <c r="G109" s="17" t="s">
        <v>1572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11" t="s">
        <v>1529</v>
      </c>
      <c r="C110" s="11" t="s">
        <v>45</v>
      </c>
      <c r="D110" s="9" t="s">
        <v>1530</v>
      </c>
      <c r="E110" s="16" t="s">
        <v>128</v>
      </c>
      <c r="F110" s="72"/>
      <c r="G110" s="17" t="s">
        <v>1573</v>
      </c>
      <c r="H110" s="18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11" t="s">
        <v>1531</v>
      </c>
      <c r="C111" s="11" t="s">
        <v>45</v>
      </c>
      <c r="D111" s="9" t="s">
        <v>1532</v>
      </c>
      <c r="E111" s="16" t="s">
        <v>128</v>
      </c>
      <c r="F111" s="72"/>
      <c r="G111" s="17" t="s">
        <v>1574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11" t="s">
        <v>1533</v>
      </c>
      <c r="C112" s="11" t="s">
        <v>45</v>
      </c>
      <c r="D112" s="9" t="s">
        <v>1534</v>
      </c>
      <c r="E112" s="16" t="s">
        <v>128</v>
      </c>
      <c r="F112" s="72"/>
      <c r="G112" s="17" t="s">
        <v>1575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11" t="s">
        <v>799</v>
      </c>
      <c r="C113" s="11" t="s">
        <v>280</v>
      </c>
      <c r="D113" s="9" t="s">
        <v>506</v>
      </c>
      <c r="E113" s="16" t="s">
        <v>128</v>
      </c>
      <c r="F113" s="72"/>
      <c r="G113" s="17" t="s">
        <v>1095</v>
      </c>
      <c r="H113" s="18"/>
      <c r="I113" s="17"/>
      <c r="J113" s="19" t="s">
        <v>133</v>
      </c>
      <c r="K113" s="19" t="s">
        <v>203</v>
      </c>
      <c r="L113" s="19" t="s">
        <v>67</v>
      </c>
    </row>
    <row r="114" spans="1:12" s="1" customFormat="1">
      <c r="A114" s="15"/>
      <c r="B114" s="11" t="s">
        <v>1549</v>
      </c>
      <c r="C114" s="11" t="s">
        <v>45</v>
      </c>
      <c r="D114" s="9" t="s">
        <v>1540</v>
      </c>
      <c r="E114" s="16" t="s">
        <v>128</v>
      </c>
      <c r="F114" s="72"/>
      <c r="G114" s="17" t="s">
        <v>1576</v>
      </c>
      <c r="H114" s="18"/>
      <c r="I114" s="17"/>
      <c r="J114" s="19" t="s">
        <v>133</v>
      </c>
      <c r="K114" s="19" t="s">
        <v>903</v>
      </c>
      <c r="L114" s="19" t="s">
        <v>67</v>
      </c>
    </row>
    <row r="115" spans="1:12" s="1" customFormat="1">
      <c r="A115" s="15"/>
      <c r="B115" s="11" t="s">
        <v>1541</v>
      </c>
      <c r="C115" s="11" t="s">
        <v>45</v>
      </c>
      <c r="D115" s="9" t="s">
        <v>1542</v>
      </c>
      <c r="E115" s="16" t="s">
        <v>128</v>
      </c>
      <c r="F115" s="72"/>
      <c r="G115" s="17" t="s">
        <v>1577</v>
      </c>
      <c r="H115" s="18"/>
      <c r="I115" s="17"/>
      <c r="J115" s="19" t="s">
        <v>133</v>
      </c>
      <c r="K115" s="19" t="s">
        <v>903</v>
      </c>
      <c r="L115" s="19" t="s">
        <v>67</v>
      </c>
    </row>
    <row r="116" spans="1:12" s="1" customFormat="1">
      <c r="A116" s="15"/>
      <c r="B116" s="11" t="s">
        <v>1543</v>
      </c>
      <c r="C116" s="11" t="s">
        <v>45</v>
      </c>
      <c r="D116" s="9" t="s">
        <v>1544</v>
      </c>
      <c r="E116" s="16" t="s">
        <v>128</v>
      </c>
      <c r="F116" s="72"/>
      <c r="G116" s="17" t="s">
        <v>1578</v>
      </c>
      <c r="H116" s="18"/>
      <c r="I116" s="17"/>
      <c r="J116" s="19" t="s">
        <v>133</v>
      </c>
      <c r="K116" s="19" t="s">
        <v>903</v>
      </c>
      <c r="L116" s="19" t="s">
        <v>67</v>
      </c>
    </row>
    <row r="117" spans="1:12" s="1" customFormat="1">
      <c r="A117" s="15"/>
      <c r="B117" s="11" t="s">
        <v>1545</v>
      </c>
      <c r="C117" s="11" t="s">
        <v>45</v>
      </c>
      <c r="D117" s="9" t="s">
        <v>1546</v>
      </c>
      <c r="E117" s="16" t="s">
        <v>128</v>
      </c>
      <c r="F117" s="72"/>
      <c r="G117" s="17" t="s">
        <v>1579</v>
      </c>
      <c r="H117" s="18"/>
      <c r="I117" s="17"/>
      <c r="J117" s="19" t="s">
        <v>133</v>
      </c>
      <c r="K117" s="19" t="s">
        <v>903</v>
      </c>
      <c r="L117" s="19" t="s">
        <v>67</v>
      </c>
    </row>
    <row r="118" spans="1:12" s="1" customFormat="1">
      <c r="A118" s="15"/>
      <c r="B118" s="11" t="s">
        <v>1547</v>
      </c>
      <c r="C118" s="11" t="s">
        <v>45</v>
      </c>
      <c r="D118" s="9" t="s">
        <v>1548</v>
      </c>
      <c r="E118" s="16" t="s">
        <v>128</v>
      </c>
      <c r="F118" s="72"/>
      <c r="G118" s="17" t="s">
        <v>1580</v>
      </c>
      <c r="H118" s="18"/>
      <c r="I118" s="17"/>
      <c r="J118" s="19" t="s">
        <v>133</v>
      </c>
      <c r="K118" s="19" t="s">
        <v>903</v>
      </c>
      <c r="L118" s="19" t="s">
        <v>67</v>
      </c>
    </row>
    <row r="119" spans="1:12" s="1" customFormat="1">
      <c r="A119" s="15"/>
      <c r="B119" s="11" t="s">
        <v>830</v>
      </c>
      <c r="C119" s="11" t="s">
        <v>45</v>
      </c>
      <c r="D119" s="9" t="s">
        <v>837</v>
      </c>
      <c r="E119" s="16" t="s">
        <v>128</v>
      </c>
      <c r="F119" s="72"/>
      <c r="G119" s="17" t="s">
        <v>1097</v>
      </c>
      <c r="H119" s="18"/>
      <c r="I119" s="17"/>
      <c r="J119" s="19" t="s">
        <v>133</v>
      </c>
      <c r="K119" s="19" t="s">
        <v>44</v>
      </c>
      <c r="L119" s="19" t="s">
        <v>67</v>
      </c>
    </row>
    <row r="120" spans="1:12" s="1" customFormat="1">
      <c r="A120" s="15"/>
      <c r="B120" s="11" t="s">
        <v>623</v>
      </c>
      <c r="C120" s="11" t="s">
        <v>280</v>
      </c>
      <c r="D120" s="9" t="s">
        <v>836</v>
      </c>
      <c r="E120" s="16" t="s">
        <v>128</v>
      </c>
      <c r="F120" s="72"/>
      <c r="G120" s="17" t="s">
        <v>1099</v>
      </c>
      <c r="H120" s="18"/>
      <c r="I120" s="17"/>
      <c r="J120" s="19" t="s">
        <v>133</v>
      </c>
      <c r="K120" s="19" t="s">
        <v>202</v>
      </c>
      <c r="L120" s="19" t="s">
        <v>67</v>
      </c>
    </row>
    <row r="121" spans="1:12" s="1" customFormat="1">
      <c r="A121" s="15"/>
      <c r="B121" s="95" t="s">
        <v>1564</v>
      </c>
      <c r="C121" s="95" t="s">
        <v>45</v>
      </c>
      <c r="D121" s="96" t="s">
        <v>1555</v>
      </c>
      <c r="E121" s="16" t="s">
        <v>128</v>
      </c>
      <c r="F121" s="72"/>
      <c r="G121" s="17" t="s">
        <v>1581</v>
      </c>
      <c r="H121" s="18"/>
      <c r="I121" s="17"/>
      <c r="J121" s="19" t="s">
        <v>133</v>
      </c>
      <c r="K121" s="19" t="s">
        <v>903</v>
      </c>
      <c r="L121" s="19" t="s">
        <v>67</v>
      </c>
    </row>
    <row r="122" spans="1:12" s="1" customFormat="1">
      <c r="A122" s="15"/>
      <c r="B122" s="95" t="s">
        <v>1556</v>
      </c>
      <c r="C122" s="95" t="s">
        <v>45</v>
      </c>
      <c r="D122" s="96" t="s">
        <v>1557</v>
      </c>
      <c r="E122" s="16" t="s">
        <v>128</v>
      </c>
      <c r="F122" s="72"/>
      <c r="G122" s="17" t="s">
        <v>1582</v>
      </c>
      <c r="H122" s="18"/>
      <c r="I122" s="17"/>
      <c r="J122" s="19" t="s">
        <v>133</v>
      </c>
      <c r="K122" s="19" t="s">
        <v>903</v>
      </c>
      <c r="L122" s="19" t="s">
        <v>67</v>
      </c>
    </row>
    <row r="123" spans="1:12" s="1" customFormat="1">
      <c r="A123" s="15"/>
      <c r="B123" s="95" t="s">
        <v>1558</v>
      </c>
      <c r="C123" s="95" t="s">
        <v>45</v>
      </c>
      <c r="D123" s="96" t="s">
        <v>1559</v>
      </c>
      <c r="E123" s="16" t="s">
        <v>128</v>
      </c>
      <c r="F123" s="72"/>
      <c r="G123" s="17" t="s">
        <v>1583</v>
      </c>
      <c r="H123" s="18"/>
      <c r="I123" s="17"/>
      <c r="J123" s="19" t="s">
        <v>133</v>
      </c>
      <c r="K123" s="19" t="s">
        <v>903</v>
      </c>
      <c r="L123" s="19" t="s">
        <v>67</v>
      </c>
    </row>
    <row r="124" spans="1:12" s="1" customFormat="1">
      <c r="A124" s="15"/>
      <c r="B124" s="95" t="s">
        <v>1560</v>
      </c>
      <c r="C124" s="95" t="s">
        <v>45</v>
      </c>
      <c r="D124" s="96" t="s">
        <v>1561</v>
      </c>
      <c r="E124" s="16" t="s">
        <v>128</v>
      </c>
      <c r="F124" s="72"/>
      <c r="G124" s="17" t="s">
        <v>1584</v>
      </c>
      <c r="H124" s="18"/>
      <c r="I124" s="17"/>
      <c r="J124" s="19" t="s">
        <v>133</v>
      </c>
      <c r="K124" s="19" t="s">
        <v>903</v>
      </c>
      <c r="L124" s="19" t="s">
        <v>67</v>
      </c>
    </row>
    <row r="125" spans="1:12" s="1" customFormat="1">
      <c r="A125" s="15"/>
      <c r="B125" s="95" t="s">
        <v>1562</v>
      </c>
      <c r="C125" s="95" t="s">
        <v>45</v>
      </c>
      <c r="D125" s="96" t="s">
        <v>1563</v>
      </c>
      <c r="E125" s="16" t="s">
        <v>128</v>
      </c>
      <c r="F125" s="72"/>
      <c r="G125" s="17" t="s">
        <v>1585</v>
      </c>
      <c r="H125" s="18"/>
      <c r="I125" s="17"/>
      <c r="J125" s="19" t="s">
        <v>133</v>
      </c>
      <c r="K125" s="19" t="s">
        <v>903</v>
      </c>
      <c r="L125" s="19" t="s">
        <v>67</v>
      </c>
    </row>
    <row r="126" spans="1:12" s="1" customFormat="1">
      <c r="A126" s="15"/>
      <c r="B126" s="11" t="s">
        <v>831</v>
      </c>
      <c r="C126" s="11" t="s">
        <v>45</v>
      </c>
      <c r="D126" s="9" t="s">
        <v>825</v>
      </c>
      <c r="E126" s="16" t="s">
        <v>128</v>
      </c>
      <c r="F126" s="72"/>
      <c r="G126" s="17" t="s">
        <v>1100</v>
      </c>
      <c r="H126" s="18"/>
      <c r="I126" s="17"/>
      <c r="J126" s="19" t="s">
        <v>133</v>
      </c>
      <c r="K126" s="19" t="s">
        <v>903</v>
      </c>
      <c r="L126" s="19" t="s">
        <v>67</v>
      </c>
    </row>
    <row r="127" spans="1:12" s="1" customFormat="1">
      <c r="A127" s="15"/>
      <c r="B127" s="11" t="s">
        <v>1098</v>
      </c>
      <c r="C127" s="11" t="s">
        <v>280</v>
      </c>
      <c r="D127" s="9" t="s">
        <v>826</v>
      </c>
      <c r="E127" s="16" t="s">
        <v>128</v>
      </c>
      <c r="F127" s="72"/>
      <c r="G127" s="17" t="s">
        <v>1101</v>
      </c>
      <c r="H127" s="18"/>
      <c r="I127" s="17"/>
      <c r="J127" s="19" t="s">
        <v>133</v>
      </c>
      <c r="K127" s="19" t="s">
        <v>202</v>
      </c>
      <c r="L127" s="19" t="s">
        <v>67</v>
      </c>
    </row>
    <row r="128" spans="1:12" s="1" customFormat="1">
      <c r="A128" s="15"/>
      <c r="B128" s="11" t="s">
        <v>834</v>
      </c>
      <c r="C128" s="11" t="s">
        <v>280</v>
      </c>
      <c r="D128" s="9" t="s">
        <v>833</v>
      </c>
      <c r="E128" s="16" t="s">
        <v>128</v>
      </c>
      <c r="F128" s="72"/>
      <c r="G128" s="17" t="s">
        <v>1102</v>
      </c>
      <c r="H128" s="18"/>
      <c r="I128" s="17"/>
      <c r="J128" s="19" t="s">
        <v>133</v>
      </c>
      <c r="K128" s="19" t="s">
        <v>202</v>
      </c>
      <c r="L128" s="19" t="s">
        <v>67</v>
      </c>
    </row>
    <row r="129" spans="1:12" s="1" customFormat="1">
      <c r="A129" s="15"/>
      <c r="B129" s="11" t="s">
        <v>535</v>
      </c>
      <c r="C129" s="11" t="s">
        <v>280</v>
      </c>
      <c r="D129" s="9" t="s">
        <v>534</v>
      </c>
      <c r="E129" s="16" t="s">
        <v>128</v>
      </c>
      <c r="F129" s="72"/>
      <c r="G129" s="17" t="s">
        <v>1103</v>
      </c>
      <c r="H129" s="18"/>
      <c r="I129" s="17"/>
      <c r="J129" s="19" t="s">
        <v>133</v>
      </c>
      <c r="K129" s="19" t="s">
        <v>202</v>
      </c>
      <c r="L129" s="19" t="s">
        <v>67</v>
      </c>
    </row>
    <row r="130" spans="1:12" s="1" customFormat="1">
      <c r="A130" s="15"/>
      <c r="B130" s="11" t="s">
        <v>848</v>
      </c>
      <c r="C130" s="11" t="s">
        <v>45</v>
      </c>
      <c r="D130" s="9" t="s">
        <v>850</v>
      </c>
      <c r="E130" s="16" t="s">
        <v>128</v>
      </c>
      <c r="F130" s="72"/>
      <c r="G130" s="17" t="s">
        <v>1104</v>
      </c>
      <c r="H130" s="18"/>
      <c r="I130" s="17"/>
      <c r="J130" s="19" t="s">
        <v>133</v>
      </c>
      <c r="K130" s="19" t="s">
        <v>903</v>
      </c>
      <c r="L130" s="19" t="s">
        <v>67</v>
      </c>
    </row>
    <row r="131" spans="1:12" s="1" customFormat="1">
      <c r="A131" s="15"/>
      <c r="B131" s="11" t="s">
        <v>849</v>
      </c>
      <c r="C131" s="11" t="s">
        <v>45</v>
      </c>
      <c r="D131" s="9" t="s">
        <v>116</v>
      </c>
      <c r="E131" s="16" t="s">
        <v>128</v>
      </c>
      <c r="F131" s="72"/>
      <c r="G131" s="17" t="s">
        <v>1105</v>
      </c>
      <c r="H131" s="18"/>
      <c r="I131" s="17"/>
      <c r="J131" s="19" t="s">
        <v>133</v>
      </c>
      <c r="K131" s="19" t="s">
        <v>903</v>
      </c>
      <c r="L131" s="19" t="s">
        <v>67</v>
      </c>
    </row>
    <row r="132" spans="1:12" s="1" customFormat="1">
      <c r="A132" s="15"/>
      <c r="B132" s="11" t="s">
        <v>854</v>
      </c>
      <c r="C132" s="11" t="s">
        <v>1202</v>
      </c>
      <c r="D132" s="9" t="s">
        <v>502</v>
      </c>
      <c r="E132" s="16" t="s">
        <v>128</v>
      </c>
      <c r="F132" s="72"/>
      <c r="G132" s="17" t="s">
        <v>1107</v>
      </c>
      <c r="H132" s="18"/>
      <c r="I132" s="17"/>
      <c r="J132" s="19" t="s">
        <v>133</v>
      </c>
      <c r="K132" s="19" t="s">
        <v>202</v>
      </c>
      <c r="L132" s="19" t="s">
        <v>67</v>
      </c>
    </row>
    <row r="133" spans="1:12" s="1" customFormat="1">
      <c r="A133" s="15"/>
      <c r="B133" s="11" t="s">
        <v>856</v>
      </c>
      <c r="C133" s="11" t="s">
        <v>45</v>
      </c>
      <c r="D133" s="9" t="s">
        <v>857</v>
      </c>
      <c r="E133" s="16" t="s">
        <v>128</v>
      </c>
      <c r="F133" s="72"/>
      <c r="G133" s="17" t="s">
        <v>1106</v>
      </c>
      <c r="H133" s="18"/>
      <c r="I133" s="17"/>
      <c r="J133" s="19" t="s">
        <v>133</v>
      </c>
      <c r="K133" s="19" t="s">
        <v>903</v>
      </c>
      <c r="L133" s="19" t="s">
        <v>67</v>
      </c>
    </row>
    <row r="134" spans="1:12" s="1" customFormat="1">
      <c r="A134" s="15"/>
      <c r="B134" s="11" t="s">
        <v>798</v>
      </c>
      <c r="C134" s="11" t="s">
        <v>56</v>
      </c>
      <c r="D134" s="9" t="s">
        <v>687</v>
      </c>
      <c r="E134" s="16" t="s">
        <v>128</v>
      </c>
      <c r="F134" s="72"/>
      <c r="G134" s="17" t="s">
        <v>1109</v>
      </c>
      <c r="H134" s="18"/>
      <c r="I134" s="17"/>
      <c r="J134" s="19" t="s">
        <v>133</v>
      </c>
      <c r="K134" s="19" t="s">
        <v>202</v>
      </c>
      <c r="L134" s="19" t="s">
        <v>67</v>
      </c>
    </row>
    <row r="135" spans="1:12" s="1" customFormat="1">
      <c r="A135" s="15"/>
      <c r="B135" s="11" t="s">
        <v>1054</v>
      </c>
      <c r="C135" s="11" t="s">
        <v>56</v>
      </c>
      <c r="D135" s="9" t="s">
        <v>666</v>
      </c>
      <c r="E135" s="16" t="s">
        <v>128</v>
      </c>
      <c r="F135" s="72"/>
      <c r="G135" s="17" t="s">
        <v>1143</v>
      </c>
      <c r="H135" s="18"/>
      <c r="I135" s="17"/>
      <c r="J135" s="19" t="s">
        <v>133</v>
      </c>
      <c r="K135" s="19" t="s">
        <v>44</v>
      </c>
      <c r="L135" s="19" t="s">
        <v>67</v>
      </c>
    </row>
    <row r="136" spans="1:12" s="1" customFormat="1">
      <c r="A136" s="15"/>
      <c r="B136" s="11" t="s">
        <v>1064</v>
      </c>
      <c r="C136" s="11" t="s">
        <v>56</v>
      </c>
      <c r="D136" s="9" t="s">
        <v>688</v>
      </c>
      <c r="E136" s="16" t="s">
        <v>128</v>
      </c>
      <c r="F136" s="72"/>
      <c r="G136" s="17" t="s">
        <v>1144</v>
      </c>
      <c r="H136" s="18"/>
      <c r="I136" s="17"/>
      <c r="J136" s="19" t="s">
        <v>133</v>
      </c>
      <c r="K136" s="19" t="s">
        <v>762</v>
      </c>
      <c r="L136" s="19" t="s">
        <v>67</v>
      </c>
    </row>
    <row r="137" spans="1:12" s="1" customFormat="1">
      <c r="A137" s="15"/>
      <c r="B137" s="11" t="s">
        <v>315</v>
      </c>
      <c r="C137" s="11" t="s">
        <v>45</v>
      </c>
      <c r="D137" s="9" t="s">
        <v>112</v>
      </c>
      <c r="E137" s="16" t="s">
        <v>128</v>
      </c>
      <c r="F137" s="72"/>
      <c r="G137" s="17" t="s">
        <v>1145</v>
      </c>
      <c r="H137" s="18"/>
      <c r="I137" s="17"/>
      <c r="J137" s="19" t="s">
        <v>133</v>
      </c>
      <c r="K137" s="19" t="s">
        <v>44</v>
      </c>
      <c r="L137" s="19" t="s">
        <v>67</v>
      </c>
    </row>
    <row r="138" spans="1:12" s="1" customFormat="1">
      <c r="A138" s="15"/>
      <c r="B138" s="11" t="s">
        <v>868</v>
      </c>
      <c r="C138" s="11" t="s">
        <v>45</v>
      </c>
      <c r="D138" s="9" t="s">
        <v>859</v>
      </c>
      <c r="E138" s="16" t="s">
        <v>128</v>
      </c>
      <c r="F138" s="72"/>
      <c r="G138" s="17" t="s">
        <v>1146</v>
      </c>
      <c r="H138" s="18"/>
      <c r="I138" s="17"/>
      <c r="J138" s="19" t="s">
        <v>133</v>
      </c>
      <c r="K138" s="19" t="s">
        <v>44</v>
      </c>
      <c r="L138" s="19" t="s">
        <v>67</v>
      </c>
    </row>
    <row r="139" spans="1:12" s="1" customFormat="1">
      <c r="A139" s="15"/>
      <c r="B139" s="11" t="s">
        <v>869</v>
      </c>
      <c r="C139" s="11" t="s">
        <v>45</v>
      </c>
      <c r="D139" s="9" t="s">
        <v>860</v>
      </c>
      <c r="E139" s="16" t="s">
        <v>128</v>
      </c>
      <c r="F139" s="72"/>
      <c r="G139" s="17" t="s">
        <v>1147</v>
      </c>
      <c r="H139" s="18"/>
      <c r="I139" s="17"/>
      <c r="J139" s="19" t="s">
        <v>133</v>
      </c>
      <c r="K139" s="19" t="s">
        <v>44</v>
      </c>
      <c r="L139" s="19" t="s">
        <v>67</v>
      </c>
    </row>
    <row r="140" spans="1:12" s="1" customFormat="1">
      <c r="A140" s="15"/>
      <c r="B140" s="11" t="s">
        <v>870</v>
      </c>
      <c r="C140" s="11" t="s">
        <v>45</v>
      </c>
      <c r="D140" s="9" t="s">
        <v>861</v>
      </c>
      <c r="E140" s="16" t="s">
        <v>128</v>
      </c>
      <c r="F140" s="72"/>
      <c r="G140" s="17" t="s">
        <v>1148</v>
      </c>
      <c r="H140" s="18"/>
      <c r="I140" s="17"/>
      <c r="J140" s="19" t="s">
        <v>133</v>
      </c>
      <c r="K140" s="19" t="s">
        <v>44</v>
      </c>
      <c r="L140" s="19" t="s">
        <v>67</v>
      </c>
    </row>
    <row r="141" spans="1:12" s="1" customFormat="1">
      <c r="A141" s="15"/>
      <c r="B141" s="11" t="s">
        <v>871</v>
      </c>
      <c r="C141" s="11" t="s">
        <v>45</v>
      </c>
      <c r="D141" s="9" t="s">
        <v>880</v>
      </c>
      <c r="E141" s="16" t="s">
        <v>128</v>
      </c>
      <c r="F141" s="72"/>
      <c r="G141" s="17" t="s">
        <v>1149</v>
      </c>
      <c r="H141" s="18"/>
      <c r="I141" s="17"/>
      <c r="J141" s="19" t="s">
        <v>133</v>
      </c>
      <c r="K141" s="19" t="s">
        <v>44</v>
      </c>
      <c r="L141" s="19" t="s">
        <v>67</v>
      </c>
    </row>
    <row r="142" spans="1:12" s="1" customFormat="1">
      <c r="A142" s="15"/>
      <c r="B142" s="11" t="s">
        <v>872</v>
      </c>
      <c r="C142" s="11" t="s">
        <v>45</v>
      </c>
      <c r="D142" s="9" t="s">
        <v>881</v>
      </c>
      <c r="E142" s="16" t="s">
        <v>128</v>
      </c>
      <c r="F142" s="72"/>
      <c r="G142" s="17" t="s">
        <v>1150</v>
      </c>
      <c r="H142" s="18"/>
      <c r="I142" s="17"/>
      <c r="J142" s="19" t="s">
        <v>133</v>
      </c>
      <c r="K142" s="19" t="s">
        <v>44</v>
      </c>
      <c r="L142" s="19" t="s">
        <v>67</v>
      </c>
    </row>
    <row r="143" spans="1:12" s="1" customFormat="1">
      <c r="A143" s="15"/>
      <c r="B143" s="11" t="s">
        <v>873</v>
      </c>
      <c r="C143" s="11" t="s">
        <v>45</v>
      </c>
      <c r="D143" s="9" t="s">
        <v>882</v>
      </c>
      <c r="E143" s="16" t="s">
        <v>128</v>
      </c>
      <c r="F143" s="72"/>
      <c r="G143" s="17" t="s">
        <v>1151</v>
      </c>
      <c r="H143" s="18"/>
      <c r="I143" s="17"/>
      <c r="J143" s="19" t="s">
        <v>133</v>
      </c>
      <c r="K143" s="19" t="s">
        <v>44</v>
      </c>
      <c r="L143" s="19" t="s">
        <v>67</v>
      </c>
    </row>
    <row r="144" spans="1:12" s="1" customFormat="1">
      <c r="A144" s="15"/>
      <c r="B144" s="11" t="s">
        <v>874</v>
      </c>
      <c r="C144" s="11" t="s">
        <v>45</v>
      </c>
      <c r="D144" s="9" t="s">
        <v>862</v>
      </c>
      <c r="E144" s="16" t="s">
        <v>128</v>
      </c>
      <c r="F144" s="72"/>
      <c r="G144" s="17" t="s">
        <v>1152</v>
      </c>
      <c r="H144" s="18"/>
      <c r="I144" s="17"/>
      <c r="J144" s="19" t="s">
        <v>133</v>
      </c>
      <c r="K144" s="19" t="s">
        <v>44</v>
      </c>
      <c r="L144" s="19" t="s">
        <v>67</v>
      </c>
    </row>
    <row r="145" spans="1:17" s="1" customFormat="1">
      <c r="A145" s="15"/>
      <c r="B145" s="11" t="s">
        <v>875</v>
      </c>
      <c r="C145" s="11" t="s">
        <v>45</v>
      </c>
      <c r="D145" s="9" t="s">
        <v>863</v>
      </c>
      <c r="E145" s="16" t="s">
        <v>128</v>
      </c>
      <c r="F145" s="72"/>
      <c r="G145" s="17" t="s">
        <v>1153</v>
      </c>
      <c r="H145" s="18"/>
      <c r="I145" s="17"/>
      <c r="J145" s="19" t="s">
        <v>133</v>
      </c>
      <c r="K145" s="19" t="s">
        <v>44</v>
      </c>
      <c r="L145" s="19" t="s">
        <v>67</v>
      </c>
    </row>
    <row r="146" spans="1:17" s="1" customFormat="1">
      <c r="A146" s="15"/>
      <c r="B146" s="11" t="s">
        <v>876</v>
      </c>
      <c r="C146" s="11" t="s">
        <v>45</v>
      </c>
      <c r="D146" s="9" t="s">
        <v>864</v>
      </c>
      <c r="E146" s="16" t="s">
        <v>128</v>
      </c>
      <c r="F146" s="72"/>
      <c r="G146" s="17" t="s">
        <v>1154</v>
      </c>
      <c r="H146" s="18"/>
      <c r="I146" s="17"/>
      <c r="J146" s="19" t="s">
        <v>133</v>
      </c>
      <c r="K146" s="19" t="s">
        <v>44</v>
      </c>
      <c r="L146" s="19" t="s">
        <v>67</v>
      </c>
    </row>
    <row r="147" spans="1:17" s="1" customFormat="1">
      <c r="A147" s="15"/>
      <c r="B147" s="11" t="s">
        <v>877</v>
      </c>
      <c r="C147" s="11" t="s">
        <v>45</v>
      </c>
      <c r="D147" s="9" t="s">
        <v>865</v>
      </c>
      <c r="E147" s="16" t="s">
        <v>128</v>
      </c>
      <c r="F147" s="72"/>
      <c r="G147" s="17" t="s">
        <v>1155</v>
      </c>
      <c r="H147" s="18"/>
      <c r="I147" s="17"/>
      <c r="J147" s="19" t="s">
        <v>133</v>
      </c>
      <c r="K147" s="19" t="s">
        <v>44</v>
      </c>
      <c r="L147" s="19" t="s">
        <v>67</v>
      </c>
    </row>
    <row r="148" spans="1:17" s="1" customFormat="1">
      <c r="A148" s="15"/>
      <c r="B148" s="11" t="s">
        <v>878</v>
      </c>
      <c r="C148" s="11" t="s">
        <v>45</v>
      </c>
      <c r="D148" s="9" t="s">
        <v>866</v>
      </c>
      <c r="E148" s="16" t="s">
        <v>128</v>
      </c>
      <c r="F148" s="72"/>
      <c r="G148" s="17" t="s">
        <v>1156</v>
      </c>
      <c r="H148" s="18"/>
      <c r="I148" s="17"/>
      <c r="J148" s="19" t="s">
        <v>133</v>
      </c>
      <c r="K148" s="19" t="s">
        <v>44</v>
      </c>
      <c r="L148" s="19" t="s">
        <v>67</v>
      </c>
    </row>
    <row r="149" spans="1:17" s="1" customFormat="1">
      <c r="A149" s="15"/>
      <c r="B149" s="11" t="s">
        <v>879</v>
      </c>
      <c r="C149" s="11" t="s">
        <v>45</v>
      </c>
      <c r="D149" s="9" t="s">
        <v>867</v>
      </c>
      <c r="E149" s="16" t="s">
        <v>128</v>
      </c>
      <c r="F149" s="72"/>
      <c r="G149" s="17" t="s">
        <v>1157</v>
      </c>
      <c r="H149" s="18"/>
      <c r="I149" s="17"/>
      <c r="J149" s="19" t="s">
        <v>133</v>
      </c>
      <c r="K149" s="19" t="s">
        <v>44</v>
      </c>
      <c r="L149" s="19" t="s">
        <v>67</v>
      </c>
    </row>
    <row r="150" spans="1:17" s="1" customFormat="1">
      <c r="A150" s="15"/>
      <c r="B150" s="11" t="s">
        <v>1280</v>
      </c>
      <c r="C150" s="11" t="s">
        <v>43</v>
      </c>
      <c r="D150" s="9" t="s">
        <v>1281</v>
      </c>
      <c r="E150" s="16" t="s">
        <v>128</v>
      </c>
      <c r="F150" s="72"/>
      <c r="G150" s="17" t="s">
        <v>1282</v>
      </c>
      <c r="H150" s="18"/>
      <c r="I150" s="87">
        <v>20250415101139</v>
      </c>
      <c r="J150" s="19" t="s">
        <v>133</v>
      </c>
      <c r="K150" s="19" t="s">
        <v>44</v>
      </c>
      <c r="L150" s="19" t="s">
        <v>1306</v>
      </c>
    </row>
    <row r="151" spans="1:17" s="1" customFormat="1">
      <c r="A151" s="15"/>
      <c r="B151" s="11" t="s">
        <v>1283</v>
      </c>
      <c r="C151" s="11" t="s">
        <v>43</v>
      </c>
      <c r="D151" s="9" t="s">
        <v>1284</v>
      </c>
      <c r="E151" s="16" t="s">
        <v>128</v>
      </c>
      <c r="F151" s="72"/>
      <c r="G151" s="17" t="s">
        <v>1285</v>
      </c>
      <c r="H151" s="18"/>
      <c r="I151" s="87">
        <v>20250415101024</v>
      </c>
      <c r="J151" s="19" t="s">
        <v>133</v>
      </c>
      <c r="K151" s="19" t="s">
        <v>44</v>
      </c>
      <c r="L151" s="19" t="s">
        <v>1306</v>
      </c>
    </row>
    <row r="152" spans="1:17" s="3" customFormat="1">
      <c r="B152" s="23" t="s">
        <v>47</v>
      </c>
      <c r="C152" s="24" t="s">
        <v>46</v>
      </c>
      <c r="D152" s="21" t="s">
        <v>48</v>
      </c>
      <c r="E152" s="44"/>
      <c r="F152" s="44"/>
      <c r="G152" s="44" t="s">
        <v>282</v>
      </c>
      <c r="H152" s="23" t="s">
        <v>282</v>
      </c>
      <c r="I152" s="23"/>
      <c r="J152" s="23"/>
      <c r="K152" s="23"/>
      <c r="L152" s="23"/>
      <c r="M152" s="23"/>
      <c r="N152" s="23"/>
      <c r="O152" s="23"/>
      <c r="P152" s="23"/>
      <c r="Q152" s="23"/>
    </row>
    <row r="153" spans="1:17" s="3" customFormat="1">
      <c r="B153" s="23" t="s">
        <v>49</v>
      </c>
      <c r="C153" s="24" t="s">
        <v>43</v>
      </c>
      <c r="D153" s="21" t="s">
        <v>50</v>
      </c>
      <c r="E153" s="44"/>
      <c r="F153" s="44"/>
      <c r="G153" s="44" t="s">
        <v>282</v>
      </c>
      <c r="H153" s="23" t="s">
        <v>282</v>
      </c>
      <c r="I153" s="23"/>
      <c r="J153" s="23"/>
      <c r="K153" s="23"/>
      <c r="L153" s="23"/>
      <c r="M153" s="23"/>
      <c r="N153" s="23"/>
      <c r="O153" s="23"/>
      <c r="P153" s="23"/>
      <c r="Q153" s="23"/>
    </row>
    <row r="154" spans="1:17" s="3" customFormat="1">
      <c r="B154" s="23" t="s">
        <v>51</v>
      </c>
      <c r="C154" s="24" t="s">
        <v>46</v>
      </c>
      <c r="D154" s="21" t="s">
        <v>52</v>
      </c>
      <c r="E154" s="44"/>
      <c r="F154" s="44"/>
      <c r="G154" s="44" t="s">
        <v>282</v>
      </c>
      <c r="H154" s="23" t="s">
        <v>282</v>
      </c>
      <c r="I154" s="23"/>
      <c r="J154" s="23"/>
      <c r="K154" s="23"/>
      <c r="L154" s="23"/>
      <c r="M154" s="23"/>
      <c r="N154" s="23"/>
      <c r="O154" s="23"/>
      <c r="P154" s="23"/>
      <c r="Q154" s="23"/>
    </row>
  </sheetData>
  <autoFilter ref="A13:Q154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4A81-005E-4492-A177-63AD32A08B83}">
  <sheetPr codeName="Sheet7"/>
  <dimension ref="A1:N134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5.6640625" style="4" bestFit="1" customWidth="1"/>
    <col min="4" max="4" width="32.21875" style="4" customWidth="1"/>
    <col min="5" max="5" width="10.109375" style="4" customWidth="1"/>
    <col min="6" max="6" width="17.109375" style="4" bestFit="1" customWidth="1"/>
    <col min="7" max="7" width="40.5546875" style="4" customWidth="1"/>
    <col min="8" max="8" width="13.21875" style="4" customWidth="1"/>
    <col min="9" max="9" width="9.3320312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128"/>
      <c r="C2" s="128"/>
      <c r="D2" s="128"/>
      <c r="E2" s="128"/>
      <c r="F2" s="128"/>
      <c r="G2" s="128"/>
      <c r="H2" s="128"/>
    </row>
    <row r="3" spans="1:12">
      <c r="B3" s="124" t="s">
        <v>18</v>
      </c>
      <c r="C3" s="124"/>
      <c r="D3" s="124"/>
      <c r="E3" s="124"/>
      <c r="F3" s="124"/>
      <c r="G3" s="124"/>
      <c r="H3" s="124"/>
    </row>
    <row r="4" spans="1:12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2">
      <c r="B5" s="8" t="s">
        <v>69</v>
      </c>
      <c r="C5" s="9" t="s">
        <v>1164</v>
      </c>
      <c r="D5" s="10" t="s">
        <v>1166</v>
      </c>
      <c r="E5" s="11" t="s">
        <v>91</v>
      </c>
      <c r="F5" s="42"/>
      <c r="G5" s="11"/>
      <c r="H5" s="11"/>
    </row>
    <row r="6" spans="1:12">
      <c r="B6" s="6"/>
      <c r="C6" s="6"/>
      <c r="D6" s="6"/>
      <c r="E6" s="6"/>
      <c r="F6" s="43"/>
      <c r="G6" s="43"/>
      <c r="H6" s="6"/>
    </row>
    <row r="7" spans="1:12">
      <c r="B7" s="124" t="s">
        <v>25</v>
      </c>
      <c r="C7" s="124"/>
      <c r="D7" s="124"/>
      <c r="E7" s="124"/>
      <c r="F7" s="124"/>
      <c r="G7" s="124"/>
      <c r="H7" s="124"/>
    </row>
    <row r="8" spans="1:12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2">
      <c r="B9" s="11"/>
      <c r="C9" s="9" t="s">
        <v>1065</v>
      </c>
      <c r="D9" s="10" t="s">
        <v>1066</v>
      </c>
      <c r="E9" s="11" t="s">
        <v>55</v>
      </c>
      <c r="F9" s="17"/>
      <c r="G9" s="17"/>
      <c r="H9" s="14" t="s">
        <v>17</v>
      </c>
    </row>
    <row r="11" spans="1:12">
      <c r="B11" s="4" t="s">
        <v>32</v>
      </c>
    </row>
    <row r="12" spans="1:12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2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2" s="1" customFormat="1">
      <c r="B14" s="22" t="s">
        <v>1168</v>
      </c>
      <c r="C14" s="22" t="s">
        <v>43</v>
      </c>
      <c r="D14" s="9" t="s">
        <v>1169</v>
      </c>
      <c r="E14" s="16"/>
      <c r="F14" s="17" t="s">
        <v>49</v>
      </c>
      <c r="G14" s="17" t="s">
        <v>994</v>
      </c>
      <c r="H14" s="18"/>
      <c r="I14" s="19"/>
      <c r="J14" s="19" t="s">
        <v>60</v>
      </c>
      <c r="K14" s="19" t="s">
        <v>44</v>
      </c>
      <c r="L14" s="19" t="s">
        <v>44</v>
      </c>
    </row>
    <row r="15" spans="1:12" s="1" customFormat="1">
      <c r="B15" s="22" t="s">
        <v>1067</v>
      </c>
      <c r="C15" s="22" t="s">
        <v>46</v>
      </c>
      <c r="D15" s="9" t="s">
        <v>1160</v>
      </c>
      <c r="E15" s="16"/>
      <c r="F15" s="17" t="s">
        <v>51</v>
      </c>
      <c r="G15" s="17" t="s">
        <v>994</v>
      </c>
      <c r="H15" s="18"/>
      <c r="I15" s="19"/>
      <c r="J15" s="19" t="s">
        <v>60</v>
      </c>
      <c r="K15" s="19" t="s">
        <v>44</v>
      </c>
      <c r="L15" s="19" t="s">
        <v>44</v>
      </c>
    </row>
    <row r="16" spans="1:12" s="1" customFormat="1">
      <c r="A16" s="15"/>
      <c r="B16" s="22" t="s">
        <v>1068</v>
      </c>
      <c r="C16" s="22" t="s">
        <v>46</v>
      </c>
      <c r="D16" s="9" t="s">
        <v>1170</v>
      </c>
      <c r="E16" s="16"/>
      <c r="F16" s="17" t="s">
        <v>47</v>
      </c>
      <c r="G16" s="17" t="s">
        <v>994</v>
      </c>
      <c r="H16" s="18"/>
      <c r="I16" s="20"/>
      <c r="J16" s="19" t="s">
        <v>60</v>
      </c>
      <c r="K16" s="19" t="s">
        <v>44</v>
      </c>
      <c r="L16" s="19" t="s">
        <v>44</v>
      </c>
    </row>
    <row r="17" spans="1:12" s="1" customFormat="1">
      <c r="A17" s="15"/>
      <c r="B17" s="22" t="s">
        <v>61</v>
      </c>
      <c r="C17" s="22" t="s">
        <v>46</v>
      </c>
      <c r="D17" s="9" t="s">
        <v>1171</v>
      </c>
      <c r="E17" s="16"/>
      <c r="F17" s="17" t="s">
        <v>61</v>
      </c>
      <c r="G17" s="17" t="s">
        <v>994</v>
      </c>
      <c r="H17" s="18"/>
      <c r="I17" s="20"/>
      <c r="J17" s="19" t="s">
        <v>60</v>
      </c>
      <c r="K17" s="19" t="s">
        <v>44</v>
      </c>
      <c r="L17" s="19" t="s">
        <v>44</v>
      </c>
    </row>
    <row r="18" spans="1:12" s="1" customFormat="1">
      <c r="A18" s="15"/>
      <c r="B18" s="22" t="s">
        <v>77</v>
      </c>
      <c r="C18" s="22" t="s">
        <v>46</v>
      </c>
      <c r="D18" s="9" t="s">
        <v>329</v>
      </c>
      <c r="E18" s="16"/>
      <c r="F18" s="17" t="s">
        <v>77</v>
      </c>
      <c r="G18" s="17" t="s">
        <v>994</v>
      </c>
      <c r="H18" s="18"/>
      <c r="I18" s="20"/>
      <c r="J18" s="19" t="s">
        <v>60</v>
      </c>
      <c r="K18" s="19" t="s">
        <v>44</v>
      </c>
      <c r="L18" s="19" t="s">
        <v>44</v>
      </c>
    </row>
    <row r="19" spans="1:12" s="1" customFormat="1">
      <c r="A19" s="15"/>
      <c r="B19" s="22" t="s">
        <v>80</v>
      </c>
      <c r="C19" s="22" t="s">
        <v>46</v>
      </c>
      <c r="D19" s="9" t="s">
        <v>1172</v>
      </c>
      <c r="E19" s="16"/>
      <c r="F19" s="9" t="s">
        <v>1173</v>
      </c>
      <c r="G19" s="17" t="s">
        <v>994</v>
      </c>
      <c r="H19" s="18"/>
      <c r="I19" s="20"/>
      <c r="J19" s="19" t="s">
        <v>60</v>
      </c>
      <c r="K19" s="19" t="s">
        <v>44</v>
      </c>
      <c r="L19" s="19" t="s">
        <v>44</v>
      </c>
    </row>
    <row r="20" spans="1:12" s="1" customFormat="1">
      <c r="A20" s="15"/>
      <c r="B20" s="11" t="s">
        <v>1174</v>
      </c>
      <c r="C20" s="22" t="s">
        <v>45</v>
      </c>
      <c r="D20" s="9" t="s">
        <v>1175</v>
      </c>
      <c r="E20" s="16"/>
      <c r="F20" s="9"/>
      <c r="G20" s="17" t="s">
        <v>1198</v>
      </c>
      <c r="H20" s="18"/>
      <c r="I20" s="20"/>
      <c r="J20" s="19" t="s">
        <v>60</v>
      </c>
      <c r="K20" s="19" t="s">
        <v>44</v>
      </c>
      <c r="L20" s="19" t="s">
        <v>44</v>
      </c>
    </row>
    <row r="21" spans="1:12" s="1" customFormat="1">
      <c r="A21" s="15"/>
      <c r="B21" s="11" t="s">
        <v>1176</v>
      </c>
      <c r="C21" s="22" t="s">
        <v>45</v>
      </c>
      <c r="D21" s="9" t="s">
        <v>1177</v>
      </c>
      <c r="E21" s="16"/>
      <c r="F21" s="9"/>
      <c r="G21" s="17" t="s">
        <v>1199</v>
      </c>
      <c r="H21" s="18"/>
      <c r="I21" s="20"/>
      <c r="J21" s="19" t="s">
        <v>60</v>
      </c>
      <c r="K21" s="19" t="s">
        <v>44</v>
      </c>
      <c r="L21" s="19" t="s">
        <v>44</v>
      </c>
    </row>
    <row r="22" spans="1:12" s="1" customFormat="1">
      <c r="A22" s="15"/>
      <c r="B22" s="11" t="s">
        <v>3162</v>
      </c>
      <c r="C22" s="22" t="s">
        <v>43</v>
      </c>
      <c r="D22" s="9" t="s">
        <v>1178</v>
      </c>
      <c r="E22" s="16"/>
      <c r="F22" s="9" t="s">
        <v>1069</v>
      </c>
      <c r="G22" s="17" t="s">
        <v>994</v>
      </c>
      <c r="H22" s="18"/>
      <c r="I22" s="20"/>
      <c r="J22" s="19" t="s">
        <v>60</v>
      </c>
      <c r="K22" s="19" t="s">
        <v>44</v>
      </c>
      <c r="L22" s="19" t="s">
        <v>44</v>
      </c>
    </row>
    <row r="23" spans="1:12" s="1" customFormat="1">
      <c r="A23" s="15"/>
      <c r="B23" s="11" t="s">
        <v>87</v>
      </c>
      <c r="C23" s="22" t="s">
        <v>43</v>
      </c>
      <c r="D23" s="9" t="s">
        <v>109</v>
      </c>
      <c r="E23" s="16"/>
      <c r="F23" s="9" t="s">
        <v>87</v>
      </c>
      <c r="G23" s="17" t="s">
        <v>994</v>
      </c>
      <c r="H23" s="18"/>
      <c r="I23" s="20"/>
      <c r="J23" s="19" t="s">
        <v>60</v>
      </c>
      <c r="K23" s="19" t="s">
        <v>44</v>
      </c>
      <c r="L23" s="19" t="s">
        <v>44</v>
      </c>
    </row>
    <row r="24" spans="1:12" s="1" customFormat="1">
      <c r="A24" s="15"/>
      <c r="B24" s="22" t="s">
        <v>3163</v>
      </c>
      <c r="C24" s="11" t="s">
        <v>43</v>
      </c>
      <c r="D24" s="9" t="s">
        <v>1180</v>
      </c>
      <c r="E24" s="16"/>
      <c r="F24" s="9" t="s">
        <v>81</v>
      </c>
      <c r="G24" s="17" t="s">
        <v>994</v>
      </c>
      <c r="H24" s="18"/>
      <c r="I24" s="20"/>
      <c r="J24" s="19" t="s">
        <v>60</v>
      </c>
      <c r="K24" s="19" t="s">
        <v>44</v>
      </c>
      <c r="L24" s="19" t="s">
        <v>44</v>
      </c>
    </row>
    <row r="25" spans="1:12" s="1" customFormat="1">
      <c r="A25" s="15"/>
      <c r="B25" s="11" t="s">
        <v>58</v>
      </c>
      <c r="C25" s="11" t="s">
        <v>43</v>
      </c>
      <c r="D25" s="9" t="s">
        <v>1181</v>
      </c>
      <c r="E25" s="16"/>
      <c r="F25" s="9" t="s">
        <v>58</v>
      </c>
      <c r="G25" s="17" t="s">
        <v>994</v>
      </c>
      <c r="H25" s="18"/>
      <c r="I25" s="35"/>
      <c r="J25" s="19" t="s">
        <v>60</v>
      </c>
      <c r="K25" s="19" t="s">
        <v>44</v>
      </c>
      <c r="L25" s="19" t="s">
        <v>44</v>
      </c>
    </row>
    <row r="26" spans="1:12" s="1" customFormat="1">
      <c r="A26" s="15"/>
      <c r="B26" s="11" t="s">
        <v>82</v>
      </c>
      <c r="C26" s="11" t="s">
        <v>43</v>
      </c>
      <c r="D26" s="9" t="s">
        <v>283</v>
      </c>
      <c r="E26" s="16"/>
      <c r="F26" s="17" t="s">
        <v>82</v>
      </c>
      <c r="G26" s="17" t="s">
        <v>994</v>
      </c>
      <c r="H26" s="18"/>
      <c r="I26" s="20"/>
      <c r="J26" s="19" t="s">
        <v>60</v>
      </c>
      <c r="K26" s="19" t="s">
        <v>44</v>
      </c>
      <c r="L26" s="19" t="s">
        <v>44</v>
      </c>
    </row>
    <row r="27" spans="1:12" s="1" customFormat="1">
      <c r="A27" s="15"/>
      <c r="B27" s="11" t="s">
        <v>88</v>
      </c>
      <c r="C27" s="11" t="s">
        <v>43</v>
      </c>
      <c r="D27" s="9" t="s">
        <v>110</v>
      </c>
      <c r="E27" s="16"/>
      <c r="F27" s="17" t="s">
        <v>1182</v>
      </c>
      <c r="G27" s="17" t="s">
        <v>994</v>
      </c>
      <c r="H27" s="18"/>
      <c r="I27" s="20"/>
      <c r="J27" s="19" t="s">
        <v>60</v>
      </c>
      <c r="K27" s="19" t="s">
        <v>44</v>
      </c>
      <c r="L27" s="19" t="s">
        <v>44</v>
      </c>
    </row>
    <row r="28" spans="1:12" s="1" customFormat="1">
      <c r="A28" s="15"/>
      <c r="B28" s="11" t="s">
        <v>89</v>
      </c>
      <c r="C28" s="11" t="s">
        <v>43</v>
      </c>
      <c r="D28" s="9" t="s">
        <v>111</v>
      </c>
      <c r="E28" s="16"/>
      <c r="F28" s="9" t="s">
        <v>1183</v>
      </c>
      <c r="G28" s="17" t="s">
        <v>994</v>
      </c>
      <c r="H28" s="18"/>
      <c r="I28" s="20"/>
      <c r="J28" s="19" t="s">
        <v>60</v>
      </c>
      <c r="K28" s="19" t="s">
        <v>44</v>
      </c>
      <c r="L28" s="19" t="s">
        <v>44</v>
      </c>
    </row>
    <row r="29" spans="1:12" s="1" customFormat="1">
      <c r="A29" s="15"/>
      <c r="B29" s="11" t="s">
        <v>3155</v>
      </c>
      <c r="C29" s="11" t="s">
        <v>43</v>
      </c>
      <c r="D29" s="9" t="s">
        <v>284</v>
      </c>
      <c r="E29" s="16"/>
      <c r="F29" s="17" t="s">
        <v>83</v>
      </c>
      <c r="G29" s="17" t="s">
        <v>994</v>
      </c>
      <c r="H29" s="18"/>
      <c r="I29" s="20"/>
      <c r="J29" s="19" t="s">
        <v>60</v>
      </c>
      <c r="K29" s="19" t="s">
        <v>44</v>
      </c>
      <c r="L29" s="19" t="s">
        <v>44</v>
      </c>
    </row>
    <row r="30" spans="1:12" s="1" customFormat="1">
      <c r="A30" s="15"/>
      <c r="B30" s="11" t="s">
        <v>84</v>
      </c>
      <c r="C30" s="11" t="s">
        <v>43</v>
      </c>
      <c r="D30" s="9" t="s">
        <v>106</v>
      </c>
      <c r="E30" s="16"/>
      <c r="F30" s="17" t="s">
        <v>84</v>
      </c>
      <c r="G30" s="17" t="s">
        <v>994</v>
      </c>
      <c r="H30" s="18"/>
      <c r="I30" s="20"/>
      <c r="J30" s="19" t="s">
        <v>60</v>
      </c>
      <c r="K30" s="19" t="s">
        <v>44</v>
      </c>
      <c r="L30" s="19" t="s">
        <v>44</v>
      </c>
    </row>
    <row r="31" spans="1:12" s="1" customFormat="1">
      <c r="A31" s="15"/>
      <c r="B31" s="22" t="s">
        <v>86</v>
      </c>
      <c r="C31" s="11" t="s">
        <v>43</v>
      </c>
      <c r="D31" s="9" t="s">
        <v>108</v>
      </c>
      <c r="E31" s="16"/>
      <c r="F31" s="17" t="s">
        <v>86</v>
      </c>
      <c r="G31" s="17" t="s">
        <v>994</v>
      </c>
      <c r="H31" s="18"/>
      <c r="I31" s="20"/>
      <c r="J31" s="19" t="s">
        <v>60</v>
      </c>
      <c r="K31" s="19" t="s">
        <v>44</v>
      </c>
      <c r="L31" s="19" t="s">
        <v>44</v>
      </c>
    </row>
    <row r="32" spans="1:12" s="1" customFormat="1">
      <c r="B32" s="22" t="s">
        <v>3164</v>
      </c>
      <c r="C32" s="11" t="s">
        <v>46</v>
      </c>
      <c r="D32" s="9" t="s">
        <v>107</v>
      </c>
      <c r="E32" s="16"/>
      <c r="F32" s="17" t="s">
        <v>1184</v>
      </c>
      <c r="G32" s="17" t="s">
        <v>994</v>
      </c>
      <c r="H32" s="18"/>
      <c r="I32" s="19"/>
      <c r="J32" s="19" t="s">
        <v>60</v>
      </c>
      <c r="K32" s="19" t="s">
        <v>44</v>
      </c>
      <c r="L32" s="19" t="s">
        <v>44</v>
      </c>
    </row>
    <row r="33" spans="1:12" s="1" customFormat="1">
      <c r="B33" s="22" t="s">
        <v>1071</v>
      </c>
      <c r="C33" s="62" t="s">
        <v>43</v>
      </c>
      <c r="D33" s="9" t="s">
        <v>115</v>
      </c>
      <c r="E33" s="16"/>
      <c r="F33" s="9" t="s">
        <v>1071</v>
      </c>
      <c r="G33" s="17" t="s">
        <v>994</v>
      </c>
      <c r="H33" s="18"/>
      <c r="I33" s="19"/>
      <c r="J33" s="19" t="s">
        <v>60</v>
      </c>
      <c r="K33" s="19" t="s">
        <v>44</v>
      </c>
      <c r="L33" s="19" t="s">
        <v>44</v>
      </c>
    </row>
    <row r="34" spans="1:12" s="1" customFormat="1">
      <c r="B34" s="22" t="s">
        <v>3168</v>
      </c>
      <c r="C34" s="11" t="s">
        <v>45</v>
      </c>
      <c r="D34" s="9" t="s">
        <v>1185</v>
      </c>
      <c r="E34" s="16"/>
      <c r="F34" s="17"/>
      <c r="G34" s="17" t="s">
        <v>1200</v>
      </c>
      <c r="H34" s="18"/>
      <c r="I34" s="19"/>
      <c r="J34" s="19" t="s">
        <v>1186</v>
      </c>
      <c r="K34" s="19" t="s">
        <v>204</v>
      </c>
      <c r="L34" s="19" t="s">
        <v>67</v>
      </c>
    </row>
    <row r="35" spans="1:12" s="15" customFormat="1">
      <c r="B35" s="22" t="s">
        <v>3169</v>
      </c>
      <c r="C35" s="11" t="s">
        <v>45</v>
      </c>
      <c r="D35" s="9" t="s">
        <v>160</v>
      </c>
      <c r="E35" s="16"/>
      <c r="F35" s="17"/>
      <c r="G35" s="17" t="s">
        <v>1201</v>
      </c>
      <c r="H35" s="18"/>
      <c r="I35" s="20"/>
      <c r="J35" s="19" t="s">
        <v>1186</v>
      </c>
      <c r="K35" s="19" t="s">
        <v>204</v>
      </c>
      <c r="L35" s="19" t="s">
        <v>67</v>
      </c>
    </row>
    <row r="36" spans="1:12" s="15" customFormat="1">
      <c r="B36" s="22" t="s">
        <v>638</v>
      </c>
      <c r="C36" s="11" t="s">
        <v>45</v>
      </c>
      <c r="D36" s="9" t="s">
        <v>181</v>
      </c>
      <c r="E36" s="16"/>
      <c r="F36" s="17"/>
      <c r="G36" s="17" t="s">
        <v>1075</v>
      </c>
      <c r="H36" s="18"/>
      <c r="I36" s="20"/>
      <c r="J36" s="19" t="s">
        <v>1186</v>
      </c>
      <c r="K36" s="19" t="s">
        <v>44</v>
      </c>
      <c r="L36" s="19" t="s">
        <v>67</v>
      </c>
    </row>
    <row r="37" spans="1:12" s="68" customFormat="1">
      <c r="A37" s="65"/>
      <c r="B37" s="66" t="s">
        <v>639</v>
      </c>
      <c r="C37" s="11" t="s">
        <v>45</v>
      </c>
      <c r="D37" s="9" t="s">
        <v>183</v>
      </c>
      <c r="E37" s="16"/>
      <c r="F37" s="17"/>
      <c r="G37" s="17" t="s">
        <v>1077</v>
      </c>
      <c r="H37" s="18"/>
      <c r="I37" s="67"/>
      <c r="J37" s="19" t="s">
        <v>1186</v>
      </c>
      <c r="K37" s="19" t="s">
        <v>44</v>
      </c>
      <c r="L37" s="19" t="s">
        <v>67</v>
      </c>
    </row>
    <row r="38" spans="1:12" s="68" customFormat="1">
      <c r="A38" s="65"/>
      <c r="B38" s="66" t="s">
        <v>681</v>
      </c>
      <c r="C38" s="11" t="s">
        <v>45</v>
      </c>
      <c r="D38" s="9" t="s">
        <v>182</v>
      </c>
      <c r="E38" s="16"/>
      <c r="F38" s="17"/>
      <c r="G38" s="17" t="s">
        <v>1079</v>
      </c>
      <c r="H38" s="18"/>
      <c r="I38" s="67"/>
      <c r="J38" s="19" t="s">
        <v>1186</v>
      </c>
      <c r="K38" s="19" t="s">
        <v>44</v>
      </c>
      <c r="L38" s="19" t="s">
        <v>67</v>
      </c>
    </row>
    <row r="39" spans="1:12" s="68" customFormat="1">
      <c r="A39" s="65"/>
      <c r="B39" s="66" t="s">
        <v>640</v>
      </c>
      <c r="C39" s="11" t="s">
        <v>45</v>
      </c>
      <c r="D39" s="9" t="s">
        <v>184</v>
      </c>
      <c r="E39" s="16"/>
      <c r="F39" s="17"/>
      <c r="G39" s="17" t="s">
        <v>1110</v>
      </c>
      <c r="H39" s="18"/>
      <c r="I39" s="67"/>
      <c r="J39" s="19" t="s">
        <v>1186</v>
      </c>
      <c r="K39" s="19" t="s">
        <v>44</v>
      </c>
      <c r="L39" s="19" t="s">
        <v>67</v>
      </c>
    </row>
    <row r="40" spans="1:12" s="1" customFormat="1">
      <c r="A40" s="15"/>
      <c r="B40" s="11" t="s">
        <v>641</v>
      </c>
      <c r="C40" s="11" t="s">
        <v>45</v>
      </c>
      <c r="D40" s="9" t="s">
        <v>186</v>
      </c>
      <c r="E40" s="16"/>
      <c r="F40" s="17"/>
      <c r="G40" s="17" t="s">
        <v>1111</v>
      </c>
      <c r="H40" s="18"/>
      <c r="I40" s="17"/>
      <c r="J40" s="19" t="s">
        <v>1186</v>
      </c>
      <c r="K40" s="19" t="s">
        <v>44</v>
      </c>
      <c r="L40" s="19" t="s">
        <v>67</v>
      </c>
    </row>
    <row r="41" spans="1:12" s="1" customFormat="1">
      <c r="A41" s="15"/>
      <c r="B41" s="11" t="s">
        <v>682</v>
      </c>
      <c r="C41" s="11" t="s">
        <v>45</v>
      </c>
      <c r="D41" s="9" t="s">
        <v>185</v>
      </c>
      <c r="E41" s="16"/>
      <c r="F41" s="17"/>
      <c r="G41" s="17" t="s">
        <v>1112</v>
      </c>
      <c r="H41" s="18"/>
      <c r="I41" s="17"/>
      <c r="J41" s="19" t="s">
        <v>1186</v>
      </c>
      <c r="K41" s="19" t="s">
        <v>44</v>
      </c>
      <c r="L41" s="19" t="s">
        <v>67</v>
      </c>
    </row>
    <row r="42" spans="1:12" s="1" customFormat="1">
      <c r="A42" s="15"/>
      <c r="B42" s="11" t="s">
        <v>683</v>
      </c>
      <c r="C42" s="11" t="s">
        <v>45</v>
      </c>
      <c r="D42" s="9" t="s">
        <v>187</v>
      </c>
      <c r="E42" s="16"/>
      <c r="F42" s="17"/>
      <c r="G42" s="17" t="s">
        <v>1113</v>
      </c>
      <c r="H42" s="18"/>
      <c r="I42" s="17"/>
      <c r="J42" s="19" t="s">
        <v>1186</v>
      </c>
      <c r="K42" s="19" t="s">
        <v>44</v>
      </c>
      <c r="L42" s="19" t="s">
        <v>67</v>
      </c>
    </row>
    <row r="43" spans="1:12" s="1" customFormat="1">
      <c r="A43" s="15"/>
      <c r="B43" s="11" t="s">
        <v>298</v>
      </c>
      <c r="C43" s="11" t="s">
        <v>45</v>
      </c>
      <c r="D43" s="9" t="s">
        <v>161</v>
      </c>
      <c r="E43" s="16"/>
      <c r="F43" s="17"/>
      <c r="G43" s="17" t="s">
        <v>223</v>
      </c>
      <c r="H43" s="18"/>
      <c r="I43" s="17"/>
      <c r="J43" s="19" t="s">
        <v>1186</v>
      </c>
      <c r="K43" s="19" t="s">
        <v>44</v>
      </c>
      <c r="L43" s="19" t="s">
        <v>67</v>
      </c>
    </row>
    <row r="44" spans="1:12" s="1" customFormat="1">
      <c r="A44" s="15"/>
      <c r="B44" s="22" t="s">
        <v>299</v>
      </c>
      <c r="C44" s="62" t="s">
        <v>45</v>
      </c>
      <c r="D44" s="9" t="s">
        <v>162</v>
      </c>
      <c r="E44" s="16"/>
      <c r="F44" s="17"/>
      <c r="G44" s="17" t="s">
        <v>224</v>
      </c>
      <c r="H44" s="18"/>
      <c r="I44" s="17"/>
      <c r="J44" s="19" t="s">
        <v>1186</v>
      </c>
      <c r="K44" s="19" t="s">
        <v>44</v>
      </c>
      <c r="L44" s="19" t="s">
        <v>67</v>
      </c>
    </row>
    <row r="45" spans="1:12" s="1" customFormat="1">
      <c r="A45" s="15"/>
      <c r="B45" s="22" t="s">
        <v>3170</v>
      </c>
      <c r="C45" s="62" t="s">
        <v>45</v>
      </c>
      <c r="D45" s="9" t="s">
        <v>163</v>
      </c>
      <c r="E45" s="16"/>
      <c r="F45" s="17"/>
      <c r="G45" s="17" t="s">
        <v>225</v>
      </c>
      <c r="H45" s="18"/>
      <c r="I45" s="17"/>
      <c r="J45" s="19" t="s">
        <v>1186</v>
      </c>
      <c r="K45" s="19" t="s">
        <v>44</v>
      </c>
      <c r="L45" s="19" t="s">
        <v>67</v>
      </c>
    </row>
    <row r="46" spans="1:12" s="1" customFormat="1">
      <c r="A46" s="15"/>
      <c r="B46" s="22" t="s">
        <v>3171</v>
      </c>
      <c r="C46" s="62" t="s">
        <v>45</v>
      </c>
      <c r="D46" s="9" t="s">
        <v>164</v>
      </c>
      <c r="E46" s="16"/>
      <c r="F46" s="17"/>
      <c r="G46" s="17" t="s">
        <v>226</v>
      </c>
      <c r="H46" s="18"/>
      <c r="I46" s="17"/>
      <c r="J46" s="19" t="s">
        <v>1186</v>
      </c>
      <c r="K46" s="19" t="s">
        <v>44</v>
      </c>
      <c r="L46" s="19" t="s">
        <v>67</v>
      </c>
    </row>
    <row r="47" spans="1:12" s="1" customFormat="1">
      <c r="A47" s="15"/>
      <c r="B47" s="11" t="s">
        <v>3172</v>
      </c>
      <c r="C47" s="11" t="s">
        <v>45</v>
      </c>
      <c r="D47" s="9" t="s">
        <v>165</v>
      </c>
      <c r="E47" s="16"/>
      <c r="F47" s="17"/>
      <c r="G47" s="17" t="s">
        <v>1114</v>
      </c>
      <c r="H47" s="18"/>
      <c r="I47" s="17"/>
      <c r="J47" s="19" t="s">
        <v>1186</v>
      </c>
      <c r="K47" s="19" t="s">
        <v>44</v>
      </c>
      <c r="L47" s="19" t="s">
        <v>67</v>
      </c>
    </row>
    <row r="48" spans="1:12" s="1" customFormat="1">
      <c r="A48" s="15"/>
      <c r="B48" s="11" t="s">
        <v>3173</v>
      </c>
      <c r="C48" s="11" t="s">
        <v>45</v>
      </c>
      <c r="D48" s="9" t="s">
        <v>166</v>
      </c>
      <c r="E48" s="16"/>
      <c r="F48" s="17"/>
      <c r="G48" s="17" t="s">
        <v>1115</v>
      </c>
      <c r="H48" s="18"/>
      <c r="I48" s="17"/>
      <c r="J48" s="19" t="s">
        <v>1186</v>
      </c>
      <c r="K48" s="19" t="s">
        <v>44</v>
      </c>
      <c r="L48" s="19" t="s">
        <v>67</v>
      </c>
    </row>
    <row r="49" spans="1:12" s="1" customFormat="1">
      <c r="A49" s="15"/>
      <c r="B49" s="11" t="s">
        <v>307</v>
      </c>
      <c r="C49" s="11" t="s">
        <v>45</v>
      </c>
      <c r="D49" s="9" t="s">
        <v>171</v>
      </c>
      <c r="E49" s="16"/>
      <c r="F49" s="17"/>
      <c r="G49" s="17" t="s">
        <v>1116</v>
      </c>
      <c r="H49" s="18"/>
      <c r="I49" s="17"/>
      <c r="J49" s="19" t="s">
        <v>1186</v>
      </c>
      <c r="K49" s="19" t="s">
        <v>44</v>
      </c>
      <c r="L49" s="19" t="s">
        <v>67</v>
      </c>
    </row>
    <row r="50" spans="1:12" s="1" customFormat="1">
      <c r="A50" s="15"/>
      <c r="B50" s="22" t="s">
        <v>308</v>
      </c>
      <c r="C50" s="22" t="s">
        <v>45</v>
      </c>
      <c r="D50" s="9" t="s">
        <v>172</v>
      </c>
      <c r="E50" s="16"/>
      <c r="F50" s="17"/>
      <c r="G50" s="17" t="s">
        <v>1117</v>
      </c>
      <c r="H50" s="18"/>
      <c r="I50" s="17"/>
      <c r="J50" s="19" t="s">
        <v>1186</v>
      </c>
      <c r="K50" s="19" t="s">
        <v>44</v>
      </c>
      <c r="L50" s="19" t="s">
        <v>67</v>
      </c>
    </row>
    <row r="51" spans="1:12" s="1" customFormat="1">
      <c r="A51" s="15"/>
      <c r="B51" s="11" t="s">
        <v>309</v>
      </c>
      <c r="C51" s="11" t="s">
        <v>45</v>
      </c>
      <c r="D51" s="9" t="s">
        <v>173</v>
      </c>
      <c r="E51" s="16"/>
      <c r="F51" s="17"/>
      <c r="G51" s="17" t="s">
        <v>1118</v>
      </c>
      <c r="H51" s="18"/>
      <c r="I51" s="17"/>
      <c r="J51" s="19" t="s">
        <v>1186</v>
      </c>
      <c r="K51" s="19" t="s">
        <v>44</v>
      </c>
      <c r="L51" s="19" t="s">
        <v>67</v>
      </c>
    </row>
    <row r="52" spans="1:12" s="1" customFormat="1">
      <c r="A52" s="15"/>
      <c r="B52" s="11" t="s">
        <v>310</v>
      </c>
      <c r="C52" s="11" t="s">
        <v>45</v>
      </c>
      <c r="D52" s="9" t="s">
        <v>174</v>
      </c>
      <c r="E52" s="16"/>
      <c r="F52" s="17"/>
      <c r="G52" s="17" t="s">
        <v>1119</v>
      </c>
      <c r="H52" s="18"/>
      <c r="I52" s="17"/>
      <c r="J52" s="19" t="s">
        <v>1186</v>
      </c>
      <c r="K52" s="19" t="s">
        <v>44</v>
      </c>
      <c r="L52" s="19" t="s">
        <v>67</v>
      </c>
    </row>
    <row r="53" spans="1:12" s="1" customFormat="1">
      <c r="A53" s="15"/>
      <c r="B53" s="11" t="s">
        <v>304</v>
      </c>
      <c r="C53" s="11" t="s">
        <v>45</v>
      </c>
      <c r="D53" s="9" t="s">
        <v>1260</v>
      </c>
      <c r="E53" s="16"/>
      <c r="F53" s="17"/>
      <c r="G53" s="17" t="s">
        <v>227</v>
      </c>
      <c r="H53" s="18"/>
      <c r="I53" s="17"/>
      <c r="J53" s="19" t="s">
        <v>1186</v>
      </c>
      <c r="K53" s="19" t="s">
        <v>44</v>
      </c>
      <c r="L53" s="19" t="s">
        <v>67</v>
      </c>
    </row>
    <row r="54" spans="1:12" s="1" customFormat="1">
      <c r="A54" s="15"/>
      <c r="B54" s="11" t="s">
        <v>305</v>
      </c>
      <c r="C54" s="11" t="s">
        <v>45</v>
      </c>
      <c r="D54" s="9" t="s">
        <v>1261</v>
      </c>
      <c r="E54" s="16"/>
      <c r="F54" s="17"/>
      <c r="G54" s="17" t="s">
        <v>228</v>
      </c>
      <c r="H54" s="18"/>
      <c r="I54" s="17"/>
      <c r="J54" s="19" t="s">
        <v>1186</v>
      </c>
      <c r="K54" s="19" t="s">
        <v>44</v>
      </c>
      <c r="L54" s="19" t="s">
        <v>67</v>
      </c>
    </row>
    <row r="55" spans="1:12" s="1" customFormat="1">
      <c r="A55" s="15"/>
      <c r="B55" s="11" t="s">
        <v>306</v>
      </c>
      <c r="C55" s="11" t="s">
        <v>45</v>
      </c>
      <c r="D55" s="9" t="s">
        <v>167</v>
      </c>
      <c r="E55" s="16"/>
      <c r="F55" s="17"/>
      <c r="G55" s="17" t="s">
        <v>772</v>
      </c>
      <c r="H55" s="18"/>
      <c r="I55" s="17"/>
      <c r="J55" s="19" t="s">
        <v>1186</v>
      </c>
      <c r="K55" s="19" t="s">
        <v>202</v>
      </c>
      <c r="L55" s="19" t="s">
        <v>67</v>
      </c>
    </row>
    <row r="56" spans="1:12" s="1" customFormat="1">
      <c r="A56" s="15"/>
      <c r="B56" s="11" t="s">
        <v>684</v>
      </c>
      <c r="C56" s="11" t="s">
        <v>45</v>
      </c>
      <c r="D56" s="9" t="s">
        <v>175</v>
      </c>
      <c r="E56" s="16"/>
      <c r="F56" s="17"/>
      <c r="G56" s="17" t="s">
        <v>1120</v>
      </c>
      <c r="H56" s="18"/>
      <c r="I56" s="17"/>
      <c r="J56" s="19" t="s">
        <v>1186</v>
      </c>
      <c r="K56" s="19" t="s">
        <v>44</v>
      </c>
      <c r="L56" s="19" t="s">
        <v>67</v>
      </c>
    </row>
    <row r="57" spans="1:12" s="1" customFormat="1">
      <c r="A57" s="15"/>
      <c r="B57" s="11" t="s">
        <v>2405</v>
      </c>
      <c r="C57" s="11" t="s">
        <v>45</v>
      </c>
      <c r="D57" s="9" t="s">
        <v>168</v>
      </c>
      <c r="E57" s="16"/>
      <c r="F57" s="17"/>
      <c r="G57" s="17" t="s">
        <v>1487</v>
      </c>
      <c r="H57" s="18"/>
      <c r="I57" s="17"/>
      <c r="J57" s="19" t="s">
        <v>1186</v>
      </c>
      <c r="K57" s="19" t="s">
        <v>202</v>
      </c>
      <c r="L57" s="19" t="s">
        <v>67</v>
      </c>
    </row>
    <row r="58" spans="1:12" s="1" customFormat="1">
      <c r="A58" s="15"/>
      <c r="B58" s="11" t="s">
        <v>685</v>
      </c>
      <c r="C58" s="11" t="s">
        <v>45</v>
      </c>
      <c r="D58" s="9" t="s">
        <v>176</v>
      </c>
      <c r="E58" s="16"/>
      <c r="F58" s="17"/>
      <c r="G58" s="17" t="s">
        <v>1121</v>
      </c>
      <c r="H58" s="18"/>
      <c r="I58" s="17"/>
      <c r="J58" s="19" t="s">
        <v>1186</v>
      </c>
      <c r="K58" s="19" t="s">
        <v>44</v>
      </c>
      <c r="L58" s="19" t="s">
        <v>67</v>
      </c>
    </row>
    <row r="59" spans="1:12" s="1" customFormat="1">
      <c r="A59" s="15"/>
      <c r="B59" s="11" t="s">
        <v>3174</v>
      </c>
      <c r="C59" s="11" t="s">
        <v>45</v>
      </c>
      <c r="D59" s="9" t="s">
        <v>178</v>
      </c>
      <c r="E59" s="16"/>
      <c r="F59" s="17"/>
      <c r="G59" s="17" t="s">
        <v>1215</v>
      </c>
      <c r="H59" s="18"/>
      <c r="I59" s="17"/>
      <c r="J59" s="19" t="s">
        <v>1186</v>
      </c>
      <c r="K59" s="19" t="s">
        <v>202</v>
      </c>
      <c r="L59" s="19" t="s">
        <v>67</v>
      </c>
    </row>
    <row r="60" spans="1:12" s="1" customFormat="1">
      <c r="A60" s="15"/>
      <c r="B60" s="11" t="s">
        <v>3175</v>
      </c>
      <c r="C60" s="11" t="s">
        <v>45</v>
      </c>
      <c r="D60" s="9" t="s">
        <v>177</v>
      </c>
      <c r="E60" s="16"/>
      <c r="F60" s="17"/>
      <c r="G60" s="17" t="s">
        <v>1122</v>
      </c>
      <c r="H60" s="18"/>
      <c r="I60" s="17"/>
      <c r="J60" s="19" t="s">
        <v>1186</v>
      </c>
      <c r="K60" s="19" t="s">
        <v>204</v>
      </c>
      <c r="L60" s="19" t="s">
        <v>67</v>
      </c>
    </row>
    <row r="61" spans="1:12" s="1" customFormat="1">
      <c r="A61" s="15"/>
      <c r="B61" s="11" t="s">
        <v>3176</v>
      </c>
      <c r="C61" s="11" t="s">
        <v>45</v>
      </c>
      <c r="D61" s="9" t="s">
        <v>180</v>
      </c>
      <c r="E61" s="16"/>
      <c r="F61" s="17"/>
      <c r="G61" s="17" t="s">
        <v>1214</v>
      </c>
      <c r="H61" s="18"/>
      <c r="I61" s="17"/>
      <c r="J61" s="19" t="s">
        <v>1186</v>
      </c>
      <c r="K61" s="19" t="s">
        <v>202</v>
      </c>
      <c r="L61" s="19" t="s">
        <v>67</v>
      </c>
    </row>
    <row r="62" spans="1:12" s="1" customFormat="1">
      <c r="A62" s="15"/>
      <c r="B62" s="11" t="s">
        <v>3177</v>
      </c>
      <c r="C62" s="11" t="s">
        <v>45</v>
      </c>
      <c r="D62" s="9" t="s">
        <v>179</v>
      </c>
      <c r="E62" s="16"/>
      <c r="F62" s="17"/>
      <c r="G62" s="17" t="s">
        <v>1123</v>
      </c>
      <c r="H62" s="18"/>
      <c r="I62" s="17"/>
      <c r="J62" s="19" t="s">
        <v>1186</v>
      </c>
      <c r="K62" s="19" t="s">
        <v>204</v>
      </c>
      <c r="L62" s="19" t="s">
        <v>67</v>
      </c>
    </row>
    <row r="63" spans="1:12" s="1" customFormat="1">
      <c r="A63" s="15"/>
      <c r="B63" s="11" t="s">
        <v>3165</v>
      </c>
      <c r="C63" s="11" t="s">
        <v>45</v>
      </c>
      <c r="D63" s="9" t="s">
        <v>643</v>
      </c>
      <c r="E63" s="16"/>
      <c r="F63" s="17"/>
      <c r="G63" s="17" t="s">
        <v>768</v>
      </c>
      <c r="H63" s="18"/>
      <c r="I63" s="17"/>
      <c r="J63" s="19" t="s">
        <v>1186</v>
      </c>
      <c r="K63" s="19" t="s">
        <v>44</v>
      </c>
      <c r="L63" s="19" t="s">
        <v>67</v>
      </c>
    </row>
    <row r="64" spans="1:12" s="1" customFormat="1">
      <c r="A64" s="15"/>
      <c r="B64" s="11" t="s">
        <v>3166</v>
      </c>
      <c r="C64" s="11" t="s">
        <v>45</v>
      </c>
      <c r="D64" s="9" t="s">
        <v>1187</v>
      </c>
      <c r="E64" s="16"/>
      <c r="F64" s="17"/>
      <c r="G64" s="17" t="s">
        <v>1124</v>
      </c>
      <c r="H64" s="18"/>
      <c r="I64" s="17"/>
      <c r="J64" s="19" t="s">
        <v>1186</v>
      </c>
      <c r="K64" s="19" t="s">
        <v>44</v>
      </c>
      <c r="L64" s="19" t="s">
        <v>67</v>
      </c>
    </row>
    <row r="65" spans="1:12" s="1" customFormat="1">
      <c r="A65" s="15"/>
      <c r="B65" s="11" t="s">
        <v>645</v>
      </c>
      <c r="C65" s="11" t="s">
        <v>45</v>
      </c>
      <c r="D65" s="9" t="s">
        <v>501</v>
      </c>
      <c r="E65" s="16"/>
      <c r="F65" s="17"/>
      <c r="G65" s="17" t="s">
        <v>1204</v>
      </c>
      <c r="H65" s="18"/>
      <c r="I65" s="17"/>
      <c r="J65" s="19" t="s">
        <v>1186</v>
      </c>
      <c r="K65" s="19" t="s">
        <v>44</v>
      </c>
      <c r="L65" s="19" t="s">
        <v>67</v>
      </c>
    </row>
    <row r="66" spans="1:12" s="1" customFormat="1">
      <c r="A66" s="15"/>
      <c r="B66" s="11" t="s">
        <v>646</v>
      </c>
      <c r="C66" s="11" t="s">
        <v>45</v>
      </c>
      <c r="D66" s="9" t="s">
        <v>686</v>
      </c>
      <c r="E66" s="16"/>
      <c r="F66" s="17"/>
      <c r="G66" s="17" t="s">
        <v>1205</v>
      </c>
      <c r="H66" s="18"/>
      <c r="I66" s="17"/>
      <c r="J66" s="19" t="s">
        <v>1186</v>
      </c>
      <c r="K66" s="19" t="s">
        <v>44</v>
      </c>
      <c r="L66" s="19" t="s">
        <v>67</v>
      </c>
    </row>
    <row r="67" spans="1:12" s="1" customFormat="1">
      <c r="A67" s="15"/>
      <c r="B67" s="11" t="s">
        <v>647</v>
      </c>
      <c r="C67" s="11" t="s">
        <v>45</v>
      </c>
      <c r="D67" s="9" t="s">
        <v>648</v>
      </c>
      <c r="E67" s="16"/>
      <c r="F67" s="17"/>
      <c r="G67" s="17" t="s">
        <v>1206</v>
      </c>
      <c r="H67" s="18"/>
      <c r="I67" s="17"/>
      <c r="J67" s="19" t="s">
        <v>1186</v>
      </c>
      <c r="K67" s="19" t="s">
        <v>44</v>
      </c>
      <c r="L67" s="19" t="s">
        <v>67</v>
      </c>
    </row>
    <row r="68" spans="1:12" s="1" customFormat="1">
      <c r="A68" s="15"/>
      <c r="B68" s="11" t="s">
        <v>649</v>
      </c>
      <c r="C68" s="11" t="s">
        <v>45</v>
      </c>
      <c r="D68" s="9" t="s">
        <v>650</v>
      </c>
      <c r="E68" s="16"/>
      <c r="F68" s="17"/>
      <c r="G68" s="17" t="s">
        <v>1207</v>
      </c>
      <c r="H68" s="18"/>
      <c r="I68" s="17"/>
      <c r="J68" s="19" t="s">
        <v>1186</v>
      </c>
      <c r="K68" s="19" t="s">
        <v>44</v>
      </c>
      <c r="L68" s="19" t="s">
        <v>67</v>
      </c>
    </row>
    <row r="69" spans="1:12" s="1" customFormat="1">
      <c r="A69" s="15"/>
      <c r="B69" s="11" t="s">
        <v>651</v>
      </c>
      <c r="C69" s="11" t="s">
        <v>45</v>
      </c>
      <c r="D69" s="9" t="s">
        <v>652</v>
      </c>
      <c r="E69" s="16"/>
      <c r="F69" s="17"/>
      <c r="G69" s="17" t="s">
        <v>1208</v>
      </c>
      <c r="H69" s="18"/>
      <c r="I69" s="17"/>
      <c r="J69" s="19" t="s">
        <v>1186</v>
      </c>
      <c r="K69" s="19" t="s">
        <v>44</v>
      </c>
      <c r="L69" s="19" t="s">
        <v>67</v>
      </c>
    </row>
    <row r="70" spans="1:12" s="1" customFormat="1">
      <c r="A70" s="15"/>
      <c r="B70" s="11" t="s">
        <v>653</v>
      </c>
      <c r="C70" s="11" t="s">
        <v>45</v>
      </c>
      <c r="D70" s="9" t="s">
        <v>654</v>
      </c>
      <c r="E70" s="16"/>
      <c r="F70" s="17"/>
      <c r="G70" s="17" t="s">
        <v>1209</v>
      </c>
      <c r="H70" s="18"/>
      <c r="I70" s="17"/>
      <c r="J70" s="19" t="s">
        <v>1186</v>
      </c>
      <c r="K70" s="19" t="s">
        <v>44</v>
      </c>
      <c r="L70" s="19" t="s">
        <v>67</v>
      </c>
    </row>
    <row r="71" spans="1:12" s="1" customFormat="1">
      <c r="A71" s="15"/>
      <c r="B71" s="11" t="s">
        <v>3167</v>
      </c>
      <c r="C71" s="11" t="s">
        <v>45</v>
      </c>
      <c r="D71" s="9" t="s">
        <v>1189</v>
      </c>
      <c r="E71" s="16"/>
      <c r="F71" s="17"/>
      <c r="G71" s="17" t="s">
        <v>1211</v>
      </c>
      <c r="H71" s="18"/>
      <c r="I71" s="17"/>
      <c r="J71" s="19" t="s">
        <v>1186</v>
      </c>
      <c r="K71" s="19" t="s">
        <v>202</v>
      </c>
      <c r="L71" s="19" t="s">
        <v>67</v>
      </c>
    </row>
    <row r="72" spans="1:12" s="1" customFormat="1">
      <c r="A72" s="15"/>
      <c r="B72" s="11" t="s">
        <v>286</v>
      </c>
      <c r="C72" s="11" t="s">
        <v>45</v>
      </c>
      <c r="D72" s="9" t="s">
        <v>148</v>
      </c>
      <c r="E72" s="16"/>
      <c r="F72" s="17"/>
      <c r="G72" s="17" t="s">
        <v>1127</v>
      </c>
      <c r="H72" s="18"/>
      <c r="I72" s="17"/>
      <c r="J72" s="19" t="s">
        <v>1186</v>
      </c>
      <c r="K72" s="19" t="s">
        <v>44</v>
      </c>
      <c r="L72" s="19" t="s">
        <v>67</v>
      </c>
    </row>
    <row r="73" spans="1:12" s="1" customFormat="1">
      <c r="A73" s="15"/>
      <c r="B73" s="11" t="s">
        <v>287</v>
      </c>
      <c r="C73" s="11" t="s">
        <v>45</v>
      </c>
      <c r="D73" s="9" t="s">
        <v>149</v>
      </c>
      <c r="E73" s="16"/>
      <c r="F73" s="17"/>
      <c r="G73" s="17" t="s">
        <v>1128</v>
      </c>
      <c r="H73" s="18"/>
      <c r="I73" s="17"/>
      <c r="J73" s="19" t="s">
        <v>1186</v>
      </c>
      <c r="K73" s="19" t="s">
        <v>44</v>
      </c>
      <c r="L73" s="19" t="s">
        <v>67</v>
      </c>
    </row>
    <row r="74" spans="1:12" s="1" customFormat="1">
      <c r="A74" s="15"/>
      <c r="B74" s="11" t="s">
        <v>288</v>
      </c>
      <c r="C74" s="11" t="s">
        <v>45</v>
      </c>
      <c r="D74" s="9" t="s">
        <v>150</v>
      </c>
      <c r="E74" s="16"/>
      <c r="F74" s="17"/>
      <c r="G74" s="17" t="s">
        <v>1129</v>
      </c>
      <c r="H74" s="18"/>
      <c r="I74" s="17"/>
      <c r="J74" s="19" t="s">
        <v>1186</v>
      </c>
      <c r="K74" s="19" t="s">
        <v>44</v>
      </c>
      <c r="L74" s="19" t="s">
        <v>67</v>
      </c>
    </row>
    <row r="75" spans="1:12" s="1" customFormat="1">
      <c r="A75" s="15"/>
      <c r="B75" s="11" t="s">
        <v>289</v>
      </c>
      <c r="C75" s="11" t="s">
        <v>45</v>
      </c>
      <c r="D75" s="9" t="s">
        <v>151</v>
      </c>
      <c r="E75" s="16"/>
      <c r="F75" s="17"/>
      <c r="G75" s="17" t="s">
        <v>1130</v>
      </c>
      <c r="H75" s="18"/>
      <c r="I75" s="17"/>
      <c r="J75" s="19" t="s">
        <v>1186</v>
      </c>
      <c r="K75" s="19" t="s">
        <v>44</v>
      </c>
      <c r="L75" s="19" t="s">
        <v>67</v>
      </c>
    </row>
    <row r="76" spans="1:12" s="1" customFormat="1">
      <c r="A76" s="15"/>
      <c r="B76" s="11" t="s">
        <v>290</v>
      </c>
      <c r="C76" s="11" t="s">
        <v>45</v>
      </c>
      <c r="D76" s="9" t="s">
        <v>152</v>
      </c>
      <c r="E76" s="16"/>
      <c r="F76" s="17"/>
      <c r="G76" s="17" t="s">
        <v>1131</v>
      </c>
      <c r="H76" s="18"/>
      <c r="I76" s="17"/>
      <c r="J76" s="19" t="s">
        <v>1186</v>
      </c>
      <c r="K76" s="19" t="s">
        <v>44</v>
      </c>
      <c r="L76" s="19" t="s">
        <v>67</v>
      </c>
    </row>
    <row r="77" spans="1:12" s="1" customFormat="1">
      <c r="A77" s="15"/>
      <c r="B77" s="11" t="s">
        <v>3179</v>
      </c>
      <c r="C77" s="11" t="s">
        <v>45</v>
      </c>
      <c r="D77" s="9" t="s">
        <v>1191</v>
      </c>
      <c r="E77" s="16"/>
      <c r="F77" s="17"/>
      <c r="G77" s="17" t="s">
        <v>1210</v>
      </c>
      <c r="H77" s="18"/>
      <c r="I77" s="17"/>
      <c r="J77" s="19" t="s">
        <v>1186</v>
      </c>
      <c r="K77" s="19" t="s">
        <v>202</v>
      </c>
      <c r="L77" s="19" t="s">
        <v>67</v>
      </c>
    </row>
    <row r="78" spans="1:12" s="1" customFormat="1">
      <c r="A78" s="15"/>
      <c r="B78" s="11" t="s">
        <v>291</v>
      </c>
      <c r="C78" s="11" t="s">
        <v>45</v>
      </c>
      <c r="D78" s="9" t="s">
        <v>154</v>
      </c>
      <c r="E78" s="16"/>
      <c r="F78" s="17"/>
      <c r="G78" s="17" t="s">
        <v>1133</v>
      </c>
      <c r="H78" s="18"/>
      <c r="I78" s="17"/>
      <c r="J78" s="19" t="s">
        <v>1186</v>
      </c>
      <c r="K78" s="19" t="s">
        <v>44</v>
      </c>
      <c r="L78" s="19" t="s">
        <v>67</v>
      </c>
    </row>
    <row r="79" spans="1:12" s="1" customFormat="1">
      <c r="A79" s="15"/>
      <c r="B79" s="11" t="s">
        <v>292</v>
      </c>
      <c r="C79" s="11" t="s">
        <v>45</v>
      </c>
      <c r="D79" s="9" t="s">
        <v>155</v>
      </c>
      <c r="E79" s="16"/>
      <c r="F79" s="17"/>
      <c r="G79" s="17" t="s">
        <v>1134</v>
      </c>
      <c r="H79" s="18"/>
      <c r="I79" s="17"/>
      <c r="J79" s="19" t="s">
        <v>1186</v>
      </c>
      <c r="K79" s="19" t="s">
        <v>44</v>
      </c>
      <c r="L79" s="19" t="s">
        <v>67</v>
      </c>
    </row>
    <row r="80" spans="1:12" s="1" customFormat="1">
      <c r="A80" s="15"/>
      <c r="B80" s="11" t="s">
        <v>293</v>
      </c>
      <c r="C80" s="11" t="s">
        <v>45</v>
      </c>
      <c r="D80" s="9" t="s">
        <v>156</v>
      </c>
      <c r="E80" s="16"/>
      <c r="F80" s="17"/>
      <c r="G80" s="17" t="s">
        <v>1135</v>
      </c>
      <c r="H80" s="18"/>
      <c r="I80" s="17"/>
      <c r="J80" s="19" t="s">
        <v>1186</v>
      </c>
      <c r="K80" s="19" t="s">
        <v>44</v>
      </c>
      <c r="L80" s="19" t="s">
        <v>67</v>
      </c>
    </row>
    <row r="81" spans="1:12" s="1" customFormat="1">
      <c r="A81" s="15"/>
      <c r="B81" s="11" t="s">
        <v>294</v>
      </c>
      <c r="C81" s="11" t="s">
        <v>45</v>
      </c>
      <c r="D81" s="9" t="s">
        <v>157</v>
      </c>
      <c r="E81" s="16"/>
      <c r="F81" s="17"/>
      <c r="G81" s="17" t="s">
        <v>1136</v>
      </c>
      <c r="H81" s="18"/>
      <c r="I81" s="17"/>
      <c r="J81" s="19" t="s">
        <v>1186</v>
      </c>
      <c r="K81" s="19" t="s">
        <v>44</v>
      </c>
      <c r="L81" s="19" t="s">
        <v>67</v>
      </c>
    </row>
    <row r="82" spans="1:12" s="1" customFormat="1">
      <c r="A82" s="15"/>
      <c r="B82" s="11" t="s">
        <v>295</v>
      </c>
      <c r="C82" s="11" t="s">
        <v>45</v>
      </c>
      <c r="D82" s="9" t="s">
        <v>158</v>
      </c>
      <c r="E82" s="16"/>
      <c r="F82" s="17"/>
      <c r="G82" s="17" t="s">
        <v>1137</v>
      </c>
      <c r="H82" s="18"/>
      <c r="I82" s="17"/>
      <c r="J82" s="19" t="s">
        <v>1186</v>
      </c>
      <c r="K82" s="19" t="s">
        <v>44</v>
      </c>
      <c r="L82" s="19" t="s">
        <v>67</v>
      </c>
    </row>
    <row r="83" spans="1:12" s="1" customFormat="1">
      <c r="A83" s="15"/>
      <c r="B83" s="11" t="s">
        <v>159</v>
      </c>
      <c r="C83" s="11" t="s">
        <v>45</v>
      </c>
      <c r="D83" s="9" t="s">
        <v>1192</v>
      </c>
      <c r="E83" s="16"/>
      <c r="F83" s="17"/>
      <c r="G83" s="17" t="s">
        <v>1867</v>
      </c>
      <c r="H83" s="18"/>
      <c r="I83" s="17"/>
      <c r="J83" s="19" t="s">
        <v>1186</v>
      </c>
      <c r="K83" s="19" t="s">
        <v>202</v>
      </c>
      <c r="L83" s="19" t="s">
        <v>67</v>
      </c>
    </row>
    <row r="84" spans="1:12" s="1" customFormat="1">
      <c r="A84" s="15"/>
      <c r="B84" s="11" t="s">
        <v>3178</v>
      </c>
      <c r="C84" s="11" t="s">
        <v>45</v>
      </c>
      <c r="D84" s="9" t="s">
        <v>147</v>
      </c>
      <c r="E84" s="16"/>
      <c r="F84" s="17"/>
      <c r="G84" s="17" t="s">
        <v>1126</v>
      </c>
      <c r="H84" s="18"/>
      <c r="I84" s="17"/>
      <c r="J84" s="19" t="s">
        <v>1186</v>
      </c>
      <c r="K84" s="19" t="s">
        <v>44</v>
      </c>
      <c r="L84" s="19" t="s">
        <v>67</v>
      </c>
    </row>
    <row r="85" spans="1:12" s="1" customFormat="1">
      <c r="A85" s="15"/>
      <c r="B85" s="11" t="s">
        <v>3180</v>
      </c>
      <c r="C85" s="11" t="s">
        <v>45</v>
      </c>
      <c r="D85" s="9" t="s">
        <v>153</v>
      </c>
      <c r="E85" s="16"/>
      <c r="F85" s="17"/>
      <c r="G85" s="17" t="s">
        <v>1132</v>
      </c>
      <c r="H85" s="18"/>
      <c r="I85" s="17"/>
      <c r="J85" s="19" t="s">
        <v>1186</v>
      </c>
      <c r="K85" s="19" t="s">
        <v>44</v>
      </c>
      <c r="L85" s="19" t="s">
        <v>67</v>
      </c>
    </row>
    <row r="86" spans="1:12" s="1" customFormat="1">
      <c r="A86" s="15"/>
      <c r="B86" s="11" t="s">
        <v>3183</v>
      </c>
      <c r="C86" s="11" t="s">
        <v>45</v>
      </c>
      <c r="D86" s="9" t="s">
        <v>1193</v>
      </c>
      <c r="E86" s="16"/>
      <c r="F86" s="17"/>
      <c r="G86" s="17" t="s">
        <v>3181</v>
      </c>
      <c r="H86" s="18"/>
      <c r="I86" s="17"/>
      <c r="J86" s="19" t="s">
        <v>1186</v>
      </c>
      <c r="K86" s="19" t="s">
        <v>202</v>
      </c>
      <c r="L86" s="19" t="s">
        <v>67</v>
      </c>
    </row>
    <row r="87" spans="1:12" s="1" customFormat="1">
      <c r="A87" s="15"/>
      <c r="B87" s="11" t="s">
        <v>657</v>
      </c>
      <c r="C87" s="11" t="s">
        <v>45</v>
      </c>
      <c r="D87" s="9" t="s">
        <v>658</v>
      </c>
      <c r="E87" s="16"/>
      <c r="F87" s="17"/>
      <c r="G87" s="17" t="s">
        <v>1089</v>
      </c>
      <c r="H87" s="18"/>
      <c r="I87" s="17"/>
      <c r="J87" s="19" t="s">
        <v>1186</v>
      </c>
      <c r="K87" s="19" t="s">
        <v>44</v>
      </c>
      <c r="L87" s="19" t="s">
        <v>67</v>
      </c>
    </row>
    <row r="88" spans="1:12" s="1" customFormat="1">
      <c r="A88" s="15"/>
      <c r="B88" s="11" t="s">
        <v>3184</v>
      </c>
      <c r="C88" s="11" t="s">
        <v>45</v>
      </c>
      <c r="D88" s="9" t="s">
        <v>1194</v>
      </c>
      <c r="E88" s="16"/>
      <c r="F88" s="17"/>
      <c r="G88" s="17" t="s">
        <v>3182</v>
      </c>
      <c r="H88" s="18"/>
      <c r="I88" s="17"/>
      <c r="J88" s="19" t="s">
        <v>1186</v>
      </c>
      <c r="K88" s="19" t="s">
        <v>202</v>
      </c>
      <c r="L88" s="19" t="s">
        <v>67</v>
      </c>
    </row>
    <row r="89" spans="1:12" s="1" customFormat="1">
      <c r="A89" s="15"/>
      <c r="B89" s="11" t="s">
        <v>659</v>
      </c>
      <c r="C89" s="11" t="s">
        <v>45</v>
      </c>
      <c r="D89" s="9" t="s">
        <v>660</v>
      </c>
      <c r="E89" s="16"/>
      <c r="F89" s="17"/>
      <c r="G89" s="17" t="s">
        <v>1092</v>
      </c>
      <c r="H89" s="18"/>
      <c r="I89" s="17"/>
      <c r="J89" s="19" t="s">
        <v>1186</v>
      </c>
      <c r="K89" s="19" t="s">
        <v>44</v>
      </c>
      <c r="L89" s="19" t="s">
        <v>67</v>
      </c>
    </row>
    <row r="90" spans="1:12" s="1" customFormat="1">
      <c r="A90" s="15"/>
      <c r="B90" s="11" t="s">
        <v>661</v>
      </c>
      <c r="C90" s="11" t="s">
        <v>45</v>
      </c>
      <c r="D90" s="9" t="s">
        <v>1195</v>
      </c>
      <c r="E90" s="16"/>
      <c r="F90" s="17"/>
      <c r="G90" s="17" t="s">
        <v>1096</v>
      </c>
      <c r="H90" s="18"/>
      <c r="I90" s="17"/>
      <c r="J90" s="19" t="s">
        <v>1186</v>
      </c>
      <c r="K90" s="19" t="s">
        <v>44</v>
      </c>
      <c r="L90" s="19" t="s">
        <v>67</v>
      </c>
    </row>
    <row r="91" spans="1:12" s="1" customFormat="1">
      <c r="A91" s="15"/>
      <c r="B91" s="11" t="s">
        <v>662</v>
      </c>
      <c r="C91" s="11" t="s">
        <v>45</v>
      </c>
      <c r="D91" s="9" t="s">
        <v>1196</v>
      </c>
      <c r="E91" s="16"/>
      <c r="F91" s="17"/>
      <c r="G91" s="17" t="s">
        <v>3262</v>
      </c>
      <c r="H91" s="18"/>
      <c r="I91" s="17"/>
      <c r="J91" s="19" t="s">
        <v>1186</v>
      </c>
      <c r="K91" s="19" t="s">
        <v>202</v>
      </c>
      <c r="L91" s="19" t="s">
        <v>67</v>
      </c>
    </row>
    <row r="92" spans="1:12" s="1" customFormat="1">
      <c r="A92" s="15"/>
      <c r="B92" s="11" t="s">
        <v>663</v>
      </c>
      <c r="C92" s="11" t="s">
        <v>45</v>
      </c>
      <c r="D92" s="9" t="s">
        <v>1197</v>
      </c>
      <c r="E92" s="16"/>
      <c r="F92" s="17"/>
      <c r="G92" s="17" t="s">
        <v>3263</v>
      </c>
      <c r="H92" s="18"/>
      <c r="I92" s="17"/>
      <c r="J92" s="19" t="s">
        <v>1186</v>
      </c>
      <c r="K92" s="19" t="s">
        <v>202</v>
      </c>
      <c r="L92" s="19" t="s">
        <v>67</v>
      </c>
    </row>
    <row r="93" spans="1:12" s="1" customFormat="1">
      <c r="A93" s="15"/>
      <c r="B93" s="11" t="s">
        <v>664</v>
      </c>
      <c r="C93" s="11" t="s">
        <v>56</v>
      </c>
      <c r="D93" s="9" t="s">
        <v>687</v>
      </c>
      <c r="E93" s="16"/>
      <c r="F93" s="17"/>
      <c r="G93" s="17" t="s">
        <v>1108</v>
      </c>
      <c r="H93" s="18"/>
      <c r="I93" s="17"/>
      <c r="J93" s="19" t="s">
        <v>1186</v>
      </c>
      <c r="K93" s="19" t="s">
        <v>202</v>
      </c>
      <c r="L93" s="19" t="s">
        <v>67</v>
      </c>
    </row>
    <row r="94" spans="1:12" s="1" customFormat="1">
      <c r="A94" s="15"/>
      <c r="B94" s="11" t="s">
        <v>665</v>
      </c>
      <c r="C94" s="11" t="s">
        <v>56</v>
      </c>
      <c r="D94" s="9" t="s">
        <v>666</v>
      </c>
      <c r="E94" s="16"/>
      <c r="F94" s="17"/>
      <c r="G94" s="17" t="s">
        <v>1143</v>
      </c>
      <c r="H94" s="18"/>
      <c r="I94" s="17"/>
      <c r="J94" s="19" t="s">
        <v>1186</v>
      </c>
      <c r="K94" s="19" t="s">
        <v>44</v>
      </c>
      <c r="L94" s="19" t="s">
        <v>67</v>
      </c>
    </row>
    <row r="95" spans="1:12" s="1" customFormat="1">
      <c r="A95" s="15"/>
      <c r="B95" s="11" t="s">
        <v>667</v>
      </c>
      <c r="C95" s="11" t="s">
        <v>56</v>
      </c>
      <c r="D95" s="9" t="s">
        <v>2682</v>
      </c>
      <c r="E95" s="16"/>
      <c r="F95" s="17"/>
      <c r="G95" s="17" t="s">
        <v>1144</v>
      </c>
      <c r="H95" s="18"/>
      <c r="I95" s="17"/>
      <c r="J95" s="19" t="s">
        <v>1186</v>
      </c>
      <c r="K95" s="19" t="s">
        <v>762</v>
      </c>
      <c r="L95" s="19" t="s">
        <v>67</v>
      </c>
    </row>
    <row r="96" spans="1:12" s="1" customFormat="1">
      <c r="A96" s="15"/>
      <c r="B96" s="11" t="s">
        <v>315</v>
      </c>
      <c r="C96" s="11" t="s">
        <v>45</v>
      </c>
      <c r="D96" s="9" t="s">
        <v>112</v>
      </c>
      <c r="E96" s="16"/>
      <c r="F96" s="17"/>
      <c r="G96" s="17" t="s">
        <v>1145</v>
      </c>
      <c r="H96" s="18"/>
      <c r="I96" s="17"/>
      <c r="J96" s="19" t="s">
        <v>1186</v>
      </c>
      <c r="K96" s="19" t="s">
        <v>44</v>
      </c>
      <c r="L96" s="19" t="s">
        <v>67</v>
      </c>
    </row>
    <row r="97" spans="1:12" s="1" customFormat="1">
      <c r="A97" s="15"/>
      <c r="B97" s="11" t="s">
        <v>689</v>
      </c>
      <c r="C97" s="11" t="s">
        <v>45</v>
      </c>
      <c r="D97" s="9" t="s">
        <v>690</v>
      </c>
      <c r="E97" s="16"/>
      <c r="F97" s="17"/>
      <c r="G97" s="17" t="s">
        <v>1216</v>
      </c>
      <c r="H97" s="18"/>
      <c r="I97" s="17"/>
      <c r="J97" s="19" t="s">
        <v>1186</v>
      </c>
      <c r="K97" s="19" t="s">
        <v>44</v>
      </c>
      <c r="L97" s="19" t="s">
        <v>67</v>
      </c>
    </row>
    <row r="98" spans="1:12" s="1" customFormat="1">
      <c r="A98" s="15"/>
      <c r="B98" s="11" t="s">
        <v>691</v>
      </c>
      <c r="C98" s="11" t="s">
        <v>45</v>
      </c>
      <c r="D98" s="9" t="s">
        <v>692</v>
      </c>
      <c r="E98" s="16"/>
      <c r="F98" s="17"/>
      <c r="G98" s="17" t="s">
        <v>1217</v>
      </c>
      <c r="H98" s="18"/>
      <c r="I98" s="17"/>
      <c r="J98" s="19" t="s">
        <v>1186</v>
      </c>
      <c r="K98" s="19" t="s">
        <v>44</v>
      </c>
      <c r="L98" s="19" t="s">
        <v>67</v>
      </c>
    </row>
    <row r="99" spans="1:12" s="1" customFormat="1">
      <c r="A99" s="15"/>
      <c r="B99" s="11" t="s">
        <v>693</v>
      </c>
      <c r="C99" s="11" t="s">
        <v>45</v>
      </c>
      <c r="D99" s="9" t="s">
        <v>694</v>
      </c>
      <c r="E99" s="16"/>
      <c r="F99" s="17"/>
      <c r="G99" s="17" t="s">
        <v>1218</v>
      </c>
      <c r="H99" s="18"/>
      <c r="I99" s="17"/>
      <c r="J99" s="19" t="s">
        <v>1186</v>
      </c>
      <c r="K99" s="19" t="s">
        <v>44</v>
      </c>
      <c r="L99" s="19" t="s">
        <v>67</v>
      </c>
    </row>
    <row r="100" spans="1:12" s="1" customFormat="1">
      <c r="A100" s="15"/>
      <c r="B100" s="11" t="s">
        <v>695</v>
      </c>
      <c r="C100" s="11" t="s">
        <v>45</v>
      </c>
      <c r="D100" s="9" t="s">
        <v>696</v>
      </c>
      <c r="E100" s="16"/>
      <c r="F100" s="17"/>
      <c r="G100" s="17" t="s">
        <v>1219</v>
      </c>
      <c r="H100" s="18"/>
      <c r="I100" s="17"/>
      <c r="J100" s="19" t="s">
        <v>1186</v>
      </c>
      <c r="K100" s="19" t="s">
        <v>44</v>
      </c>
      <c r="L100" s="19" t="s">
        <v>67</v>
      </c>
    </row>
    <row r="101" spans="1:12" s="1" customFormat="1">
      <c r="A101" s="15"/>
      <c r="B101" s="11" t="s">
        <v>697</v>
      </c>
      <c r="C101" s="11" t="s">
        <v>45</v>
      </c>
      <c r="D101" s="9" t="s">
        <v>698</v>
      </c>
      <c r="E101" s="16"/>
      <c r="F101" s="17"/>
      <c r="G101" s="17" t="s">
        <v>1220</v>
      </c>
      <c r="H101" s="18"/>
      <c r="I101" s="17"/>
      <c r="J101" s="19" t="s">
        <v>1186</v>
      </c>
      <c r="K101" s="19" t="s">
        <v>44</v>
      </c>
      <c r="L101" s="19" t="s">
        <v>67</v>
      </c>
    </row>
    <row r="102" spans="1:12" s="1" customFormat="1">
      <c r="A102" s="15"/>
      <c r="B102" s="11" t="s">
        <v>699</v>
      </c>
      <c r="C102" s="11" t="s">
        <v>45</v>
      </c>
      <c r="D102" s="9" t="s">
        <v>700</v>
      </c>
      <c r="E102" s="16"/>
      <c r="F102" s="17"/>
      <c r="G102" s="17" t="s">
        <v>1221</v>
      </c>
      <c r="H102" s="18"/>
      <c r="I102" s="17"/>
      <c r="J102" s="19" t="s">
        <v>1186</v>
      </c>
      <c r="K102" s="19" t="s">
        <v>44</v>
      </c>
      <c r="L102" s="19" t="s">
        <v>67</v>
      </c>
    </row>
    <row r="103" spans="1:12" s="1" customFormat="1">
      <c r="A103" s="15"/>
      <c r="B103" s="11" t="s">
        <v>701</v>
      </c>
      <c r="C103" s="11" t="s">
        <v>45</v>
      </c>
      <c r="D103" s="9" t="s">
        <v>702</v>
      </c>
      <c r="E103" s="16"/>
      <c r="F103" s="17"/>
      <c r="G103" s="17" t="s">
        <v>1222</v>
      </c>
      <c r="H103" s="18"/>
      <c r="I103" s="17"/>
      <c r="J103" s="19" t="s">
        <v>1186</v>
      </c>
      <c r="K103" s="19" t="s">
        <v>44</v>
      </c>
      <c r="L103" s="19" t="s">
        <v>67</v>
      </c>
    </row>
    <row r="104" spans="1:12" s="1" customFormat="1">
      <c r="A104" s="15"/>
      <c r="B104" s="11" t="s">
        <v>703</v>
      </c>
      <c r="C104" s="11" t="s">
        <v>45</v>
      </c>
      <c r="D104" s="9" t="s">
        <v>704</v>
      </c>
      <c r="E104" s="16"/>
      <c r="F104" s="17"/>
      <c r="G104" s="17" t="s">
        <v>1223</v>
      </c>
      <c r="H104" s="18"/>
      <c r="I104" s="17"/>
      <c r="J104" s="19" t="s">
        <v>1186</v>
      </c>
      <c r="K104" s="19" t="s">
        <v>44</v>
      </c>
      <c r="L104" s="19" t="s">
        <v>67</v>
      </c>
    </row>
    <row r="105" spans="1:12" s="1" customFormat="1">
      <c r="A105" s="15"/>
      <c r="B105" s="11" t="s">
        <v>705</v>
      </c>
      <c r="C105" s="11" t="s">
        <v>45</v>
      </c>
      <c r="D105" s="9" t="s">
        <v>706</v>
      </c>
      <c r="E105" s="16"/>
      <c r="F105" s="17"/>
      <c r="G105" s="17" t="s">
        <v>1224</v>
      </c>
      <c r="H105" s="18"/>
      <c r="I105" s="17"/>
      <c r="J105" s="19" t="s">
        <v>1186</v>
      </c>
      <c r="K105" s="19" t="s">
        <v>44</v>
      </c>
      <c r="L105" s="19" t="s">
        <v>67</v>
      </c>
    </row>
    <row r="106" spans="1:12" s="1" customFormat="1">
      <c r="A106" s="15"/>
      <c r="B106" s="11" t="s">
        <v>707</v>
      </c>
      <c r="C106" s="11" t="s">
        <v>45</v>
      </c>
      <c r="D106" s="9" t="s">
        <v>708</v>
      </c>
      <c r="E106" s="16"/>
      <c r="F106" s="17"/>
      <c r="G106" s="17" t="s">
        <v>1225</v>
      </c>
      <c r="H106" s="18"/>
      <c r="I106" s="17"/>
      <c r="J106" s="19" t="s">
        <v>1186</v>
      </c>
      <c r="K106" s="19" t="s">
        <v>44</v>
      </c>
      <c r="L106" s="19" t="s">
        <v>67</v>
      </c>
    </row>
    <row r="107" spans="1:12" s="1" customFormat="1">
      <c r="A107" s="15"/>
      <c r="B107" s="11" t="s">
        <v>709</v>
      </c>
      <c r="C107" s="11" t="s">
        <v>45</v>
      </c>
      <c r="D107" s="9" t="s">
        <v>710</v>
      </c>
      <c r="E107" s="16"/>
      <c r="F107" s="17"/>
      <c r="G107" s="17" t="s">
        <v>1226</v>
      </c>
      <c r="H107" s="18"/>
      <c r="I107" s="17"/>
      <c r="J107" s="19" t="s">
        <v>1186</v>
      </c>
      <c r="K107" s="19" t="s">
        <v>44</v>
      </c>
      <c r="L107" s="19" t="s">
        <v>67</v>
      </c>
    </row>
    <row r="108" spans="1:12" s="1" customFormat="1">
      <c r="A108" s="15"/>
      <c r="B108" s="11" t="s">
        <v>711</v>
      </c>
      <c r="C108" s="11" t="s">
        <v>45</v>
      </c>
      <c r="D108" s="9" t="s">
        <v>712</v>
      </c>
      <c r="E108" s="16"/>
      <c r="F108" s="17"/>
      <c r="G108" s="17" t="s">
        <v>1227</v>
      </c>
      <c r="H108" s="18"/>
      <c r="I108" s="17"/>
      <c r="J108" s="19" t="s">
        <v>1186</v>
      </c>
      <c r="K108" s="19" t="s">
        <v>44</v>
      </c>
      <c r="L108" s="19" t="s">
        <v>67</v>
      </c>
    </row>
    <row r="109" spans="1:12" s="1" customFormat="1">
      <c r="A109" s="15"/>
      <c r="B109" s="11" t="s">
        <v>713</v>
      </c>
      <c r="C109" s="11" t="s">
        <v>45</v>
      </c>
      <c r="D109" s="9" t="s">
        <v>714</v>
      </c>
      <c r="E109" s="16"/>
      <c r="F109" s="17"/>
      <c r="G109" s="17" t="s">
        <v>1228</v>
      </c>
      <c r="H109" s="18"/>
      <c r="I109" s="17"/>
      <c r="J109" s="19" t="s">
        <v>1186</v>
      </c>
      <c r="K109" s="19" t="s">
        <v>44</v>
      </c>
      <c r="L109" s="19" t="s">
        <v>67</v>
      </c>
    </row>
    <row r="110" spans="1:12" s="1" customFormat="1">
      <c r="A110" s="15"/>
      <c r="B110" s="11" t="s">
        <v>715</v>
      </c>
      <c r="C110" s="11" t="s">
        <v>45</v>
      </c>
      <c r="D110" s="9" t="s">
        <v>716</v>
      </c>
      <c r="E110" s="16"/>
      <c r="F110" s="17"/>
      <c r="G110" s="17" t="s">
        <v>1229</v>
      </c>
      <c r="H110" s="18"/>
      <c r="I110" s="17"/>
      <c r="J110" s="19" t="s">
        <v>1186</v>
      </c>
      <c r="K110" s="19" t="s">
        <v>44</v>
      </c>
      <c r="L110" s="19" t="s">
        <v>67</v>
      </c>
    </row>
    <row r="111" spans="1:12" s="1" customFormat="1">
      <c r="A111" s="15"/>
      <c r="B111" s="11" t="s">
        <v>717</v>
      </c>
      <c r="C111" s="11" t="s">
        <v>45</v>
      </c>
      <c r="D111" s="9" t="s">
        <v>718</v>
      </c>
      <c r="E111" s="16"/>
      <c r="F111" s="17"/>
      <c r="G111" s="17" t="s">
        <v>1230</v>
      </c>
      <c r="H111" s="18"/>
      <c r="I111" s="17"/>
      <c r="J111" s="19" t="s">
        <v>1186</v>
      </c>
      <c r="K111" s="19" t="s">
        <v>44</v>
      </c>
      <c r="L111" s="19" t="s">
        <v>67</v>
      </c>
    </row>
    <row r="112" spans="1:12" s="1" customFormat="1">
      <c r="A112" s="15"/>
      <c r="B112" s="11" t="s">
        <v>719</v>
      </c>
      <c r="C112" s="11" t="s">
        <v>45</v>
      </c>
      <c r="D112" s="9" t="s">
        <v>720</v>
      </c>
      <c r="E112" s="16"/>
      <c r="F112" s="17"/>
      <c r="G112" s="17" t="s">
        <v>1231</v>
      </c>
      <c r="H112" s="18"/>
      <c r="I112" s="17"/>
      <c r="J112" s="19" t="s">
        <v>1186</v>
      </c>
      <c r="K112" s="19" t="s">
        <v>44</v>
      </c>
      <c r="L112" s="19" t="s">
        <v>67</v>
      </c>
    </row>
    <row r="113" spans="1:12" s="1" customFormat="1">
      <c r="A113" s="15"/>
      <c r="B113" s="11" t="s">
        <v>721</v>
      </c>
      <c r="C113" s="11" t="s">
        <v>45</v>
      </c>
      <c r="D113" s="9" t="s">
        <v>722</v>
      </c>
      <c r="E113" s="16"/>
      <c r="F113" s="17"/>
      <c r="G113" s="17" t="s">
        <v>1232</v>
      </c>
      <c r="H113" s="18"/>
      <c r="I113" s="17"/>
      <c r="J113" s="19" t="s">
        <v>1186</v>
      </c>
      <c r="K113" s="19" t="s">
        <v>44</v>
      </c>
      <c r="L113" s="19" t="s">
        <v>67</v>
      </c>
    </row>
    <row r="114" spans="1:12" s="1" customFormat="1">
      <c r="A114" s="15"/>
      <c r="B114" s="11" t="s">
        <v>723</v>
      </c>
      <c r="C114" s="11" t="s">
        <v>45</v>
      </c>
      <c r="D114" s="9" t="s">
        <v>724</v>
      </c>
      <c r="E114" s="16"/>
      <c r="F114" s="17"/>
      <c r="G114" s="17" t="s">
        <v>1233</v>
      </c>
      <c r="H114" s="18"/>
      <c r="I114" s="17"/>
      <c r="J114" s="19" t="s">
        <v>1186</v>
      </c>
      <c r="K114" s="19" t="s">
        <v>44</v>
      </c>
      <c r="L114" s="19" t="s">
        <v>67</v>
      </c>
    </row>
    <row r="115" spans="1:12" s="1" customFormat="1">
      <c r="A115" s="15"/>
      <c r="B115" s="11" t="s">
        <v>725</v>
      </c>
      <c r="C115" s="11" t="s">
        <v>45</v>
      </c>
      <c r="D115" s="9" t="s">
        <v>726</v>
      </c>
      <c r="E115" s="16"/>
      <c r="F115" s="17"/>
      <c r="G115" s="17" t="s">
        <v>1234</v>
      </c>
      <c r="H115" s="18"/>
      <c r="I115" s="17"/>
      <c r="J115" s="19" t="s">
        <v>1186</v>
      </c>
      <c r="K115" s="19" t="s">
        <v>44</v>
      </c>
      <c r="L115" s="19" t="s">
        <v>67</v>
      </c>
    </row>
    <row r="116" spans="1:12" s="1" customFormat="1">
      <c r="A116" s="15"/>
      <c r="B116" s="11" t="s">
        <v>727</v>
      </c>
      <c r="C116" s="11" t="s">
        <v>45</v>
      </c>
      <c r="D116" s="9" t="s">
        <v>728</v>
      </c>
      <c r="E116" s="16"/>
      <c r="F116" s="17"/>
      <c r="G116" s="17" t="s">
        <v>1235</v>
      </c>
      <c r="H116" s="18"/>
      <c r="I116" s="17"/>
      <c r="J116" s="19" t="s">
        <v>1186</v>
      </c>
      <c r="K116" s="19" t="s">
        <v>44</v>
      </c>
      <c r="L116" s="19" t="s">
        <v>67</v>
      </c>
    </row>
    <row r="117" spans="1:12" s="1" customFormat="1">
      <c r="A117" s="15"/>
      <c r="B117" s="11" t="s">
        <v>729</v>
      </c>
      <c r="C117" s="11" t="s">
        <v>45</v>
      </c>
      <c r="D117" s="9" t="s">
        <v>730</v>
      </c>
      <c r="E117" s="16"/>
      <c r="F117" s="17"/>
      <c r="G117" s="17" t="s">
        <v>1236</v>
      </c>
      <c r="H117" s="18"/>
      <c r="I117" s="17"/>
      <c r="J117" s="19" t="s">
        <v>1186</v>
      </c>
      <c r="K117" s="19" t="s">
        <v>44</v>
      </c>
      <c r="L117" s="19" t="s">
        <v>67</v>
      </c>
    </row>
    <row r="118" spans="1:12" s="1" customFormat="1">
      <c r="A118" s="15"/>
      <c r="B118" s="11" t="s">
        <v>731</v>
      </c>
      <c r="C118" s="11" t="s">
        <v>45</v>
      </c>
      <c r="D118" s="9" t="s">
        <v>732</v>
      </c>
      <c r="E118" s="16"/>
      <c r="F118" s="17"/>
      <c r="G118" s="17" t="s">
        <v>1237</v>
      </c>
      <c r="H118" s="18"/>
      <c r="I118" s="17"/>
      <c r="J118" s="19" t="s">
        <v>1186</v>
      </c>
      <c r="K118" s="19" t="s">
        <v>44</v>
      </c>
      <c r="L118" s="19" t="s">
        <v>67</v>
      </c>
    </row>
    <row r="119" spans="1:12" s="1" customFormat="1">
      <c r="A119" s="15"/>
      <c r="B119" s="11" t="s">
        <v>733</v>
      </c>
      <c r="C119" s="11" t="s">
        <v>45</v>
      </c>
      <c r="D119" s="9" t="s">
        <v>734</v>
      </c>
      <c r="E119" s="16"/>
      <c r="F119" s="17"/>
      <c r="G119" s="17" t="s">
        <v>1238</v>
      </c>
      <c r="H119" s="18"/>
      <c r="I119" s="17"/>
      <c r="J119" s="19" t="s">
        <v>1186</v>
      </c>
      <c r="K119" s="19" t="s">
        <v>44</v>
      </c>
      <c r="L119" s="19" t="s">
        <v>67</v>
      </c>
    </row>
    <row r="120" spans="1:12" s="1" customFormat="1">
      <c r="A120" s="15"/>
      <c r="B120" s="11" t="s">
        <v>735</v>
      </c>
      <c r="C120" s="11" t="s">
        <v>45</v>
      </c>
      <c r="D120" s="9" t="s">
        <v>736</v>
      </c>
      <c r="E120" s="16"/>
      <c r="F120" s="17"/>
      <c r="G120" s="17" t="s">
        <v>1239</v>
      </c>
      <c r="H120" s="18"/>
      <c r="I120" s="17"/>
      <c r="J120" s="19" t="s">
        <v>1186</v>
      </c>
      <c r="K120" s="19" t="s">
        <v>44</v>
      </c>
      <c r="L120" s="19" t="s">
        <v>67</v>
      </c>
    </row>
    <row r="121" spans="1:12" s="1" customFormat="1">
      <c r="A121" s="15"/>
      <c r="B121" s="11" t="s">
        <v>737</v>
      </c>
      <c r="C121" s="11" t="s">
        <v>45</v>
      </c>
      <c r="D121" s="9" t="s">
        <v>738</v>
      </c>
      <c r="E121" s="16"/>
      <c r="F121" s="17"/>
      <c r="G121" s="17" t="s">
        <v>1240</v>
      </c>
      <c r="H121" s="18"/>
      <c r="I121" s="17"/>
      <c r="J121" s="19" t="s">
        <v>1186</v>
      </c>
      <c r="K121" s="19" t="s">
        <v>44</v>
      </c>
      <c r="L121" s="19" t="s">
        <v>67</v>
      </c>
    </row>
    <row r="122" spans="1:12" s="1" customFormat="1">
      <c r="A122" s="15"/>
      <c r="B122" s="11" t="s">
        <v>739</v>
      </c>
      <c r="C122" s="11" t="s">
        <v>45</v>
      </c>
      <c r="D122" s="9" t="s">
        <v>740</v>
      </c>
      <c r="E122" s="16"/>
      <c r="F122" s="17"/>
      <c r="G122" s="17" t="s">
        <v>1241</v>
      </c>
      <c r="H122" s="18"/>
      <c r="I122" s="17"/>
      <c r="J122" s="19" t="s">
        <v>1186</v>
      </c>
      <c r="K122" s="19" t="s">
        <v>44</v>
      </c>
      <c r="L122" s="19" t="s">
        <v>67</v>
      </c>
    </row>
    <row r="123" spans="1:12" s="1" customFormat="1">
      <c r="A123" s="15"/>
      <c r="B123" s="11" t="s">
        <v>741</v>
      </c>
      <c r="C123" s="11" t="s">
        <v>45</v>
      </c>
      <c r="D123" s="9" t="s">
        <v>742</v>
      </c>
      <c r="E123" s="16"/>
      <c r="F123" s="17"/>
      <c r="G123" s="17" t="s">
        <v>1242</v>
      </c>
      <c r="H123" s="18"/>
      <c r="I123" s="17"/>
      <c r="J123" s="19" t="s">
        <v>1186</v>
      </c>
      <c r="K123" s="19" t="s">
        <v>44</v>
      </c>
      <c r="L123" s="19" t="s">
        <v>67</v>
      </c>
    </row>
    <row r="124" spans="1:12" s="1" customFormat="1">
      <c r="A124" s="15"/>
      <c r="B124" s="11" t="s">
        <v>743</v>
      </c>
      <c r="C124" s="11" t="s">
        <v>45</v>
      </c>
      <c r="D124" s="9" t="s">
        <v>744</v>
      </c>
      <c r="E124" s="16"/>
      <c r="F124" s="17"/>
      <c r="G124" s="17" t="s">
        <v>1243</v>
      </c>
      <c r="H124" s="18"/>
      <c r="I124" s="17"/>
      <c r="J124" s="19" t="s">
        <v>1186</v>
      </c>
      <c r="K124" s="19" t="s">
        <v>44</v>
      </c>
      <c r="L124" s="19" t="s">
        <v>67</v>
      </c>
    </row>
    <row r="125" spans="1:12" s="1" customFormat="1">
      <c r="A125" s="15"/>
      <c r="B125" s="11" t="s">
        <v>745</v>
      </c>
      <c r="C125" s="11" t="s">
        <v>45</v>
      </c>
      <c r="D125" s="9" t="s">
        <v>746</v>
      </c>
      <c r="E125" s="16"/>
      <c r="F125" s="17"/>
      <c r="G125" s="17" t="s">
        <v>1244</v>
      </c>
      <c r="H125" s="18"/>
      <c r="I125" s="17"/>
      <c r="J125" s="19" t="s">
        <v>1186</v>
      </c>
      <c r="K125" s="19" t="s">
        <v>44</v>
      </c>
      <c r="L125" s="19" t="s">
        <v>67</v>
      </c>
    </row>
    <row r="126" spans="1:12" s="1" customFormat="1">
      <c r="A126" s="15"/>
      <c r="B126" s="11" t="s">
        <v>747</v>
      </c>
      <c r="C126" s="11" t="s">
        <v>45</v>
      </c>
      <c r="D126" s="9" t="s">
        <v>748</v>
      </c>
      <c r="E126" s="16"/>
      <c r="F126" s="17"/>
      <c r="G126" s="17" t="s">
        <v>1245</v>
      </c>
      <c r="H126" s="18"/>
      <c r="I126" s="17"/>
      <c r="J126" s="19" t="s">
        <v>1186</v>
      </c>
      <c r="K126" s="19" t="s">
        <v>44</v>
      </c>
      <c r="L126" s="19" t="s">
        <v>67</v>
      </c>
    </row>
    <row r="127" spans="1:12" s="1" customFormat="1">
      <c r="A127" s="15"/>
      <c r="B127" s="11" t="s">
        <v>749</v>
      </c>
      <c r="C127" s="11" t="s">
        <v>45</v>
      </c>
      <c r="D127" s="9" t="s">
        <v>750</v>
      </c>
      <c r="E127" s="16"/>
      <c r="F127" s="17"/>
      <c r="G127" s="17" t="s">
        <v>1246</v>
      </c>
      <c r="H127" s="18"/>
      <c r="I127" s="17"/>
      <c r="J127" s="19" t="s">
        <v>1186</v>
      </c>
      <c r="K127" s="19" t="s">
        <v>44</v>
      </c>
      <c r="L127" s="19" t="s">
        <v>67</v>
      </c>
    </row>
    <row r="128" spans="1:12" s="1" customFormat="1">
      <c r="A128" s="15"/>
      <c r="B128" s="11" t="s">
        <v>751</v>
      </c>
      <c r="C128" s="11" t="s">
        <v>45</v>
      </c>
      <c r="D128" s="9" t="s">
        <v>752</v>
      </c>
      <c r="E128" s="16"/>
      <c r="F128" s="17"/>
      <c r="G128" s="17" t="s">
        <v>1247</v>
      </c>
      <c r="H128" s="18"/>
      <c r="I128" s="17"/>
      <c r="J128" s="19" t="s">
        <v>1186</v>
      </c>
      <c r="K128" s="19" t="s">
        <v>44</v>
      </c>
      <c r="L128" s="19" t="s">
        <v>67</v>
      </c>
    </row>
    <row r="129" spans="1:14" s="1" customFormat="1">
      <c r="A129" s="15"/>
      <c r="B129" s="11" t="s">
        <v>753</v>
      </c>
      <c r="C129" s="11" t="s">
        <v>45</v>
      </c>
      <c r="D129" s="9" t="s">
        <v>754</v>
      </c>
      <c r="E129" s="16"/>
      <c r="F129" s="17"/>
      <c r="G129" s="17" t="s">
        <v>1248</v>
      </c>
      <c r="H129" s="18"/>
      <c r="I129" s="17"/>
      <c r="J129" s="19" t="s">
        <v>1186</v>
      </c>
      <c r="K129" s="19" t="s">
        <v>44</v>
      </c>
      <c r="L129" s="19" t="s">
        <v>67</v>
      </c>
    </row>
    <row r="130" spans="1:14" s="1" customFormat="1">
      <c r="A130" s="15"/>
      <c r="B130" s="11" t="s">
        <v>755</v>
      </c>
      <c r="C130" s="11" t="s">
        <v>45</v>
      </c>
      <c r="D130" s="9" t="s">
        <v>756</v>
      </c>
      <c r="E130" s="16"/>
      <c r="F130" s="17"/>
      <c r="G130" s="17" t="s">
        <v>1249</v>
      </c>
      <c r="H130" s="18"/>
      <c r="I130" s="17"/>
      <c r="J130" s="19" t="s">
        <v>1186</v>
      </c>
      <c r="K130" s="19" t="s">
        <v>44</v>
      </c>
      <c r="L130" s="19" t="s">
        <v>67</v>
      </c>
    </row>
    <row r="131" spans="1:14" s="1" customFormat="1">
      <c r="A131" s="15"/>
      <c r="B131" s="11" t="s">
        <v>757</v>
      </c>
      <c r="C131" s="11" t="s">
        <v>45</v>
      </c>
      <c r="D131" s="9" t="s">
        <v>758</v>
      </c>
      <c r="E131" s="16"/>
      <c r="F131" s="17"/>
      <c r="G131" s="17" t="s">
        <v>1250</v>
      </c>
      <c r="H131" s="18"/>
      <c r="I131" s="17"/>
      <c r="J131" s="19" t="s">
        <v>1186</v>
      </c>
      <c r="K131" s="19" t="s">
        <v>44</v>
      </c>
      <c r="L131" s="19" t="s">
        <v>67</v>
      </c>
    </row>
    <row r="132" spans="1:14" s="3" customFormat="1">
      <c r="B132" s="23" t="s">
        <v>47</v>
      </c>
      <c r="C132" s="24" t="s">
        <v>46</v>
      </c>
      <c r="D132" s="21" t="s">
        <v>48</v>
      </c>
      <c r="E132" s="25"/>
      <c r="F132" s="25"/>
      <c r="G132" s="25"/>
      <c r="H132" s="25"/>
      <c r="I132" s="23"/>
      <c r="J132" s="23"/>
      <c r="K132" s="23"/>
      <c r="L132" s="23"/>
      <c r="M132" s="23"/>
      <c r="N132" s="23"/>
    </row>
    <row r="133" spans="1:14" s="3" customFormat="1">
      <c r="B133" s="23" t="s">
        <v>49</v>
      </c>
      <c r="C133" s="24" t="s">
        <v>43</v>
      </c>
      <c r="D133" s="21" t="s">
        <v>50</v>
      </c>
      <c r="E133" s="25"/>
      <c r="F133" s="25"/>
      <c r="G133" s="25"/>
      <c r="H133" s="25"/>
      <c r="I133" s="23"/>
      <c r="J133" s="23"/>
      <c r="K133" s="23"/>
      <c r="L133" s="23"/>
      <c r="M133" s="23"/>
      <c r="N133" s="23"/>
    </row>
    <row r="134" spans="1:14" s="3" customFormat="1">
      <c r="B134" s="23" t="s">
        <v>51</v>
      </c>
      <c r="C134" s="24" t="s">
        <v>46</v>
      </c>
      <c r="D134" s="21" t="s">
        <v>52</v>
      </c>
      <c r="E134" s="25"/>
      <c r="F134" s="25"/>
      <c r="G134" s="25"/>
      <c r="H134" s="25"/>
      <c r="I134" s="23"/>
      <c r="J134" s="23"/>
      <c r="K134" s="23"/>
      <c r="L134" s="23"/>
      <c r="M134" s="23"/>
      <c r="N134" s="23"/>
    </row>
  </sheetData>
  <autoFilter ref="A13:N134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D31C-AFD2-4455-908C-2678CA688B83}">
  <sheetPr codeName="Sheet8"/>
  <dimension ref="A1:Q132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7.441406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1251</v>
      </c>
      <c r="D5" s="10" t="s">
        <v>1253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1065</v>
      </c>
      <c r="D9" s="10" t="s">
        <v>1066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3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1068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3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61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62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64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3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65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66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95</v>
      </c>
      <c r="C23" s="11" t="s">
        <v>93</v>
      </c>
      <c r="D23" s="9" t="s">
        <v>114</v>
      </c>
      <c r="E23" s="16" t="s">
        <v>128</v>
      </c>
      <c r="F23" s="9" t="s">
        <v>1069</v>
      </c>
      <c r="G23" s="17" t="s">
        <v>129</v>
      </c>
      <c r="H23" s="18"/>
      <c r="I23" s="35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78</v>
      </c>
      <c r="C24" s="11" t="s">
        <v>93</v>
      </c>
      <c r="D24" s="9" t="s">
        <v>103</v>
      </c>
      <c r="E24" s="16" t="s">
        <v>128</v>
      </c>
      <c r="F24" s="17" t="s">
        <v>78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3" s="1" customFormat="1">
      <c r="B25" s="22" t="s">
        <v>86</v>
      </c>
      <c r="C25" s="11" t="s">
        <v>43</v>
      </c>
      <c r="D25" s="9" t="s">
        <v>108</v>
      </c>
      <c r="E25" s="16" t="s">
        <v>128</v>
      </c>
      <c r="F25" s="17" t="s">
        <v>86</v>
      </c>
      <c r="G25" s="17" t="s">
        <v>129</v>
      </c>
      <c r="H25" s="18"/>
      <c r="I25" s="19"/>
      <c r="J25" s="19" t="s">
        <v>131</v>
      </c>
      <c r="K25" s="19" t="s">
        <v>132</v>
      </c>
      <c r="L25" s="19" t="s">
        <v>44</v>
      </c>
    </row>
    <row r="26" spans="1:13" s="1" customFormat="1">
      <c r="A26" s="15"/>
      <c r="B26" s="11" t="s">
        <v>81</v>
      </c>
      <c r="C26" s="11" t="s">
        <v>43</v>
      </c>
      <c r="D26" s="9" t="s">
        <v>57</v>
      </c>
      <c r="E26" s="16" t="s">
        <v>128</v>
      </c>
      <c r="F26" s="17" t="s">
        <v>81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58</v>
      </c>
      <c r="C27" s="11" t="s">
        <v>43</v>
      </c>
      <c r="D27" s="9" t="s">
        <v>59</v>
      </c>
      <c r="E27" s="16" t="s">
        <v>128</v>
      </c>
      <c r="F27" s="9" t="s">
        <v>58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A28" s="15"/>
      <c r="B28" s="11" t="s">
        <v>82</v>
      </c>
      <c r="C28" s="11" t="s">
        <v>43</v>
      </c>
      <c r="D28" s="9" t="s">
        <v>105</v>
      </c>
      <c r="E28" s="16" t="s">
        <v>128</v>
      </c>
      <c r="F28" s="17" t="s">
        <v>82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3" s="1" customFormat="1">
      <c r="B29" s="22" t="s">
        <v>85</v>
      </c>
      <c r="C29" s="11" t="s">
        <v>43</v>
      </c>
      <c r="D29" s="9" t="s">
        <v>107</v>
      </c>
      <c r="E29" s="16" t="s">
        <v>128</v>
      </c>
      <c r="F29" s="17" t="s">
        <v>85</v>
      </c>
      <c r="G29" s="17" t="s">
        <v>129</v>
      </c>
      <c r="H29" s="18"/>
      <c r="I29" s="19"/>
      <c r="J29" s="19" t="s">
        <v>131</v>
      </c>
      <c r="K29" s="19" t="s">
        <v>132</v>
      </c>
      <c r="L29" s="19" t="s">
        <v>44</v>
      </c>
    </row>
    <row r="30" spans="1:13" s="1" customFormat="1">
      <c r="B30" s="22" t="s">
        <v>507</v>
      </c>
      <c r="C30" s="62" t="s">
        <v>43</v>
      </c>
      <c r="D30" s="9" t="s">
        <v>626</v>
      </c>
      <c r="E30" s="16" t="s">
        <v>128</v>
      </c>
      <c r="F30" s="9" t="s">
        <v>507</v>
      </c>
      <c r="G30" s="17" t="s">
        <v>129</v>
      </c>
      <c r="H30" s="18"/>
      <c r="I30" s="19"/>
      <c r="J30" s="19" t="s">
        <v>131</v>
      </c>
      <c r="K30" s="19" t="s">
        <v>132</v>
      </c>
      <c r="L30" s="19" t="s">
        <v>632</v>
      </c>
    </row>
    <row r="31" spans="1:13" s="15" customFormat="1">
      <c r="B31" s="22" t="s">
        <v>87</v>
      </c>
      <c r="C31" s="11" t="s">
        <v>43</v>
      </c>
      <c r="D31" s="9" t="s">
        <v>109</v>
      </c>
      <c r="E31" s="16" t="s">
        <v>128</v>
      </c>
      <c r="F31" s="17" t="s">
        <v>87</v>
      </c>
      <c r="G31" s="17" t="s">
        <v>129</v>
      </c>
      <c r="H31" s="18"/>
      <c r="I31" s="20"/>
      <c r="J31" s="19" t="s">
        <v>131</v>
      </c>
      <c r="K31" s="19" t="s">
        <v>132</v>
      </c>
      <c r="L31" s="19" t="s">
        <v>679</v>
      </c>
      <c r="M31" s="1"/>
    </row>
    <row r="32" spans="1:13" s="1" customFormat="1">
      <c r="A32" s="15"/>
      <c r="B32" s="11" t="s">
        <v>1072</v>
      </c>
      <c r="C32" s="11" t="s">
        <v>45</v>
      </c>
      <c r="D32" s="9" t="s">
        <v>146</v>
      </c>
      <c r="E32" s="16" t="s">
        <v>128</v>
      </c>
      <c r="F32" s="17"/>
      <c r="G32" s="17" t="s">
        <v>1073</v>
      </c>
      <c r="H32" s="18"/>
      <c r="I32" s="17"/>
      <c r="J32" s="19" t="s">
        <v>133</v>
      </c>
      <c r="K32" s="19" t="s">
        <v>132</v>
      </c>
      <c r="L32" s="19" t="s">
        <v>134</v>
      </c>
    </row>
    <row r="33" spans="1:12" s="1" customFormat="1">
      <c r="A33" s="15"/>
      <c r="B33" s="11" t="s">
        <v>189</v>
      </c>
      <c r="C33" s="11" t="s">
        <v>45</v>
      </c>
      <c r="D33" s="9" t="s">
        <v>190</v>
      </c>
      <c r="E33" s="16" t="s">
        <v>128</v>
      </c>
      <c r="F33" s="17"/>
      <c r="G33" s="17" t="s">
        <v>1259</v>
      </c>
      <c r="H33" s="18"/>
      <c r="I33" s="17"/>
      <c r="J33" s="19" t="s">
        <v>133</v>
      </c>
      <c r="K33" s="19" t="s">
        <v>132</v>
      </c>
      <c r="L33" s="19" t="s">
        <v>134</v>
      </c>
    </row>
    <row r="34" spans="1:12" s="1" customFormat="1">
      <c r="A34" s="15"/>
      <c r="B34" s="11" t="s">
        <v>192</v>
      </c>
      <c r="C34" s="11" t="s">
        <v>45</v>
      </c>
      <c r="D34" s="9" t="s">
        <v>193</v>
      </c>
      <c r="E34" s="16" t="s">
        <v>128</v>
      </c>
      <c r="F34" s="17"/>
      <c r="G34" s="17" t="s">
        <v>1074</v>
      </c>
      <c r="H34" s="18"/>
      <c r="I34" s="17"/>
      <c r="J34" s="19" t="s">
        <v>133</v>
      </c>
      <c r="K34" s="19" t="s">
        <v>132</v>
      </c>
      <c r="L34" s="19" t="s">
        <v>134</v>
      </c>
    </row>
    <row r="35" spans="1:12" s="1" customFormat="1">
      <c r="A35" s="15"/>
      <c r="B35" s="22" t="s">
        <v>255</v>
      </c>
      <c r="C35" s="22" t="s">
        <v>45</v>
      </c>
      <c r="D35" s="9" t="s">
        <v>348</v>
      </c>
      <c r="E35" s="16" t="s">
        <v>128</v>
      </c>
      <c r="F35" s="17"/>
      <c r="G35" s="17" t="s">
        <v>257</v>
      </c>
      <c r="H35" s="18"/>
      <c r="I35" s="17"/>
      <c r="J35" s="19" t="s">
        <v>133</v>
      </c>
      <c r="K35" s="19" t="s">
        <v>203</v>
      </c>
      <c r="L35" s="19" t="s">
        <v>134</v>
      </c>
    </row>
    <row r="36" spans="1:12" s="1" customFormat="1">
      <c r="A36" s="15"/>
      <c r="B36" s="11" t="s">
        <v>207</v>
      </c>
      <c r="C36" s="11" t="s">
        <v>45</v>
      </c>
      <c r="D36" s="9" t="s">
        <v>759</v>
      </c>
      <c r="E36" s="16" t="s">
        <v>128</v>
      </c>
      <c r="F36" s="72"/>
      <c r="G36" s="17" t="s">
        <v>320</v>
      </c>
      <c r="H36" s="18"/>
      <c r="I36" s="17"/>
      <c r="J36" s="19" t="s">
        <v>133</v>
      </c>
      <c r="K36" s="19" t="s">
        <v>204</v>
      </c>
      <c r="L36" s="19" t="s">
        <v>134</v>
      </c>
    </row>
    <row r="37" spans="1:12" s="1" customFormat="1">
      <c r="A37" s="15"/>
      <c r="B37" s="11" t="s">
        <v>208</v>
      </c>
      <c r="C37" s="11" t="s">
        <v>45</v>
      </c>
      <c r="D37" s="9" t="s">
        <v>160</v>
      </c>
      <c r="E37" s="16" t="s">
        <v>128</v>
      </c>
      <c r="F37" s="72"/>
      <c r="G37" s="17" t="s">
        <v>319</v>
      </c>
      <c r="H37" s="18"/>
      <c r="I37" s="17"/>
      <c r="J37" s="19" t="s">
        <v>133</v>
      </c>
      <c r="K37" s="19" t="s">
        <v>204</v>
      </c>
      <c r="L37" s="19" t="s">
        <v>134</v>
      </c>
    </row>
    <row r="38" spans="1:12" s="1" customFormat="1">
      <c r="A38" s="15"/>
      <c r="B38" s="11" t="s">
        <v>763</v>
      </c>
      <c r="C38" s="11" t="s">
        <v>45</v>
      </c>
      <c r="D38" s="9" t="s">
        <v>181</v>
      </c>
      <c r="E38" s="16" t="s">
        <v>128</v>
      </c>
      <c r="F38" s="72"/>
      <c r="G38" s="9" t="s">
        <v>1076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805</v>
      </c>
      <c r="C39" s="11" t="s">
        <v>45</v>
      </c>
      <c r="D39" s="9" t="s">
        <v>184</v>
      </c>
      <c r="E39" s="16" t="s">
        <v>128</v>
      </c>
      <c r="F39" s="72"/>
      <c r="G39" s="17" t="s">
        <v>1110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210</v>
      </c>
      <c r="C40" s="11" t="s">
        <v>45</v>
      </c>
      <c r="D40" s="9" t="s">
        <v>1056</v>
      </c>
      <c r="E40" s="16" t="s">
        <v>128</v>
      </c>
      <c r="F40" s="72"/>
      <c r="G40" s="17" t="s">
        <v>224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209</v>
      </c>
      <c r="C41" s="11" t="s">
        <v>45</v>
      </c>
      <c r="D41" s="9" t="s">
        <v>1055</v>
      </c>
      <c r="E41" s="16" t="s">
        <v>128</v>
      </c>
      <c r="F41" s="72"/>
      <c r="G41" s="17" t="s">
        <v>223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211</v>
      </c>
      <c r="C42" s="11" t="s">
        <v>45</v>
      </c>
      <c r="D42" s="9" t="s">
        <v>163</v>
      </c>
      <c r="E42" s="16" t="s">
        <v>128</v>
      </c>
      <c r="F42" s="72"/>
      <c r="G42" s="17" t="s">
        <v>225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212</v>
      </c>
      <c r="C43" s="11" t="s">
        <v>45</v>
      </c>
      <c r="D43" s="9" t="s">
        <v>164</v>
      </c>
      <c r="E43" s="16" t="s">
        <v>128</v>
      </c>
      <c r="F43" s="72"/>
      <c r="G43" s="17" t="s">
        <v>226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213</v>
      </c>
      <c r="C44" s="11" t="s">
        <v>45</v>
      </c>
      <c r="D44" s="9" t="s">
        <v>165</v>
      </c>
      <c r="E44" s="16" t="s">
        <v>128</v>
      </c>
      <c r="F44" s="72"/>
      <c r="G44" s="17" t="s">
        <v>1114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214</v>
      </c>
      <c r="C45" s="11" t="s">
        <v>45</v>
      </c>
      <c r="D45" s="9" t="s">
        <v>166</v>
      </c>
      <c r="E45" s="16" t="s">
        <v>128</v>
      </c>
      <c r="F45" s="72"/>
      <c r="G45" s="17" t="s">
        <v>1115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217</v>
      </c>
      <c r="C46" s="11" t="s">
        <v>45</v>
      </c>
      <c r="D46" s="9" t="s">
        <v>171</v>
      </c>
      <c r="E46" s="16" t="s">
        <v>128</v>
      </c>
      <c r="F46" s="72"/>
      <c r="G46" s="17" t="s">
        <v>1116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218</v>
      </c>
      <c r="C47" s="11" t="s">
        <v>45</v>
      </c>
      <c r="D47" s="9" t="s">
        <v>172</v>
      </c>
      <c r="E47" s="16" t="s">
        <v>128</v>
      </c>
      <c r="F47" s="72"/>
      <c r="G47" s="17" t="s">
        <v>1117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219</v>
      </c>
      <c r="C48" s="11" t="s">
        <v>45</v>
      </c>
      <c r="D48" s="9" t="s">
        <v>173</v>
      </c>
      <c r="E48" s="16" t="s">
        <v>128</v>
      </c>
      <c r="F48" s="72"/>
      <c r="G48" s="17" t="s">
        <v>1118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220</v>
      </c>
      <c r="C49" s="11" t="s">
        <v>45</v>
      </c>
      <c r="D49" s="9" t="s">
        <v>174</v>
      </c>
      <c r="E49" s="16" t="s">
        <v>128</v>
      </c>
      <c r="F49" s="72"/>
      <c r="G49" s="17" t="s">
        <v>1119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215</v>
      </c>
      <c r="C50" s="11" t="s">
        <v>45</v>
      </c>
      <c r="D50" s="9" t="s">
        <v>1260</v>
      </c>
      <c r="E50" s="16" t="s">
        <v>128</v>
      </c>
      <c r="F50" s="72"/>
      <c r="G50" s="17" t="s">
        <v>227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216</v>
      </c>
      <c r="C51" s="11" t="s">
        <v>45</v>
      </c>
      <c r="D51" s="9" t="s">
        <v>1261</v>
      </c>
      <c r="E51" s="16" t="s">
        <v>128</v>
      </c>
      <c r="F51" s="72"/>
      <c r="G51" s="17" t="s">
        <v>228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316</v>
      </c>
      <c r="C52" s="11" t="s">
        <v>45</v>
      </c>
      <c r="D52" s="9" t="s">
        <v>167</v>
      </c>
      <c r="E52" s="16" t="s">
        <v>128</v>
      </c>
      <c r="F52" s="72"/>
      <c r="G52" s="17" t="s">
        <v>772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809</v>
      </c>
      <c r="C53" s="11" t="s">
        <v>45</v>
      </c>
      <c r="D53" s="9" t="s">
        <v>175</v>
      </c>
      <c r="E53" s="16" t="s">
        <v>128</v>
      </c>
      <c r="F53" s="72"/>
      <c r="G53" s="17" t="s">
        <v>1120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317</v>
      </c>
      <c r="C54" s="11" t="s">
        <v>45</v>
      </c>
      <c r="D54" s="9" t="s">
        <v>168</v>
      </c>
      <c r="E54" s="16" t="s">
        <v>128</v>
      </c>
      <c r="F54" s="72"/>
      <c r="G54" s="17" t="s">
        <v>1489</v>
      </c>
      <c r="H54" s="18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11" t="s">
        <v>810</v>
      </c>
      <c r="C55" s="11" t="s">
        <v>45</v>
      </c>
      <c r="D55" s="9" t="s">
        <v>176</v>
      </c>
      <c r="E55" s="16" t="s">
        <v>128</v>
      </c>
      <c r="F55" s="72"/>
      <c r="G55" s="17" t="s">
        <v>1121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1213</v>
      </c>
      <c r="C56" s="11" t="s">
        <v>45</v>
      </c>
      <c r="D56" s="9" t="s">
        <v>178</v>
      </c>
      <c r="E56" s="16" t="s">
        <v>128</v>
      </c>
      <c r="F56" s="72"/>
      <c r="G56" s="17" t="s">
        <v>1215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221</v>
      </c>
      <c r="C57" s="11" t="s">
        <v>45</v>
      </c>
      <c r="D57" s="9" t="s">
        <v>177</v>
      </c>
      <c r="E57" s="16" t="s">
        <v>128</v>
      </c>
      <c r="F57" s="72"/>
      <c r="G57" s="17" t="s">
        <v>1256</v>
      </c>
      <c r="H57" s="18"/>
      <c r="I57" s="17"/>
      <c r="J57" s="19" t="s">
        <v>133</v>
      </c>
      <c r="K57" s="19" t="s">
        <v>204</v>
      </c>
      <c r="L57" s="19" t="s">
        <v>67</v>
      </c>
    </row>
    <row r="58" spans="1:12" s="1" customFormat="1">
      <c r="A58" s="15"/>
      <c r="B58" s="11" t="s">
        <v>1212</v>
      </c>
      <c r="C58" s="11" t="s">
        <v>45</v>
      </c>
      <c r="D58" s="9" t="s">
        <v>180</v>
      </c>
      <c r="E58" s="16" t="s">
        <v>128</v>
      </c>
      <c r="F58" s="72"/>
      <c r="G58" s="17" t="s">
        <v>1214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222</v>
      </c>
      <c r="C59" s="11" t="s">
        <v>45</v>
      </c>
      <c r="D59" s="9" t="s">
        <v>179</v>
      </c>
      <c r="E59" s="16" t="s">
        <v>128</v>
      </c>
      <c r="F59" s="72"/>
      <c r="G59" s="17" t="s">
        <v>1123</v>
      </c>
      <c r="H59" s="18"/>
      <c r="I59" s="17"/>
      <c r="J59" s="19" t="s">
        <v>133</v>
      </c>
      <c r="K59" s="19" t="s">
        <v>204</v>
      </c>
      <c r="L59" s="19" t="s">
        <v>67</v>
      </c>
    </row>
    <row r="60" spans="1:12" s="1" customFormat="1">
      <c r="A60" s="15"/>
      <c r="B60" s="11" t="s">
        <v>811</v>
      </c>
      <c r="C60" s="11" t="s">
        <v>45</v>
      </c>
      <c r="D60" s="9" t="s">
        <v>643</v>
      </c>
      <c r="E60" s="16" t="s">
        <v>128</v>
      </c>
      <c r="F60" s="72"/>
      <c r="G60" s="17" t="s">
        <v>768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812</v>
      </c>
      <c r="C61" s="11" t="s">
        <v>45</v>
      </c>
      <c r="D61" s="9" t="s">
        <v>813</v>
      </c>
      <c r="E61" s="16" t="s">
        <v>128</v>
      </c>
      <c r="F61" s="72"/>
      <c r="G61" s="17" t="s">
        <v>1124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814</v>
      </c>
      <c r="C62" s="11" t="s">
        <v>45</v>
      </c>
      <c r="D62" s="9" t="s">
        <v>500</v>
      </c>
      <c r="E62" s="16" t="s">
        <v>128</v>
      </c>
      <c r="F62" s="72"/>
      <c r="G62" s="17" t="s">
        <v>1125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205</v>
      </c>
      <c r="C63" s="11" t="s">
        <v>45</v>
      </c>
      <c r="D63" s="9" t="s">
        <v>147</v>
      </c>
      <c r="E63" s="16" t="s">
        <v>128</v>
      </c>
      <c r="F63" s="72"/>
      <c r="G63" s="17" t="s">
        <v>1126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206</v>
      </c>
      <c r="C64" s="11" t="s">
        <v>280</v>
      </c>
      <c r="D64" s="9" t="s">
        <v>820</v>
      </c>
      <c r="E64" s="16" t="s">
        <v>128</v>
      </c>
      <c r="F64" s="72"/>
      <c r="G64" s="17" t="s">
        <v>1081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1022</v>
      </c>
      <c r="C65" s="11" t="s">
        <v>45</v>
      </c>
      <c r="D65" s="9" t="s">
        <v>1018</v>
      </c>
      <c r="E65" s="16" t="s">
        <v>128</v>
      </c>
      <c r="F65" s="72"/>
      <c r="G65" s="17" t="s">
        <v>1127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1014</v>
      </c>
      <c r="C66" s="11" t="s">
        <v>45</v>
      </c>
      <c r="D66" s="9" t="s">
        <v>1019</v>
      </c>
      <c r="E66" s="16" t="s">
        <v>128</v>
      </c>
      <c r="F66" s="72"/>
      <c r="G66" s="17" t="s">
        <v>1128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1015</v>
      </c>
      <c r="C67" s="11" t="s">
        <v>45</v>
      </c>
      <c r="D67" s="9" t="s">
        <v>1020</v>
      </c>
      <c r="E67" s="16" t="s">
        <v>128</v>
      </c>
      <c r="F67" s="72"/>
      <c r="G67" s="17" t="s">
        <v>1129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1016</v>
      </c>
      <c r="C68" s="11" t="s">
        <v>45</v>
      </c>
      <c r="D68" s="9" t="s">
        <v>1021</v>
      </c>
      <c r="E68" s="16" t="s">
        <v>128</v>
      </c>
      <c r="F68" s="72"/>
      <c r="G68" s="17" t="s">
        <v>1130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1017</v>
      </c>
      <c r="C69" s="11" t="s">
        <v>45</v>
      </c>
      <c r="D69" s="9" t="s">
        <v>1042</v>
      </c>
      <c r="E69" s="16" t="s">
        <v>128</v>
      </c>
      <c r="F69" s="72"/>
      <c r="G69" s="17" t="s">
        <v>1131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1049</v>
      </c>
      <c r="C70" s="11" t="s">
        <v>45</v>
      </c>
      <c r="D70" s="9" t="s">
        <v>153</v>
      </c>
      <c r="E70" s="16" t="s">
        <v>128</v>
      </c>
      <c r="F70" s="72"/>
      <c r="G70" s="17" t="s">
        <v>1262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823</v>
      </c>
      <c r="C71" s="11" t="s">
        <v>280</v>
      </c>
      <c r="D71" s="9" t="s">
        <v>1474</v>
      </c>
      <c r="E71" s="16" t="s">
        <v>128</v>
      </c>
      <c r="F71" s="72"/>
      <c r="G71" s="17" t="s">
        <v>1082</v>
      </c>
      <c r="H71" s="18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1030</v>
      </c>
      <c r="C72" s="11" t="s">
        <v>45</v>
      </c>
      <c r="D72" s="9" t="s">
        <v>1026</v>
      </c>
      <c r="E72" s="16" t="s">
        <v>128</v>
      </c>
      <c r="F72" s="72"/>
      <c r="G72" s="17" t="s">
        <v>1133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1023</v>
      </c>
      <c r="C73" s="11" t="s">
        <v>45</v>
      </c>
      <c r="D73" s="9" t="s">
        <v>1027</v>
      </c>
      <c r="E73" s="16" t="s">
        <v>128</v>
      </c>
      <c r="F73" s="72"/>
      <c r="G73" s="17" t="s">
        <v>1134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1024</v>
      </c>
      <c r="C74" s="11" t="s">
        <v>45</v>
      </c>
      <c r="D74" s="9" t="s">
        <v>1028</v>
      </c>
      <c r="E74" s="16" t="s">
        <v>128</v>
      </c>
      <c r="F74" s="72"/>
      <c r="G74" s="17" t="s">
        <v>1135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1032</v>
      </c>
      <c r="C75" s="11" t="s">
        <v>45</v>
      </c>
      <c r="D75" s="9" t="s">
        <v>1029</v>
      </c>
      <c r="E75" s="16" t="s">
        <v>128</v>
      </c>
      <c r="F75" s="72"/>
      <c r="G75" s="17" t="s">
        <v>1136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1025</v>
      </c>
      <c r="C76" s="11" t="s">
        <v>45</v>
      </c>
      <c r="D76" s="9" t="s">
        <v>1043</v>
      </c>
      <c r="E76" s="16" t="s">
        <v>128</v>
      </c>
      <c r="F76" s="72"/>
      <c r="G76" s="17" t="s">
        <v>1137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1084</v>
      </c>
      <c r="C77" s="11" t="s">
        <v>280</v>
      </c>
      <c r="D77" s="9" t="s">
        <v>1086</v>
      </c>
      <c r="E77" s="16" t="s">
        <v>128</v>
      </c>
      <c r="F77" s="72"/>
      <c r="G77" s="17" t="s">
        <v>1087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1083</v>
      </c>
      <c r="C78" s="11" t="s">
        <v>280</v>
      </c>
      <c r="D78" s="9" t="s">
        <v>841</v>
      </c>
      <c r="E78" s="16" t="s">
        <v>128</v>
      </c>
      <c r="F78" s="72"/>
      <c r="G78" s="17" t="s">
        <v>1866</v>
      </c>
      <c r="H78" s="18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1033</v>
      </c>
      <c r="C79" s="11" t="s">
        <v>45</v>
      </c>
      <c r="D79" s="9" t="s">
        <v>1038</v>
      </c>
      <c r="E79" s="16" t="s">
        <v>128</v>
      </c>
      <c r="F79" s="72"/>
      <c r="G79" s="17" t="s">
        <v>1138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1034</v>
      </c>
      <c r="C80" s="11" t="s">
        <v>45</v>
      </c>
      <c r="D80" s="9" t="s">
        <v>1039</v>
      </c>
      <c r="E80" s="16" t="s">
        <v>128</v>
      </c>
      <c r="F80" s="72"/>
      <c r="G80" s="17" t="s">
        <v>1139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1035</v>
      </c>
      <c r="C81" s="11" t="s">
        <v>45</v>
      </c>
      <c r="D81" s="9" t="s">
        <v>1040</v>
      </c>
      <c r="E81" s="16" t="s">
        <v>128</v>
      </c>
      <c r="F81" s="72"/>
      <c r="G81" s="17" t="s">
        <v>1140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1036</v>
      </c>
      <c r="C82" s="11" t="s">
        <v>45</v>
      </c>
      <c r="D82" s="9" t="s">
        <v>1041</v>
      </c>
      <c r="E82" s="16" t="s">
        <v>128</v>
      </c>
      <c r="F82" s="72"/>
      <c r="G82" s="17" t="s">
        <v>1141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1037</v>
      </c>
      <c r="C83" s="11" t="s">
        <v>45</v>
      </c>
      <c r="D83" s="9" t="s">
        <v>1044</v>
      </c>
      <c r="E83" s="16" t="s">
        <v>128</v>
      </c>
      <c r="F83" s="72"/>
      <c r="G83" s="17" t="s">
        <v>1142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816</v>
      </c>
      <c r="C84" s="11" t="s">
        <v>280</v>
      </c>
      <c r="D84" s="9" t="s">
        <v>839</v>
      </c>
      <c r="E84" s="16" t="s">
        <v>128</v>
      </c>
      <c r="F84" s="72"/>
      <c r="G84" s="17" t="s">
        <v>1088</v>
      </c>
      <c r="H84" s="18"/>
      <c r="I84" s="17"/>
      <c r="J84" s="19" t="s">
        <v>133</v>
      </c>
      <c r="K84" s="19" t="s">
        <v>202</v>
      </c>
      <c r="L84" s="19" t="s">
        <v>67</v>
      </c>
    </row>
    <row r="85" spans="1:12" s="1" customFormat="1">
      <c r="A85" s="15"/>
      <c r="B85" s="11" t="s">
        <v>817</v>
      </c>
      <c r="C85" s="11" t="s">
        <v>45</v>
      </c>
      <c r="D85" s="9" t="s">
        <v>658</v>
      </c>
      <c r="E85" s="16" t="s">
        <v>128</v>
      </c>
      <c r="F85" s="72"/>
      <c r="G85" s="17" t="s">
        <v>1090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818</v>
      </c>
      <c r="C86" s="11" t="s">
        <v>280</v>
      </c>
      <c r="D86" s="9" t="s">
        <v>842</v>
      </c>
      <c r="E86" s="16" t="s">
        <v>128</v>
      </c>
      <c r="F86" s="72"/>
      <c r="G86" s="17" t="s">
        <v>1091</v>
      </c>
      <c r="H86" s="18"/>
      <c r="I86" s="17"/>
      <c r="J86" s="19" t="s">
        <v>133</v>
      </c>
      <c r="K86" s="19" t="s">
        <v>202</v>
      </c>
      <c r="L86" s="19" t="s">
        <v>67</v>
      </c>
    </row>
    <row r="87" spans="1:12" s="1" customFormat="1">
      <c r="A87" s="15"/>
      <c r="B87" s="11" t="s">
        <v>819</v>
      </c>
      <c r="C87" s="11" t="s">
        <v>45</v>
      </c>
      <c r="D87" s="9" t="s">
        <v>660</v>
      </c>
      <c r="E87" s="16" t="s">
        <v>128</v>
      </c>
      <c r="F87" s="72"/>
      <c r="G87" s="17" t="s">
        <v>1093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829</v>
      </c>
      <c r="C88" s="11" t="s">
        <v>280</v>
      </c>
      <c r="D88" s="9" t="s">
        <v>505</v>
      </c>
      <c r="E88" s="16" t="s">
        <v>128</v>
      </c>
      <c r="F88" s="72"/>
      <c r="G88" s="17" t="s">
        <v>1094</v>
      </c>
      <c r="H88" s="18"/>
      <c r="I88" s="17"/>
      <c r="J88" s="19" t="s">
        <v>133</v>
      </c>
      <c r="K88" s="19" t="s">
        <v>203</v>
      </c>
      <c r="L88" s="19" t="s">
        <v>67</v>
      </c>
    </row>
    <row r="89" spans="1:12" s="1" customFormat="1">
      <c r="A89" s="15"/>
      <c r="B89" s="11" t="s">
        <v>1570</v>
      </c>
      <c r="C89" s="11" t="s">
        <v>45</v>
      </c>
      <c r="D89" s="9" t="s">
        <v>1526</v>
      </c>
      <c r="E89" s="16" t="s">
        <v>128</v>
      </c>
      <c r="F89" s="72"/>
      <c r="G89" s="17" t="s">
        <v>1571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1527</v>
      </c>
      <c r="C90" s="11" t="s">
        <v>45</v>
      </c>
      <c r="D90" s="9" t="s">
        <v>1528</v>
      </c>
      <c r="E90" s="16" t="s">
        <v>128</v>
      </c>
      <c r="F90" s="72"/>
      <c r="G90" s="17" t="s">
        <v>1572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1529</v>
      </c>
      <c r="C91" s="11" t="s">
        <v>45</v>
      </c>
      <c r="D91" s="9" t="s">
        <v>1530</v>
      </c>
      <c r="E91" s="16" t="s">
        <v>128</v>
      </c>
      <c r="F91" s="72"/>
      <c r="G91" s="17" t="s">
        <v>1573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1531</v>
      </c>
      <c r="C92" s="11" t="s">
        <v>45</v>
      </c>
      <c r="D92" s="9" t="s">
        <v>1532</v>
      </c>
      <c r="E92" s="16" t="s">
        <v>128</v>
      </c>
      <c r="F92" s="72"/>
      <c r="G92" s="17" t="s">
        <v>1574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1533</v>
      </c>
      <c r="C93" s="11" t="s">
        <v>45</v>
      </c>
      <c r="D93" s="9" t="s">
        <v>1534</v>
      </c>
      <c r="E93" s="16" t="s">
        <v>128</v>
      </c>
      <c r="F93" s="72"/>
      <c r="G93" s="17" t="s">
        <v>1575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799</v>
      </c>
      <c r="C94" s="11" t="s">
        <v>280</v>
      </c>
      <c r="D94" s="9" t="s">
        <v>506</v>
      </c>
      <c r="E94" s="16" t="s">
        <v>128</v>
      </c>
      <c r="F94" s="72"/>
      <c r="G94" s="17" t="s">
        <v>1095</v>
      </c>
      <c r="H94" s="18"/>
      <c r="I94" s="17"/>
      <c r="J94" s="19" t="s">
        <v>133</v>
      </c>
      <c r="K94" s="19" t="s">
        <v>203</v>
      </c>
      <c r="L94" s="19" t="s">
        <v>67</v>
      </c>
    </row>
    <row r="95" spans="1:12" s="1" customFormat="1">
      <c r="A95" s="15"/>
      <c r="B95" s="11" t="s">
        <v>1549</v>
      </c>
      <c r="C95" s="11" t="s">
        <v>45</v>
      </c>
      <c r="D95" s="9" t="s">
        <v>1540</v>
      </c>
      <c r="E95" s="16" t="s">
        <v>128</v>
      </c>
      <c r="F95" s="72"/>
      <c r="G95" s="17" t="s">
        <v>1576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1541</v>
      </c>
      <c r="C96" s="11" t="s">
        <v>45</v>
      </c>
      <c r="D96" s="9" t="s">
        <v>1542</v>
      </c>
      <c r="E96" s="16" t="s">
        <v>128</v>
      </c>
      <c r="F96" s="72"/>
      <c r="G96" s="17" t="s">
        <v>1577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11" t="s">
        <v>1543</v>
      </c>
      <c r="C97" s="11" t="s">
        <v>45</v>
      </c>
      <c r="D97" s="9" t="s">
        <v>1544</v>
      </c>
      <c r="E97" s="16" t="s">
        <v>128</v>
      </c>
      <c r="F97" s="72"/>
      <c r="G97" s="17" t="s">
        <v>1578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11" t="s">
        <v>1545</v>
      </c>
      <c r="C98" s="11" t="s">
        <v>45</v>
      </c>
      <c r="D98" s="9" t="s">
        <v>1546</v>
      </c>
      <c r="E98" s="16" t="s">
        <v>128</v>
      </c>
      <c r="F98" s="72"/>
      <c r="G98" s="17" t="s">
        <v>1579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11" t="s">
        <v>1547</v>
      </c>
      <c r="C99" s="11" t="s">
        <v>45</v>
      </c>
      <c r="D99" s="9" t="s">
        <v>1548</v>
      </c>
      <c r="E99" s="16" t="s">
        <v>128</v>
      </c>
      <c r="F99" s="72"/>
      <c r="G99" s="17" t="s">
        <v>1580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11" t="s">
        <v>830</v>
      </c>
      <c r="C100" s="11" t="s">
        <v>45</v>
      </c>
      <c r="D100" s="9" t="s">
        <v>837</v>
      </c>
      <c r="E100" s="16" t="s">
        <v>128</v>
      </c>
      <c r="F100" s="72"/>
      <c r="G100" s="17" t="s">
        <v>1097</v>
      </c>
      <c r="H100" s="18"/>
      <c r="I100" s="17"/>
      <c r="J100" s="19" t="s">
        <v>133</v>
      </c>
      <c r="K100" s="19" t="s">
        <v>44</v>
      </c>
      <c r="L100" s="19" t="s">
        <v>67</v>
      </c>
    </row>
    <row r="101" spans="1:12" s="1" customFormat="1">
      <c r="A101" s="15"/>
      <c r="B101" s="11" t="s">
        <v>623</v>
      </c>
      <c r="C101" s="11" t="s">
        <v>280</v>
      </c>
      <c r="D101" s="9" t="s">
        <v>836</v>
      </c>
      <c r="E101" s="16" t="s">
        <v>128</v>
      </c>
      <c r="F101" s="72"/>
      <c r="G101" s="17" t="s">
        <v>1099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2" s="1" customFormat="1">
      <c r="A102" s="15"/>
      <c r="B102" s="95" t="s">
        <v>1564</v>
      </c>
      <c r="C102" s="95" t="s">
        <v>45</v>
      </c>
      <c r="D102" s="96" t="s">
        <v>1555</v>
      </c>
      <c r="E102" s="16" t="s">
        <v>128</v>
      </c>
      <c r="F102" s="72"/>
      <c r="G102" s="17" t="s">
        <v>1581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A103" s="15"/>
      <c r="B103" s="95" t="s">
        <v>1556</v>
      </c>
      <c r="C103" s="95" t="s">
        <v>45</v>
      </c>
      <c r="D103" s="96" t="s">
        <v>1557</v>
      </c>
      <c r="E103" s="16" t="s">
        <v>128</v>
      </c>
      <c r="F103" s="72"/>
      <c r="G103" s="17" t="s">
        <v>1582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A104" s="15"/>
      <c r="B104" s="95" t="s">
        <v>1558</v>
      </c>
      <c r="C104" s="95" t="s">
        <v>45</v>
      </c>
      <c r="D104" s="96" t="s">
        <v>1559</v>
      </c>
      <c r="E104" s="16" t="s">
        <v>128</v>
      </c>
      <c r="F104" s="72"/>
      <c r="G104" s="17" t="s">
        <v>1583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A105" s="15"/>
      <c r="B105" s="95" t="s">
        <v>1560</v>
      </c>
      <c r="C105" s="95" t="s">
        <v>45</v>
      </c>
      <c r="D105" s="96" t="s">
        <v>1561</v>
      </c>
      <c r="E105" s="16" t="s">
        <v>128</v>
      </c>
      <c r="F105" s="72"/>
      <c r="G105" s="17" t="s">
        <v>1584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A106" s="15"/>
      <c r="B106" s="95" t="s">
        <v>1562</v>
      </c>
      <c r="C106" s="95" t="s">
        <v>45</v>
      </c>
      <c r="D106" s="96" t="s">
        <v>1563</v>
      </c>
      <c r="E106" s="16" t="s">
        <v>128</v>
      </c>
      <c r="F106" s="72"/>
      <c r="G106" s="17" t="s">
        <v>1585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11" t="s">
        <v>831</v>
      </c>
      <c r="C107" s="11" t="s">
        <v>45</v>
      </c>
      <c r="D107" s="9" t="s">
        <v>825</v>
      </c>
      <c r="E107" s="16" t="s">
        <v>128</v>
      </c>
      <c r="F107" s="72"/>
      <c r="G107" s="17" t="s">
        <v>1100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1098</v>
      </c>
      <c r="C108" s="11" t="s">
        <v>280</v>
      </c>
      <c r="D108" s="9" t="s">
        <v>826</v>
      </c>
      <c r="E108" s="16" t="s">
        <v>128</v>
      </c>
      <c r="F108" s="72"/>
      <c r="G108" s="17" t="s">
        <v>1101</v>
      </c>
      <c r="H108" s="18"/>
      <c r="I108" s="17"/>
      <c r="J108" s="19" t="s">
        <v>133</v>
      </c>
      <c r="K108" s="19" t="s">
        <v>202</v>
      </c>
      <c r="L108" s="19" t="s">
        <v>67</v>
      </c>
    </row>
    <row r="109" spans="1:12" s="1" customFormat="1">
      <c r="A109" s="15"/>
      <c r="B109" s="11" t="s">
        <v>834</v>
      </c>
      <c r="C109" s="11" t="s">
        <v>280</v>
      </c>
      <c r="D109" s="9" t="s">
        <v>833</v>
      </c>
      <c r="E109" s="16" t="s">
        <v>128</v>
      </c>
      <c r="F109" s="72"/>
      <c r="G109" s="17" t="s">
        <v>1102</v>
      </c>
      <c r="H109" s="18"/>
      <c r="I109" s="17"/>
      <c r="J109" s="19" t="s">
        <v>133</v>
      </c>
      <c r="K109" s="19" t="s">
        <v>202</v>
      </c>
      <c r="L109" s="19" t="s">
        <v>67</v>
      </c>
    </row>
    <row r="110" spans="1:12" s="1" customFormat="1">
      <c r="A110" s="15"/>
      <c r="B110" s="11" t="s">
        <v>535</v>
      </c>
      <c r="C110" s="11" t="s">
        <v>280</v>
      </c>
      <c r="D110" s="9" t="s">
        <v>534</v>
      </c>
      <c r="E110" s="16" t="s">
        <v>128</v>
      </c>
      <c r="F110" s="72"/>
      <c r="G110" s="17" t="s">
        <v>1103</v>
      </c>
      <c r="H110" s="18"/>
      <c r="I110" s="17"/>
      <c r="J110" s="19" t="s">
        <v>133</v>
      </c>
      <c r="K110" s="19" t="s">
        <v>202</v>
      </c>
      <c r="L110" s="19" t="s">
        <v>67</v>
      </c>
    </row>
    <row r="111" spans="1:12" s="1" customFormat="1">
      <c r="A111" s="15"/>
      <c r="B111" s="11" t="s">
        <v>848</v>
      </c>
      <c r="C111" s="11" t="s">
        <v>45</v>
      </c>
      <c r="D111" s="9" t="s">
        <v>850</v>
      </c>
      <c r="E111" s="16" t="s">
        <v>128</v>
      </c>
      <c r="F111" s="72"/>
      <c r="G111" s="17" t="s">
        <v>1104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11" t="s">
        <v>849</v>
      </c>
      <c r="C112" s="11" t="s">
        <v>45</v>
      </c>
      <c r="D112" s="9" t="s">
        <v>116</v>
      </c>
      <c r="E112" s="16" t="s">
        <v>128</v>
      </c>
      <c r="F112" s="72"/>
      <c r="G112" s="17" t="s">
        <v>1105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11" t="s">
        <v>854</v>
      </c>
      <c r="C113" s="11" t="s">
        <v>1202</v>
      </c>
      <c r="D113" s="9" t="s">
        <v>502</v>
      </c>
      <c r="E113" s="16" t="s">
        <v>128</v>
      </c>
      <c r="F113" s="72"/>
      <c r="G113" s="17" t="s">
        <v>1107</v>
      </c>
      <c r="H113" s="18"/>
      <c r="I113" s="17"/>
      <c r="J113" s="19" t="s">
        <v>133</v>
      </c>
      <c r="K113" s="19" t="s">
        <v>202</v>
      </c>
      <c r="L113" s="19" t="s">
        <v>67</v>
      </c>
    </row>
    <row r="114" spans="1:12" s="1" customFormat="1">
      <c r="A114" s="15"/>
      <c r="B114" s="11" t="s">
        <v>856</v>
      </c>
      <c r="C114" s="11" t="s">
        <v>45</v>
      </c>
      <c r="D114" s="9" t="s">
        <v>857</v>
      </c>
      <c r="E114" s="16" t="s">
        <v>128</v>
      </c>
      <c r="F114" s="72"/>
      <c r="G114" s="17" t="s">
        <v>1106</v>
      </c>
      <c r="H114" s="18"/>
      <c r="I114" s="17"/>
      <c r="J114" s="19" t="s">
        <v>133</v>
      </c>
      <c r="K114" s="19" t="s">
        <v>903</v>
      </c>
      <c r="L114" s="19" t="s">
        <v>67</v>
      </c>
    </row>
    <row r="115" spans="1:12" s="1" customFormat="1">
      <c r="A115" s="15"/>
      <c r="B115" s="11" t="s">
        <v>315</v>
      </c>
      <c r="C115" s="11" t="s">
        <v>45</v>
      </c>
      <c r="D115" s="9" t="s">
        <v>112</v>
      </c>
      <c r="E115" s="16" t="s">
        <v>128</v>
      </c>
      <c r="F115" s="72"/>
      <c r="G115" s="17" t="s">
        <v>1145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2" s="1" customFormat="1">
      <c r="A116" s="15"/>
      <c r="B116" s="11" t="s">
        <v>868</v>
      </c>
      <c r="C116" s="11" t="s">
        <v>45</v>
      </c>
      <c r="D116" s="9" t="s">
        <v>859</v>
      </c>
      <c r="E116" s="16" t="s">
        <v>128</v>
      </c>
      <c r="F116" s="72"/>
      <c r="G116" s="17" t="s">
        <v>1146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2" s="1" customFormat="1">
      <c r="A117" s="15"/>
      <c r="B117" s="11" t="s">
        <v>869</v>
      </c>
      <c r="C117" s="11" t="s">
        <v>45</v>
      </c>
      <c r="D117" s="9" t="s">
        <v>860</v>
      </c>
      <c r="E117" s="16" t="s">
        <v>128</v>
      </c>
      <c r="F117" s="72"/>
      <c r="G117" s="17" t="s">
        <v>1147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2" s="1" customFormat="1">
      <c r="A118" s="15"/>
      <c r="B118" s="11" t="s">
        <v>870</v>
      </c>
      <c r="C118" s="11" t="s">
        <v>45</v>
      </c>
      <c r="D118" s="9" t="s">
        <v>861</v>
      </c>
      <c r="E118" s="16" t="s">
        <v>128</v>
      </c>
      <c r="F118" s="72"/>
      <c r="G118" s="17" t="s">
        <v>1148</v>
      </c>
      <c r="H118" s="18"/>
      <c r="I118" s="17"/>
      <c r="J118" s="19" t="s">
        <v>133</v>
      </c>
      <c r="K118" s="19" t="s">
        <v>44</v>
      </c>
      <c r="L118" s="19" t="s">
        <v>67</v>
      </c>
    </row>
    <row r="119" spans="1:12" s="1" customFormat="1">
      <c r="A119" s="15"/>
      <c r="B119" s="11" t="s">
        <v>871</v>
      </c>
      <c r="C119" s="11" t="s">
        <v>45</v>
      </c>
      <c r="D119" s="9" t="s">
        <v>880</v>
      </c>
      <c r="E119" s="16" t="s">
        <v>128</v>
      </c>
      <c r="F119" s="72"/>
      <c r="G119" s="17" t="s">
        <v>1149</v>
      </c>
      <c r="H119" s="18"/>
      <c r="I119" s="17"/>
      <c r="J119" s="19" t="s">
        <v>133</v>
      </c>
      <c r="K119" s="19" t="s">
        <v>44</v>
      </c>
      <c r="L119" s="19" t="s">
        <v>67</v>
      </c>
    </row>
    <row r="120" spans="1:12" s="1" customFormat="1">
      <c r="A120" s="15"/>
      <c r="B120" s="11" t="s">
        <v>872</v>
      </c>
      <c r="C120" s="11" t="s">
        <v>45</v>
      </c>
      <c r="D120" s="9" t="s">
        <v>881</v>
      </c>
      <c r="E120" s="16" t="s">
        <v>128</v>
      </c>
      <c r="F120" s="72"/>
      <c r="G120" s="17" t="s">
        <v>1150</v>
      </c>
      <c r="H120" s="18"/>
      <c r="I120" s="17"/>
      <c r="J120" s="19" t="s">
        <v>133</v>
      </c>
      <c r="K120" s="19" t="s">
        <v>44</v>
      </c>
      <c r="L120" s="19" t="s">
        <v>67</v>
      </c>
    </row>
    <row r="121" spans="1:12" s="1" customFormat="1">
      <c r="A121" s="15"/>
      <c r="B121" s="11" t="s">
        <v>873</v>
      </c>
      <c r="C121" s="11" t="s">
        <v>45</v>
      </c>
      <c r="D121" s="9" t="s">
        <v>882</v>
      </c>
      <c r="E121" s="16" t="s">
        <v>128</v>
      </c>
      <c r="F121" s="72"/>
      <c r="G121" s="17" t="s">
        <v>1151</v>
      </c>
      <c r="H121" s="18"/>
      <c r="I121" s="17"/>
      <c r="J121" s="19" t="s">
        <v>133</v>
      </c>
      <c r="K121" s="19" t="s">
        <v>44</v>
      </c>
      <c r="L121" s="19" t="s">
        <v>67</v>
      </c>
    </row>
    <row r="122" spans="1:12" s="1" customFormat="1">
      <c r="A122" s="15"/>
      <c r="B122" s="11" t="s">
        <v>874</v>
      </c>
      <c r="C122" s="11" t="s">
        <v>45</v>
      </c>
      <c r="D122" s="9" t="s">
        <v>862</v>
      </c>
      <c r="E122" s="16" t="s">
        <v>128</v>
      </c>
      <c r="F122" s="72"/>
      <c r="G122" s="17" t="s">
        <v>1152</v>
      </c>
      <c r="H122" s="18"/>
      <c r="I122" s="17"/>
      <c r="J122" s="19" t="s">
        <v>133</v>
      </c>
      <c r="K122" s="19" t="s">
        <v>44</v>
      </c>
      <c r="L122" s="19" t="s">
        <v>67</v>
      </c>
    </row>
    <row r="123" spans="1:12" s="1" customFormat="1">
      <c r="A123" s="15"/>
      <c r="B123" s="11" t="s">
        <v>875</v>
      </c>
      <c r="C123" s="11" t="s">
        <v>45</v>
      </c>
      <c r="D123" s="9" t="s">
        <v>863</v>
      </c>
      <c r="E123" s="16" t="s">
        <v>128</v>
      </c>
      <c r="F123" s="72"/>
      <c r="G123" s="17" t="s">
        <v>1153</v>
      </c>
      <c r="H123" s="18"/>
      <c r="I123" s="17"/>
      <c r="J123" s="19" t="s">
        <v>133</v>
      </c>
      <c r="K123" s="19" t="s">
        <v>44</v>
      </c>
      <c r="L123" s="19" t="s">
        <v>67</v>
      </c>
    </row>
    <row r="124" spans="1:12" s="1" customFormat="1">
      <c r="A124" s="15"/>
      <c r="B124" s="11" t="s">
        <v>876</v>
      </c>
      <c r="C124" s="11" t="s">
        <v>45</v>
      </c>
      <c r="D124" s="9" t="s">
        <v>864</v>
      </c>
      <c r="E124" s="16" t="s">
        <v>128</v>
      </c>
      <c r="F124" s="72"/>
      <c r="G124" s="17" t="s">
        <v>1154</v>
      </c>
      <c r="H124" s="18"/>
      <c r="I124" s="17"/>
      <c r="J124" s="19" t="s">
        <v>133</v>
      </c>
      <c r="K124" s="19" t="s">
        <v>44</v>
      </c>
      <c r="L124" s="19" t="s">
        <v>67</v>
      </c>
    </row>
    <row r="125" spans="1:12" s="1" customFormat="1">
      <c r="A125" s="15"/>
      <c r="B125" s="11" t="s">
        <v>877</v>
      </c>
      <c r="C125" s="11" t="s">
        <v>45</v>
      </c>
      <c r="D125" s="9" t="s">
        <v>865</v>
      </c>
      <c r="E125" s="16" t="s">
        <v>128</v>
      </c>
      <c r="F125" s="72"/>
      <c r="G125" s="17" t="s">
        <v>1155</v>
      </c>
      <c r="H125" s="18"/>
      <c r="I125" s="17"/>
      <c r="J125" s="19" t="s">
        <v>133</v>
      </c>
      <c r="K125" s="19" t="s">
        <v>44</v>
      </c>
      <c r="L125" s="19" t="s">
        <v>67</v>
      </c>
    </row>
    <row r="126" spans="1:12" s="1" customFormat="1">
      <c r="A126" s="15"/>
      <c r="B126" s="11" t="s">
        <v>878</v>
      </c>
      <c r="C126" s="11" t="s">
        <v>45</v>
      </c>
      <c r="D126" s="9" t="s">
        <v>866</v>
      </c>
      <c r="E126" s="16" t="s">
        <v>128</v>
      </c>
      <c r="F126" s="72"/>
      <c r="G126" s="17" t="s">
        <v>1156</v>
      </c>
      <c r="H126" s="18"/>
      <c r="I126" s="17"/>
      <c r="J126" s="19" t="s">
        <v>133</v>
      </c>
      <c r="K126" s="19" t="s">
        <v>44</v>
      </c>
      <c r="L126" s="19" t="s">
        <v>67</v>
      </c>
    </row>
    <row r="127" spans="1:12" s="1" customFormat="1">
      <c r="A127" s="15"/>
      <c r="B127" s="11" t="s">
        <v>879</v>
      </c>
      <c r="C127" s="11" t="s">
        <v>45</v>
      </c>
      <c r="D127" s="9" t="s">
        <v>867</v>
      </c>
      <c r="E127" s="16" t="s">
        <v>128</v>
      </c>
      <c r="F127" s="72"/>
      <c r="G127" s="17" t="s">
        <v>1157</v>
      </c>
      <c r="H127" s="18"/>
      <c r="I127" s="17"/>
      <c r="J127" s="19" t="s">
        <v>133</v>
      </c>
      <c r="K127" s="19" t="s">
        <v>44</v>
      </c>
      <c r="L127" s="19" t="s">
        <v>67</v>
      </c>
    </row>
    <row r="128" spans="1:12" s="1" customFormat="1">
      <c r="A128" s="15"/>
      <c r="B128" s="11" t="s">
        <v>1280</v>
      </c>
      <c r="C128" s="11" t="s">
        <v>43</v>
      </c>
      <c r="D128" s="9" t="s">
        <v>1281</v>
      </c>
      <c r="E128" s="16" t="s">
        <v>128</v>
      </c>
      <c r="F128" s="72"/>
      <c r="G128" s="17" t="s">
        <v>1282</v>
      </c>
      <c r="H128" s="18"/>
      <c r="I128" s="87">
        <v>20250415101139</v>
      </c>
      <c r="J128" s="19" t="s">
        <v>133</v>
      </c>
      <c r="K128" s="19" t="s">
        <v>44</v>
      </c>
      <c r="L128" s="19" t="s">
        <v>1306</v>
      </c>
    </row>
    <row r="129" spans="1:17" s="1" customFormat="1">
      <c r="A129" s="15"/>
      <c r="B129" s="11" t="s">
        <v>1283</v>
      </c>
      <c r="C129" s="11" t="s">
        <v>43</v>
      </c>
      <c r="D129" s="9" t="s">
        <v>1284</v>
      </c>
      <c r="E129" s="16" t="s">
        <v>128</v>
      </c>
      <c r="F129" s="72"/>
      <c r="G129" s="17" t="s">
        <v>1285</v>
      </c>
      <c r="H129" s="18"/>
      <c r="I129" s="87">
        <v>20250415101024</v>
      </c>
      <c r="J129" s="19" t="s">
        <v>133</v>
      </c>
      <c r="K129" s="19" t="s">
        <v>44</v>
      </c>
      <c r="L129" s="19" t="s">
        <v>1306</v>
      </c>
    </row>
    <row r="130" spans="1:17" s="3" customFormat="1">
      <c r="B130" s="23" t="s">
        <v>47</v>
      </c>
      <c r="C130" s="24" t="s">
        <v>46</v>
      </c>
      <c r="D130" s="21" t="s">
        <v>48</v>
      </c>
      <c r="E130" s="44"/>
      <c r="F130" s="44"/>
      <c r="G130" s="44" t="s">
        <v>282</v>
      </c>
      <c r="H130" s="23" t="s">
        <v>282</v>
      </c>
      <c r="I130" s="23"/>
      <c r="J130" s="23"/>
      <c r="K130" s="23"/>
      <c r="L130" s="23"/>
      <c r="M130" s="23"/>
      <c r="N130" s="23"/>
      <c r="O130" s="23"/>
      <c r="P130" s="23"/>
      <c r="Q130" s="23"/>
    </row>
    <row r="131" spans="1:17" s="3" customFormat="1">
      <c r="B131" s="23" t="s">
        <v>49</v>
      </c>
      <c r="C131" s="24" t="s">
        <v>43</v>
      </c>
      <c r="D131" s="21" t="s">
        <v>50</v>
      </c>
      <c r="E131" s="44"/>
      <c r="F131" s="44"/>
      <c r="G131" s="44" t="s">
        <v>282</v>
      </c>
      <c r="H131" s="23" t="s">
        <v>282</v>
      </c>
      <c r="I131" s="23"/>
      <c r="J131" s="23"/>
      <c r="K131" s="23"/>
      <c r="L131" s="23"/>
      <c r="M131" s="23"/>
      <c r="N131" s="23"/>
      <c r="O131" s="23"/>
      <c r="P131" s="23"/>
      <c r="Q131" s="23"/>
    </row>
    <row r="132" spans="1:17" s="3" customFormat="1">
      <c r="B132" s="23" t="s">
        <v>51</v>
      </c>
      <c r="C132" s="24" t="s">
        <v>46</v>
      </c>
      <c r="D132" s="21" t="s">
        <v>52</v>
      </c>
      <c r="E132" s="44"/>
      <c r="F132" s="44"/>
      <c r="G132" s="44" t="s">
        <v>282</v>
      </c>
      <c r="H132" s="23" t="s">
        <v>282</v>
      </c>
      <c r="I132" s="23"/>
      <c r="J132" s="23"/>
      <c r="K132" s="23"/>
      <c r="L132" s="23"/>
      <c r="M132" s="23"/>
      <c r="N132" s="23"/>
      <c r="O132" s="23"/>
      <c r="P132" s="23"/>
      <c r="Q132" s="23"/>
    </row>
  </sheetData>
  <autoFilter ref="A13:Q132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4B08-BDEC-40F0-B9E8-A95E6D138D6B}">
  <dimension ref="A1:Q128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3048</v>
      </c>
      <c r="D5" s="10" t="s">
        <v>3045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1251</v>
      </c>
      <c r="D9" s="10" t="s">
        <v>1253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2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1068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61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62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64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65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66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81</v>
      </c>
      <c r="C23" s="11" t="s">
        <v>43</v>
      </c>
      <c r="D23" s="9" t="s">
        <v>57</v>
      </c>
      <c r="E23" s="16" t="s">
        <v>128</v>
      </c>
      <c r="F23" s="17" t="s">
        <v>81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58</v>
      </c>
      <c r="C24" s="11" t="s">
        <v>43</v>
      </c>
      <c r="D24" s="9" t="s">
        <v>59</v>
      </c>
      <c r="E24" s="16" t="s">
        <v>128</v>
      </c>
      <c r="F24" s="9" t="s">
        <v>58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82</v>
      </c>
      <c r="C25" s="11" t="s">
        <v>43</v>
      </c>
      <c r="D25" s="9" t="s">
        <v>105</v>
      </c>
      <c r="E25" s="16" t="s">
        <v>128</v>
      </c>
      <c r="F25" s="17" t="s">
        <v>82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2" s="1" customFormat="1">
      <c r="B26" s="22" t="s">
        <v>85</v>
      </c>
      <c r="C26" s="11" t="s">
        <v>43</v>
      </c>
      <c r="D26" s="9" t="s">
        <v>107</v>
      </c>
      <c r="E26" s="16" t="s">
        <v>128</v>
      </c>
      <c r="F26" s="17" t="s">
        <v>85</v>
      </c>
      <c r="G26" s="17" t="s">
        <v>129</v>
      </c>
      <c r="H26" s="18"/>
      <c r="I26" s="19"/>
      <c r="J26" s="19" t="s">
        <v>131</v>
      </c>
      <c r="K26" s="19" t="s">
        <v>132</v>
      </c>
      <c r="L26" s="19" t="s">
        <v>44</v>
      </c>
    </row>
    <row r="27" spans="1:12" s="1" customFormat="1">
      <c r="B27" s="22" t="s">
        <v>507</v>
      </c>
      <c r="C27" s="62" t="s">
        <v>43</v>
      </c>
      <c r="D27" s="9" t="s">
        <v>626</v>
      </c>
      <c r="E27" s="16" t="s">
        <v>128</v>
      </c>
      <c r="F27" s="9" t="s">
        <v>507</v>
      </c>
      <c r="G27" s="17" t="s">
        <v>129</v>
      </c>
      <c r="H27" s="18"/>
      <c r="I27" s="19"/>
      <c r="J27" s="19" t="s">
        <v>131</v>
      </c>
      <c r="K27" s="19" t="s">
        <v>132</v>
      </c>
      <c r="L27" s="19" t="s">
        <v>632</v>
      </c>
    </row>
    <row r="28" spans="1:12" s="1" customFormat="1">
      <c r="A28" s="15"/>
      <c r="B28" s="11" t="s">
        <v>1072</v>
      </c>
      <c r="C28" s="11" t="s">
        <v>45</v>
      </c>
      <c r="D28" s="9" t="s">
        <v>146</v>
      </c>
      <c r="E28" s="16" t="s">
        <v>128</v>
      </c>
      <c r="F28" s="17"/>
      <c r="G28" s="17" t="s">
        <v>1073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2" s="1" customFormat="1">
      <c r="A29" s="15"/>
      <c r="B29" s="11" t="s">
        <v>189</v>
      </c>
      <c r="C29" s="11" t="s">
        <v>45</v>
      </c>
      <c r="D29" s="9" t="s">
        <v>190</v>
      </c>
      <c r="E29" s="16" t="s">
        <v>128</v>
      </c>
      <c r="F29" s="17"/>
      <c r="G29" s="17" t="s">
        <v>1259</v>
      </c>
      <c r="H29" s="18"/>
      <c r="I29" s="17"/>
      <c r="J29" s="19" t="s">
        <v>133</v>
      </c>
      <c r="K29" s="19" t="s">
        <v>132</v>
      </c>
      <c r="L29" s="19" t="s">
        <v>134</v>
      </c>
    </row>
    <row r="30" spans="1:12" s="1" customFormat="1">
      <c r="A30" s="15"/>
      <c r="B30" s="11" t="s">
        <v>192</v>
      </c>
      <c r="C30" s="11" t="s">
        <v>45</v>
      </c>
      <c r="D30" s="9" t="s">
        <v>193</v>
      </c>
      <c r="E30" s="16" t="s">
        <v>128</v>
      </c>
      <c r="F30" s="17"/>
      <c r="G30" s="17" t="s">
        <v>1074</v>
      </c>
      <c r="H30" s="18"/>
      <c r="I30" s="17"/>
      <c r="J30" s="19" t="s">
        <v>133</v>
      </c>
      <c r="K30" s="19" t="s">
        <v>132</v>
      </c>
      <c r="L30" s="19" t="s">
        <v>134</v>
      </c>
    </row>
    <row r="31" spans="1:12" s="1" customFormat="1">
      <c r="A31" s="15"/>
      <c r="B31" s="22" t="s">
        <v>255</v>
      </c>
      <c r="C31" s="22" t="s">
        <v>45</v>
      </c>
      <c r="D31" s="9" t="s">
        <v>348</v>
      </c>
      <c r="E31" s="16" t="s">
        <v>128</v>
      </c>
      <c r="F31" s="17"/>
      <c r="G31" s="17" t="s">
        <v>257</v>
      </c>
      <c r="H31" s="18"/>
      <c r="I31" s="17"/>
      <c r="J31" s="19" t="s">
        <v>133</v>
      </c>
      <c r="K31" s="19" t="s">
        <v>203</v>
      </c>
      <c r="L31" s="19" t="s">
        <v>134</v>
      </c>
    </row>
    <row r="32" spans="1:12" s="1" customFormat="1">
      <c r="A32" s="15"/>
      <c r="B32" s="11" t="s">
        <v>207</v>
      </c>
      <c r="C32" s="11" t="s">
        <v>45</v>
      </c>
      <c r="D32" s="9" t="s">
        <v>759</v>
      </c>
      <c r="E32" s="16" t="s">
        <v>128</v>
      </c>
      <c r="F32" s="72"/>
      <c r="G32" s="17" t="s">
        <v>320</v>
      </c>
      <c r="H32" s="18"/>
      <c r="I32" s="17"/>
      <c r="J32" s="19" t="s">
        <v>133</v>
      </c>
      <c r="K32" s="19" t="s">
        <v>204</v>
      </c>
      <c r="L32" s="19" t="s">
        <v>134</v>
      </c>
    </row>
    <row r="33" spans="1:12" s="1" customFormat="1">
      <c r="A33" s="15"/>
      <c r="B33" s="11" t="s">
        <v>208</v>
      </c>
      <c r="C33" s="11" t="s">
        <v>45</v>
      </c>
      <c r="D33" s="9" t="s">
        <v>160</v>
      </c>
      <c r="E33" s="16" t="s">
        <v>128</v>
      </c>
      <c r="F33" s="72"/>
      <c r="G33" s="17" t="s">
        <v>319</v>
      </c>
      <c r="H33" s="18"/>
      <c r="I33" s="17"/>
      <c r="J33" s="19" t="s">
        <v>133</v>
      </c>
      <c r="K33" s="19" t="s">
        <v>204</v>
      </c>
      <c r="L33" s="19" t="s">
        <v>134</v>
      </c>
    </row>
    <row r="34" spans="1:12" s="1" customFormat="1">
      <c r="A34" s="15"/>
      <c r="B34" s="11" t="s">
        <v>763</v>
      </c>
      <c r="C34" s="11" t="s">
        <v>45</v>
      </c>
      <c r="D34" s="9" t="s">
        <v>181</v>
      </c>
      <c r="E34" s="16" t="s">
        <v>128</v>
      </c>
      <c r="F34" s="72"/>
      <c r="G34" s="9" t="s">
        <v>1076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805</v>
      </c>
      <c r="C35" s="11" t="s">
        <v>45</v>
      </c>
      <c r="D35" s="9" t="s">
        <v>184</v>
      </c>
      <c r="E35" s="16" t="s">
        <v>128</v>
      </c>
      <c r="F35" s="72"/>
      <c r="G35" s="17" t="s">
        <v>1110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210</v>
      </c>
      <c r="C36" s="11" t="s">
        <v>45</v>
      </c>
      <c r="D36" s="9" t="s">
        <v>1056</v>
      </c>
      <c r="E36" s="16" t="s">
        <v>128</v>
      </c>
      <c r="F36" s="72"/>
      <c r="G36" s="17" t="s">
        <v>224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209</v>
      </c>
      <c r="C37" s="11" t="s">
        <v>45</v>
      </c>
      <c r="D37" s="9" t="s">
        <v>1055</v>
      </c>
      <c r="E37" s="16" t="s">
        <v>128</v>
      </c>
      <c r="F37" s="72"/>
      <c r="G37" s="17" t="s">
        <v>223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211</v>
      </c>
      <c r="C38" s="11" t="s">
        <v>45</v>
      </c>
      <c r="D38" s="9" t="s">
        <v>163</v>
      </c>
      <c r="E38" s="16" t="s">
        <v>128</v>
      </c>
      <c r="F38" s="72"/>
      <c r="G38" s="17" t="s">
        <v>225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212</v>
      </c>
      <c r="C39" s="11" t="s">
        <v>45</v>
      </c>
      <c r="D39" s="9" t="s">
        <v>164</v>
      </c>
      <c r="E39" s="16" t="s">
        <v>128</v>
      </c>
      <c r="F39" s="72"/>
      <c r="G39" s="17" t="s">
        <v>226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213</v>
      </c>
      <c r="C40" s="11" t="s">
        <v>45</v>
      </c>
      <c r="D40" s="9" t="s">
        <v>165</v>
      </c>
      <c r="E40" s="16" t="s">
        <v>128</v>
      </c>
      <c r="F40" s="72"/>
      <c r="G40" s="17" t="s">
        <v>1114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214</v>
      </c>
      <c r="C41" s="11" t="s">
        <v>45</v>
      </c>
      <c r="D41" s="9" t="s">
        <v>166</v>
      </c>
      <c r="E41" s="16" t="s">
        <v>128</v>
      </c>
      <c r="F41" s="72"/>
      <c r="G41" s="17" t="s">
        <v>1115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217</v>
      </c>
      <c r="C42" s="11" t="s">
        <v>45</v>
      </c>
      <c r="D42" s="9" t="s">
        <v>171</v>
      </c>
      <c r="E42" s="16" t="s">
        <v>128</v>
      </c>
      <c r="F42" s="72"/>
      <c r="G42" s="17" t="s">
        <v>1116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218</v>
      </c>
      <c r="C43" s="11" t="s">
        <v>45</v>
      </c>
      <c r="D43" s="9" t="s">
        <v>172</v>
      </c>
      <c r="E43" s="16" t="s">
        <v>128</v>
      </c>
      <c r="F43" s="72"/>
      <c r="G43" s="17" t="s">
        <v>1117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219</v>
      </c>
      <c r="C44" s="11" t="s">
        <v>45</v>
      </c>
      <c r="D44" s="9" t="s">
        <v>173</v>
      </c>
      <c r="E44" s="16" t="s">
        <v>128</v>
      </c>
      <c r="F44" s="72"/>
      <c r="G44" s="17" t="s">
        <v>1118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220</v>
      </c>
      <c r="C45" s="11" t="s">
        <v>45</v>
      </c>
      <c r="D45" s="9" t="s">
        <v>174</v>
      </c>
      <c r="E45" s="16" t="s">
        <v>128</v>
      </c>
      <c r="F45" s="72"/>
      <c r="G45" s="17" t="s">
        <v>1119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215</v>
      </c>
      <c r="C46" s="11" t="s">
        <v>45</v>
      </c>
      <c r="D46" s="9" t="s">
        <v>1260</v>
      </c>
      <c r="E46" s="16" t="s">
        <v>128</v>
      </c>
      <c r="F46" s="72"/>
      <c r="G46" s="17" t="s">
        <v>227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216</v>
      </c>
      <c r="C47" s="11" t="s">
        <v>45</v>
      </c>
      <c r="D47" s="9" t="s">
        <v>1261</v>
      </c>
      <c r="E47" s="16" t="s">
        <v>128</v>
      </c>
      <c r="F47" s="72"/>
      <c r="G47" s="17" t="s">
        <v>228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316</v>
      </c>
      <c r="C48" s="11" t="s">
        <v>45</v>
      </c>
      <c r="D48" s="9" t="s">
        <v>167</v>
      </c>
      <c r="E48" s="16" t="s">
        <v>128</v>
      </c>
      <c r="F48" s="72"/>
      <c r="G48" s="17" t="s">
        <v>772</v>
      </c>
      <c r="H48" s="18"/>
      <c r="I48" s="17"/>
      <c r="J48" s="19" t="s">
        <v>133</v>
      </c>
      <c r="K48" s="19" t="s">
        <v>202</v>
      </c>
      <c r="L48" s="19" t="s">
        <v>67</v>
      </c>
    </row>
    <row r="49" spans="1:12" s="1" customFormat="1">
      <c r="A49" s="15"/>
      <c r="B49" s="11" t="s">
        <v>809</v>
      </c>
      <c r="C49" s="11" t="s">
        <v>45</v>
      </c>
      <c r="D49" s="9" t="s">
        <v>175</v>
      </c>
      <c r="E49" s="16" t="s">
        <v>128</v>
      </c>
      <c r="F49" s="72"/>
      <c r="G49" s="17" t="s">
        <v>1120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317</v>
      </c>
      <c r="C50" s="11" t="s">
        <v>45</v>
      </c>
      <c r="D50" s="9" t="s">
        <v>168</v>
      </c>
      <c r="E50" s="16" t="s">
        <v>128</v>
      </c>
      <c r="F50" s="72"/>
      <c r="G50" s="17" t="s">
        <v>1487</v>
      </c>
      <c r="H50" s="18"/>
      <c r="I50" s="17"/>
      <c r="J50" s="19" t="s">
        <v>133</v>
      </c>
      <c r="K50" s="19" t="s">
        <v>202</v>
      </c>
      <c r="L50" s="19" t="s">
        <v>67</v>
      </c>
    </row>
    <row r="51" spans="1:12" s="1" customFormat="1">
      <c r="A51" s="15"/>
      <c r="B51" s="11" t="s">
        <v>810</v>
      </c>
      <c r="C51" s="11" t="s">
        <v>45</v>
      </c>
      <c r="D51" s="9" t="s">
        <v>176</v>
      </c>
      <c r="E51" s="16" t="s">
        <v>128</v>
      </c>
      <c r="F51" s="72"/>
      <c r="G51" s="17" t="s">
        <v>1121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1213</v>
      </c>
      <c r="C52" s="11" t="s">
        <v>45</v>
      </c>
      <c r="D52" s="9" t="s">
        <v>178</v>
      </c>
      <c r="E52" s="16" t="s">
        <v>128</v>
      </c>
      <c r="F52" s="72"/>
      <c r="G52" s="17" t="s">
        <v>1215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221</v>
      </c>
      <c r="C53" s="11" t="s">
        <v>45</v>
      </c>
      <c r="D53" s="9" t="s">
        <v>177</v>
      </c>
      <c r="E53" s="16" t="s">
        <v>128</v>
      </c>
      <c r="F53" s="72"/>
      <c r="G53" s="17" t="s">
        <v>1256</v>
      </c>
      <c r="H53" s="18"/>
      <c r="I53" s="17"/>
      <c r="J53" s="19" t="s">
        <v>133</v>
      </c>
      <c r="K53" s="19" t="s">
        <v>204</v>
      </c>
      <c r="L53" s="19" t="s">
        <v>67</v>
      </c>
    </row>
    <row r="54" spans="1:12" s="1" customFormat="1">
      <c r="A54" s="15"/>
      <c r="B54" s="11" t="s">
        <v>1212</v>
      </c>
      <c r="C54" s="11" t="s">
        <v>45</v>
      </c>
      <c r="D54" s="9" t="s">
        <v>180</v>
      </c>
      <c r="E54" s="16" t="s">
        <v>128</v>
      </c>
      <c r="F54" s="72"/>
      <c r="G54" s="17" t="s">
        <v>1214</v>
      </c>
      <c r="H54" s="18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11" t="s">
        <v>222</v>
      </c>
      <c r="C55" s="11" t="s">
        <v>45</v>
      </c>
      <c r="D55" s="9" t="s">
        <v>179</v>
      </c>
      <c r="E55" s="16" t="s">
        <v>128</v>
      </c>
      <c r="F55" s="72"/>
      <c r="G55" s="17" t="s">
        <v>1123</v>
      </c>
      <c r="H55" s="18"/>
      <c r="I55" s="17"/>
      <c r="J55" s="19" t="s">
        <v>133</v>
      </c>
      <c r="K55" s="19" t="s">
        <v>204</v>
      </c>
      <c r="L55" s="19" t="s">
        <v>67</v>
      </c>
    </row>
    <row r="56" spans="1:12" s="1" customFormat="1">
      <c r="A56" s="15"/>
      <c r="B56" s="11" t="s">
        <v>811</v>
      </c>
      <c r="C56" s="11" t="s">
        <v>45</v>
      </c>
      <c r="D56" s="9" t="s">
        <v>643</v>
      </c>
      <c r="E56" s="16" t="s">
        <v>128</v>
      </c>
      <c r="F56" s="72"/>
      <c r="G56" s="17" t="s">
        <v>768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812</v>
      </c>
      <c r="C57" s="11" t="s">
        <v>45</v>
      </c>
      <c r="D57" s="9" t="s">
        <v>813</v>
      </c>
      <c r="E57" s="16" t="s">
        <v>128</v>
      </c>
      <c r="F57" s="72"/>
      <c r="G57" s="17" t="s">
        <v>1124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814</v>
      </c>
      <c r="C58" s="11" t="s">
        <v>45</v>
      </c>
      <c r="D58" s="9" t="s">
        <v>500</v>
      </c>
      <c r="E58" s="16" t="s">
        <v>128</v>
      </c>
      <c r="F58" s="72"/>
      <c r="G58" s="17" t="s">
        <v>1125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205</v>
      </c>
      <c r="C59" s="11" t="s">
        <v>45</v>
      </c>
      <c r="D59" s="9" t="s">
        <v>147</v>
      </c>
      <c r="E59" s="16" t="s">
        <v>128</v>
      </c>
      <c r="F59" s="72"/>
      <c r="G59" s="17" t="s">
        <v>1126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206</v>
      </c>
      <c r="C60" s="11" t="s">
        <v>280</v>
      </c>
      <c r="D60" s="9" t="s">
        <v>820</v>
      </c>
      <c r="E60" s="16" t="s">
        <v>128</v>
      </c>
      <c r="F60" s="72"/>
      <c r="G60" s="17" t="s">
        <v>1081</v>
      </c>
      <c r="H60" s="18"/>
      <c r="I60" s="17"/>
      <c r="J60" s="19" t="s">
        <v>133</v>
      </c>
      <c r="K60" s="19" t="s">
        <v>202</v>
      </c>
      <c r="L60" s="19" t="s">
        <v>67</v>
      </c>
    </row>
    <row r="61" spans="1:12" s="1" customFormat="1">
      <c r="A61" s="15"/>
      <c r="B61" s="11" t="s">
        <v>1022</v>
      </c>
      <c r="C61" s="11" t="s">
        <v>45</v>
      </c>
      <c r="D61" s="9" t="s">
        <v>1018</v>
      </c>
      <c r="E61" s="16" t="s">
        <v>128</v>
      </c>
      <c r="F61" s="72"/>
      <c r="G61" s="17" t="s">
        <v>1127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1014</v>
      </c>
      <c r="C62" s="11" t="s">
        <v>45</v>
      </c>
      <c r="D62" s="9" t="s">
        <v>1019</v>
      </c>
      <c r="E62" s="16" t="s">
        <v>128</v>
      </c>
      <c r="F62" s="72"/>
      <c r="G62" s="17" t="s">
        <v>1128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1015</v>
      </c>
      <c r="C63" s="11" t="s">
        <v>45</v>
      </c>
      <c r="D63" s="9" t="s">
        <v>1020</v>
      </c>
      <c r="E63" s="16" t="s">
        <v>128</v>
      </c>
      <c r="F63" s="72"/>
      <c r="G63" s="17" t="s">
        <v>1129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1016</v>
      </c>
      <c r="C64" s="11" t="s">
        <v>45</v>
      </c>
      <c r="D64" s="9" t="s">
        <v>1021</v>
      </c>
      <c r="E64" s="16" t="s">
        <v>128</v>
      </c>
      <c r="F64" s="72"/>
      <c r="G64" s="17" t="s">
        <v>1130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1017</v>
      </c>
      <c r="C65" s="11" t="s">
        <v>45</v>
      </c>
      <c r="D65" s="9" t="s">
        <v>1042</v>
      </c>
      <c r="E65" s="16" t="s">
        <v>128</v>
      </c>
      <c r="F65" s="72"/>
      <c r="G65" s="17" t="s">
        <v>1131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1049</v>
      </c>
      <c r="C66" s="11" t="s">
        <v>45</v>
      </c>
      <c r="D66" s="9" t="s">
        <v>153</v>
      </c>
      <c r="E66" s="16" t="s">
        <v>128</v>
      </c>
      <c r="F66" s="72"/>
      <c r="G66" s="17" t="s">
        <v>1262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823</v>
      </c>
      <c r="C67" s="11" t="s">
        <v>280</v>
      </c>
      <c r="D67" s="9" t="s">
        <v>1474</v>
      </c>
      <c r="E67" s="16" t="s">
        <v>128</v>
      </c>
      <c r="F67" s="72"/>
      <c r="G67" s="17" t="s">
        <v>1082</v>
      </c>
      <c r="H67" s="18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" t="s">
        <v>1030</v>
      </c>
      <c r="C68" s="11" t="s">
        <v>45</v>
      </c>
      <c r="D68" s="9" t="s">
        <v>1026</v>
      </c>
      <c r="E68" s="16" t="s">
        <v>128</v>
      </c>
      <c r="F68" s="72"/>
      <c r="G68" s="17" t="s">
        <v>1133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1023</v>
      </c>
      <c r="C69" s="11" t="s">
        <v>45</v>
      </c>
      <c r="D69" s="9" t="s">
        <v>1027</v>
      </c>
      <c r="E69" s="16" t="s">
        <v>128</v>
      </c>
      <c r="F69" s="72"/>
      <c r="G69" s="17" t="s">
        <v>1134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1024</v>
      </c>
      <c r="C70" s="11" t="s">
        <v>45</v>
      </c>
      <c r="D70" s="9" t="s">
        <v>1028</v>
      </c>
      <c r="E70" s="16" t="s">
        <v>128</v>
      </c>
      <c r="F70" s="72"/>
      <c r="G70" s="17" t="s">
        <v>1135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1032</v>
      </c>
      <c r="C71" s="11" t="s">
        <v>45</v>
      </c>
      <c r="D71" s="9" t="s">
        <v>1029</v>
      </c>
      <c r="E71" s="16" t="s">
        <v>128</v>
      </c>
      <c r="F71" s="72"/>
      <c r="G71" s="17" t="s">
        <v>1136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1025</v>
      </c>
      <c r="C72" s="11" t="s">
        <v>45</v>
      </c>
      <c r="D72" s="9" t="s">
        <v>1043</v>
      </c>
      <c r="E72" s="16" t="s">
        <v>128</v>
      </c>
      <c r="F72" s="72"/>
      <c r="G72" s="17" t="s">
        <v>1137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1084</v>
      </c>
      <c r="C73" s="11" t="s">
        <v>280</v>
      </c>
      <c r="D73" s="9" t="s">
        <v>1086</v>
      </c>
      <c r="E73" s="16" t="s">
        <v>128</v>
      </c>
      <c r="F73" s="72"/>
      <c r="G73" s="17" t="s">
        <v>1087</v>
      </c>
      <c r="H73" s="18"/>
      <c r="I73" s="17"/>
      <c r="J73" s="19" t="s">
        <v>133</v>
      </c>
      <c r="K73" s="19" t="s">
        <v>202</v>
      </c>
      <c r="L73" s="19" t="s">
        <v>67</v>
      </c>
    </row>
    <row r="74" spans="1:12" s="1" customFormat="1">
      <c r="A74" s="15"/>
      <c r="B74" s="11" t="s">
        <v>1083</v>
      </c>
      <c r="C74" s="11" t="s">
        <v>280</v>
      </c>
      <c r="D74" s="9" t="s">
        <v>841</v>
      </c>
      <c r="E74" s="16" t="s">
        <v>128</v>
      </c>
      <c r="F74" s="72"/>
      <c r="G74" s="17" t="s">
        <v>1866</v>
      </c>
      <c r="H74" s="18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1033</v>
      </c>
      <c r="C75" s="11" t="s">
        <v>45</v>
      </c>
      <c r="D75" s="9" t="s">
        <v>1038</v>
      </c>
      <c r="E75" s="16" t="s">
        <v>128</v>
      </c>
      <c r="F75" s="72"/>
      <c r="G75" s="17" t="s">
        <v>1138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1034</v>
      </c>
      <c r="C76" s="11" t="s">
        <v>45</v>
      </c>
      <c r="D76" s="9" t="s">
        <v>1039</v>
      </c>
      <c r="E76" s="16" t="s">
        <v>128</v>
      </c>
      <c r="F76" s="72"/>
      <c r="G76" s="17" t="s">
        <v>1139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1035</v>
      </c>
      <c r="C77" s="11" t="s">
        <v>45</v>
      </c>
      <c r="D77" s="9" t="s">
        <v>1040</v>
      </c>
      <c r="E77" s="16" t="s">
        <v>128</v>
      </c>
      <c r="F77" s="72"/>
      <c r="G77" s="17" t="s">
        <v>1140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1036</v>
      </c>
      <c r="C78" s="11" t="s">
        <v>45</v>
      </c>
      <c r="D78" s="9" t="s">
        <v>1041</v>
      </c>
      <c r="E78" s="16" t="s">
        <v>128</v>
      </c>
      <c r="F78" s="72"/>
      <c r="G78" s="17" t="s">
        <v>1141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1037</v>
      </c>
      <c r="C79" s="11" t="s">
        <v>45</v>
      </c>
      <c r="D79" s="9" t="s">
        <v>1044</v>
      </c>
      <c r="E79" s="16" t="s">
        <v>128</v>
      </c>
      <c r="F79" s="72"/>
      <c r="G79" s="17" t="s">
        <v>1142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816</v>
      </c>
      <c r="C80" s="11" t="s">
        <v>280</v>
      </c>
      <c r="D80" s="9" t="s">
        <v>839</v>
      </c>
      <c r="E80" s="16" t="s">
        <v>128</v>
      </c>
      <c r="F80" s="72"/>
      <c r="G80" s="17" t="s">
        <v>1088</v>
      </c>
      <c r="H80" s="18"/>
      <c r="I80" s="17"/>
      <c r="J80" s="19" t="s">
        <v>133</v>
      </c>
      <c r="K80" s="19" t="s">
        <v>202</v>
      </c>
      <c r="L80" s="19" t="s">
        <v>67</v>
      </c>
    </row>
    <row r="81" spans="1:12" s="1" customFormat="1">
      <c r="A81" s="15"/>
      <c r="B81" s="11" t="s">
        <v>817</v>
      </c>
      <c r="C81" s="11" t="s">
        <v>45</v>
      </c>
      <c r="D81" s="9" t="s">
        <v>658</v>
      </c>
      <c r="E81" s="16" t="s">
        <v>128</v>
      </c>
      <c r="F81" s="72"/>
      <c r="G81" s="17" t="s">
        <v>1090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818</v>
      </c>
      <c r="C82" s="11" t="s">
        <v>280</v>
      </c>
      <c r="D82" s="9" t="s">
        <v>842</v>
      </c>
      <c r="E82" s="16" t="s">
        <v>128</v>
      </c>
      <c r="F82" s="72"/>
      <c r="G82" s="17" t="s">
        <v>1091</v>
      </c>
      <c r="H82" s="18"/>
      <c r="I82" s="17"/>
      <c r="J82" s="19" t="s">
        <v>133</v>
      </c>
      <c r="K82" s="19" t="s">
        <v>202</v>
      </c>
      <c r="L82" s="19" t="s">
        <v>67</v>
      </c>
    </row>
    <row r="83" spans="1:12" s="1" customFormat="1">
      <c r="A83" s="15"/>
      <c r="B83" s="11" t="s">
        <v>819</v>
      </c>
      <c r="C83" s="11" t="s">
        <v>45</v>
      </c>
      <c r="D83" s="9" t="s">
        <v>660</v>
      </c>
      <c r="E83" s="16" t="s">
        <v>128</v>
      </c>
      <c r="F83" s="72"/>
      <c r="G83" s="17" t="s">
        <v>1093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829</v>
      </c>
      <c r="C84" s="11" t="s">
        <v>280</v>
      </c>
      <c r="D84" s="9" t="s">
        <v>505</v>
      </c>
      <c r="E84" s="16" t="s">
        <v>128</v>
      </c>
      <c r="F84" s="72"/>
      <c r="G84" s="17" t="s">
        <v>1094</v>
      </c>
      <c r="H84" s="18"/>
      <c r="I84" s="17"/>
      <c r="J84" s="19" t="s">
        <v>133</v>
      </c>
      <c r="K84" s="19" t="s">
        <v>203</v>
      </c>
      <c r="L84" s="19" t="s">
        <v>67</v>
      </c>
    </row>
    <row r="85" spans="1:12" s="1" customFormat="1">
      <c r="A85" s="15"/>
      <c r="B85" s="11" t="s">
        <v>1570</v>
      </c>
      <c r="C85" s="11" t="s">
        <v>45</v>
      </c>
      <c r="D85" s="9" t="s">
        <v>1526</v>
      </c>
      <c r="E85" s="16" t="s">
        <v>128</v>
      </c>
      <c r="F85" s="72"/>
      <c r="G85" s="17" t="s">
        <v>1571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1527</v>
      </c>
      <c r="C86" s="11" t="s">
        <v>45</v>
      </c>
      <c r="D86" s="9" t="s">
        <v>1528</v>
      </c>
      <c r="E86" s="16" t="s">
        <v>128</v>
      </c>
      <c r="F86" s="72"/>
      <c r="G86" s="17" t="s">
        <v>1572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1529</v>
      </c>
      <c r="C87" s="11" t="s">
        <v>45</v>
      </c>
      <c r="D87" s="9" t="s">
        <v>1530</v>
      </c>
      <c r="E87" s="16" t="s">
        <v>128</v>
      </c>
      <c r="F87" s="72"/>
      <c r="G87" s="17" t="s">
        <v>1573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1531</v>
      </c>
      <c r="C88" s="11" t="s">
        <v>45</v>
      </c>
      <c r="D88" s="9" t="s">
        <v>1532</v>
      </c>
      <c r="E88" s="16" t="s">
        <v>128</v>
      </c>
      <c r="F88" s="72"/>
      <c r="G88" s="17" t="s">
        <v>1574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1533</v>
      </c>
      <c r="C89" s="11" t="s">
        <v>45</v>
      </c>
      <c r="D89" s="9" t="s">
        <v>1534</v>
      </c>
      <c r="E89" s="16" t="s">
        <v>128</v>
      </c>
      <c r="F89" s="72"/>
      <c r="G89" s="17" t="s">
        <v>1575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799</v>
      </c>
      <c r="C90" s="11" t="s">
        <v>280</v>
      </c>
      <c r="D90" s="9" t="s">
        <v>506</v>
      </c>
      <c r="E90" s="16" t="s">
        <v>128</v>
      </c>
      <c r="F90" s="72"/>
      <c r="G90" s="17" t="s">
        <v>1095</v>
      </c>
      <c r="H90" s="18"/>
      <c r="I90" s="17"/>
      <c r="J90" s="19" t="s">
        <v>133</v>
      </c>
      <c r="K90" s="19" t="s">
        <v>203</v>
      </c>
      <c r="L90" s="19" t="s">
        <v>67</v>
      </c>
    </row>
    <row r="91" spans="1:12" s="1" customFormat="1">
      <c r="A91" s="15"/>
      <c r="B91" s="11" t="s">
        <v>1549</v>
      </c>
      <c r="C91" s="11" t="s">
        <v>45</v>
      </c>
      <c r="D91" s="9" t="s">
        <v>1540</v>
      </c>
      <c r="E91" s="16" t="s">
        <v>128</v>
      </c>
      <c r="F91" s="72"/>
      <c r="G91" s="17" t="s">
        <v>1576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1541</v>
      </c>
      <c r="C92" s="11" t="s">
        <v>45</v>
      </c>
      <c r="D92" s="9" t="s">
        <v>1542</v>
      </c>
      <c r="E92" s="16" t="s">
        <v>128</v>
      </c>
      <c r="F92" s="72"/>
      <c r="G92" s="17" t="s">
        <v>1577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1543</v>
      </c>
      <c r="C93" s="11" t="s">
        <v>45</v>
      </c>
      <c r="D93" s="9" t="s">
        <v>1544</v>
      </c>
      <c r="E93" s="16" t="s">
        <v>128</v>
      </c>
      <c r="F93" s="72"/>
      <c r="G93" s="17" t="s">
        <v>1578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1545</v>
      </c>
      <c r="C94" s="11" t="s">
        <v>45</v>
      </c>
      <c r="D94" s="9" t="s">
        <v>1546</v>
      </c>
      <c r="E94" s="16" t="s">
        <v>128</v>
      </c>
      <c r="F94" s="72"/>
      <c r="G94" s="17" t="s">
        <v>1579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11" t="s">
        <v>1547</v>
      </c>
      <c r="C95" s="11" t="s">
        <v>45</v>
      </c>
      <c r="D95" s="9" t="s">
        <v>1548</v>
      </c>
      <c r="E95" s="16" t="s">
        <v>128</v>
      </c>
      <c r="F95" s="72"/>
      <c r="G95" s="17" t="s">
        <v>1580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830</v>
      </c>
      <c r="C96" s="11" t="s">
        <v>45</v>
      </c>
      <c r="D96" s="9" t="s">
        <v>837</v>
      </c>
      <c r="E96" s="16" t="s">
        <v>128</v>
      </c>
      <c r="F96" s="72"/>
      <c r="G96" s="17" t="s">
        <v>1097</v>
      </c>
      <c r="H96" s="18"/>
      <c r="I96" s="17"/>
      <c r="J96" s="19" t="s">
        <v>133</v>
      </c>
      <c r="K96" s="19" t="s">
        <v>44</v>
      </c>
      <c r="L96" s="19" t="s">
        <v>67</v>
      </c>
    </row>
    <row r="97" spans="1:12" s="1" customFormat="1">
      <c r="A97" s="15"/>
      <c r="B97" s="11" t="s">
        <v>623</v>
      </c>
      <c r="C97" s="11" t="s">
        <v>280</v>
      </c>
      <c r="D97" s="9" t="s">
        <v>836</v>
      </c>
      <c r="E97" s="16" t="s">
        <v>128</v>
      </c>
      <c r="F97" s="72"/>
      <c r="G97" s="17" t="s">
        <v>1099</v>
      </c>
      <c r="H97" s="18"/>
      <c r="I97" s="17"/>
      <c r="J97" s="19" t="s">
        <v>133</v>
      </c>
      <c r="K97" s="19" t="s">
        <v>202</v>
      </c>
      <c r="L97" s="19" t="s">
        <v>67</v>
      </c>
    </row>
    <row r="98" spans="1:12" s="1" customFormat="1">
      <c r="A98" s="15"/>
      <c r="B98" s="95" t="s">
        <v>1564</v>
      </c>
      <c r="C98" s="95" t="s">
        <v>45</v>
      </c>
      <c r="D98" s="96" t="s">
        <v>1555</v>
      </c>
      <c r="E98" s="16" t="s">
        <v>128</v>
      </c>
      <c r="F98" s="72"/>
      <c r="G98" s="17" t="s">
        <v>1581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95" t="s">
        <v>1556</v>
      </c>
      <c r="C99" s="95" t="s">
        <v>45</v>
      </c>
      <c r="D99" s="96" t="s">
        <v>1557</v>
      </c>
      <c r="E99" s="16" t="s">
        <v>128</v>
      </c>
      <c r="F99" s="72"/>
      <c r="G99" s="17" t="s">
        <v>1582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95" t="s">
        <v>1558</v>
      </c>
      <c r="C100" s="95" t="s">
        <v>45</v>
      </c>
      <c r="D100" s="96" t="s">
        <v>1559</v>
      </c>
      <c r="E100" s="16" t="s">
        <v>128</v>
      </c>
      <c r="F100" s="72"/>
      <c r="G100" s="17" t="s">
        <v>1583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2" s="1" customFormat="1">
      <c r="A101" s="15"/>
      <c r="B101" s="95" t="s">
        <v>1560</v>
      </c>
      <c r="C101" s="95" t="s">
        <v>45</v>
      </c>
      <c r="D101" s="96" t="s">
        <v>1561</v>
      </c>
      <c r="E101" s="16" t="s">
        <v>128</v>
      </c>
      <c r="F101" s="72"/>
      <c r="G101" s="17" t="s">
        <v>1584</v>
      </c>
      <c r="H101" s="18"/>
      <c r="I101" s="17"/>
      <c r="J101" s="19" t="s">
        <v>133</v>
      </c>
      <c r="K101" s="19" t="s">
        <v>903</v>
      </c>
      <c r="L101" s="19" t="s">
        <v>67</v>
      </c>
    </row>
    <row r="102" spans="1:12" s="1" customFormat="1">
      <c r="A102" s="15"/>
      <c r="B102" s="95" t="s">
        <v>1562</v>
      </c>
      <c r="C102" s="95" t="s">
        <v>45</v>
      </c>
      <c r="D102" s="96" t="s">
        <v>1563</v>
      </c>
      <c r="E102" s="16" t="s">
        <v>128</v>
      </c>
      <c r="F102" s="72"/>
      <c r="G102" s="17" t="s">
        <v>1585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A103" s="15"/>
      <c r="B103" s="11" t="s">
        <v>831</v>
      </c>
      <c r="C103" s="11" t="s">
        <v>45</v>
      </c>
      <c r="D103" s="9" t="s">
        <v>825</v>
      </c>
      <c r="E103" s="16" t="s">
        <v>128</v>
      </c>
      <c r="F103" s="72"/>
      <c r="G103" s="17" t="s">
        <v>1100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A104" s="15"/>
      <c r="B104" s="11" t="s">
        <v>1098</v>
      </c>
      <c r="C104" s="11" t="s">
        <v>280</v>
      </c>
      <c r="D104" s="9" t="s">
        <v>826</v>
      </c>
      <c r="E104" s="16" t="s">
        <v>128</v>
      </c>
      <c r="F104" s="72"/>
      <c r="G104" s="17" t="s">
        <v>1101</v>
      </c>
      <c r="H104" s="18"/>
      <c r="I104" s="17"/>
      <c r="J104" s="19" t="s">
        <v>133</v>
      </c>
      <c r="K104" s="19" t="s">
        <v>202</v>
      </c>
      <c r="L104" s="19" t="s">
        <v>67</v>
      </c>
    </row>
    <row r="105" spans="1:12" s="1" customFormat="1">
      <c r="A105" s="15"/>
      <c r="B105" s="11" t="s">
        <v>834</v>
      </c>
      <c r="C105" s="11" t="s">
        <v>280</v>
      </c>
      <c r="D105" s="9" t="s">
        <v>833</v>
      </c>
      <c r="E105" s="16" t="s">
        <v>128</v>
      </c>
      <c r="F105" s="72"/>
      <c r="G105" s="17" t="s">
        <v>1102</v>
      </c>
      <c r="H105" s="18"/>
      <c r="I105" s="17"/>
      <c r="J105" s="19" t="s">
        <v>133</v>
      </c>
      <c r="K105" s="19" t="s">
        <v>202</v>
      </c>
      <c r="L105" s="19" t="s">
        <v>67</v>
      </c>
    </row>
    <row r="106" spans="1:12" s="1" customFormat="1">
      <c r="A106" s="15"/>
      <c r="B106" s="11" t="s">
        <v>535</v>
      </c>
      <c r="C106" s="11" t="s">
        <v>280</v>
      </c>
      <c r="D106" s="9" t="s">
        <v>534</v>
      </c>
      <c r="E106" s="16" t="s">
        <v>128</v>
      </c>
      <c r="F106" s="72"/>
      <c r="G106" s="17" t="s">
        <v>1103</v>
      </c>
      <c r="H106" s="18"/>
      <c r="I106" s="17"/>
      <c r="J106" s="19" t="s">
        <v>133</v>
      </c>
      <c r="K106" s="19" t="s">
        <v>202</v>
      </c>
      <c r="L106" s="19" t="s">
        <v>67</v>
      </c>
    </row>
    <row r="107" spans="1:12" s="1" customFormat="1">
      <c r="A107" s="15"/>
      <c r="B107" s="11" t="s">
        <v>848</v>
      </c>
      <c r="C107" s="11" t="s">
        <v>45</v>
      </c>
      <c r="D107" s="9" t="s">
        <v>850</v>
      </c>
      <c r="E107" s="16" t="s">
        <v>128</v>
      </c>
      <c r="F107" s="72"/>
      <c r="G107" s="17" t="s">
        <v>1104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849</v>
      </c>
      <c r="C108" s="11" t="s">
        <v>45</v>
      </c>
      <c r="D108" s="9" t="s">
        <v>116</v>
      </c>
      <c r="E108" s="16" t="s">
        <v>128</v>
      </c>
      <c r="F108" s="72"/>
      <c r="G108" s="17" t="s">
        <v>1105</v>
      </c>
      <c r="H108" s="18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A109" s="15"/>
      <c r="B109" s="11" t="s">
        <v>854</v>
      </c>
      <c r="C109" s="11" t="s">
        <v>280</v>
      </c>
      <c r="D109" s="9" t="s">
        <v>502</v>
      </c>
      <c r="E109" s="16" t="s">
        <v>128</v>
      </c>
      <c r="F109" s="72"/>
      <c r="G109" s="17" t="s">
        <v>1107</v>
      </c>
      <c r="H109" s="18"/>
      <c r="I109" s="17"/>
      <c r="J109" s="19" t="s">
        <v>133</v>
      </c>
      <c r="K109" s="19" t="s">
        <v>202</v>
      </c>
      <c r="L109" s="19" t="s">
        <v>67</v>
      </c>
    </row>
    <row r="110" spans="1:12" s="1" customFormat="1">
      <c r="A110" s="15"/>
      <c r="B110" s="11" t="s">
        <v>856</v>
      </c>
      <c r="C110" s="11" t="s">
        <v>45</v>
      </c>
      <c r="D110" s="9" t="s">
        <v>857</v>
      </c>
      <c r="E110" s="16" t="s">
        <v>128</v>
      </c>
      <c r="F110" s="72"/>
      <c r="G110" s="17" t="s">
        <v>1106</v>
      </c>
      <c r="H110" s="18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11" t="s">
        <v>315</v>
      </c>
      <c r="C111" s="11" t="s">
        <v>45</v>
      </c>
      <c r="D111" s="9" t="s">
        <v>112</v>
      </c>
      <c r="E111" s="16" t="s">
        <v>128</v>
      </c>
      <c r="F111" s="72"/>
      <c r="G111" s="17" t="s">
        <v>1145</v>
      </c>
      <c r="H111" s="18"/>
      <c r="I111" s="17"/>
      <c r="J111" s="19" t="s">
        <v>133</v>
      </c>
      <c r="K111" s="19" t="s">
        <v>44</v>
      </c>
      <c r="L111" s="19" t="s">
        <v>67</v>
      </c>
    </row>
    <row r="112" spans="1:12" s="1" customFormat="1">
      <c r="A112" s="15"/>
      <c r="B112" s="11" t="s">
        <v>868</v>
      </c>
      <c r="C112" s="11" t="s">
        <v>45</v>
      </c>
      <c r="D112" s="9" t="s">
        <v>859</v>
      </c>
      <c r="E112" s="16" t="s">
        <v>128</v>
      </c>
      <c r="F112" s="72"/>
      <c r="G112" s="17" t="s">
        <v>1146</v>
      </c>
      <c r="H112" s="18"/>
      <c r="I112" s="17"/>
      <c r="J112" s="19" t="s">
        <v>133</v>
      </c>
      <c r="K112" s="19" t="s">
        <v>44</v>
      </c>
      <c r="L112" s="19" t="s">
        <v>67</v>
      </c>
    </row>
    <row r="113" spans="1:17" s="1" customFormat="1">
      <c r="A113" s="15"/>
      <c r="B113" s="11" t="s">
        <v>869</v>
      </c>
      <c r="C113" s="11" t="s">
        <v>45</v>
      </c>
      <c r="D113" s="9" t="s">
        <v>860</v>
      </c>
      <c r="E113" s="16" t="s">
        <v>128</v>
      </c>
      <c r="F113" s="72"/>
      <c r="G113" s="17" t="s">
        <v>1147</v>
      </c>
      <c r="H113" s="18"/>
      <c r="I113" s="17"/>
      <c r="J113" s="19" t="s">
        <v>133</v>
      </c>
      <c r="K113" s="19" t="s">
        <v>44</v>
      </c>
      <c r="L113" s="19" t="s">
        <v>67</v>
      </c>
    </row>
    <row r="114" spans="1:17" s="1" customFormat="1">
      <c r="A114" s="15"/>
      <c r="B114" s="11" t="s">
        <v>870</v>
      </c>
      <c r="C114" s="11" t="s">
        <v>45</v>
      </c>
      <c r="D114" s="9" t="s">
        <v>861</v>
      </c>
      <c r="E114" s="16" t="s">
        <v>128</v>
      </c>
      <c r="F114" s="72"/>
      <c r="G114" s="17" t="s">
        <v>1148</v>
      </c>
      <c r="H114" s="18"/>
      <c r="I114" s="17"/>
      <c r="J114" s="19" t="s">
        <v>133</v>
      </c>
      <c r="K114" s="19" t="s">
        <v>44</v>
      </c>
      <c r="L114" s="19" t="s">
        <v>67</v>
      </c>
    </row>
    <row r="115" spans="1:17" s="1" customFormat="1">
      <c r="A115" s="15"/>
      <c r="B115" s="11" t="s">
        <v>871</v>
      </c>
      <c r="C115" s="11" t="s">
        <v>45</v>
      </c>
      <c r="D115" s="9" t="s">
        <v>880</v>
      </c>
      <c r="E115" s="16" t="s">
        <v>128</v>
      </c>
      <c r="F115" s="72"/>
      <c r="G115" s="17" t="s">
        <v>1149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872</v>
      </c>
      <c r="C116" s="11" t="s">
        <v>45</v>
      </c>
      <c r="D116" s="9" t="s">
        <v>881</v>
      </c>
      <c r="E116" s="16" t="s">
        <v>128</v>
      </c>
      <c r="F116" s="72"/>
      <c r="G116" s="17" t="s">
        <v>1150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1" customFormat="1">
      <c r="A117" s="15"/>
      <c r="B117" s="11" t="s">
        <v>873</v>
      </c>
      <c r="C117" s="11" t="s">
        <v>45</v>
      </c>
      <c r="D117" s="9" t="s">
        <v>882</v>
      </c>
      <c r="E117" s="16" t="s">
        <v>128</v>
      </c>
      <c r="F117" s="72"/>
      <c r="G117" s="17" t="s">
        <v>1151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7" s="1" customFormat="1">
      <c r="A118" s="15"/>
      <c r="B118" s="11" t="s">
        <v>874</v>
      </c>
      <c r="C118" s="11" t="s">
        <v>45</v>
      </c>
      <c r="D118" s="9" t="s">
        <v>862</v>
      </c>
      <c r="E118" s="16" t="s">
        <v>128</v>
      </c>
      <c r="F118" s="72"/>
      <c r="G118" s="17" t="s">
        <v>1152</v>
      </c>
      <c r="H118" s="18"/>
      <c r="I118" s="17"/>
      <c r="J118" s="19" t="s">
        <v>133</v>
      </c>
      <c r="K118" s="19" t="s">
        <v>44</v>
      </c>
      <c r="L118" s="19" t="s">
        <v>67</v>
      </c>
    </row>
    <row r="119" spans="1:17" s="1" customFormat="1">
      <c r="A119" s="15"/>
      <c r="B119" s="11" t="s">
        <v>875</v>
      </c>
      <c r="C119" s="11" t="s">
        <v>45</v>
      </c>
      <c r="D119" s="9" t="s">
        <v>863</v>
      </c>
      <c r="E119" s="16" t="s">
        <v>128</v>
      </c>
      <c r="F119" s="72"/>
      <c r="G119" s="17" t="s">
        <v>1153</v>
      </c>
      <c r="H119" s="18"/>
      <c r="I119" s="17"/>
      <c r="J119" s="19" t="s">
        <v>133</v>
      </c>
      <c r="K119" s="19" t="s">
        <v>44</v>
      </c>
      <c r="L119" s="19" t="s">
        <v>67</v>
      </c>
    </row>
    <row r="120" spans="1:17" s="1" customFormat="1">
      <c r="A120" s="15"/>
      <c r="B120" s="11" t="s">
        <v>876</v>
      </c>
      <c r="C120" s="11" t="s">
        <v>45</v>
      </c>
      <c r="D120" s="9" t="s">
        <v>864</v>
      </c>
      <c r="E120" s="16" t="s">
        <v>128</v>
      </c>
      <c r="F120" s="72"/>
      <c r="G120" s="17" t="s">
        <v>1154</v>
      </c>
      <c r="H120" s="18"/>
      <c r="I120" s="17"/>
      <c r="J120" s="19" t="s">
        <v>133</v>
      </c>
      <c r="K120" s="19" t="s">
        <v>44</v>
      </c>
      <c r="L120" s="19" t="s">
        <v>67</v>
      </c>
    </row>
    <row r="121" spans="1:17" s="1" customFormat="1">
      <c r="A121" s="15"/>
      <c r="B121" s="11" t="s">
        <v>877</v>
      </c>
      <c r="C121" s="11" t="s">
        <v>45</v>
      </c>
      <c r="D121" s="9" t="s">
        <v>865</v>
      </c>
      <c r="E121" s="16" t="s">
        <v>128</v>
      </c>
      <c r="F121" s="72"/>
      <c r="G121" s="17" t="s">
        <v>1155</v>
      </c>
      <c r="H121" s="18"/>
      <c r="I121" s="17"/>
      <c r="J121" s="19" t="s">
        <v>133</v>
      </c>
      <c r="K121" s="19" t="s">
        <v>44</v>
      </c>
      <c r="L121" s="19" t="s">
        <v>67</v>
      </c>
    </row>
    <row r="122" spans="1:17" s="1" customFormat="1">
      <c r="A122" s="15"/>
      <c r="B122" s="11" t="s">
        <v>878</v>
      </c>
      <c r="C122" s="11" t="s">
        <v>45</v>
      </c>
      <c r="D122" s="9" t="s">
        <v>866</v>
      </c>
      <c r="E122" s="16" t="s">
        <v>128</v>
      </c>
      <c r="F122" s="72"/>
      <c r="G122" s="17" t="s">
        <v>1156</v>
      </c>
      <c r="H122" s="18"/>
      <c r="I122" s="17"/>
      <c r="J122" s="19" t="s">
        <v>133</v>
      </c>
      <c r="K122" s="19" t="s">
        <v>44</v>
      </c>
      <c r="L122" s="19" t="s">
        <v>67</v>
      </c>
    </row>
    <row r="123" spans="1:17" s="1" customFormat="1">
      <c r="A123" s="15"/>
      <c r="B123" s="11" t="s">
        <v>879</v>
      </c>
      <c r="C123" s="11" t="s">
        <v>45</v>
      </c>
      <c r="D123" s="9" t="s">
        <v>867</v>
      </c>
      <c r="E123" s="16" t="s">
        <v>128</v>
      </c>
      <c r="F123" s="72"/>
      <c r="G123" s="17" t="s">
        <v>1157</v>
      </c>
      <c r="H123" s="18"/>
      <c r="I123" s="17"/>
      <c r="J123" s="19" t="s">
        <v>133</v>
      </c>
      <c r="K123" s="19" t="s">
        <v>44</v>
      </c>
      <c r="L123" s="19" t="s">
        <v>67</v>
      </c>
    </row>
    <row r="124" spans="1:17" s="1" customFormat="1">
      <c r="A124" s="15"/>
      <c r="B124" s="11" t="s">
        <v>1280</v>
      </c>
      <c r="C124" s="11" t="s">
        <v>43</v>
      </c>
      <c r="D124" s="9" t="s">
        <v>1281</v>
      </c>
      <c r="E124" s="16" t="s">
        <v>128</v>
      </c>
      <c r="F124" s="72"/>
      <c r="G124" s="17" t="s">
        <v>1282</v>
      </c>
      <c r="H124" s="18"/>
      <c r="I124" s="87">
        <v>20250415101139</v>
      </c>
      <c r="J124" s="19" t="s">
        <v>133</v>
      </c>
      <c r="K124" s="19" t="s">
        <v>44</v>
      </c>
      <c r="L124" s="19" t="s">
        <v>1306</v>
      </c>
    </row>
    <row r="125" spans="1:17" s="1" customFormat="1">
      <c r="A125" s="15"/>
      <c r="B125" s="11" t="s">
        <v>1283</v>
      </c>
      <c r="C125" s="11" t="s">
        <v>43</v>
      </c>
      <c r="D125" s="9" t="s">
        <v>1284</v>
      </c>
      <c r="E125" s="16" t="s">
        <v>128</v>
      </c>
      <c r="F125" s="72"/>
      <c r="G125" s="17" t="s">
        <v>1285</v>
      </c>
      <c r="H125" s="18"/>
      <c r="I125" s="87">
        <v>20250415101024</v>
      </c>
      <c r="J125" s="19" t="s">
        <v>133</v>
      </c>
      <c r="K125" s="19" t="s">
        <v>44</v>
      </c>
      <c r="L125" s="19" t="s">
        <v>1306</v>
      </c>
    </row>
    <row r="126" spans="1:17" s="3" customFormat="1">
      <c r="B126" s="23" t="s">
        <v>47</v>
      </c>
      <c r="C126" s="24" t="s">
        <v>46</v>
      </c>
      <c r="D126" s="21" t="s">
        <v>48</v>
      </c>
      <c r="E126" s="44"/>
      <c r="F126" s="44"/>
      <c r="G126" s="44" t="s">
        <v>282</v>
      </c>
      <c r="H126" s="23" t="s">
        <v>282</v>
      </c>
      <c r="I126" s="23"/>
      <c r="J126" s="23"/>
      <c r="K126" s="23"/>
      <c r="L126" s="23"/>
      <c r="M126" s="23"/>
      <c r="N126" s="23"/>
      <c r="O126" s="23"/>
      <c r="P126" s="23"/>
      <c r="Q126" s="23"/>
    </row>
    <row r="127" spans="1:17" s="3" customFormat="1">
      <c r="B127" s="23" t="s">
        <v>49</v>
      </c>
      <c r="C127" s="24" t="s">
        <v>43</v>
      </c>
      <c r="D127" s="21" t="s">
        <v>50</v>
      </c>
      <c r="E127" s="44"/>
      <c r="F127" s="44"/>
      <c r="G127" s="44" t="s">
        <v>282</v>
      </c>
      <c r="H127" s="23" t="s">
        <v>282</v>
      </c>
      <c r="I127" s="23"/>
      <c r="J127" s="23"/>
      <c r="K127" s="23"/>
      <c r="L127" s="23"/>
      <c r="M127" s="23"/>
      <c r="N127" s="23"/>
      <c r="O127" s="23"/>
      <c r="P127" s="23"/>
      <c r="Q127" s="23"/>
    </row>
    <row r="128" spans="1:17" s="3" customFormat="1">
      <c r="B128" s="23" t="s">
        <v>51</v>
      </c>
      <c r="C128" s="24" t="s">
        <v>46</v>
      </c>
      <c r="D128" s="21" t="s">
        <v>52</v>
      </c>
      <c r="E128" s="44"/>
      <c r="F128" s="44"/>
      <c r="G128" s="44" t="s">
        <v>282</v>
      </c>
      <c r="H128" s="23" t="s">
        <v>282</v>
      </c>
      <c r="I128" s="23"/>
      <c r="J128" s="23"/>
      <c r="K128" s="23"/>
      <c r="L128" s="23"/>
      <c r="M128" s="23"/>
      <c r="N128" s="23"/>
      <c r="O128" s="23"/>
      <c r="P128" s="23"/>
      <c r="Q128" s="23"/>
    </row>
  </sheetData>
  <autoFilter ref="A13:Q128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A79A-2976-4C2A-AD3B-9E5783C2A92B}">
  <dimension ref="A1:Q126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3049</v>
      </c>
      <c r="D5" s="10" t="s">
        <v>3046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3048</v>
      </c>
      <c r="D9" s="10" t="s">
        <v>3045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2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2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81</v>
      </c>
      <c r="C22" s="11" t="s">
        <v>43</v>
      </c>
      <c r="D22" s="9" t="s">
        <v>57</v>
      </c>
      <c r="E22" s="16" t="s">
        <v>128</v>
      </c>
      <c r="F22" s="17" t="s">
        <v>81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58</v>
      </c>
      <c r="C23" s="11" t="s">
        <v>43</v>
      </c>
      <c r="D23" s="9" t="s">
        <v>59</v>
      </c>
      <c r="E23" s="16" t="s">
        <v>128</v>
      </c>
      <c r="F23" s="9" t="s">
        <v>58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82</v>
      </c>
      <c r="C24" s="11" t="s">
        <v>43</v>
      </c>
      <c r="D24" s="9" t="s">
        <v>105</v>
      </c>
      <c r="E24" s="16" t="s">
        <v>128</v>
      </c>
      <c r="F24" s="17" t="s">
        <v>82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2" s="1" customFormat="1">
      <c r="B25" s="22" t="s">
        <v>85</v>
      </c>
      <c r="C25" s="11" t="s">
        <v>43</v>
      </c>
      <c r="D25" s="9" t="s">
        <v>107</v>
      </c>
      <c r="E25" s="16" t="s">
        <v>128</v>
      </c>
      <c r="F25" s="17" t="s">
        <v>85</v>
      </c>
      <c r="G25" s="17" t="s">
        <v>129</v>
      </c>
      <c r="H25" s="18"/>
      <c r="I25" s="19"/>
      <c r="J25" s="19" t="s">
        <v>131</v>
      </c>
      <c r="K25" s="19" t="s">
        <v>132</v>
      </c>
      <c r="L25" s="19" t="s">
        <v>44</v>
      </c>
    </row>
    <row r="26" spans="1:12" s="1" customFormat="1">
      <c r="B26" s="22" t="s">
        <v>906</v>
      </c>
      <c r="C26" s="62" t="s">
        <v>43</v>
      </c>
      <c r="D26" s="9" t="s">
        <v>626</v>
      </c>
      <c r="E26" s="16" t="s">
        <v>128</v>
      </c>
      <c r="F26" s="9" t="s">
        <v>906</v>
      </c>
      <c r="G26" s="17" t="s">
        <v>129</v>
      </c>
      <c r="H26" s="18"/>
      <c r="I26" s="19"/>
      <c r="J26" s="19" t="s">
        <v>131</v>
      </c>
      <c r="K26" s="19" t="s">
        <v>132</v>
      </c>
      <c r="L26" s="19" t="s">
        <v>632</v>
      </c>
    </row>
    <row r="27" spans="1:12" s="1" customFormat="1">
      <c r="A27" s="15"/>
      <c r="B27" s="11" t="s">
        <v>1072</v>
      </c>
      <c r="C27" s="11" t="s">
        <v>45</v>
      </c>
      <c r="D27" s="9" t="s">
        <v>146</v>
      </c>
      <c r="E27" s="16" t="s">
        <v>128</v>
      </c>
      <c r="F27" s="17"/>
      <c r="G27" s="17" t="s">
        <v>1073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2" s="1" customFormat="1">
      <c r="A28" s="15"/>
      <c r="B28" s="11" t="s">
        <v>189</v>
      </c>
      <c r="C28" s="11" t="s">
        <v>45</v>
      </c>
      <c r="D28" s="9" t="s">
        <v>190</v>
      </c>
      <c r="E28" s="16" t="s">
        <v>128</v>
      </c>
      <c r="F28" s="17"/>
      <c r="G28" s="17" t="s">
        <v>1259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2" s="1" customFormat="1">
      <c r="A29" s="15"/>
      <c r="B29" s="11" t="s">
        <v>192</v>
      </c>
      <c r="C29" s="11" t="s">
        <v>45</v>
      </c>
      <c r="D29" s="9" t="s">
        <v>193</v>
      </c>
      <c r="E29" s="16" t="s">
        <v>128</v>
      </c>
      <c r="F29" s="17"/>
      <c r="G29" s="17" t="s">
        <v>1074</v>
      </c>
      <c r="H29" s="18"/>
      <c r="I29" s="17"/>
      <c r="J29" s="19" t="s">
        <v>133</v>
      </c>
      <c r="K29" s="19" t="s">
        <v>132</v>
      </c>
      <c r="L29" s="19" t="s">
        <v>134</v>
      </c>
    </row>
    <row r="30" spans="1:12" s="1" customFormat="1">
      <c r="A30" s="15"/>
      <c r="B30" s="22" t="s">
        <v>255</v>
      </c>
      <c r="C30" s="22" t="s">
        <v>45</v>
      </c>
      <c r="D30" s="9" t="s">
        <v>348</v>
      </c>
      <c r="E30" s="16" t="s">
        <v>128</v>
      </c>
      <c r="F30" s="17"/>
      <c r="G30" s="17" t="s">
        <v>257</v>
      </c>
      <c r="H30" s="18"/>
      <c r="I30" s="17"/>
      <c r="J30" s="19" t="s">
        <v>133</v>
      </c>
      <c r="K30" s="19" t="s">
        <v>203</v>
      </c>
      <c r="L30" s="19" t="s">
        <v>134</v>
      </c>
    </row>
    <row r="31" spans="1:12" s="1" customFormat="1">
      <c r="A31" s="15"/>
      <c r="B31" s="11" t="s">
        <v>207</v>
      </c>
      <c r="C31" s="11" t="s">
        <v>45</v>
      </c>
      <c r="D31" s="9" t="s">
        <v>759</v>
      </c>
      <c r="E31" s="16" t="s">
        <v>128</v>
      </c>
      <c r="F31" s="72"/>
      <c r="G31" s="17" t="s">
        <v>320</v>
      </c>
      <c r="H31" s="18"/>
      <c r="I31" s="17"/>
      <c r="J31" s="19" t="s">
        <v>133</v>
      </c>
      <c r="K31" s="19" t="s">
        <v>204</v>
      </c>
      <c r="L31" s="19" t="s">
        <v>134</v>
      </c>
    </row>
    <row r="32" spans="1:12" s="1" customFormat="1">
      <c r="A32" s="15"/>
      <c r="B32" s="11" t="s">
        <v>208</v>
      </c>
      <c r="C32" s="11" t="s">
        <v>45</v>
      </c>
      <c r="D32" s="9" t="s">
        <v>160</v>
      </c>
      <c r="E32" s="16" t="s">
        <v>128</v>
      </c>
      <c r="F32" s="72"/>
      <c r="G32" s="17" t="s">
        <v>319</v>
      </c>
      <c r="H32" s="18"/>
      <c r="I32" s="17"/>
      <c r="J32" s="19" t="s">
        <v>133</v>
      </c>
      <c r="K32" s="19" t="s">
        <v>204</v>
      </c>
      <c r="L32" s="19" t="s">
        <v>134</v>
      </c>
    </row>
    <row r="33" spans="1:12" s="1" customFormat="1">
      <c r="A33" s="15"/>
      <c r="B33" s="11" t="s">
        <v>763</v>
      </c>
      <c r="C33" s="11" t="s">
        <v>45</v>
      </c>
      <c r="D33" s="9" t="s">
        <v>181</v>
      </c>
      <c r="E33" s="16" t="s">
        <v>128</v>
      </c>
      <c r="F33" s="72"/>
      <c r="G33" s="9" t="s">
        <v>1076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805</v>
      </c>
      <c r="C34" s="11" t="s">
        <v>45</v>
      </c>
      <c r="D34" s="9" t="s">
        <v>184</v>
      </c>
      <c r="E34" s="16" t="s">
        <v>128</v>
      </c>
      <c r="F34" s="72"/>
      <c r="G34" s="17" t="s">
        <v>1110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210</v>
      </c>
      <c r="C35" s="11" t="s">
        <v>45</v>
      </c>
      <c r="D35" s="9" t="s">
        <v>1056</v>
      </c>
      <c r="E35" s="16" t="s">
        <v>128</v>
      </c>
      <c r="F35" s="72"/>
      <c r="G35" s="17" t="s">
        <v>224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209</v>
      </c>
      <c r="C36" s="11" t="s">
        <v>45</v>
      </c>
      <c r="D36" s="9" t="s">
        <v>1055</v>
      </c>
      <c r="E36" s="16" t="s">
        <v>128</v>
      </c>
      <c r="F36" s="72"/>
      <c r="G36" s="17" t="s">
        <v>223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211</v>
      </c>
      <c r="C37" s="11" t="s">
        <v>45</v>
      </c>
      <c r="D37" s="9" t="s">
        <v>163</v>
      </c>
      <c r="E37" s="16" t="s">
        <v>128</v>
      </c>
      <c r="F37" s="72"/>
      <c r="G37" s="17" t="s">
        <v>225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212</v>
      </c>
      <c r="C38" s="11" t="s">
        <v>45</v>
      </c>
      <c r="D38" s="9" t="s">
        <v>164</v>
      </c>
      <c r="E38" s="16" t="s">
        <v>128</v>
      </c>
      <c r="F38" s="72"/>
      <c r="G38" s="17" t="s">
        <v>226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213</v>
      </c>
      <c r="C39" s="11" t="s">
        <v>45</v>
      </c>
      <c r="D39" s="9" t="s">
        <v>165</v>
      </c>
      <c r="E39" s="16" t="s">
        <v>128</v>
      </c>
      <c r="F39" s="72"/>
      <c r="G39" s="17" t="s">
        <v>1114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214</v>
      </c>
      <c r="C40" s="11" t="s">
        <v>45</v>
      </c>
      <c r="D40" s="9" t="s">
        <v>166</v>
      </c>
      <c r="E40" s="16" t="s">
        <v>128</v>
      </c>
      <c r="F40" s="72"/>
      <c r="G40" s="17" t="s">
        <v>1115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217</v>
      </c>
      <c r="C41" s="11" t="s">
        <v>45</v>
      </c>
      <c r="D41" s="9" t="s">
        <v>171</v>
      </c>
      <c r="E41" s="16" t="s">
        <v>128</v>
      </c>
      <c r="F41" s="72"/>
      <c r="G41" s="17" t="s">
        <v>1116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218</v>
      </c>
      <c r="C42" s="11" t="s">
        <v>45</v>
      </c>
      <c r="D42" s="9" t="s">
        <v>172</v>
      </c>
      <c r="E42" s="16" t="s">
        <v>128</v>
      </c>
      <c r="F42" s="72"/>
      <c r="G42" s="17" t="s">
        <v>1117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219</v>
      </c>
      <c r="C43" s="11" t="s">
        <v>45</v>
      </c>
      <c r="D43" s="9" t="s">
        <v>173</v>
      </c>
      <c r="E43" s="16" t="s">
        <v>128</v>
      </c>
      <c r="F43" s="72"/>
      <c r="G43" s="17" t="s">
        <v>1118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220</v>
      </c>
      <c r="C44" s="11" t="s">
        <v>45</v>
      </c>
      <c r="D44" s="9" t="s">
        <v>174</v>
      </c>
      <c r="E44" s="16" t="s">
        <v>128</v>
      </c>
      <c r="F44" s="72"/>
      <c r="G44" s="17" t="s">
        <v>1119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215</v>
      </c>
      <c r="C45" s="11" t="s">
        <v>45</v>
      </c>
      <c r="D45" s="9" t="s">
        <v>1260</v>
      </c>
      <c r="E45" s="16" t="s">
        <v>128</v>
      </c>
      <c r="F45" s="72"/>
      <c r="G45" s="17" t="s">
        <v>227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216</v>
      </c>
      <c r="C46" s="11" t="s">
        <v>45</v>
      </c>
      <c r="D46" s="9" t="s">
        <v>1261</v>
      </c>
      <c r="E46" s="16" t="s">
        <v>128</v>
      </c>
      <c r="F46" s="72"/>
      <c r="G46" s="17" t="s">
        <v>228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316</v>
      </c>
      <c r="C47" s="11" t="s">
        <v>45</v>
      </c>
      <c r="D47" s="9" t="s">
        <v>167</v>
      </c>
      <c r="E47" s="16" t="s">
        <v>128</v>
      </c>
      <c r="F47" s="72"/>
      <c r="G47" s="17" t="s">
        <v>772</v>
      </c>
      <c r="H47" s="18"/>
      <c r="I47" s="17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809</v>
      </c>
      <c r="C48" s="11" t="s">
        <v>45</v>
      </c>
      <c r="D48" s="9" t="s">
        <v>175</v>
      </c>
      <c r="E48" s="16" t="s">
        <v>128</v>
      </c>
      <c r="F48" s="72"/>
      <c r="G48" s="17" t="s">
        <v>1120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317</v>
      </c>
      <c r="C49" s="11" t="s">
        <v>45</v>
      </c>
      <c r="D49" s="9" t="s">
        <v>168</v>
      </c>
      <c r="E49" s="16" t="s">
        <v>128</v>
      </c>
      <c r="F49" s="72"/>
      <c r="G49" s="17" t="s">
        <v>1487</v>
      </c>
      <c r="H49" s="18"/>
      <c r="I49" s="17"/>
      <c r="J49" s="19" t="s">
        <v>133</v>
      </c>
      <c r="K49" s="19" t="s">
        <v>202</v>
      </c>
      <c r="L49" s="19" t="s">
        <v>67</v>
      </c>
    </row>
    <row r="50" spans="1:12" s="1" customFormat="1">
      <c r="A50" s="15"/>
      <c r="B50" s="11" t="s">
        <v>810</v>
      </c>
      <c r="C50" s="11" t="s">
        <v>45</v>
      </c>
      <c r="D50" s="9" t="s">
        <v>176</v>
      </c>
      <c r="E50" s="16" t="s">
        <v>128</v>
      </c>
      <c r="F50" s="72"/>
      <c r="G50" s="17" t="s">
        <v>1121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1213</v>
      </c>
      <c r="C51" s="11" t="s">
        <v>45</v>
      </c>
      <c r="D51" s="9" t="s">
        <v>178</v>
      </c>
      <c r="E51" s="16" t="s">
        <v>128</v>
      </c>
      <c r="F51" s="72"/>
      <c r="G51" s="17" t="s">
        <v>1215</v>
      </c>
      <c r="H51" s="18"/>
      <c r="I51" s="17"/>
      <c r="J51" s="19" t="s">
        <v>133</v>
      </c>
      <c r="K51" s="19" t="s">
        <v>202</v>
      </c>
      <c r="L51" s="19" t="s">
        <v>67</v>
      </c>
    </row>
    <row r="52" spans="1:12" s="1" customFormat="1">
      <c r="A52" s="15"/>
      <c r="B52" s="11" t="s">
        <v>221</v>
      </c>
      <c r="C52" s="11" t="s">
        <v>45</v>
      </c>
      <c r="D52" s="9" t="s">
        <v>177</v>
      </c>
      <c r="E52" s="16" t="s">
        <v>128</v>
      </c>
      <c r="F52" s="72"/>
      <c r="G52" s="17" t="s">
        <v>1256</v>
      </c>
      <c r="H52" s="18"/>
      <c r="I52" s="17"/>
      <c r="J52" s="19" t="s">
        <v>133</v>
      </c>
      <c r="K52" s="19" t="s">
        <v>204</v>
      </c>
      <c r="L52" s="19" t="s">
        <v>67</v>
      </c>
    </row>
    <row r="53" spans="1:12" s="1" customFormat="1">
      <c r="A53" s="15"/>
      <c r="B53" s="11" t="s">
        <v>1212</v>
      </c>
      <c r="C53" s="11" t="s">
        <v>45</v>
      </c>
      <c r="D53" s="9" t="s">
        <v>180</v>
      </c>
      <c r="E53" s="16" t="s">
        <v>128</v>
      </c>
      <c r="F53" s="72"/>
      <c r="G53" s="17" t="s">
        <v>1214</v>
      </c>
      <c r="H53" s="18"/>
      <c r="I53" s="17"/>
      <c r="J53" s="19" t="s">
        <v>133</v>
      </c>
      <c r="K53" s="19" t="s">
        <v>202</v>
      </c>
      <c r="L53" s="19" t="s">
        <v>67</v>
      </c>
    </row>
    <row r="54" spans="1:12" s="1" customFormat="1">
      <c r="A54" s="15"/>
      <c r="B54" s="11" t="s">
        <v>222</v>
      </c>
      <c r="C54" s="11" t="s">
        <v>45</v>
      </c>
      <c r="D54" s="9" t="s">
        <v>179</v>
      </c>
      <c r="E54" s="16" t="s">
        <v>128</v>
      </c>
      <c r="F54" s="72"/>
      <c r="G54" s="17" t="s">
        <v>1123</v>
      </c>
      <c r="H54" s="18"/>
      <c r="I54" s="17"/>
      <c r="J54" s="19" t="s">
        <v>133</v>
      </c>
      <c r="K54" s="19" t="s">
        <v>204</v>
      </c>
      <c r="L54" s="19" t="s">
        <v>67</v>
      </c>
    </row>
    <row r="55" spans="1:12" s="1" customFormat="1">
      <c r="A55" s="15"/>
      <c r="B55" s="11" t="s">
        <v>811</v>
      </c>
      <c r="C55" s="11" t="s">
        <v>45</v>
      </c>
      <c r="D55" s="9" t="s">
        <v>643</v>
      </c>
      <c r="E55" s="16" t="s">
        <v>128</v>
      </c>
      <c r="F55" s="72"/>
      <c r="G55" s="17" t="s">
        <v>768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812</v>
      </c>
      <c r="C56" s="11" t="s">
        <v>45</v>
      </c>
      <c r="D56" s="9" t="s">
        <v>813</v>
      </c>
      <c r="E56" s="16" t="s">
        <v>128</v>
      </c>
      <c r="F56" s="72"/>
      <c r="G56" s="17" t="s">
        <v>1124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814</v>
      </c>
      <c r="C57" s="11" t="s">
        <v>45</v>
      </c>
      <c r="D57" s="9" t="s">
        <v>500</v>
      </c>
      <c r="E57" s="16" t="s">
        <v>128</v>
      </c>
      <c r="F57" s="72"/>
      <c r="G57" s="17" t="s">
        <v>1125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205</v>
      </c>
      <c r="C58" s="11" t="s">
        <v>45</v>
      </c>
      <c r="D58" s="9" t="s">
        <v>147</v>
      </c>
      <c r="E58" s="16" t="s">
        <v>128</v>
      </c>
      <c r="F58" s="72"/>
      <c r="G58" s="17" t="s">
        <v>1126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206</v>
      </c>
      <c r="C59" s="11" t="s">
        <v>280</v>
      </c>
      <c r="D59" s="9" t="s">
        <v>820</v>
      </c>
      <c r="E59" s="16" t="s">
        <v>128</v>
      </c>
      <c r="F59" s="72"/>
      <c r="G59" s="17" t="s">
        <v>1081</v>
      </c>
      <c r="H59" s="18"/>
      <c r="I59" s="17"/>
      <c r="J59" s="19" t="s">
        <v>133</v>
      </c>
      <c r="K59" s="19" t="s">
        <v>202</v>
      </c>
      <c r="L59" s="19" t="s">
        <v>67</v>
      </c>
    </row>
    <row r="60" spans="1:12" s="1" customFormat="1">
      <c r="A60" s="15"/>
      <c r="B60" s="11" t="s">
        <v>1022</v>
      </c>
      <c r="C60" s="11" t="s">
        <v>45</v>
      </c>
      <c r="D60" s="9" t="s">
        <v>1018</v>
      </c>
      <c r="E60" s="16" t="s">
        <v>128</v>
      </c>
      <c r="F60" s="72"/>
      <c r="G60" s="17" t="s">
        <v>1127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1014</v>
      </c>
      <c r="C61" s="11" t="s">
        <v>45</v>
      </c>
      <c r="D61" s="9" t="s">
        <v>1019</v>
      </c>
      <c r="E61" s="16" t="s">
        <v>128</v>
      </c>
      <c r="F61" s="72"/>
      <c r="G61" s="17" t="s">
        <v>1128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1015</v>
      </c>
      <c r="C62" s="11" t="s">
        <v>45</v>
      </c>
      <c r="D62" s="9" t="s">
        <v>1020</v>
      </c>
      <c r="E62" s="16" t="s">
        <v>128</v>
      </c>
      <c r="F62" s="72"/>
      <c r="G62" s="17" t="s">
        <v>1129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1016</v>
      </c>
      <c r="C63" s="11" t="s">
        <v>45</v>
      </c>
      <c r="D63" s="9" t="s">
        <v>1021</v>
      </c>
      <c r="E63" s="16" t="s">
        <v>128</v>
      </c>
      <c r="F63" s="72"/>
      <c r="G63" s="17" t="s">
        <v>1130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1017</v>
      </c>
      <c r="C64" s="11" t="s">
        <v>45</v>
      </c>
      <c r="D64" s="9" t="s">
        <v>1042</v>
      </c>
      <c r="E64" s="16" t="s">
        <v>128</v>
      </c>
      <c r="F64" s="72"/>
      <c r="G64" s="17" t="s">
        <v>1131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1049</v>
      </c>
      <c r="C65" s="11" t="s">
        <v>45</v>
      </c>
      <c r="D65" s="9" t="s">
        <v>153</v>
      </c>
      <c r="E65" s="16" t="s">
        <v>128</v>
      </c>
      <c r="F65" s="72"/>
      <c r="G65" s="17" t="s">
        <v>1262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823</v>
      </c>
      <c r="C66" s="11" t="s">
        <v>280</v>
      </c>
      <c r="D66" s="9" t="s">
        <v>1474</v>
      </c>
      <c r="E66" s="16" t="s">
        <v>128</v>
      </c>
      <c r="F66" s="72"/>
      <c r="G66" s="17" t="s">
        <v>1082</v>
      </c>
      <c r="H66" s="18"/>
      <c r="I66" s="17"/>
      <c r="J66" s="19" t="s">
        <v>133</v>
      </c>
      <c r="K66" s="19" t="s">
        <v>202</v>
      </c>
      <c r="L66" s="19" t="s">
        <v>67</v>
      </c>
    </row>
    <row r="67" spans="1:12" s="1" customFormat="1">
      <c r="A67" s="15"/>
      <c r="B67" s="11" t="s">
        <v>1030</v>
      </c>
      <c r="C67" s="11" t="s">
        <v>45</v>
      </c>
      <c r="D67" s="9" t="s">
        <v>1026</v>
      </c>
      <c r="E67" s="16" t="s">
        <v>128</v>
      </c>
      <c r="F67" s="72"/>
      <c r="G67" s="17" t="s">
        <v>1133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1023</v>
      </c>
      <c r="C68" s="11" t="s">
        <v>45</v>
      </c>
      <c r="D68" s="9" t="s">
        <v>1027</v>
      </c>
      <c r="E68" s="16" t="s">
        <v>128</v>
      </c>
      <c r="F68" s="72"/>
      <c r="G68" s="17" t="s">
        <v>1134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1024</v>
      </c>
      <c r="C69" s="11" t="s">
        <v>45</v>
      </c>
      <c r="D69" s="9" t="s">
        <v>1028</v>
      </c>
      <c r="E69" s="16" t="s">
        <v>128</v>
      </c>
      <c r="F69" s="72"/>
      <c r="G69" s="17" t="s">
        <v>1135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1032</v>
      </c>
      <c r="C70" s="11" t="s">
        <v>45</v>
      </c>
      <c r="D70" s="9" t="s">
        <v>1029</v>
      </c>
      <c r="E70" s="16" t="s">
        <v>128</v>
      </c>
      <c r="F70" s="72"/>
      <c r="G70" s="17" t="s">
        <v>1136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1025</v>
      </c>
      <c r="C71" s="11" t="s">
        <v>45</v>
      </c>
      <c r="D71" s="9" t="s">
        <v>1043</v>
      </c>
      <c r="E71" s="16" t="s">
        <v>128</v>
      </c>
      <c r="F71" s="72"/>
      <c r="G71" s="17" t="s">
        <v>1137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1084</v>
      </c>
      <c r="C72" s="11" t="s">
        <v>280</v>
      </c>
      <c r="D72" s="9" t="s">
        <v>1086</v>
      </c>
      <c r="E72" s="16" t="s">
        <v>128</v>
      </c>
      <c r="F72" s="72"/>
      <c r="G72" s="17" t="s">
        <v>1087</v>
      </c>
      <c r="H72" s="18"/>
      <c r="I72" s="17"/>
      <c r="J72" s="19" t="s">
        <v>133</v>
      </c>
      <c r="K72" s="19" t="s">
        <v>202</v>
      </c>
      <c r="L72" s="19" t="s">
        <v>67</v>
      </c>
    </row>
    <row r="73" spans="1:12" s="1" customFormat="1">
      <c r="A73" s="15"/>
      <c r="B73" s="11" t="s">
        <v>1083</v>
      </c>
      <c r="C73" s="11" t="s">
        <v>280</v>
      </c>
      <c r="D73" s="9" t="s">
        <v>841</v>
      </c>
      <c r="E73" s="16" t="s">
        <v>128</v>
      </c>
      <c r="F73" s="72"/>
      <c r="G73" s="17" t="s">
        <v>1866</v>
      </c>
      <c r="H73" s="18"/>
      <c r="I73" s="17"/>
      <c r="J73" s="19" t="s">
        <v>133</v>
      </c>
      <c r="K73" s="19" t="s">
        <v>202</v>
      </c>
      <c r="L73" s="19" t="s">
        <v>67</v>
      </c>
    </row>
    <row r="74" spans="1:12" s="1" customFormat="1">
      <c r="A74" s="15"/>
      <c r="B74" s="11" t="s">
        <v>1033</v>
      </c>
      <c r="C74" s="11" t="s">
        <v>45</v>
      </c>
      <c r="D74" s="9" t="s">
        <v>1038</v>
      </c>
      <c r="E74" s="16" t="s">
        <v>128</v>
      </c>
      <c r="F74" s="72"/>
      <c r="G74" s="17" t="s">
        <v>1138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1034</v>
      </c>
      <c r="C75" s="11" t="s">
        <v>45</v>
      </c>
      <c r="D75" s="9" t="s">
        <v>1039</v>
      </c>
      <c r="E75" s="16" t="s">
        <v>128</v>
      </c>
      <c r="F75" s="72"/>
      <c r="G75" s="17" t="s">
        <v>1139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1035</v>
      </c>
      <c r="C76" s="11" t="s">
        <v>45</v>
      </c>
      <c r="D76" s="9" t="s">
        <v>1040</v>
      </c>
      <c r="E76" s="16" t="s">
        <v>128</v>
      </c>
      <c r="F76" s="72"/>
      <c r="G76" s="17" t="s">
        <v>1140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1036</v>
      </c>
      <c r="C77" s="11" t="s">
        <v>45</v>
      </c>
      <c r="D77" s="9" t="s">
        <v>1041</v>
      </c>
      <c r="E77" s="16" t="s">
        <v>128</v>
      </c>
      <c r="F77" s="72"/>
      <c r="G77" s="17" t="s">
        <v>1141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1037</v>
      </c>
      <c r="C78" s="11" t="s">
        <v>45</v>
      </c>
      <c r="D78" s="9" t="s">
        <v>1044</v>
      </c>
      <c r="E78" s="16" t="s">
        <v>128</v>
      </c>
      <c r="F78" s="72"/>
      <c r="G78" s="17" t="s">
        <v>1142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816</v>
      </c>
      <c r="C79" s="11" t="s">
        <v>280</v>
      </c>
      <c r="D79" s="9" t="s">
        <v>839</v>
      </c>
      <c r="E79" s="16" t="s">
        <v>128</v>
      </c>
      <c r="F79" s="72"/>
      <c r="G79" s="17" t="s">
        <v>1088</v>
      </c>
      <c r="H79" s="18"/>
      <c r="I79" s="17"/>
      <c r="J79" s="19" t="s">
        <v>133</v>
      </c>
      <c r="K79" s="19" t="s">
        <v>202</v>
      </c>
      <c r="L79" s="19" t="s">
        <v>67</v>
      </c>
    </row>
    <row r="80" spans="1:12" s="1" customFormat="1">
      <c r="A80" s="15"/>
      <c r="B80" s="11" t="s">
        <v>817</v>
      </c>
      <c r="C80" s="11" t="s">
        <v>45</v>
      </c>
      <c r="D80" s="9" t="s">
        <v>658</v>
      </c>
      <c r="E80" s="16" t="s">
        <v>128</v>
      </c>
      <c r="F80" s="72"/>
      <c r="G80" s="17" t="s">
        <v>1090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818</v>
      </c>
      <c r="C81" s="11" t="s">
        <v>280</v>
      </c>
      <c r="D81" s="9" t="s">
        <v>842</v>
      </c>
      <c r="E81" s="16" t="s">
        <v>128</v>
      </c>
      <c r="F81" s="72"/>
      <c r="G81" s="17" t="s">
        <v>1091</v>
      </c>
      <c r="H81" s="18"/>
      <c r="I81" s="17"/>
      <c r="J81" s="19" t="s">
        <v>133</v>
      </c>
      <c r="K81" s="19" t="s">
        <v>202</v>
      </c>
      <c r="L81" s="19" t="s">
        <v>67</v>
      </c>
    </row>
    <row r="82" spans="1:12" s="1" customFormat="1">
      <c r="A82" s="15"/>
      <c r="B82" s="11" t="s">
        <v>819</v>
      </c>
      <c r="C82" s="11" t="s">
        <v>45</v>
      </c>
      <c r="D82" s="9" t="s">
        <v>660</v>
      </c>
      <c r="E82" s="16" t="s">
        <v>128</v>
      </c>
      <c r="F82" s="72"/>
      <c r="G82" s="17" t="s">
        <v>1093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829</v>
      </c>
      <c r="C83" s="11" t="s">
        <v>280</v>
      </c>
      <c r="D83" s="9" t="s">
        <v>505</v>
      </c>
      <c r="E83" s="16" t="s">
        <v>128</v>
      </c>
      <c r="F83" s="72"/>
      <c r="G83" s="17" t="s">
        <v>1094</v>
      </c>
      <c r="H83" s="18"/>
      <c r="I83" s="17"/>
      <c r="J83" s="19" t="s">
        <v>133</v>
      </c>
      <c r="K83" s="19" t="s">
        <v>203</v>
      </c>
      <c r="L83" s="19" t="s">
        <v>67</v>
      </c>
    </row>
    <row r="84" spans="1:12" s="1" customFormat="1">
      <c r="A84" s="15"/>
      <c r="B84" s="11" t="s">
        <v>1570</v>
      </c>
      <c r="C84" s="11" t="s">
        <v>45</v>
      </c>
      <c r="D84" s="9" t="s">
        <v>1526</v>
      </c>
      <c r="E84" s="16" t="s">
        <v>128</v>
      </c>
      <c r="F84" s="72"/>
      <c r="G84" s="17" t="s">
        <v>1571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1527</v>
      </c>
      <c r="C85" s="11" t="s">
        <v>45</v>
      </c>
      <c r="D85" s="9" t="s">
        <v>1528</v>
      </c>
      <c r="E85" s="16" t="s">
        <v>128</v>
      </c>
      <c r="F85" s="72"/>
      <c r="G85" s="17" t="s">
        <v>1572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1529</v>
      </c>
      <c r="C86" s="11" t="s">
        <v>45</v>
      </c>
      <c r="D86" s="9" t="s">
        <v>1530</v>
      </c>
      <c r="E86" s="16" t="s">
        <v>128</v>
      </c>
      <c r="F86" s="72"/>
      <c r="G86" s="17" t="s">
        <v>1573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1531</v>
      </c>
      <c r="C87" s="11" t="s">
        <v>45</v>
      </c>
      <c r="D87" s="9" t="s">
        <v>1532</v>
      </c>
      <c r="E87" s="16" t="s">
        <v>128</v>
      </c>
      <c r="F87" s="72"/>
      <c r="G87" s="17" t="s">
        <v>1574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1533</v>
      </c>
      <c r="C88" s="11" t="s">
        <v>45</v>
      </c>
      <c r="D88" s="9" t="s">
        <v>1534</v>
      </c>
      <c r="E88" s="16" t="s">
        <v>128</v>
      </c>
      <c r="F88" s="72"/>
      <c r="G88" s="17" t="s">
        <v>1575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799</v>
      </c>
      <c r="C89" s="11" t="s">
        <v>280</v>
      </c>
      <c r="D89" s="9" t="s">
        <v>506</v>
      </c>
      <c r="E89" s="16" t="s">
        <v>128</v>
      </c>
      <c r="F89" s="72"/>
      <c r="G89" s="17" t="s">
        <v>1095</v>
      </c>
      <c r="H89" s="18"/>
      <c r="I89" s="17"/>
      <c r="J89" s="19" t="s">
        <v>133</v>
      </c>
      <c r="K89" s="19" t="s">
        <v>203</v>
      </c>
      <c r="L89" s="19" t="s">
        <v>67</v>
      </c>
    </row>
    <row r="90" spans="1:12" s="1" customFormat="1">
      <c r="A90" s="15"/>
      <c r="B90" s="11" t="s">
        <v>1549</v>
      </c>
      <c r="C90" s="11" t="s">
        <v>45</v>
      </c>
      <c r="D90" s="9" t="s">
        <v>1540</v>
      </c>
      <c r="E90" s="16" t="s">
        <v>128</v>
      </c>
      <c r="F90" s="72"/>
      <c r="G90" s="17" t="s">
        <v>1576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1541</v>
      </c>
      <c r="C91" s="11" t="s">
        <v>45</v>
      </c>
      <c r="D91" s="9" t="s">
        <v>1542</v>
      </c>
      <c r="E91" s="16" t="s">
        <v>128</v>
      </c>
      <c r="F91" s="72"/>
      <c r="G91" s="17" t="s">
        <v>1577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1543</v>
      </c>
      <c r="C92" s="11" t="s">
        <v>45</v>
      </c>
      <c r="D92" s="9" t="s">
        <v>1544</v>
      </c>
      <c r="E92" s="16" t="s">
        <v>128</v>
      </c>
      <c r="F92" s="72"/>
      <c r="G92" s="17" t="s">
        <v>1578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1545</v>
      </c>
      <c r="C93" s="11" t="s">
        <v>45</v>
      </c>
      <c r="D93" s="9" t="s">
        <v>1546</v>
      </c>
      <c r="E93" s="16" t="s">
        <v>128</v>
      </c>
      <c r="F93" s="72"/>
      <c r="G93" s="17" t="s">
        <v>1579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1547</v>
      </c>
      <c r="C94" s="11" t="s">
        <v>45</v>
      </c>
      <c r="D94" s="9" t="s">
        <v>1548</v>
      </c>
      <c r="E94" s="16" t="s">
        <v>128</v>
      </c>
      <c r="F94" s="72"/>
      <c r="G94" s="17" t="s">
        <v>1580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11" t="s">
        <v>830</v>
      </c>
      <c r="C95" s="11" t="s">
        <v>45</v>
      </c>
      <c r="D95" s="9" t="s">
        <v>837</v>
      </c>
      <c r="E95" s="16" t="s">
        <v>128</v>
      </c>
      <c r="F95" s="72"/>
      <c r="G95" s="17" t="s">
        <v>1097</v>
      </c>
      <c r="H95" s="18"/>
      <c r="I95" s="17"/>
      <c r="J95" s="19" t="s">
        <v>133</v>
      </c>
      <c r="K95" s="19" t="s">
        <v>44</v>
      </c>
      <c r="L95" s="19" t="s">
        <v>67</v>
      </c>
    </row>
    <row r="96" spans="1:12" s="1" customFormat="1">
      <c r="A96" s="15"/>
      <c r="B96" s="11" t="s">
        <v>623</v>
      </c>
      <c r="C96" s="11" t="s">
        <v>280</v>
      </c>
      <c r="D96" s="9" t="s">
        <v>836</v>
      </c>
      <c r="E96" s="16" t="s">
        <v>128</v>
      </c>
      <c r="F96" s="72"/>
      <c r="G96" s="17" t="s">
        <v>1099</v>
      </c>
      <c r="H96" s="18"/>
      <c r="I96" s="17"/>
      <c r="J96" s="19" t="s">
        <v>133</v>
      </c>
      <c r="K96" s="19" t="s">
        <v>202</v>
      </c>
      <c r="L96" s="19" t="s">
        <v>67</v>
      </c>
    </row>
    <row r="97" spans="1:12" s="1" customFormat="1">
      <c r="A97" s="15"/>
      <c r="B97" s="95" t="s">
        <v>1564</v>
      </c>
      <c r="C97" s="95" t="s">
        <v>45</v>
      </c>
      <c r="D97" s="96" t="s">
        <v>1555</v>
      </c>
      <c r="E97" s="16" t="s">
        <v>128</v>
      </c>
      <c r="F97" s="72"/>
      <c r="G97" s="17" t="s">
        <v>1581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95" t="s">
        <v>1556</v>
      </c>
      <c r="C98" s="95" t="s">
        <v>45</v>
      </c>
      <c r="D98" s="96" t="s">
        <v>1557</v>
      </c>
      <c r="E98" s="16" t="s">
        <v>128</v>
      </c>
      <c r="F98" s="72"/>
      <c r="G98" s="17" t="s">
        <v>1582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95" t="s">
        <v>1558</v>
      </c>
      <c r="C99" s="95" t="s">
        <v>45</v>
      </c>
      <c r="D99" s="96" t="s">
        <v>1559</v>
      </c>
      <c r="E99" s="16" t="s">
        <v>128</v>
      </c>
      <c r="F99" s="72"/>
      <c r="G99" s="17" t="s">
        <v>1583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95" t="s">
        <v>1560</v>
      </c>
      <c r="C100" s="95" t="s">
        <v>45</v>
      </c>
      <c r="D100" s="96" t="s">
        <v>1561</v>
      </c>
      <c r="E100" s="16" t="s">
        <v>128</v>
      </c>
      <c r="F100" s="72"/>
      <c r="G100" s="17" t="s">
        <v>1584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2" s="1" customFormat="1">
      <c r="A101" s="15"/>
      <c r="B101" s="95" t="s">
        <v>1562</v>
      </c>
      <c r="C101" s="95" t="s">
        <v>45</v>
      </c>
      <c r="D101" s="96" t="s">
        <v>1563</v>
      </c>
      <c r="E101" s="16" t="s">
        <v>128</v>
      </c>
      <c r="F101" s="72"/>
      <c r="G101" s="17" t="s">
        <v>1585</v>
      </c>
      <c r="H101" s="18"/>
      <c r="I101" s="17"/>
      <c r="J101" s="19" t="s">
        <v>133</v>
      </c>
      <c r="K101" s="19" t="s">
        <v>903</v>
      </c>
      <c r="L101" s="19" t="s">
        <v>67</v>
      </c>
    </row>
    <row r="102" spans="1:12" s="1" customFormat="1">
      <c r="A102" s="15"/>
      <c r="B102" s="11" t="s">
        <v>831</v>
      </c>
      <c r="C102" s="11" t="s">
        <v>45</v>
      </c>
      <c r="D102" s="9" t="s">
        <v>825</v>
      </c>
      <c r="E102" s="16" t="s">
        <v>128</v>
      </c>
      <c r="F102" s="72"/>
      <c r="G102" s="17" t="s">
        <v>1100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A103" s="15"/>
      <c r="B103" s="11" t="s">
        <v>1098</v>
      </c>
      <c r="C103" s="11" t="s">
        <v>280</v>
      </c>
      <c r="D103" s="9" t="s">
        <v>826</v>
      </c>
      <c r="E103" s="16" t="s">
        <v>128</v>
      </c>
      <c r="F103" s="72"/>
      <c r="G103" s="17" t="s">
        <v>1101</v>
      </c>
      <c r="H103" s="18"/>
      <c r="I103" s="17"/>
      <c r="J103" s="19" t="s">
        <v>133</v>
      </c>
      <c r="K103" s="19" t="s">
        <v>202</v>
      </c>
      <c r="L103" s="19" t="s">
        <v>67</v>
      </c>
    </row>
    <row r="104" spans="1:12" s="1" customFormat="1">
      <c r="A104" s="15"/>
      <c r="B104" s="11" t="s">
        <v>834</v>
      </c>
      <c r="C104" s="11" t="s">
        <v>280</v>
      </c>
      <c r="D104" s="9" t="s">
        <v>833</v>
      </c>
      <c r="E104" s="16" t="s">
        <v>128</v>
      </c>
      <c r="F104" s="72"/>
      <c r="G104" s="17" t="s">
        <v>1102</v>
      </c>
      <c r="H104" s="18"/>
      <c r="I104" s="17"/>
      <c r="J104" s="19" t="s">
        <v>133</v>
      </c>
      <c r="K104" s="19" t="s">
        <v>202</v>
      </c>
      <c r="L104" s="19" t="s">
        <v>67</v>
      </c>
    </row>
    <row r="105" spans="1:12" s="1" customFormat="1">
      <c r="A105" s="15"/>
      <c r="B105" s="11" t="s">
        <v>535</v>
      </c>
      <c r="C105" s="11" t="s">
        <v>280</v>
      </c>
      <c r="D105" s="9" t="s">
        <v>534</v>
      </c>
      <c r="E105" s="16" t="s">
        <v>128</v>
      </c>
      <c r="F105" s="72"/>
      <c r="G105" s="17" t="s">
        <v>1103</v>
      </c>
      <c r="H105" s="18"/>
      <c r="I105" s="17"/>
      <c r="J105" s="19" t="s">
        <v>133</v>
      </c>
      <c r="K105" s="19" t="s">
        <v>202</v>
      </c>
      <c r="L105" s="19" t="s">
        <v>67</v>
      </c>
    </row>
    <row r="106" spans="1:12" s="1" customFormat="1">
      <c r="A106" s="15"/>
      <c r="B106" s="11" t="s">
        <v>848</v>
      </c>
      <c r="C106" s="11" t="s">
        <v>45</v>
      </c>
      <c r="D106" s="9" t="s">
        <v>850</v>
      </c>
      <c r="E106" s="16" t="s">
        <v>128</v>
      </c>
      <c r="F106" s="72"/>
      <c r="G106" s="17" t="s">
        <v>1104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11" t="s">
        <v>849</v>
      </c>
      <c r="C107" s="11" t="s">
        <v>45</v>
      </c>
      <c r="D107" s="9" t="s">
        <v>116</v>
      </c>
      <c r="E107" s="16" t="s">
        <v>128</v>
      </c>
      <c r="F107" s="72"/>
      <c r="G107" s="17" t="s">
        <v>1105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854</v>
      </c>
      <c r="C108" s="11" t="s">
        <v>280</v>
      </c>
      <c r="D108" s="9" t="s">
        <v>502</v>
      </c>
      <c r="E108" s="16" t="s">
        <v>128</v>
      </c>
      <c r="F108" s="72"/>
      <c r="G108" s="17" t="s">
        <v>1107</v>
      </c>
      <c r="H108" s="18"/>
      <c r="I108" s="17"/>
      <c r="J108" s="19" t="s">
        <v>133</v>
      </c>
      <c r="K108" s="19" t="s">
        <v>202</v>
      </c>
      <c r="L108" s="19" t="s">
        <v>67</v>
      </c>
    </row>
    <row r="109" spans="1:12" s="1" customFormat="1">
      <c r="A109" s="15"/>
      <c r="B109" s="11" t="s">
        <v>856</v>
      </c>
      <c r="C109" s="11" t="s">
        <v>45</v>
      </c>
      <c r="D109" s="9" t="s">
        <v>857</v>
      </c>
      <c r="E109" s="16" t="s">
        <v>128</v>
      </c>
      <c r="F109" s="72"/>
      <c r="G109" s="17" t="s">
        <v>1106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11" t="s">
        <v>315</v>
      </c>
      <c r="C110" s="11" t="s">
        <v>45</v>
      </c>
      <c r="D110" s="9" t="s">
        <v>112</v>
      </c>
      <c r="E110" s="16" t="s">
        <v>128</v>
      </c>
      <c r="F110" s="72"/>
      <c r="G110" s="17" t="s">
        <v>1145</v>
      </c>
      <c r="H110" s="18"/>
      <c r="I110" s="17"/>
      <c r="J110" s="19" t="s">
        <v>133</v>
      </c>
      <c r="K110" s="19" t="s">
        <v>44</v>
      </c>
      <c r="L110" s="19" t="s">
        <v>67</v>
      </c>
    </row>
    <row r="111" spans="1:12" s="1" customFormat="1">
      <c r="A111" s="15"/>
      <c r="B111" s="11" t="s">
        <v>868</v>
      </c>
      <c r="C111" s="11" t="s">
        <v>45</v>
      </c>
      <c r="D111" s="9" t="s">
        <v>859</v>
      </c>
      <c r="E111" s="16" t="s">
        <v>128</v>
      </c>
      <c r="F111" s="72"/>
      <c r="G111" s="17" t="s">
        <v>1146</v>
      </c>
      <c r="H111" s="18"/>
      <c r="I111" s="17"/>
      <c r="J111" s="19" t="s">
        <v>133</v>
      </c>
      <c r="K111" s="19" t="s">
        <v>44</v>
      </c>
      <c r="L111" s="19" t="s">
        <v>67</v>
      </c>
    </row>
    <row r="112" spans="1:12" s="1" customFormat="1">
      <c r="A112" s="15"/>
      <c r="B112" s="11" t="s">
        <v>869</v>
      </c>
      <c r="C112" s="11" t="s">
        <v>45</v>
      </c>
      <c r="D112" s="9" t="s">
        <v>860</v>
      </c>
      <c r="E112" s="16" t="s">
        <v>128</v>
      </c>
      <c r="F112" s="72"/>
      <c r="G112" s="17" t="s">
        <v>1147</v>
      </c>
      <c r="H112" s="18"/>
      <c r="I112" s="17"/>
      <c r="J112" s="19" t="s">
        <v>133</v>
      </c>
      <c r="K112" s="19" t="s">
        <v>44</v>
      </c>
      <c r="L112" s="19" t="s">
        <v>67</v>
      </c>
    </row>
    <row r="113" spans="1:17" s="1" customFormat="1">
      <c r="A113" s="15"/>
      <c r="B113" s="11" t="s">
        <v>870</v>
      </c>
      <c r="C113" s="11" t="s">
        <v>45</v>
      </c>
      <c r="D113" s="9" t="s">
        <v>861</v>
      </c>
      <c r="E113" s="16" t="s">
        <v>128</v>
      </c>
      <c r="F113" s="72"/>
      <c r="G113" s="17" t="s">
        <v>1148</v>
      </c>
      <c r="H113" s="18"/>
      <c r="I113" s="17"/>
      <c r="J113" s="19" t="s">
        <v>133</v>
      </c>
      <c r="K113" s="19" t="s">
        <v>44</v>
      </c>
      <c r="L113" s="19" t="s">
        <v>67</v>
      </c>
    </row>
    <row r="114" spans="1:17" s="1" customFormat="1">
      <c r="A114" s="15"/>
      <c r="B114" s="11" t="s">
        <v>871</v>
      </c>
      <c r="C114" s="11" t="s">
        <v>45</v>
      </c>
      <c r="D114" s="9" t="s">
        <v>880</v>
      </c>
      <c r="E114" s="16" t="s">
        <v>128</v>
      </c>
      <c r="F114" s="72"/>
      <c r="G114" s="17" t="s">
        <v>1149</v>
      </c>
      <c r="H114" s="18"/>
      <c r="I114" s="17"/>
      <c r="J114" s="19" t="s">
        <v>133</v>
      </c>
      <c r="K114" s="19" t="s">
        <v>44</v>
      </c>
      <c r="L114" s="19" t="s">
        <v>67</v>
      </c>
    </row>
    <row r="115" spans="1:17" s="1" customFormat="1">
      <c r="A115" s="15"/>
      <c r="B115" s="11" t="s">
        <v>872</v>
      </c>
      <c r="C115" s="11" t="s">
        <v>45</v>
      </c>
      <c r="D115" s="9" t="s">
        <v>881</v>
      </c>
      <c r="E115" s="16" t="s">
        <v>128</v>
      </c>
      <c r="F115" s="72"/>
      <c r="G115" s="17" t="s">
        <v>1150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873</v>
      </c>
      <c r="C116" s="11" t="s">
        <v>45</v>
      </c>
      <c r="D116" s="9" t="s">
        <v>882</v>
      </c>
      <c r="E116" s="16" t="s">
        <v>128</v>
      </c>
      <c r="F116" s="72"/>
      <c r="G116" s="17" t="s">
        <v>1151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1" customFormat="1">
      <c r="A117" s="15"/>
      <c r="B117" s="11" t="s">
        <v>874</v>
      </c>
      <c r="C117" s="11" t="s">
        <v>45</v>
      </c>
      <c r="D117" s="9" t="s">
        <v>862</v>
      </c>
      <c r="E117" s="16" t="s">
        <v>128</v>
      </c>
      <c r="F117" s="72"/>
      <c r="G117" s="17" t="s">
        <v>1152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7" s="1" customFormat="1">
      <c r="A118" s="15"/>
      <c r="B118" s="11" t="s">
        <v>875</v>
      </c>
      <c r="C118" s="11" t="s">
        <v>45</v>
      </c>
      <c r="D118" s="9" t="s">
        <v>863</v>
      </c>
      <c r="E118" s="16" t="s">
        <v>128</v>
      </c>
      <c r="F118" s="72"/>
      <c r="G118" s="17" t="s">
        <v>1153</v>
      </c>
      <c r="H118" s="18"/>
      <c r="I118" s="17"/>
      <c r="J118" s="19" t="s">
        <v>133</v>
      </c>
      <c r="K118" s="19" t="s">
        <v>44</v>
      </c>
      <c r="L118" s="19" t="s">
        <v>67</v>
      </c>
    </row>
    <row r="119" spans="1:17" s="1" customFormat="1">
      <c r="A119" s="15"/>
      <c r="B119" s="11" t="s">
        <v>876</v>
      </c>
      <c r="C119" s="11" t="s">
        <v>45</v>
      </c>
      <c r="D119" s="9" t="s">
        <v>864</v>
      </c>
      <c r="E119" s="16" t="s">
        <v>128</v>
      </c>
      <c r="F119" s="72"/>
      <c r="G119" s="17" t="s">
        <v>1154</v>
      </c>
      <c r="H119" s="18"/>
      <c r="I119" s="17"/>
      <c r="J119" s="19" t="s">
        <v>133</v>
      </c>
      <c r="K119" s="19" t="s">
        <v>44</v>
      </c>
      <c r="L119" s="19" t="s">
        <v>67</v>
      </c>
    </row>
    <row r="120" spans="1:17" s="1" customFormat="1">
      <c r="A120" s="15"/>
      <c r="B120" s="11" t="s">
        <v>877</v>
      </c>
      <c r="C120" s="11" t="s">
        <v>45</v>
      </c>
      <c r="D120" s="9" t="s">
        <v>865</v>
      </c>
      <c r="E120" s="16" t="s">
        <v>128</v>
      </c>
      <c r="F120" s="72"/>
      <c r="G120" s="17" t="s">
        <v>1155</v>
      </c>
      <c r="H120" s="18"/>
      <c r="I120" s="17"/>
      <c r="J120" s="19" t="s">
        <v>133</v>
      </c>
      <c r="K120" s="19" t="s">
        <v>44</v>
      </c>
      <c r="L120" s="19" t="s">
        <v>67</v>
      </c>
    </row>
    <row r="121" spans="1:17" s="1" customFormat="1">
      <c r="A121" s="15"/>
      <c r="B121" s="11" t="s">
        <v>878</v>
      </c>
      <c r="C121" s="11" t="s">
        <v>45</v>
      </c>
      <c r="D121" s="9" t="s">
        <v>866</v>
      </c>
      <c r="E121" s="16" t="s">
        <v>128</v>
      </c>
      <c r="F121" s="72"/>
      <c r="G121" s="17" t="s">
        <v>1156</v>
      </c>
      <c r="H121" s="18"/>
      <c r="I121" s="17"/>
      <c r="J121" s="19" t="s">
        <v>133</v>
      </c>
      <c r="K121" s="19" t="s">
        <v>44</v>
      </c>
      <c r="L121" s="19" t="s">
        <v>67</v>
      </c>
    </row>
    <row r="122" spans="1:17" s="1" customFormat="1">
      <c r="A122" s="15"/>
      <c r="B122" s="11" t="s">
        <v>879</v>
      </c>
      <c r="C122" s="11" t="s">
        <v>45</v>
      </c>
      <c r="D122" s="9" t="s">
        <v>867</v>
      </c>
      <c r="E122" s="16" t="s">
        <v>128</v>
      </c>
      <c r="F122" s="72"/>
      <c r="G122" s="17" t="s">
        <v>1157</v>
      </c>
      <c r="H122" s="18"/>
      <c r="I122" s="17"/>
      <c r="J122" s="19" t="s">
        <v>133</v>
      </c>
      <c r="K122" s="19" t="s">
        <v>44</v>
      </c>
      <c r="L122" s="19" t="s">
        <v>67</v>
      </c>
    </row>
    <row r="123" spans="1:17" s="1" customFormat="1">
      <c r="A123" s="15"/>
      <c r="B123" s="11" t="s">
        <v>1280</v>
      </c>
      <c r="C123" s="11" t="s">
        <v>43</v>
      </c>
      <c r="D123" s="9" t="s">
        <v>1281</v>
      </c>
      <c r="E123" s="16" t="s">
        <v>128</v>
      </c>
      <c r="F123" s="72"/>
      <c r="G123" s="17" t="s">
        <v>1282</v>
      </c>
      <c r="H123" s="18"/>
      <c r="I123" s="87">
        <v>20250415101139</v>
      </c>
      <c r="J123" s="19" t="s">
        <v>133</v>
      </c>
      <c r="K123" s="19" t="s">
        <v>44</v>
      </c>
      <c r="L123" s="19" t="s">
        <v>1306</v>
      </c>
    </row>
    <row r="124" spans="1:17" s="1" customFormat="1">
      <c r="A124" s="15"/>
      <c r="B124" s="11" t="s">
        <v>1283</v>
      </c>
      <c r="C124" s="11" t="s">
        <v>43</v>
      </c>
      <c r="D124" s="9" t="s">
        <v>1284</v>
      </c>
      <c r="E124" s="16" t="s">
        <v>128</v>
      </c>
      <c r="F124" s="72"/>
      <c r="G124" s="17" t="s">
        <v>1285</v>
      </c>
      <c r="H124" s="18"/>
      <c r="I124" s="87">
        <v>20250415101024</v>
      </c>
      <c r="J124" s="19" t="s">
        <v>133</v>
      </c>
      <c r="K124" s="19" t="s">
        <v>44</v>
      </c>
      <c r="L124" s="19" t="s">
        <v>1306</v>
      </c>
    </row>
    <row r="125" spans="1:17" s="3" customFormat="1">
      <c r="B125" s="23" t="s">
        <v>47</v>
      </c>
      <c r="C125" s="24" t="s">
        <v>46</v>
      </c>
      <c r="D125" s="21" t="s">
        <v>48</v>
      </c>
      <c r="E125" s="44"/>
      <c r="F125" s="44"/>
      <c r="G125" s="44" t="s">
        <v>282</v>
      </c>
      <c r="H125" s="23" t="s">
        <v>282</v>
      </c>
      <c r="I125" s="23"/>
      <c r="J125" s="23"/>
      <c r="K125" s="23"/>
      <c r="L125" s="23"/>
      <c r="M125" s="23"/>
      <c r="N125" s="23"/>
      <c r="O125" s="23"/>
      <c r="P125" s="23"/>
      <c r="Q125" s="23"/>
    </row>
    <row r="126" spans="1:17" s="3" customFormat="1">
      <c r="B126" s="23" t="s">
        <v>49</v>
      </c>
      <c r="C126" s="24" t="s">
        <v>43</v>
      </c>
      <c r="D126" s="21" t="s">
        <v>50</v>
      </c>
      <c r="E126" s="44"/>
      <c r="F126" s="44"/>
      <c r="G126" s="44" t="s">
        <v>282</v>
      </c>
      <c r="H126" s="23" t="s">
        <v>282</v>
      </c>
      <c r="I126" s="23"/>
      <c r="J126" s="23"/>
      <c r="K126" s="23"/>
      <c r="L126" s="23"/>
      <c r="M126" s="23"/>
      <c r="N126" s="23"/>
      <c r="O126" s="23"/>
      <c r="P126" s="23"/>
      <c r="Q126" s="23"/>
    </row>
  </sheetData>
  <autoFilter ref="A13:Q126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EE9C-8F39-4511-9C84-B5458564A0AD}">
  <sheetPr codeName="Sheet9"/>
  <dimension ref="A1:Q38"/>
  <sheetViews>
    <sheetView zoomScale="85" zoomScaleNormal="85" workbookViewId="0">
      <pane ySplit="5" topLeftCell="A6" activePane="bottomLeft" state="frozen"/>
      <selection activeCell="G45" sqref="G45"/>
      <selection pane="bottomLeft" activeCell="C10" sqref="C10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5.109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9" t="s">
        <v>1264</v>
      </c>
      <c r="D5" s="10" t="s">
        <v>1263</v>
      </c>
      <c r="E5" s="11" t="s">
        <v>91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1251</v>
      </c>
      <c r="D9" s="10" t="s">
        <v>1253</v>
      </c>
      <c r="E9" s="11" t="s">
        <v>55</v>
      </c>
      <c r="F9" s="17"/>
      <c r="G9" s="17"/>
      <c r="H9" s="14" t="s">
        <v>17</v>
      </c>
    </row>
    <row r="10" spans="2:14">
      <c r="B10" s="11"/>
      <c r="C10" s="9" t="s">
        <v>1310</v>
      </c>
      <c r="D10" s="9" t="s">
        <v>1296</v>
      </c>
      <c r="E10" s="11" t="s">
        <v>256</v>
      </c>
      <c r="F10" s="129" t="s">
        <v>1297</v>
      </c>
      <c r="G10" s="129"/>
      <c r="H10" s="14"/>
    </row>
    <row r="11" spans="2:14">
      <c r="B11" s="11"/>
      <c r="C11" s="9" t="s">
        <v>1311</v>
      </c>
      <c r="D11" s="9" t="s">
        <v>1298</v>
      </c>
      <c r="E11" s="11" t="s">
        <v>993</v>
      </c>
      <c r="F11" s="129" t="s">
        <v>1299</v>
      </c>
      <c r="G11" s="129"/>
      <c r="H11" s="11"/>
    </row>
    <row r="13" spans="2:14">
      <c r="B13" s="4" t="s">
        <v>32</v>
      </c>
    </row>
    <row r="14" spans="2:14">
      <c r="B14" s="124" t="s">
        <v>32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5" spans="2:14">
      <c r="B15" s="7" t="s">
        <v>33</v>
      </c>
      <c r="C15" s="7" t="s">
        <v>34</v>
      </c>
      <c r="D15" s="7" t="s">
        <v>35</v>
      </c>
      <c r="E15" s="7" t="s">
        <v>36</v>
      </c>
      <c r="F15" s="12" t="s">
        <v>37</v>
      </c>
      <c r="G15" s="12" t="s">
        <v>38</v>
      </c>
      <c r="H15" s="7" t="s">
        <v>39</v>
      </c>
      <c r="I15" s="7" t="s">
        <v>14</v>
      </c>
      <c r="J15" s="7" t="s">
        <v>40</v>
      </c>
      <c r="K15" s="7" t="s">
        <v>41</v>
      </c>
      <c r="L15" s="7" t="s">
        <v>42</v>
      </c>
    </row>
    <row r="16" spans="2:14" s="1" customFormat="1">
      <c r="B16" s="13" t="s">
        <v>1168</v>
      </c>
      <c r="C16" s="13" t="s">
        <v>43</v>
      </c>
      <c r="D16" s="9" t="s">
        <v>1265</v>
      </c>
      <c r="E16" s="85" t="s">
        <v>55</v>
      </c>
      <c r="F16" s="13" t="s">
        <v>49</v>
      </c>
      <c r="G16" s="13" t="s">
        <v>994</v>
      </c>
      <c r="H16" s="85" t="str">
        <f>VLOOKUP(F16,'5'!B:L,1,0)</f>
        <v>p_date</v>
      </c>
      <c r="I16" s="86"/>
      <c r="J16" s="86" t="s">
        <v>60</v>
      </c>
      <c r="K16" s="86" t="s">
        <v>44</v>
      </c>
      <c r="L16" s="86" t="s">
        <v>44</v>
      </c>
    </row>
    <row r="17" spans="1:12" s="1" customFormat="1">
      <c r="B17" s="13" t="s">
        <v>1067</v>
      </c>
      <c r="C17" s="13" t="s">
        <v>46</v>
      </c>
      <c r="D17" s="9" t="s">
        <v>1160</v>
      </c>
      <c r="E17" s="85" t="s">
        <v>55</v>
      </c>
      <c r="F17" s="13" t="s">
        <v>51</v>
      </c>
      <c r="G17" s="13" t="s">
        <v>994</v>
      </c>
      <c r="H17" s="85" t="str">
        <f>VLOOKUP(F17,'5'!B:L,1,0)</f>
        <v>p_hour</v>
      </c>
      <c r="I17" s="86"/>
      <c r="J17" s="86" t="s">
        <v>60</v>
      </c>
      <c r="K17" s="86" t="s">
        <v>44</v>
      </c>
      <c r="L17" s="86" t="s">
        <v>44</v>
      </c>
    </row>
    <row r="18" spans="1:12" s="1" customFormat="1">
      <c r="A18" s="15"/>
      <c r="B18" s="13" t="s">
        <v>77</v>
      </c>
      <c r="C18" s="13" t="s">
        <v>46</v>
      </c>
      <c r="D18" s="9" t="s">
        <v>1266</v>
      </c>
      <c r="E18" s="85" t="s">
        <v>55</v>
      </c>
      <c r="F18" s="13" t="s">
        <v>77</v>
      </c>
      <c r="G18" s="13" t="s">
        <v>994</v>
      </c>
      <c r="H18" s="85" t="str">
        <f>VLOOKUP(F18,'5'!B:L,1,0)</f>
        <v>interface</v>
      </c>
      <c r="I18" s="86"/>
      <c r="J18" s="86" t="s">
        <v>60</v>
      </c>
      <c r="K18" s="86" t="s">
        <v>44</v>
      </c>
      <c r="L18" s="86" t="s">
        <v>44</v>
      </c>
    </row>
    <row r="19" spans="1:12" s="1" customFormat="1">
      <c r="A19" s="15"/>
      <c r="B19" s="13" t="s">
        <v>1068</v>
      </c>
      <c r="C19" s="13" t="s">
        <v>46</v>
      </c>
      <c r="D19" s="9" t="s">
        <v>1267</v>
      </c>
      <c r="E19" s="85" t="s">
        <v>55</v>
      </c>
      <c r="F19" s="13" t="s">
        <v>47</v>
      </c>
      <c r="G19" s="13" t="s">
        <v>994</v>
      </c>
      <c r="H19" s="85" t="str">
        <f>VLOOKUP(F19,'5'!B:L,1,0)</f>
        <v>p_provincecode</v>
      </c>
      <c r="I19" s="86"/>
      <c r="J19" s="86" t="s">
        <v>60</v>
      </c>
      <c r="K19" s="86" t="s">
        <v>44</v>
      </c>
      <c r="L19" s="86" t="s">
        <v>44</v>
      </c>
    </row>
    <row r="20" spans="1:12" s="1" customFormat="1">
      <c r="A20" s="15"/>
      <c r="B20" s="13" t="s">
        <v>61</v>
      </c>
      <c r="C20" s="13" t="s">
        <v>46</v>
      </c>
      <c r="D20" s="9" t="s">
        <v>100</v>
      </c>
      <c r="E20" s="85" t="s">
        <v>55</v>
      </c>
      <c r="F20" s="13" t="s">
        <v>65</v>
      </c>
      <c r="G20" s="13" t="s">
        <v>994</v>
      </c>
      <c r="H20" s="85" t="str">
        <f>VLOOKUP(F20,'5'!B:L,1,0)</f>
        <v>city</v>
      </c>
      <c r="I20" s="86"/>
      <c r="J20" s="86" t="s">
        <v>60</v>
      </c>
      <c r="K20" s="86" t="s">
        <v>44</v>
      </c>
      <c r="L20" s="86" t="s">
        <v>44</v>
      </c>
    </row>
    <row r="21" spans="1:12" s="1" customFormat="1">
      <c r="A21" s="15"/>
      <c r="B21" s="13" t="s">
        <v>62</v>
      </c>
      <c r="C21" s="13" t="s">
        <v>46</v>
      </c>
      <c r="D21" s="9" t="s">
        <v>1268</v>
      </c>
      <c r="E21" s="85" t="s">
        <v>55</v>
      </c>
      <c r="F21" s="13" t="s">
        <v>62</v>
      </c>
      <c r="G21" s="13" t="s">
        <v>994</v>
      </c>
      <c r="H21" s="85" t="str">
        <f>VLOOKUP(F21,'5'!B:L,1,0)</f>
        <v>districtcode</v>
      </c>
      <c r="I21" s="86"/>
      <c r="J21" s="86" t="s">
        <v>60</v>
      </c>
      <c r="K21" s="86" t="s">
        <v>44</v>
      </c>
      <c r="L21" s="86" t="s">
        <v>44</v>
      </c>
    </row>
    <row r="22" spans="1:12" s="1" customFormat="1">
      <c r="A22" s="15"/>
      <c r="B22" s="13" t="s">
        <v>1069</v>
      </c>
      <c r="C22" s="13" t="s">
        <v>43</v>
      </c>
      <c r="D22" s="9" t="s">
        <v>1269</v>
      </c>
      <c r="E22" s="85" t="s">
        <v>55</v>
      </c>
      <c r="F22" s="13" t="s">
        <v>1069</v>
      </c>
      <c r="G22" s="13" t="s">
        <v>994</v>
      </c>
      <c r="H22" s="85" t="str">
        <f>VLOOKUP(F22,'5'!B:L,1,0)</f>
        <v>cellkey</v>
      </c>
      <c r="I22" s="86"/>
      <c r="J22" s="86" t="s">
        <v>60</v>
      </c>
      <c r="K22" s="86" t="s">
        <v>44</v>
      </c>
      <c r="L22" s="86" t="s">
        <v>44</v>
      </c>
    </row>
    <row r="23" spans="1:12" s="1" customFormat="1">
      <c r="A23" s="15"/>
      <c r="B23" s="13" t="s">
        <v>1270</v>
      </c>
      <c r="C23" s="13" t="s">
        <v>43</v>
      </c>
      <c r="D23" s="9" t="s">
        <v>1271</v>
      </c>
      <c r="E23" s="85" t="s">
        <v>55</v>
      </c>
      <c r="F23" s="13" t="s">
        <v>1300</v>
      </c>
      <c r="G23" s="13" t="s">
        <v>994</v>
      </c>
      <c r="H23" s="85" t="str">
        <f>VLOOKUP(F23,'5'!B:L,1,0)</f>
        <v>supi</v>
      </c>
      <c r="I23" s="86"/>
      <c r="J23" s="86" t="s">
        <v>60</v>
      </c>
      <c r="K23" s="86" t="s">
        <v>44</v>
      </c>
      <c r="L23" s="86" t="s">
        <v>44</v>
      </c>
    </row>
    <row r="24" spans="1:12" s="1" customFormat="1">
      <c r="A24" s="15"/>
      <c r="B24" s="13" t="s">
        <v>58</v>
      </c>
      <c r="C24" s="13" t="s">
        <v>43</v>
      </c>
      <c r="D24" s="9" t="s">
        <v>59</v>
      </c>
      <c r="E24" s="85" t="s">
        <v>55</v>
      </c>
      <c r="F24" s="13" t="s">
        <v>58</v>
      </c>
      <c r="G24" s="13" t="s">
        <v>994</v>
      </c>
      <c r="H24" s="85" t="str">
        <f>VLOOKUP(F24,'5'!B:L,1,0)</f>
        <v>msisdn</v>
      </c>
      <c r="I24" s="86"/>
      <c r="J24" s="86" t="s">
        <v>60</v>
      </c>
      <c r="K24" s="86" t="s">
        <v>44</v>
      </c>
      <c r="L24" s="86" t="s">
        <v>44</v>
      </c>
    </row>
    <row r="25" spans="1:12" s="1" customFormat="1">
      <c r="A25" s="15"/>
      <c r="B25" s="13" t="s">
        <v>1272</v>
      </c>
      <c r="C25" s="13" t="s">
        <v>43</v>
      </c>
      <c r="D25" s="9" t="s">
        <v>1273</v>
      </c>
      <c r="E25" s="85" t="s">
        <v>55</v>
      </c>
      <c r="F25" s="13" t="s">
        <v>82</v>
      </c>
      <c r="G25" s="13" t="s">
        <v>994</v>
      </c>
      <c r="H25" s="85" t="str">
        <f>VLOOKUP(F25,'5'!B:L,1,0)</f>
        <v>pei</v>
      </c>
      <c r="I25" s="86"/>
      <c r="J25" s="86" t="s">
        <v>60</v>
      </c>
      <c r="K25" s="86" t="s">
        <v>44</v>
      </c>
      <c r="L25" s="86" t="s">
        <v>44</v>
      </c>
    </row>
    <row r="26" spans="1:12" s="1" customFormat="1">
      <c r="A26" s="15"/>
      <c r="B26" s="13" t="s">
        <v>85</v>
      </c>
      <c r="C26" s="13" t="s">
        <v>43</v>
      </c>
      <c r="D26" s="9" t="s">
        <v>1274</v>
      </c>
      <c r="E26" s="85" t="s">
        <v>55</v>
      </c>
      <c r="F26" s="13" t="s">
        <v>85</v>
      </c>
      <c r="G26" s="13" t="s">
        <v>994</v>
      </c>
      <c r="H26" s="85" t="str">
        <f>VLOOKUP(F26,'5'!B:L,1,0)</f>
        <v>servicetype</v>
      </c>
      <c r="I26" s="86"/>
      <c r="J26" s="86" t="s">
        <v>60</v>
      </c>
      <c r="K26" s="86" t="s">
        <v>44</v>
      </c>
      <c r="L26" s="86" t="s">
        <v>44</v>
      </c>
    </row>
    <row r="27" spans="1:12" s="1" customFormat="1">
      <c r="A27" s="15"/>
      <c r="B27" s="13" t="s">
        <v>1275</v>
      </c>
      <c r="C27" s="13" t="s">
        <v>43</v>
      </c>
      <c r="D27" s="9" t="s">
        <v>1276</v>
      </c>
      <c r="E27" s="85" t="s">
        <v>55</v>
      </c>
      <c r="F27" s="13"/>
      <c r="G27" s="13" t="s">
        <v>1301</v>
      </c>
      <c r="H27" s="85"/>
      <c r="I27" s="86"/>
      <c r="J27" s="86" t="s">
        <v>60</v>
      </c>
      <c r="K27" s="86" t="s">
        <v>44</v>
      </c>
      <c r="L27" s="86" t="s">
        <v>44</v>
      </c>
    </row>
    <row r="28" spans="1:12" s="1" customFormat="1">
      <c r="A28" s="15"/>
      <c r="B28" s="13" t="s">
        <v>1277</v>
      </c>
      <c r="C28" s="13" t="s">
        <v>43</v>
      </c>
      <c r="D28" s="9" t="s">
        <v>1278</v>
      </c>
      <c r="E28" s="85" t="s">
        <v>256</v>
      </c>
      <c r="F28" s="13" t="s">
        <v>1279</v>
      </c>
      <c r="G28" s="13" t="s">
        <v>994</v>
      </c>
      <c r="H28" s="85"/>
      <c r="I28" s="86"/>
      <c r="J28" s="86" t="s">
        <v>60</v>
      </c>
      <c r="K28" s="86" t="s">
        <v>44</v>
      </c>
      <c r="L28" s="86" t="s">
        <v>44</v>
      </c>
    </row>
    <row r="29" spans="1:12" s="1" customFormat="1">
      <c r="A29" s="15"/>
      <c r="B29" s="13" t="s">
        <v>1280</v>
      </c>
      <c r="C29" s="13" t="s">
        <v>43</v>
      </c>
      <c r="D29" s="9" t="s">
        <v>1281</v>
      </c>
      <c r="E29" s="85" t="s">
        <v>55</v>
      </c>
      <c r="F29" s="13"/>
      <c r="G29" s="13" t="s">
        <v>1282</v>
      </c>
      <c r="H29" s="85"/>
      <c r="I29" s="86"/>
      <c r="J29" s="86" t="s">
        <v>1186</v>
      </c>
      <c r="K29" s="86" t="s">
        <v>44</v>
      </c>
      <c r="L29" s="86" t="s">
        <v>44</v>
      </c>
    </row>
    <row r="30" spans="1:12" s="1" customFormat="1">
      <c r="A30" s="15"/>
      <c r="B30" s="13" t="s">
        <v>1283</v>
      </c>
      <c r="C30" s="13" t="s">
        <v>43</v>
      </c>
      <c r="D30" s="9" t="s">
        <v>1284</v>
      </c>
      <c r="E30" s="85" t="s">
        <v>55</v>
      </c>
      <c r="F30" s="13"/>
      <c r="G30" s="13" t="s">
        <v>1285</v>
      </c>
      <c r="H30" s="85"/>
      <c r="I30" s="86"/>
      <c r="J30" s="86" t="s">
        <v>1186</v>
      </c>
      <c r="K30" s="86" t="s">
        <v>44</v>
      </c>
      <c r="L30" s="86" t="s">
        <v>44</v>
      </c>
    </row>
    <row r="31" spans="1:12" s="1" customFormat="1">
      <c r="A31" s="15"/>
      <c r="B31" s="13" t="s">
        <v>1286</v>
      </c>
      <c r="C31" s="13" t="s">
        <v>45</v>
      </c>
      <c r="D31" s="9" t="s">
        <v>1287</v>
      </c>
      <c r="E31" s="85" t="s">
        <v>55</v>
      </c>
      <c r="F31" s="13"/>
      <c r="G31" s="13" t="s">
        <v>1307</v>
      </c>
      <c r="H31" s="85"/>
      <c r="I31" s="86"/>
      <c r="J31" s="86" t="s">
        <v>1186</v>
      </c>
      <c r="K31" s="86" t="s">
        <v>44</v>
      </c>
      <c r="L31" s="86" t="s">
        <v>67</v>
      </c>
    </row>
    <row r="32" spans="1:12" s="1" customFormat="1">
      <c r="A32" s="15"/>
      <c r="B32" s="13" t="s">
        <v>1072</v>
      </c>
      <c r="C32" s="13" t="s">
        <v>45</v>
      </c>
      <c r="D32" s="9" t="s">
        <v>1288</v>
      </c>
      <c r="E32" s="85" t="s">
        <v>55</v>
      </c>
      <c r="F32" s="13"/>
      <c r="G32" s="13" t="s">
        <v>1289</v>
      </c>
      <c r="H32" s="85"/>
      <c r="I32" s="86"/>
      <c r="J32" s="86" t="s">
        <v>1186</v>
      </c>
      <c r="K32" s="86" t="s">
        <v>44</v>
      </c>
      <c r="L32" s="86" t="s">
        <v>67</v>
      </c>
    </row>
    <row r="33" spans="1:17" s="1" customFormat="1">
      <c r="A33" s="15"/>
      <c r="B33" s="13" t="s">
        <v>1290</v>
      </c>
      <c r="C33" s="13" t="s">
        <v>56</v>
      </c>
      <c r="D33" s="9" t="s">
        <v>1291</v>
      </c>
      <c r="E33" s="85" t="s">
        <v>55</v>
      </c>
      <c r="F33" s="13"/>
      <c r="G33" s="13" t="s">
        <v>1308</v>
      </c>
      <c r="H33" s="85"/>
      <c r="I33" s="86"/>
      <c r="J33" s="86" t="s">
        <v>1186</v>
      </c>
      <c r="K33" s="86" t="s">
        <v>44</v>
      </c>
      <c r="L33" s="86" t="s">
        <v>1292</v>
      </c>
    </row>
    <row r="34" spans="1:17" s="1" customFormat="1">
      <c r="A34" s="15"/>
      <c r="B34" s="13" t="s">
        <v>254</v>
      </c>
      <c r="C34" s="13" t="s">
        <v>45</v>
      </c>
      <c r="D34" s="9" t="s">
        <v>1293</v>
      </c>
      <c r="E34" s="85" t="s">
        <v>55</v>
      </c>
      <c r="F34" s="13"/>
      <c r="G34" s="13" t="s">
        <v>257</v>
      </c>
      <c r="H34" s="85"/>
      <c r="I34" s="86"/>
      <c r="J34" s="86" t="s">
        <v>1186</v>
      </c>
      <c r="K34" s="86" t="s">
        <v>202</v>
      </c>
      <c r="L34" s="86" t="s">
        <v>67</v>
      </c>
    </row>
    <row r="35" spans="1:17" s="1" customFormat="1">
      <c r="A35" s="15"/>
      <c r="B35" s="13" t="s">
        <v>1294</v>
      </c>
      <c r="C35" s="13" t="s">
        <v>45</v>
      </c>
      <c r="D35" s="9" t="s">
        <v>1295</v>
      </c>
      <c r="E35" s="85" t="s">
        <v>55</v>
      </c>
      <c r="F35" s="13"/>
      <c r="G35" s="13" t="s">
        <v>1309</v>
      </c>
      <c r="H35" s="85"/>
      <c r="I35" s="86"/>
      <c r="J35" s="86" t="s">
        <v>1186</v>
      </c>
      <c r="K35" s="86" t="s">
        <v>204</v>
      </c>
      <c r="L35" s="86" t="s">
        <v>67</v>
      </c>
    </row>
    <row r="36" spans="1:17" s="3" customFormat="1">
      <c r="B36" s="23" t="s">
        <v>47</v>
      </c>
      <c r="C36" s="24" t="s">
        <v>46</v>
      </c>
      <c r="D36" s="21" t="s">
        <v>48</v>
      </c>
      <c r="E36" s="44"/>
      <c r="F36" s="44"/>
      <c r="G36" s="44" t="s">
        <v>282</v>
      </c>
      <c r="H36" s="23" t="s">
        <v>282</v>
      </c>
      <c r="I36" s="23"/>
      <c r="J36" s="23"/>
      <c r="K36" s="23"/>
      <c r="L36" s="23"/>
      <c r="M36" s="23"/>
      <c r="N36" s="23"/>
      <c r="O36" s="23"/>
      <c r="P36" s="23"/>
      <c r="Q36" s="23"/>
    </row>
    <row r="37" spans="1:17" s="3" customFormat="1">
      <c r="B37" s="23" t="s">
        <v>49</v>
      </c>
      <c r="C37" s="24" t="s">
        <v>43</v>
      </c>
      <c r="D37" s="21" t="s">
        <v>50</v>
      </c>
      <c r="E37" s="44"/>
      <c r="F37" s="44"/>
      <c r="G37" s="44" t="s">
        <v>282</v>
      </c>
      <c r="H37" s="23" t="s">
        <v>282</v>
      </c>
      <c r="I37" s="23"/>
      <c r="J37" s="23"/>
      <c r="K37" s="23"/>
      <c r="L37" s="23"/>
      <c r="M37" s="23"/>
      <c r="N37" s="23"/>
      <c r="O37" s="23"/>
      <c r="P37" s="23"/>
      <c r="Q37" s="23"/>
    </row>
    <row r="38" spans="1:17" s="3" customFormat="1">
      <c r="B38" s="23" t="s">
        <v>51</v>
      </c>
      <c r="C38" s="24" t="s">
        <v>46</v>
      </c>
      <c r="D38" s="21" t="s">
        <v>52</v>
      </c>
      <c r="E38" s="44"/>
      <c r="F38" s="44"/>
      <c r="G38" s="44" t="s">
        <v>282</v>
      </c>
      <c r="H38" s="23" t="s">
        <v>282</v>
      </c>
      <c r="I38" s="23"/>
      <c r="J38" s="23"/>
      <c r="K38" s="23"/>
      <c r="L38" s="23"/>
      <c r="M38" s="23"/>
      <c r="N38" s="23"/>
      <c r="O38" s="23"/>
      <c r="P38" s="23"/>
      <c r="Q38" s="23"/>
    </row>
  </sheetData>
  <autoFilter ref="A15:Q38" xr:uid="{00000000-0009-0000-0000-00000B000000}"/>
  <mergeCells count="6">
    <mergeCell ref="B2:H2"/>
    <mergeCell ref="B3:H3"/>
    <mergeCell ref="B7:H7"/>
    <mergeCell ref="B14:L14"/>
    <mergeCell ref="F10:G10"/>
    <mergeCell ref="F11:G11"/>
  </mergeCells>
  <phoneticPr fontId="1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4C73-AB7F-445F-9613-7DB0801F0498}">
  <sheetPr codeName="Sheet10"/>
  <dimension ref="A1:Q126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7.441406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1312</v>
      </c>
      <c r="D5" s="10" t="s">
        <v>1313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1251</v>
      </c>
      <c r="D9" s="10" t="s">
        <v>1253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2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1068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61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62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64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65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66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95</v>
      </c>
      <c r="C23" s="11" t="s">
        <v>93</v>
      </c>
      <c r="D23" s="9" t="s">
        <v>114</v>
      </c>
      <c r="E23" s="16" t="s">
        <v>128</v>
      </c>
      <c r="F23" s="9" t="s">
        <v>1069</v>
      </c>
      <c r="G23" s="17" t="s">
        <v>129</v>
      </c>
      <c r="H23" s="18"/>
      <c r="I23" s="35"/>
      <c r="J23" s="19" t="s">
        <v>131</v>
      </c>
      <c r="K23" s="19" t="s">
        <v>132</v>
      </c>
      <c r="L23" s="19" t="s">
        <v>44</v>
      </c>
    </row>
    <row r="24" spans="1:12" s="1" customFormat="1">
      <c r="B24" s="22" t="s">
        <v>85</v>
      </c>
      <c r="C24" s="11" t="s">
        <v>43</v>
      </c>
      <c r="D24" s="9" t="s">
        <v>107</v>
      </c>
      <c r="E24" s="16" t="s">
        <v>128</v>
      </c>
      <c r="F24" s="17" t="s">
        <v>85</v>
      </c>
      <c r="G24" s="17" t="s">
        <v>129</v>
      </c>
      <c r="H24" s="18"/>
      <c r="I24" s="19"/>
      <c r="J24" s="19" t="s">
        <v>131</v>
      </c>
      <c r="K24" s="19" t="s">
        <v>132</v>
      </c>
      <c r="L24" s="19" t="s">
        <v>44</v>
      </c>
    </row>
    <row r="25" spans="1:12" s="1" customFormat="1">
      <c r="B25" s="22" t="s">
        <v>507</v>
      </c>
      <c r="C25" s="62" t="s">
        <v>43</v>
      </c>
      <c r="D25" s="9" t="s">
        <v>626</v>
      </c>
      <c r="E25" s="16" t="s">
        <v>128</v>
      </c>
      <c r="F25" s="9" t="s">
        <v>507</v>
      </c>
      <c r="G25" s="17" t="s">
        <v>129</v>
      </c>
      <c r="H25" s="18"/>
      <c r="I25" s="19"/>
      <c r="J25" s="19" t="s">
        <v>131</v>
      </c>
      <c r="K25" s="19" t="s">
        <v>132</v>
      </c>
      <c r="L25" s="19" t="s">
        <v>632</v>
      </c>
    </row>
    <row r="26" spans="1:12" s="1" customFormat="1">
      <c r="A26" s="15"/>
      <c r="B26" s="11" t="s">
        <v>1072</v>
      </c>
      <c r="C26" s="11" t="s">
        <v>45</v>
      </c>
      <c r="D26" s="9" t="s">
        <v>146</v>
      </c>
      <c r="E26" s="16" t="s">
        <v>128</v>
      </c>
      <c r="F26" s="17"/>
      <c r="G26" s="17" t="s">
        <v>1073</v>
      </c>
      <c r="H26" s="18"/>
      <c r="I26" s="17"/>
      <c r="J26" s="19" t="s">
        <v>133</v>
      </c>
      <c r="K26" s="19" t="s">
        <v>132</v>
      </c>
      <c r="L26" s="19" t="s">
        <v>134</v>
      </c>
    </row>
    <row r="27" spans="1:12" s="1" customFormat="1">
      <c r="A27" s="15"/>
      <c r="B27" s="11" t="s">
        <v>189</v>
      </c>
      <c r="C27" s="11" t="s">
        <v>45</v>
      </c>
      <c r="D27" s="9" t="s">
        <v>190</v>
      </c>
      <c r="E27" s="16" t="s">
        <v>128</v>
      </c>
      <c r="F27" s="17"/>
      <c r="G27" s="17" t="s">
        <v>1259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2" s="1" customFormat="1">
      <c r="A28" s="15"/>
      <c r="B28" s="11" t="s">
        <v>192</v>
      </c>
      <c r="C28" s="11" t="s">
        <v>45</v>
      </c>
      <c r="D28" s="9" t="s">
        <v>193</v>
      </c>
      <c r="E28" s="16" t="s">
        <v>128</v>
      </c>
      <c r="F28" s="17"/>
      <c r="G28" s="17" t="s">
        <v>1074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2" s="1" customFormat="1">
      <c r="A29" s="15"/>
      <c r="B29" s="22" t="s">
        <v>255</v>
      </c>
      <c r="C29" s="22" t="s">
        <v>45</v>
      </c>
      <c r="D29" s="9" t="s">
        <v>348</v>
      </c>
      <c r="E29" s="16" t="s">
        <v>128</v>
      </c>
      <c r="F29" s="17"/>
      <c r="G29" s="17" t="s">
        <v>257</v>
      </c>
      <c r="H29" s="18"/>
      <c r="I29" s="17"/>
      <c r="J29" s="19" t="s">
        <v>133</v>
      </c>
      <c r="K29" s="19" t="s">
        <v>203</v>
      </c>
      <c r="L29" s="19" t="s">
        <v>134</v>
      </c>
    </row>
    <row r="30" spans="1:12" s="1" customFormat="1">
      <c r="A30" s="15"/>
      <c r="B30" s="11" t="s">
        <v>207</v>
      </c>
      <c r="C30" s="11" t="s">
        <v>45</v>
      </c>
      <c r="D30" s="9" t="s">
        <v>759</v>
      </c>
      <c r="E30" s="16" t="s">
        <v>128</v>
      </c>
      <c r="F30" s="72"/>
      <c r="G30" s="17" t="s">
        <v>320</v>
      </c>
      <c r="H30" s="18"/>
      <c r="I30" s="17"/>
      <c r="J30" s="19" t="s">
        <v>133</v>
      </c>
      <c r="K30" s="19" t="s">
        <v>204</v>
      </c>
      <c r="L30" s="19" t="s">
        <v>134</v>
      </c>
    </row>
    <row r="31" spans="1:12" s="1" customFormat="1">
      <c r="A31" s="15"/>
      <c r="B31" s="11" t="s">
        <v>208</v>
      </c>
      <c r="C31" s="11" t="s">
        <v>45</v>
      </c>
      <c r="D31" s="9" t="s">
        <v>160</v>
      </c>
      <c r="E31" s="16" t="s">
        <v>128</v>
      </c>
      <c r="F31" s="72"/>
      <c r="G31" s="17" t="s">
        <v>319</v>
      </c>
      <c r="H31" s="18"/>
      <c r="I31" s="17"/>
      <c r="J31" s="19" t="s">
        <v>133</v>
      </c>
      <c r="K31" s="19" t="s">
        <v>204</v>
      </c>
      <c r="L31" s="19" t="s">
        <v>134</v>
      </c>
    </row>
    <row r="32" spans="1:12" s="1" customFormat="1">
      <c r="A32" s="15"/>
      <c r="B32" s="11" t="s">
        <v>763</v>
      </c>
      <c r="C32" s="11" t="s">
        <v>45</v>
      </c>
      <c r="D32" s="9" t="s">
        <v>181</v>
      </c>
      <c r="E32" s="16" t="s">
        <v>128</v>
      </c>
      <c r="F32" s="72"/>
      <c r="G32" s="9" t="s">
        <v>1076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" t="s">
        <v>805</v>
      </c>
      <c r="C33" s="11" t="s">
        <v>45</v>
      </c>
      <c r="D33" s="9" t="s">
        <v>184</v>
      </c>
      <c r="E33" s="16" t="s">
        <v>128</v>
      </c>
      <c r="F33" s="72"/>
      <c r="G33" s="17" t="s">
        <v>1110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210</v>
      </c>
      <c r="C34" s="11" t="s">
        <v>45</v>
      </c>
      <c r="D34" s="9" t="s">
        <v>1056</v>
      </c>
      <c r="E34" s="16" t="s">
        <v>128</v>
      </c>
      <c r="F34" s="72"/>
      <c r="G34" s="17" t="s">
        <v>224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209</v>
      </c>
      <c r="C35" s="11" t="s">
        <v>45</v>
      </c>
      <c r="D35" s="9" t="s">
        <v>1055</v>
      </c>
      <c r="E35" s="16" t="s">
        <v>128</v>
      </c>
      <c r="F35" s="72"/>
      <c r="G35" s="17" t="s">
        <v>223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211</v>
      </c>
      <c r="C36" s="11" t="s">
        <v>45</v>
      </c>
      <c r="D36" s="9" t="s">
        <v>163</v>
      </c>
      <c r="E36" s="16" t="s">
        <v>128</v>
      </c>
      <c r="F36" s="72"/>
      <c r="G36" s="17" t="s">
        <v>225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212</v>
      </c>
      <c r="C37" s="11" t="s">
        <v>45</v>
      </c>
      <c r="D37" s="9" t="s">
        <v>164</v>
      </c>
      <c r="E37" s="16" t="s">
        <v>128</v>
      </c>
      <c r="F37" s="72"/>
      <c r="G37" s="17" t="s">
        <v>226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213</v>
      </c>
      <c r="C38" s="11" t="s">
        <v>45</v>
      </c>
      <c r="D38" s="9" t="s">
        <v>165</v>
      </c>
      <c r="E38" s="16" t="s">
        <v>128</v>
      </c>
      <c r="F38" s="72"/>
      <c r="G38" s="17" t="s">
        <v>1114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214</v>
      </c>
      <c r="C39" s="11" t="s">
        <v>45</v>
      </c>
      <c r="D39" s="9" t="s">
        <v>166</v>
      </c>
      <c r="E39" s="16" t="s">
        <v>128</v>
      </c>
      <c r="F39" s="72"/>
      <c r="G39" s="17" t="s">
        <v>1115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217</v>
      </c>
      <c r="C40" s="11" t="s">
        <v>45</v>
      </c>
      <c r="D40" s="9" t="s">
        <v>171</v>
      </c>
      <c r="E40" s="16" t="s">
        <v>128</v>
      </c>
      <c r="F40" s="72"/>
      <c r="G40" s="17" t="s">
        <v>1116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218</v>
      </c>
      <c r="C41" s="11" t="s">
        <v>45</v>
      </c>
      <c r="D41" s="9" t="s">
        <v>172</v>
      </c>
      <c r="E41" s="16" t="s">
        <v>128</v>
      </c>
      <c r="F41" s="72"/>
      <c r="G41" s="17" t="s">
        <v>1117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219</v>
      </c>
      <c r="C42" s="11" t="s">
        <v>45</v>
      </c>
      <c r="D42" s="9" t="s">
        <v>173</v>
      </c>
      <c r="E42" s="16" t="s">
        <v>128</v>
      </c>
      <c r="F42" s="72"/>
      <c r="G42" s="17" t="s">
        <v>1118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220</v>
      </c>
      <c r="C43" s="11" t="s">
        <v>45</v>
      </c>
      <c r="D43" s="9" t="s">
        <v>174</v>
      </c>
      <c r="E43" s="16" t="s">
        <v>128</v>
      </c>
      <c r="F43" s="72"/>
      <c r="G43" s="17" t="s">
        <v>1119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215</v>
      </c>
      <c r="C44" s="11" t="s">
        <v>45</v>
      </c>
      <c r="D44" s="9" t="s">
        <v>1260</v>
      </c>
      <c r="E44" s="16" t="s">
        <v>128</v>
      </c>
      <c r="F44" s="72"/>
      <c r="G44" s="17" t="s">
        <v>227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216</v>
      </c>
      <c r="C45" s="11" t="s">
        <v>45</v>
      </c>
      <c r="D45" s="9" t="s">
        <v>1261</v>
      </c>
      <c r="E45" s="16" t="s">
        <v>128</v>
      </c>
      <c r="F45" s="72"/>
      <c r="G45" s="17" t="s">
        <v>228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316</v>
      </c>
      <c r="C46" s="11" t="s">
        <v>45</v>
      </c>
      <c r="D46" s="9" t="s">
        <v>167</v>
      </c>
      <c r="E46" s="16" t="s">
        <v>128</v>
      </c>
      <c r="F46" s="72"/>
      <c r="G46" s="17" t="s">
        <v>772</v>
      </c>
      <c r="H46" s="18"/>
      <c r="I46" s="17"/>
      <c r="J46" s="19" t="s">
        <v>133</v>
      </c>
      <c r="K46" s="19" t="s">
        <v>202</v>
      </c>
      <c r="L46" s="19" t="s">
        <v>67</v>
      </c>
    </row>
    <row r="47" spans="1:12" s="1" customFormat="1">
      <c r="A47" s="15"/>
      <c r="B47" s="11" t="s">
        <v>809</v>
      </c>
      <c r="C47" s="11" t="s">
        <v>45</v>
      </c>
      <c r="D47" s="9" t="s">
        <v>175</v>
      </c>
      <c r="E47" s="16" t="s">
        <v>128</v>
      </c>
      <c r="F47" s="72"/>
      <c r="G47" s="17" t="s">
        <v>1120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317</v>
      </c>
      <c r="C48" s="11" t="s">
        <v>45</v>
      </c>
      <c r="D48" s="9" t="s">
        <v>168</v>
      </c>
      <c r="E48" s="16" t="s">
        <v>128</v>
      </c>
      <c r="F48" s="72"/>
      <c r="G48" s="17" t="s">
        <v>1489</v>
      </c>
      <c r="H48" s="18"/>
      <c r="I48" s="17"/>
      <c r="J48" s="19" t="s">
        <v>133</v>
      </c>
      <c r="K48" s="19" t="s">
        <v>202</v>
      </c>
      <c r="L48" s="19" t="s">
        <v>67</v>
      </c>
    </row>
    <row r="49" spans="1:12" s="1" customFormat="1">
      <c r="A49" s="15"/>
      <c r="B49" s="11" t="s">
        <v>810</v>
      </c>
      <c r="C49" s="11" t="s">
        <v>45</v>
      </c>
      <c r="D49" s="9" t="s">
        <v>176</v>
      </c>
      <c r="E49" s="16" t="s">
        <v>128</v>
      </c>
      <c r="F49" s="72"/>
      <c r="G49" s="17" t="s">
        <v>1121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1213</v>
      </c>
      <c r="C50" s="11" t="s">
        <v>45</v>
      </c>
      <c r="D50" s="9" t="s">
        <v>178</v>
      </c>
      <c r="E50" s="16" t="s">
        <v>128</v>
      </c>
      <c r="F50" s="72"/>
      <c r="G50" s="17" t="s">
        <v>1215</v>
      </c>
      <c r="H50" s="18"/>
      <c r="I50" s="17"/>
      <c r="J50" s="19" t="s">
        <v>133</v>
      </c>
      <c r="K50" s="19" t="s">
        <v>202</v>
      </c>
      <c r="L50" s="19" t="s">
        <v>67</v>
      </c>
    </row>
    <row r="51" spans="1:12" s="1" customFormat="1">
      <c r="A51" s="15"/>
      <c r="B51" s="11" t="s">
        <v>221</v>
      </c>
      <c r="C51" s="11" t="s">
        <v>45</v>
      </c>
      <c r="D51" s="9" t="s">
        <v>177</v>
      </c>
      <c r="E51" s="16" t="s">
        <v>128</v>
      </c>
      <c r="F51" s="72"/>
      <c r="G51" s="17" t="s">
        <v>1256</v>
      </c>
      <c r="H51" s="18"/>
      <c r="I51" s="17"/>
      <c r="J51" s="19" t="s">
        <v>133</v>
      </c>
      <c r="K51" s="19" t="s">
        <v>204</v>
      </c>
      <c r="L51" s="19" t="s">
        <v>67</v>
      </c>
    </row>
    <row r="52" spans="1:12" s="1" customFormat="1">
      <c r="A52" s="15"/>
      <c r="B52" s="11" t="s">
        <v>1212</v>
      </c>
      <c r="C52" s="11" t="s">
        <v>45</v>
      </c>
      <c r="D52" s="9" t="s">
        <v>180</v>
      </c>
      <c r="E52" s="16" t="s">
        <v>128</v>
      </c>
      <c r="F52" s="72"/>
      <c r="G52" s="17" t="s">
        <v>1214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222</v>
      </c>
      <c r="C53" s="11" t="s">
        <v>45</v>
      </c>
      <c r="D53" s="9" t="s">
        <v>179</v>
      </c>
      <c r="E53" s="16" t="s">
        <v>128</v>
      </c>
      <c r="F53" s="72"/>
      <c r="G53" s="17" t="s">
        <v>1123</v>
      </c>
      <c r="H53" s="18"/>
      <c r="I53" s="17"/>
      <c r="J53" s="19" t="s">
        <v>133</v>
      </c>
      <c r="K53" s="19" t="s">
        <v>204</v>
      </c>
      <c r="L53" s="19" t="s">
        <v>67</v>
      </c>
    </row>
    <row r="54" spans="1:12" s="1" customFormat="1">
      <c r="A54" s="15"/>
      <c r="B54" s="11" t="s">
        <v>811</v>
      </c>
      <c r="C54" s="11" t="s">
        <v>45</v>
      </c>
      <c r="D54" s="9" t="s">
        <v>643</v>
      </c>
      <c r="E54" s="16" t="s">
        <v>128</v>
      </c>
      <c r="F54" s="72"/>
      <c r="G54" s="17" t="s">
        <v>768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812</v>
      </c>
      <c r="C55" s="11" t="s">
        <v>45</v>
      </c>
      <c r="D55" s="9" t="s">
        <v>813</v>
      </c>
      <c r="E55" s="16" t="s">
        <v>128</v>
      </c>
      <c r="F55" s="72"/>
      <c r="G55" s="17" t="s">
        <v>1124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814</v>
      </c>
      <c r="C56" s="11" t="s">
        <v>45</v>
      </c>
      <c r="D56" s="9" t="s">
        <v>500</v>
      </c>
      <c r="E56" s="16" t="s">
        <v>128</v>
      </c>
      <c r="F56" s="72"/>
      <c r="G56" s="17" t="s">
        <v>1125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205</v>
      </c>
      <c r="C57" s="11" t="s">
        <v>45</v>
      </c>
      <c r="D57" s="9" t="s">
        <v>147</v>
      </c>
      <c r="E57" s="16" t="s">
        <v>128</v>
      </c>
      <c r="F57" s="72"/>
      <c r="G57" s="17" t="s">
        <v>1126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206</v>
      </c>
      <c r="C58" s="11" t="s">
        <v>280</v>
      </c>
      <c r="D58" s="9" t="s">
        <v>820</v>
      </c>
      <c r="E58" s="16" t="s">
        <v>128</v>
      </c>
      <c r="F58" s="72"/>
      <c r="G58" s="17" t="s">
        <v>1081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1022</v>
      </c>
      <c r="C59" s="11" t="s">
        <v>45</v>
      </c>
      <c r="D59" s="9" t="s">
        <v>1018</v>
      </c>
      <c r="E59" s="16" t="s">
        <v>128</v>
      </c>
      <c r="F59" s="72"/>
      <c r="G59" s="17" t="s">
        <v>1127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1014</v>
      </c>
      <c r="C60" s="11" t="s">
        <v>45</v>
      </c>
      <c r="D60" s="9" t="s">
        <v>1019</v>
      </c>
      <c r="E60" s="16" t="s">
        <v>128</v>
      </c>
      <c r="F60" s="72"/>
      <c r="G60" s="17" t="s">
        <v>1128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1015</v>
      </c>
      <c r="C61" s="11" t="s">
        <v>45</v>
      </c>
      <c r="D61" s="9" t="s">
        <v>1020</v>
      </c>
      <c r="E61" s="16" t="s">
        <v>128</v>
      </c>
      <c r="F61" s="72"/>
      <c r="G61" s="17" t="s">
        <v>1129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1016</v>
      </c>
      <c r="C62" s="11" t="s">
        <v>45</v>
      </c>
      <c r="D62" s="9" t="s">
        <v>1021</v>
      </c>
      <c r="E62" s="16" t="s">
        <v>128</v>
      </c>
      <c r="F62" s="72"/>
      <c r="G62" s="17" t="s">
        <v>1130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1017</v>
      </c>
      <c r="C63" s="11" t="s">
        <v>45</v>
      </c>
      <c r="D63" s="9" t="s">
        <v>1042</v>
      </c>
      <c r="E63" s="16" t="s">
        <v>128</v>
      </c>
      <c r="F63" s="72"/>
      <c r="G63" s="17" t="s">
        <v>1131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1049</v>
      </c>
      <c r="C64" s="11" t="s">
        <v>45</v>
      </c>
      <c r="D64" s="9" t="s">
        <v>153</v>
      </c>
      <c r="E64" s="16" t="s">
        <v>128</v>
      </c>
      <c r="F64" s="72"/>
      <c r="G64" s="17" t="s">
        <v>1262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823</v>
      </c>
      <c r="C65" s="11" t="s">
        <v>280</v>
      </c>
      <c r="D65" s="9" t="s">
        <v>1474</v>
      </c>
      <c r="E65" s="16" t="s">
        <v>128</v>
      </c>
      <c r="F65" s="72"/>
      <c r="G65" s="17" t="s">
        <v>1082</v>
      </c>
      <c r="H65" s="18"/>
      <c r="I65" s="17"/>
      <c r="J65" s="19" t="s">
        <v>133</v>
      </c>
      <c r="K65" s="19" t="s">
        <v>202</v>
      </c>
      <c r="L65" s="19" t="s">
        <v>67</v>
      </c>
    </row>
    <row r="66" spans="1:12" s="1" customFormat="1">
      <c r="A66" s="15"/>
      <c r="B66" s="11" t="s">
        <v>1030</v>
      </c>
      <c r="C66" s="11" t="s">
        <v>45</v>
      </c>
      <c r="D66" s="9" t="s">
        <v>1026</v>
      </c>
      <c r="E66" s="16" t="s">
        <v>128</v>
      </c>
      <c r="F66" s="72"/>
      <c r="G66" s="17" t="s">
        <v>1133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1023</v>
      </c>
      <c r="C67" s="11" t="s">
        <v>45</v>
      </c>
      <c r="D67" s="9" t="s">
        <v>1027</v>
      </c>
      <c r="E67" s="16" t="s">
        <v>128</v>
      </c>
      <c r="F67" s="72"/>
      <c r="G67" s="17" t="s">
        <v>1134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1024</v>
      </c>
      <c r="C68" s="11" t="s">
        <v>45</v>
      </c>
      <c r="D68" s="9" t="s">
        <v>1028</v>
      </c>
      <c r="E68" s="16" t="s">
        <v>128</v>
      </c>
      <c r="F68" s="72"/>
      <c r="G68" s="17" t="s">
        <v>1135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1032</v>
      </c>
      <c r="C69" s="11" t="s">
        <v>45</v>
      </c>
      <c r="D69" s="9" t="s">
        <v>1029</v>
      </c>
      <c r="E69" s="16" t="s">
        <v>128</v>
      </c>
      <c r="F69" s="72"/>
      <c r="G69" s="17" t="s">
        <v>1136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1025</v>
      </c>
      <c r="C70" s="11" t="s">
        <v>45</v>
      </c>
      <c r="D70" s="9" t="s">
        <v>1043</v>
      </c>
      <c r="E70" s="16" t="s">
        <v>128</v>
      </c>
      <c r="F70" s="72"/>
      <c r="G70" s="17" t="s">
        <v>1137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1084</v>
      </c>
      <c r="C71" s="11" t="s">
        <v>280</v>
      </c>
      <c r="D71" s="9" t="s">
        <v>1086</v>
      </c>
      <c r="E71" s="16" t="s">
        <v>128</v>
      </c>
      <c r="F71" s="72"/>
      <c r="G71" s="17" t="s">
        <v>1087</v>
      </c>
      <c r="H71" s="18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1083</v>
      </c>
      <c r="C72" s="11" t="s">
        <v>280</v>
      </c>
      <c r="D72" s="9" t="s">
        <v>841</v>
      </c>
      <c r="E72" s="16" t="s">
        <v>128</v>
      </c>
      <c r="F72" s="72"/>
      <c r="G72" s="17" t="s">
        <v>1866</v>
      </c>
      <c r="H72" s="18"/>
      <c r="I72" s="17"/>
      <c r="J72" s="19" t="s">
        <v>133</v>
      </c>
      <c r="K72" s="19" t="s">
        <v>202</v>
      </c>
      <c r="L72" s="19" t="s">
        <v>67</v>
      </c>
    </row>
    <row r="73" spans="1:12" s="1" customFormat="1">
      <c r="A73" s="15"/>
      <c r="B73" s="11" t="s">
        <v>1033</v>
      </c>
      <c r="C73" s="11" t="s">
        <v>45</v>
      </c>
      <c r="D73" s="9" t="s">
        <v>1038</v>
      </c>
      <c r="E73" s="16" t="s">
        <v>128</v>
      </c>
      <c r="F73" s="72"/>
      <c r="G73" s="17" t="s">
        <v>1138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1034</v>
      </c>
      <c r="C74" s="11" t="s">
        <v>45</v>
      </c>
      <c r="D74" s="9" t="s">
        <v>1039</v>
      </c>
      <c r="E74" s="16" t="s">
        <v>128</v>
      </c>
      <c r="F74" s="72"/>
      <c r="G74" s="17" t="s">
        <v>1139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1035</v>
      </c>
      <c r="C75" s="11" t="s">
        <v>45</v>
      </c>
      <c r="D75" s="9" t="s">
        <v>1040</v>
      </c>
      <c r="E75" s="16" t="s">
        <v>128</v>
      </c>
      <c r="F75" s="72"/>
      <c r="G75" s="17" t="s">
        <v>1140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1036</v>
      </c>
      <c r="C76" s="11" t="s">
        <v>45</v>
      </c>
      <c r="D76" s="9" t="s">
        <v>1041</v>
      </c>
      <c r="E76" s="16" t="s">
        <v>128</v>
      </c>
      <c r="F76" s="72"/>
      <c r="G76" s="17" t="s">
        <v>1141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1037</v>
      </c>
      <c r="C77" s="11" t="s">
        <v>45</v>
      </c>
      <c r="D77" s="9" t="s">
        <v>1044</v>
      </c>
      <c r="E77" s="16" t="s">
        <v>128</v>
      </c>
      <c r="F77" s="72"/>
      <c r="G77" s="17" t="s">
        <v>1142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816</v>
      </c>
      <c r="C78" s="11" t="s">
        <v>280</v>
      </c>
      <c r="D78" s="9" t="s">
        <v>839</v>
      </c>
      <c r="E78" s="16" t="s">
        <v>128</v>
      </c>
      <c r="F78" s="72"/>
      <c r="G78" s="17" t="s">
        <v>1088</v>
      </c>
      <c r="H78" s="18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817</v>
      </c>
      <c r="C79" s="11" t="s">
        <v>45</v>
      </c>
      <c r="D79" s="9" t="s">
        <v>658</v>
      </c>
      <c r="E79" s="16" t="s">
        <v>128</v>
      </c>
      <c r="F79" s="72"/>
      <c r="G79" s="17" t="s">
        <v>1090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818</v>
      </c>
      <c r="C80" s="11" t="s">
        <v>280</v>
      </c>
      <c r="D80" s="9" t="s">
        <v>842</v>
      </c>
      <c r="E80" s="16" t="s">
        <v>128</v>
      </c>
      <c r="F80" s="72"/>
      <c r="G80" s="17" t="s">
        <v>1091</v>
      </c>
      <c r="H80" s="18"/>
      <c r="I80" s="17"/>
      <c r="J80" s="19" t="s">
        <v>133</v>
      </c>
      <c r="K80" s="19" t="s">
        <v>202</v>
      </c>
      <c r="L80" s="19" t="s">
        <v>67</v>
      </c>
    </row>
    <row r="81" spans="1:12" s="1" customFormat="1">
      <c r="A81" s="15"/>
      <c r="B81" s="11" t="s">
        <v>819</v>
      </c>
      <c r="C81" s="11" t="s">
        <v>45</v>
      </c>
      <c r="D81" s="9" t="s">
        <v>660</v>
      </c>
      <c r="E81" s="16" t="s">
        <v>128</v>
      </c>
      <c r="F81" s="72"/>
      <c r="G81" s="17" t="s">
        <v>1093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829</v>
      </c>
      <c r="C82" s="11" t="s">
        <v>280</v>
      </c>
      <c r="D82" s="9" t="s">
        <v>505</v>
      </c>
      <c r="E82" s="16" t="s">
        <v>128</v>
      </c>
      <c r="F82" s="72"/>
      <c r="G82" s="17" t="s">
        <v>1094</v>
      </c>
      <c r="H82" s="18"/>
      <c r="I82" s="17"/>
      <c r="J82" s="19" t="s">
        <v>133</v>
      </c>
      <c r="K82" s="19" t="s">
        <v>203</v>
      </c>
      <c r="L82" s="19" t="s">
        <v>67</v>
      </c>
    </row>
    <row r="83" spans="1:12" s="1" customFormat="1">
      <c r="A83" s="15"/>
      <c r="B83" s="11" t="s">
        <v>1570</v>
      </c>
      <c r="C83" s="11" t="s">
        <v>45</v>
      </c>
      <c r="D83" s="9" t="s">
        <v>1526</v>
      </c>
      <c r="E83" s="16" t="s">
        <v>128</v>
      </c>
      <c r="F83" s="72"/>
      <c r="G83" s="17" t="s">
        <v>1571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11" t="s">
        <v>1527</v>
      </c>
      <c r="C84" s="11" t="s">
        <v>45</v>
      </c>
      <c r="D84" s="9" t="s">
        <v>1528</v>
      </c>
      <c r="E84" s="16" t="s">
        <v>128</v>
      </c>
      <c r="F84" s="72"/>
      <c r="G84" s="17" t="s">
        <v>1572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1529</v>
      </c>
      <c r="C85" s="11" t="s">
        <v>45</v>
      </c>
      <c r="D85" s="9" t="s">
        <v>1530</v>
      </c>
      <c r="E85" s="16" t="s">
        <v>128</v>
      </c>
      <c r="F85" s="72"/>
      <c r="G85" s="17" t="s">
        <v>1573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1531</v>
      </c>
      <c r="C86" s="11" t="s">
        <v>45</v>
      </c>
      <c r="D86" s="9" t="s">
        <v>1532</v>
      </c>
      <c r="E86" s="16" t="s">
        <v>128</v>
      </c>
      <c r="F86" s="72"/>
      <c r="G86" s="17" t="s">
        <v>1574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1533</v>
      </c>
      <c r="C87" s="11" t="s">
        <v>45</v>
      </c>
      <c r="D87" s="9" t="s">
        <v>1534</v>
      </c>
      <c r="E87" s="16" t="s">
        <v>128</v>
      </c>
      <c r="F87" s="72"/>
      <c r="G87" s="17" t="s">
        <v>1575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799</v>
      </c>
      <c r="C88" s="11" t="s">
        <v>280</v>
      </c>
      <c r="D88" s="9" t="s">
        <v>506</v>
      </c>
      <c r="E88" s="16" t="s">
        <v>128</v>
      </c>
      <c r="F88" s="72"/>
      <c r="G88" s="17" t="s">
        <v>1095</v>
      </c>
      <c r="H88" s="18"/>
      <c r="I88" s="17"/>
      <c r="J88" s="19" t="s">
        <v>133</v>
      </c>
      <c r="K88" s="19" t="s">
        <v>203</v>
      </c>
      <c r="L88" s="19" t="s">
        <v>67</v>
      </c>
    </row>
    <row r="89" spans="1:12" s="1" customFormat="1">
      <c r="A89" s="15"/>
      <c r="B89" s="11" t="s">
        <v>1549</v>
      </c>
      <c r="C89" s="11" t="s">
        <v>45</v>
      </c>
      <c r="D89" s="9" t="s">
        <v>1540</v>
      </c>
      <c r="E89" s="16" t="s">
        <v>128</v>
      </c>
      <c r="F89" s="72"/>
      <c r="G89" s="17" t="s">
        <v>1576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1541</v>
      </c>
      <c r="C90" s="11" t="s">
        <v>45</v>
      </c>
      <c r="D90" s="9" t="s">
        <v>1542</v>
      </c>
      <c r="E90" s="16" t="s">
        <v>128</v>
      </c>
      <c r="F90" s="72"/>
      <c r="G90" s="17" t="s">
        <v>1577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1543</v>
      </c>
      <c r="C91" s="11" t="s">
        <v>45</v>
      </c>
      <c r="D91" s="9" t="s">
        <v>1544</v>
      </c>
      <c r="E91" s="16" t="s">
        <v>128</v>
      </c>
      <c r="F91" s="72"/>
      <c r="G91" s="17" t="s">
        <v>1578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1545</v>
      </c>
      <c r="C92" s="11" t="s">
        <v>45</v>
      </c>
      <c r="D92" s="9" t="s">
        <v>1546</v>
      </c>
      <c r="E92" s="16" t="s">
        <v>128</v>
      </c>
      <c r="F92" s="72"/>
      <c r="G92" s="17" t="s">
        <v>1579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1547</v>
      </c>
      <c r="C93" s="11" t="s">
        <v>45</v>
      </c>
      <c r="D93" s="9" t="s">
        <v>1548</v>
      </c>
      <c r="E93" s="16" t="s">
        <v>128</v>
      </c>
      <c r="F93" s="72"/>
      <c r="G93" s="17" t="s">
        <v>1580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830</v>
      </c>
      <c r="C94" s="11" t="s">
        <v>45</v>
      </c>
      <c r="D94" s="9" t="s">
        <v>837</v>
      </c>
      <c r="E94" s="16" t="s">
        <v>128</v>
      </c>
      <c r="F94" s="72"/>
      <c r="G94" s="17" t="s">
        <v>1097</v>
      </c>
      <c r="H94" s="18"/>
      <c r="I94" s="17"/>
      <c r="J94" s="19" t="s">
        <v>133</v>
      </c>
      <c r="K94" s="19" t="s">
        <v>44</v>
      </c>
      <c r="L94" s="19" t="s">
        <v>67</v>
      </c>
    </row>
    <row r="95" spans="1:12" s="1" customFormat="1">
      <c r="A95" s="15"/>
      <c r="B95" s="11" t="s">
        <v>623</v>
      </c>
      <c r="C95" s="11" t="s">
        <v>280</v>
      </c>
      <c r="D95" s="9" t="s">
        <v>836</v>
      </c>
      <c r="E95" s="16" t="s">
        <v>128</v>
      </c>
      <c r="F95" s="72"/>
      <c r="G95" s="17" t="s">
        <v>1099</v>
      </c>
      <c r="H95" s="18"/>
      <c r="I95" s="17"/>
      <c r="J95" s="19" t="s">
        <v>133</v>
      </c>
      <c r="K95" s="19" t="s">
        <v>202</v>
      </c>
      <c r="L95" s="19" t="s">
        <v>67</v>
      </c>
    </row>
    <row r="96" spans="1:12" s="1" customFormat="1">
      <c r="A96" s="15"/>
      <c r="B96" s="95" t="s">
        <v>1564</v>
      </c>
      <c r="C96" s="95" t="s">
        <v>45</v>
      </c>
      <c r="D96" s="96" t="s">
        <v>1555</v>
      </c>
      <c r="E96" s="16" t="s">
        <v>128</v>
      </c>
      <c r="F96" s="72"/>
      <c r="G96" s="17" t="s">
        <v>1581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95" t="s">
        <v>1556</v>
      </c>
      <c r="C97" s="95" t="s">
        <v>45</v>
      </c>
      <c r="D97" s="96" t="s">
        <v>1557</v>
      </c>
      <c r="E97" s="16" t="s">
        <v>128</v>
      </c>
      <c r="F97" s="72"/>
      <c r="G97" s="17" t="s">
        <v>1582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95" t="s">
        <v>1558</v>
      </c>
      <c r="C98" s="95" t="s">
        <v>45</v>
      </c>
      <c r="D98" s="96" t="s">
        <v>1559</v>
      </c>
      <c r="E98" s="16" t="s">
        <v>128</v>
      </c>
      <c r="F98" s="72"/>
      <c r="G98" s="17" t="s">
        <v>1583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95" t="s">
        <v>1560</v>
      </c>
      <c r="C99" s="95" t="s">
        <v>45</v>
      </c>
      <c r="D99" s="96" t="s">
        <v>1561</v>
      </c>
      <c r="E99" s="16" t="s">
        <v>128</v>
      </c>
      <c r="F99" s="72"/>
      <c r="G99" s="17" t="s">
        <v>1584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95" t="s">
        <v>1562</v>
      </c>
      <c r="C100" s="95" t="s">
        <v>45</v>
      </c>
      <c r="D100" s="96" t="s">
        <v>1563</v>
      </c>
      <c r="E100" s="16" t="s">
        <v>128</v>
      </c>
      <c r="F100" s="72"/>
      <c r="G100" s="17" t="s">
        <v>1585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2" s="1" customFormat="1">
      <c r="A101" s="15"/>
      <c r="B101" s="11" t="s">
        <v>831</v>
      </c>
      <c r="C101" s="11" t="s">
        <v>45</v>
      </c>
      <c r="D101" s="9" t="s">
        <v>825</v>
      </c>
      <c r="E101" s="16" t="s">
        <v>128</v>
      </c>
      <c r="F101" s="72"/>
      <c r="G101" s="17" t="s">
        <v>1100</v>
      </c>
      <c r="H101" s="18"/>
      <c r="I101" s="17"/>
      <c r="J101" s="19" t="s">
        <v>133</v>
      </c>
      <c r="K101" s="19" t="s">
        <v>903</v>
      </c>
      <c r="L101" s="19" t="s">
        <v>67</v>
      </c>
    </row>
    <row r="102" spans="1:12" s="1" customFormat="1">
      <c r="A102" s="15"/>
      <c r="B102" s="11" t="s">
        <v>1098</v>
      </c>
      <c r="C102" s="11" t="s">
        <v>280</v>
      </c>
      <c r="D102" s="9" t="s">
        <v>826</v>
      </c>
      <c r="E102" s="16" t="s">
        <v>128</v>
      </c>
      <c r="F102" s="72"/>
      <c r="G102" s="17" t="s">
        <v>1101</v>
      </c>
      <c r="H102" s="18"/>
      <c r="I102" s="17"/>
      <c r="J102" s="19" t="s">
        <v>133</v>
      </c>
      <c r="K102" s="19" t="s">
        <v>202</v>
      </c>
      <c r="L102" s="19" t="s">
        <v>67</v>
      </c>
    </row>
    <row r="103" spans="1:12" s="1" customFormat="1">
      <c r="A103" s="15"/>
      <c r="B103" s="11" t="s">
        <v>834</v>
      </c>
      <c r="C103" s="11" t="s">
        <v>280</v>
      </c>
      <c r="D103" s="9" t="s">
        <v>833</v>
      </c>
      <c r="E103" s="16" t="s">
        <v>128</v>
      </c>
      <c r="F103" s="72"/>
      <c r="G103" s="17" t="s">
        <v>1102</v>
      </c>
      <c r="H103" s="18"/>
      <c r="I103" s="17"/>
      <c r="J103" s="19" t="s">
        <v>133</v>
      </c>
      <c r="K103" s="19" t="s">
        <v>202</v>
      </c>
      <c r="L103" s="19" t="s">
        <v>67</v>
      </c>
    </row>
    <row r="104" spans="1:12" s="1" customFormat="1">
      <c r="A104" s="15"/>
      <c r="B104" s="11" t="s">
        <v>535</v>
      </c>
      <c r="C104" s="11" t="s">
        <v>280</v>
      </c>
      <c r="D104" s="9" t="s">
        <v>534</v>
      </c>
      <c r="E104" s="16" t="s">
        <v>128</v>
      </c>
      <c r="F104" s="72"/>
      <c r="G104" s="17" t="s">
        <v>1103</v>
      </c>
      <c r="H104" s="18"/>
      <c r="I104" s="17"/>
      <c r="J104" s="19" t="s">
        <v>133</v>
      </c>
      <c r="K104" s="19" t="s">
        <v>202</v>
      </c>
      <c r="L104" s="19" t="s">
        <v>67</v>
      </c>
    </row>
    <row r="105" spans="1:12" s="1" customFormat="1">
      <c r="A105" s="15"/>
      <c r="B105" s="11" t="s">
        <v>848</v>
      </c>
      <c r="C105" s="11" t="s">
        <v>45</v>
      </c>
      <c r="D105" s="9" t="s">
        <v>850</v>
      </c>
      <c r="E105" s="16" t="s">
        <v>128</v>
      </c>
      <c r="F105" s="72"/>
      <c r="G105" s="17" t="s">
        <v>1104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A106" s="15"/>
      <c r="B106" s="11" t="s">
        <v>849</v>
      </c>
      <c r="C106" s="11" t="s">
        <v>45</v>
      </c>
      <c r="D106" s="9" t="s">
        <v>116</v>
      </c>
      <c r="E106" s="16" t="s">
        <v>128</v>
      </c>
      <c r="F106" s="72"/>
      <c r="G106" s="17" t="s">
        <v>1105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11" t="s">
        <v>854</v>
      </c>
      <c r="C107" s="11" t="s">
        <v>1202</v>
      </c>
      <c r="D107" s="9" t="s">
        <v>502</v>
      </c>
      <c r="E107" s="16" t="s">
        <v>128</v>
      </c>
      <c r="F107" s="72"/>
      <c r="G107" s="17" t="s">
        <v>1107</v>
      </c>
      <c r="H107" s="18"/>
      <c r="I107" s="17"/>
      <c r="J107" s="19" t="s">
        <v>133</v>
      </c>
      <c r="K107" s="19" t="s">
        <v>202</v>
      </c>
      <c r="L107" s="19" t="s">
        <v>67</v>
      </c>
    </row>
    <row r="108" spans="1:12" s="1" customFormat="1">
      <c r="A108" s="15"/>
      <c r="B108" s="11" t="s">
        <v>856</v>
      </c>
      <c r="C108" s="11" t="s">
        <v>45</v>
      </c>
      <c r="D108" s="9" t="s">
        <v>857</v>
      </c>
      <c r="E108" s="16" t="s">
        <v>128</v>
      </c>
      <c r="F108" s="72"/>
      <c r="G108" s="17" t="s">
        <v>1106</v>
      </c>
      <c r="H108" s="18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A109" s="15"/>
      <c r="B109" s="11" t="s">
        <v>315</v>
      </c>
      <c r="C109" s="11" t="s">
        <v>45</v>
      </c>
      <c r="D109" s="9" t="s">
        <v>112</v>
      </c>
      <c r="E109" s="16" t="s">
        <v>128</v>
      </c>
      <c r="F109" s="72"/>
      <c r="G109" s="17" t="s">
        <v>1145</v>
      </c>
      <c r="H109" s="18"/>
      <c r="I109" s="17"/>
      <c r="J109" s="19" t="s">
        <v>133</v>
      </c>
      <c r="K109" s="19" t="s">
        <v>44</v>
      </c>
      <c r="L109" s="19" t="s">
        <v>67</v>
      </c>
    </row>
    <row r="110" spans="1:12" s="1" customFormat="1">
      <c r="A110" s="15"/>
      <c r="B110" s="11" t="s">
        <v>868</v>
      </c>
      <c r="C110" s="11" t="s">
        <v>45</v>
      </c>
      <c r="D110" s="9" t="s">
        <v>859</v>
      </c>
      <c r="E110" s="16" t="s">
        <v>128</v>
      </c>
      <c r="F110" s="72"/>
      <c r="G110" s="17" t="s">
        <v>1146</v>
      </c>
      <c r="H110" s="18"/>
      <c r="I110" s="17"/>
      <c r="J110" s="19" t="s">
        <v>133</v>
      </c>
      <c r="K110" s="19" t="s">
        <v>44</v>
      </c>
      <c r="L110" s="19" t="s">
        <v>67</v>
      </c>
    </row>
    <row r="111" spans="1:12" s="1" customFormat="1">
      <c r="A111" s="15"/>
      <c r="B111" s="11" t="s">
        <v>869</v>
      </c>
      <c r="C111" s="11" t="s">
        <v>45</v>
      </c>
      <c r="D111" s="9" t="s">
        <v>860</v>
      </c>
      <c r="E111" s="16" t="s">
        <v>128</v>
      </c>
      <c r="F111" s="72"/>
      <c r="G111" s="17" t="s">
        <v>1147</v>
      </c>
      <c r="H111" s="18"/>
      <c r="I111" s="17"/>
      <c r="J111" s="19" t="s">
        <v>133</v>
      </c>
      <c r="K111" s="19" t="s">
        <v>44</v>
      </c>
      <c r="L111" s="19" t="s">
        <v>67</v>
      </c>
    </row>
    <row r="112" spans="1:12" s="1" customFormat="1">
      <c r="A112" s="15"/>
      <c r="B112" s="11" t="s">
        <v>870</v>
      </c>
      <c r="C112" s="11" t="s">
        <v>45</v>
      </c>
      <c r="D112" s="9" t="s">
        <v>861</v>
      </c>
      <c r="E112" s="16" t="s">
        <v>128</v>
      </c>
      <c r="F112" s="72"/>
      <c r="G112" s="17" t="s">
        <v>1148</v>
      </c>
      <c r="H112" s="18"/>
      <c r="I112" s="17"/>
      <c r="J112" s="19" t="s">
        <v>133</v>
      </c>
      <c r="K112" s="19" t="s">
        <v>44</v>
      </c>
      <c r="L112" s="19" t="s">
        <v>67</v>
      </c>
    </row>
    <row r="113" spans="1:17" s="1" customFormat="1">
      <c r="A113" s="15"/>
      <c r="B113" s="11" t="s">
        <v>871</v>
      </c>
      <c r="C113" s="11" t="s">
        <v>45</v>
      </c>
      <c r="D113" s="9" t="s">
        <v>880</v>
      </c>
      <c r="E113" s="16" t="s">
        <v>128</v>
      </c>
      <c r="F113" s="72"/>
      <c r="G113" s="17" t="s">
        <v>1149</v>
      </c>
      <c r="H113" s="18"/>
      <c r="I113" s="17"/>
      <c r="J113" s="19" t="s">
        <v>133</v>
      </c>
      <c r="K113" s="19" t="s">
        <v>44</v>
      </c>
      <c r="L113" s="19" t="s">
        <v>67</v>
      </c>
    </row>
    <row r="114" spans="1:17" s="1" customFormat="1">
      <c r="A114" s="15"/>
      <c r="B114" s="11" t="s">
        <v>872</v>
      </c>
      <c r="C114" s="11" t="s">
        <v>45</v>
      </c>
      <c r="D114" s="9" t="s">
        <v>881</v>
      </c>
      <c r="E114" s="16" t="s">
        <v>128</v>
      </c>
      <c r="F114" s="72"/>
      <c r="G114" s="17" t="s">
        <v>1150</v>
      </c>
      <c r="H114" s="18"/>
      <c r="I114" s="17"/>
      <c r="J114" s="19" t="s">
        <v>133</v>
      </c>
      <c r="K114" s="19" t="s">
        <v>44</v>
      </c>
      <c r="L114" s="19" t="s">
        <v>67</v>
      </c>
    </row>
    <row r="115" spans="1:17" s="1" customFormat="1">
      <c r="A115" s="15"/>
      <c r="B115" s="11" t="s">
        <v>873</v>
      </c>
      <c r="C115" s="11" t="s">
        <v>45</v>
      </c>
      <c r="D115" s="9" t="s">
        <v>882</v>
      </c>
      <c r="E115" s="16" t="s">
        <v>128</v>
      </c>
      <c r="F115" s="72"/>
      <c r="G115" s="17" t="s">
        <v>1151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874</v>
      </c>
      <c r="C116" s="11" t="s">
        <v>45</v>
      </c>
      <c r="D116" s="9" t="s">
        <v>862</v>
      </c>
      <c r="E116" s="16" t="s">
        <v>128</v>
      </c>
      <c r="F116" s="72"/>
      <c r="G116" s="17" t="s">
        <v>1152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1" customFormat="1">
      <c r="A117" s="15"/>
      <c r="B117" s="11" t="s">
        <v>875</v>
      </c>
      <c r="C117" s="11" t="s">
        <v>45</v>
      </c>
      <c r="D117" s="9" t="s">
        <v>863</v>
      </c>
      <c r="E117" s="16" t="s">
        <v>128</v>
      </c>
      <c r="F117" s="72"/>
      <c r="G117" s="17" t="s">
        <v>1153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7" s="1" customFormat="1">
      <c r="A118" s="15"/>
      <c r="B118" s="11" t="s">
        <v>876</v>
      </c>
      <c r="C118" s="11" t="s">
        <v>45</v>
      </c>
      <c r="D118" s="9" t="s">
        <v>864</v>
      </c>
      <c r="E118" s="16" t="s">
        <v>128</v>
      </c>
      <c r="F118" s="72"/>
      <c r="G118" s="17" t="s">
        <v>1154</v>
      </c>
      <c r="H118" s="18"/>
      <c r="I118" s="17"/>
      <c r="J118" s="19" t="s">
        <v>133</v>
      </c>
      <c r="K118" s="19" t="s">
        <v>44</v>
      </c>
      <c r="L118" s="19" t="s">
        <v>67</v>
      </c>
    </row>
    <row r="119" spans="1:17" s="1" customFormat="1">
      <c r="A119" s="15"/>
      <c r="B119" s="11" t="s">
        <v>877</v>
      </c>
      <c r="C119" s="11" t="s">
        <v>45</v>
      </c>
      <c r="D119" s="9" t="s">
        <v>865</v>
      </c>
      <c r="E119" s="16" t="s">
        <v>128</v>
      </c>
      <c r="F119" s="72"/>
      <c r="G119" s="17" t="s">
        <v>1155</v>
      </c>
      <c r="H119" s="18"/>
      <c r="I119" s="17"/>
      <c r="J119" s="19" t="s">
        <v>133</v>
      </c>
      <c r="K119" s="19" t="s">
        <v>44</v>
      </c>
      <c r="L119" s="19" t="s">
        <v>67</v>
      </c>
    </row>
    <row r="120" spans="1:17" s="1" customFormat="1">
      <c r="A120" s="15"/>
      <c r="B120" s="11" t="s">
        <v>878</v>
      </c>
      <c r="C120" s="11" t="s">
        <v>45</v>
      </c>
      <c r="D120" s="9" t="s">
        <v>866</v>
      </c>
      <c r="E120" s="16" t="s">
        <v>128</v>
      </c>
      <c r="F120" s="72"/>
      <c r="G120" s="17" t="s">
        <v>1156</v>
      </c>
      <c r="H120" s="18"/>
      <c r="I120" s="17"/>
      <c r="J120" s="19" t="s">
        <v>133</v>
      </c>
      <c r="K120" s="19" t="s">
        <v>44</v>
      </c>
      <c r="L120" s="19" t="s">
        <v>67</v>
      </c>
    </row>
    <row r="121" spans="1:17" s="1" customFormat="1">
      <c r="A121" s="15"/>
      <c r="B121" s="11" t="s">
        <v>879</v>
      </c>
      <c r="C121" s="11" t="s">
        <v>45</v>
      </c>
      <c r="D121" s="9" t="s">
        <v>867</v>
      </c>
      <c r="E121" s="16" t="s">
        <v>128</v>
      </c>
      <c r="F121" s="72"/>
      <c r="G121" s="17" t="s">
        <v>1157</v>
      </c>
      <c r="H121" s="18"/>
      <c r="I121" s="17"/>
      <c r="J121" s="19" t="s">
        <v>133</v>
      </c>
      <c r="K121" s="19" t="s">
        <v>44</v>
      </c>
      <c r="L121" s="19" t="s">
        <v>67</v>
      </c>
    </row>
    <row r="122" spans="1:17" s="1" customFormat="1">
      <c r="A122" s="15"/>
      <c r="B122" s="11" t="s">
        <v>1280</v>
      </c>
      <c r="C122" s="11" t="s">
        <v>43</v>
      </c>
      <c r="D122" s="9" t="s">
        <v>1281</v>
      </c>
      <c r="E122" s="16" t="s">
        <v>128</v>
      </c>
      <c r="F122" s="72"/>
      <c r="G122" s="17" t="s">
        <v>1282</v>
      </c>
      <c r="H122" s="18"/>
      <c r="I122" s="87">
        <v>20250415101139</v>
      </c>
      <c r="J122" s="19" t="s">
        <v>133</v>
      </c>
      <c r="K122" s="19" t="s">
        <v>44</v>
      </c>
      <c r="L122" s="19" t="s">
        <v>1306</v>
      </c>
    </row>
    <row r="123" spans="1:17" s="1" customFormat="1">
      <c r="A123" s="15"/>
      <c r="B123" s="11" t="s">
        <v>1283</v>
      </c>
      <c r="C123" s="11" t="s">
        <v>43</v>
      </c>
      <c r="D123" s="9" t="s">
        <v>1284</v>
      </c>
      <c r="E123" s="16" t="s">
        <v>128</v>
      </c>
      <c r="F123" s="72"/>
      <c r="G123" s="17" t="s">
        <v>1285</v>
      </c>
      <c r="H123" s="18"/>
      <c r="I123" s="87">
        <v>20250415101024</v>
      </c>
      <c r="J123" s="19" t="s">
        <v>133</v>
      </c>
      <c r="K123" s="19" t="s">
        <v>44</v>
      </c>
      <c r="L123" s="19" t="s">
        <v>1306</v>
      </c>
    </row>
    <row r="124" spans="1:17" s="3" customFormat="1">
      <c r="B124" s="23" t="s">
        <v>47</v>
      </c>
      <c r="C124" s="24" t="s">
        <v>46</v>
      </c>
      <c r="D124" s="21" t="s">
        <v>48</v>
      </c>
      <c r="E124" s="44"/>
      <c r="F124" s="44"/>
      <c r="G124" s="44" t="s">
        <v>282</v>
      </c>
      <c r="H124" s="23" t="s">
        <v>282</v>
      </c>
      <c r="I124" s="23"/>
      <c r="J124" s="23"/>
      <c r="K124" s="23"/>
      <c r="L124" s="23"/>
      <c r="M124" s="23"/>
      <c r="N124" s="23"/>
      <c r="O124" s="23"/>
      <c r="P124" s="23"/>
      <c r="Q124" s="23"/>
    </row>
    <row r="125" spans="1:17" s="3" customFormat="1">
      <c r="B125" s="23" t="s">
        <v>49</v>
      </c>
      <c r="C125" s="24" t="s">
        <v>43</v>
      </c>
      <c r="D125" s="21" t="s">
        <v>50</v>
      </c>
      <c r="E125" s="44"/>
      <c r="F125" s="44"/>
      <c r="G125" s="44" t="s">
        <v>282</v>
      </c>
      <c r="H125" s="23" t="s">
        <v>282</v>
      </c>
      <c r="I125" s="23"/>
      <c r="J125" s="23"/>
      <c r="K125" s="23"/>
      <c r="L125" s="23"/>
      <c r="M125" s="23"/>
      <c r="N125" s="23"/>
      <c r="O125" s="23"/>
      <c r="P125" s="23"/>
      <c r="Q125" s="23"/>
    </row>
    <row r="126" spans="1:17" s="3" customFormat="1">
      <c r="B126" s="23" t="s">
        <v>51</v>
      </c>
      <c r="C126" s="24" t="s">
        <v>46</v>
      </c>
      <c r="D126" s="21" t="s">
        <v>52</v>
      </c>
      <c r="E126" s="44"/>
      <c r="F126" s="44"/>
      <c r="G126" s="44" t="s">
        <v>282</v>
      </c>
      <c r="H126" s="23" t="s">
        <v>282</v>
      </c>
      <c r="I126" s="23"/>
      <c r="J126" s="23"/>
      <c r="K126" s="23"/>
      <c r="L126" s="23"/>
      <c r="M126" s="23"/>
      <c r="N126" s="23"/>
      <c r="O126" s="23"/>
      <c r="P126" s="23"/>
      <c r="Q126" s="23"/>
    </row>
  </sheetData>
  <autoFilter ref="A13:Q126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88AA-7438-4CA1-A617-6CDC70A79CA8}">
  <sheetPr codeName="Sheet11"/>
  <dimension ref="A1:Q122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4.8867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1315</v>
      </c>
      <c r="D5" s="10" t="s">
        <v>1316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1312</v>
      </c>
      <c r="D9" s="10" t="s">
        <v>1313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2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2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95</v>
      </c>
      <c r="C22" s="11" t="s">
        <v>93</v>
      </c>
      <c r="D22" s="9" t="s">
        <v>114</v>
      </c>
      <c r="E22" s="16" t="s">
        <v>128</v>
      </c>
      <c r="F22" s="9" t="s">
        <v>1069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44</v>
      </c>
    </row>
    <row r="23" spans="1:12" s="1" customFormat="1">
      <c r="B23" s="22" t="s">
        <v>85</v>
      </c>
      <c r="C23" s="11" t="s">
        <v>43</v>
      </c>
      <c r="D23" s="9" t="s">
        <v>107</v>
      </c>
      <c r="E23" s="16" t="s">
        <v>128</v>
      </c>
      <c r="F23" s="17" t="s">
        <v>85</v>
      </c>
      <c r="G23" s="17" t="s">
        <v>129</v>
      </c>
      <c r="H23" s="18"/>
      <c r="I23" s="19"/>
      <c r="J23" s="19" t="s">
        <v>131</v>
      </c>
      <c r="K23" s="19" t="s">
        <v>132</v>
      </c>
      <c r="L23" s="19" t="s">
        <v>44</v>
      </c>
    </row>
    <row r="24" spans="1:12" s="1" customFormat="1">
      <c r="B24" s="22" t="s">
        <v>507</v>
      </c>
      <c r="C24" s="62" t="s">
        <v>43</v>
      </c>
      <c r="D24" s="9" t="s">
        <v>626</v>
      </c>
      <c r="E24" s="16" t="s">
        <v>128</v>
      </c>
      <c r="F24" s="9" t="s">
        <v>507</v>
      </c>
      <c r="G24" s="17" t="s">
        <v>129</v>
      </c>
      <c r="H24" s="18"/>
      <c r="I24" s="19"/>
      <c r="J24" s="19" t="s">
        <v>131</v>
      </c>
      <c r="K24" s="19" t="s">
        <v>132</v>
      </c>
      <c r="L24" s="19" t="s">
        <v>632</v>
      </c>
    </row>
    <row r="25" spans="1:12" s="1" customFormat="1">
      <c r="A25" s="15"/>
      <c r="B25" s="11" t="s">
        <v>1072</v>
      </c>
      <c r="C25" s="11" t="s">
        <v>45</v>
      </c>
      <c r="D25" s="9" t="s">
        <v>146</v>
      </c>
      <c r="E25" s="16" t="s">
        <v>128</v>
      </c>
      <c r="F25" s="17"/>
      <c r="G25" s="17" t="s">
        <v>1073</v>
      </c>
      <c r="H25" s="18"/>
      <c r="I25" s="17"/>
      <c r="J25" s="19" t="s">
        <v>133</v>
      </c>
      <c r="K25" s="19" t="s">
        <v>132</v>
      </c>
      <c r="L25" s="19" t="s">
        <v>134</v>
      </c>
    </row>
    <row r="26" spans="1:12" s="1" customFormat="1">
      <c r="A26" s="15"/>
      <c r="B26" s="11" t="s">
        <v>189</v>
      </c>
      <c r="C26" s="11" t="s">
        <v>45</v>
      </c>
      <c r="D26" s="9" t="s">
        <v>190</v>
      </c>
      <c r="E26" s="16" t="s">
        <v>128</v>
      </c>
      <c r="F26" s="17"/>
      <c r="G26" s="17" t="s">
        <v>1259</v>
      </c>
      <c r="H26" s="18"/>
      <c r="I26" s="17"/>
      <c r="J26" s="19" t="s">
        <v>133</v>
      </c>
      <c r="K26" s="19" t="s">
        <v>132</v>
      </c>
      <c r="L26" s="19" t="s">
        <v>134</v>
      </c>
    </row>
    <row r="27" spans="1:12" s="1" customFormat="1">
      <c r="A27" s="15"/>
      <c r="B27" s="11" t="s">
        <v>192</v>
      </c>
      <c r="C27" s="11" t="s">
        <v>45</v>
      </c>
      <c r="D27" s="9" t="s">
        <v>193</v>
      </c>
      <c r="E27" s="16" t="s">
        <v>128</v>
      </c>
      <c r="F27" s="17"/>
      <c r="G27" s="17" t="s">
        <v>1074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2" s="1" customFormat="1">
      <c r="A28" s="15"/>
      <c r="B28" s="22" t="s">
        <v>255</v>
      </c>
      <c r="C28" s="22" t="s">
        <v>45</v>
      </c>
      <c r="D28" s="9" t="s">
        <v>348</v>
      </c>
      <c r="E28" s="16" t="s">
        <v>128</v>
      </c>
      <c r="F28" s="17"/>
      <c r="G28" s="17" t="s">
        <v>257</v>
      </c>
      <c r="H28" s="18"/>
      <c r="I28" s="17"/>
      <c r="J28" s="19" t="s">
        <v>133</v>
      </c>
      <c r="K28" s="19" t="s">
        <v>203</v>
      </c>
      <c r="L28" s="19" t="s">
        <v>134</v>
      </c>
    </row>
    <row r="29" spans="1:12" s="1" customFormat="1">
      <c r="A29" s="15"/>
      <c r="B29" s="11" t="s">
        <v>207</v>
      </c>
      <c r="C29" s="11" t="s">
        <v>45</v>
      </c>
      <c r="D29" s="9" t="s">
        <v>759</v>
      </c>
      <c r="E29" s="16" t="s">
        <v>128</v>
      </c>
      <c r="F29" s="72"/>
      <c r="G29" s="17" t="s">
        <v>320</v>
      </c>
      <c r="H29" s="18"/>
      <c r="I29" s="17"/>
      <c r="J29" s="19" t="s">
        <v>133</v>
      </c>
      <c r="K29" s="19" t="s">
        <v>204</v>
      </c>
      <c r="L29" s="19" t="s">
        <v>134</v>
      </c>
    </row>
    <row r="30" spans="1:12" s="1" customFormat="1">
      <c r="A30" s="15"/>
      <c r="B30" s="11" t="s">
        <v>208</v>
      </c>
      <c r="C30" s="11" t="s">
        <v>45</v>
      </c>
      <c r="D30" s="9" t="s">
        <v>160</v>
      </c>
      <c r="E30" s="16" t="s">
        <v>128</v>
      </c>
      <c r="F30" s="72"/>
      <c r="G30" s="17" t="s">
        <v>319</v>
      </c>
      <c r="H30" s="18"/>
      <c r="I30" s="17"/>
      <c r="J30" s="19" t="s">
        <v>133</v>
      </c>
      <c r="K30" s="19" t="s">
        <v>204</v>
      </c>
      <c r="L30" s="19" t="s">
        <v>134</v>
      </c>
    </row>
    <row r="31" spans="1:12" s="1" customFormat="1">
      <c r="A31" s="15"/>
      <c r="B31" s="11" t="s">
        <v>763</v>
      </c>
      <c r="C31" s="11" t="s">
        <v>45</v>
      </c>
      <c r="D31" s="9" t="s">
        <v>181</v>
      </c>
      <c r="E31" s="16" t="s">
        <v>128</v>
      </c>
      <c r="F31" s="72"/>
      <c r="G31" s="9" t="s">
        <v>1076</v>
      </c>
      <c r="H31" s="18"/>
      <c r="I31" s="17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11" t="s">
        <v>805</v>
      </c>
      <c r="C32" s="11" t="s">
        <v>45</v>
      </c>
      <c r="D32" s="9" t="s">
        <v>184</v>
      </c>
      <c r="E32" s="16" t="s">
        <v>128</v>
      </c>
      <c r="F32" s="72"/>
      <c r="G32" s="17" t="s">
        <v>1110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" t="s">
        <v>210</v>
      </c>
      <c r="C33" s="11" t="s">
        <v>45</v>
      </c>
      <c r="D33" s="9" t="s">
        <v>1056</v>
      </c>
      <c r="E33" s="16" t="s">
        <v>128</v>
      </c>
      <c r="F33" s="72"/>
      <c r="G33" s="17" t="s">
        <v>224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209</v>
      </c>
      <c r="C34" s="11" t="s">
        <v>45</v>
      </c>
      <c r="D34" s="9" t="s">
        <v>1055</v>
      </c>
      <c r="E34" s="16" t="s">
        <v>128</v>
      </c>
      <c r="F34" s="72"/>
      <c r="G34" s="17" t="s">
        <v>223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211</v>
      </c>
      <c r="C35" s="11" t="s">
        <v>45</v>
      </c>
      <c r="D35" s="9" t="s">
        <v>163</v>
      </c>
      <c r="E35" s="16" t="s">
        <v>128</v>
      </c>
      <c r="F35" s="72"/>
      <c r="G35" s="17" t="s">
        <v>225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212</v>
      </c>
      <c r="C36" s="11" t="s">
        <v>45</v>
      </c>
      <c r="D36" s="9" t="s">
        <v>164</v>
      </c>
      <c r="E36" s="16" t="s">
        <v>128</v>
      </c>
      <c r="F36" s="72"/>
      <c r="G36" s="17" t="s">
        <v>226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213</v>
      </c>
      <c r="C37" s="11" t="s">
        <v>45</v>
      </c>
      <c r="D37" s="9" t="s">
        <v>165</v>
      </c>
      <c r="E37" s="16" t="s">
        <v>128</v>
      </c>
      <c r="F37" s="72"/>
      <c r="G37" s="17" t="s">
        <v>1114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214</v>
      </c>
      <c r="C38" s="11" t="s">
        <v>45</v>
      </c>
      <c r="D38" s="9" t="s">
        <v>166</v>
      </c>
      <c r="E38" s="16" t="s">
        <v>128</v>
      </c>
      <c r="F38" s="72"/>
      <c r="G38" s="17" t="s">
        <v>1115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217</v>
      </c>
      <c r="C39" s="11" t="s">
        <v>45</v>
      </c>
      <c r="D39" s="9" t="s">
        <v>171</v>
      </c>
      <c r="E39" s="16" t="s">
        <v>128</v>
      </c>
      <c r="F39" s="72"/>
      <c r="G39" s="17" t="s">
        <v>1116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218</v>
      </c>
      <c r="C40" s="11" t="s">
        <v>45</v>
      </c>
      <c r="D40" s="9" t="s">
        <v>172</v>
      </c>
      <c r="E40" s="16" t="s">
        <v>128</v>
      </c>
      <c r="F40" s="72"/>
      <c r="G40" s="17" t="s">
        <v>1117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219</v>
      </c>
      <c r="C41" s="11" t="s">
        <v>45</v>
      </c>
      <c r="D41" s="9" t="s">
        <v>173</v>
      </c>
      <c r="E41" s="16" t="s">
        <v>128</v>
      </c>
      <c r="F41" s="72"/>
      <c r="G41" s="17" t="s">
        <v>1118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220</v>
      </c>
      <c r="C42" s="11" t="s">
        <v>45</v>
      </c>
      <c r="D42" s="9" t="s">
        <v>174</v>
      </c>
      <c r="E42" s="16" t="s">
        <v>128</v>
      </c>
      <c r="F42" s="72"/>
      <c r="G42" s="17" t="s">
        <v>1119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215</v>
      </c>
      <c r="C43" s="11" t="s">
        <v>45</v>
      </c>
      <c r="D43" s="9" t="s">
        <v>1260</v>
      </c>
      <c r="E43" s="16" t="s">
        <v>128</v>
      </c>
      <c r="F43" s="72"/>
      <c r="G43" s="17" t="s">
        <v>227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216</v>
      </c>
      <c r="C44" s="11" t="s">
        <v>45</v>
      </c>
      <c r="D44" s="9" t="s">
        <v>1261</v>
      </c>
      <c r="E44" s="16" t="s">
        <v>128</v>
      </c>
      <c r="F44" s="72"/>
      <c r="G44" s="17" t="s">
        <v>228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316</v>
      </c>
      <c r="C45" s="11" t="s">
        <v>45</v>
      </c>
      <c r="D45" s="9" t="s">
        <v>167</v>
      </c>
      <c r="E45" s="16" t="s">
        <v>128</v>
      </c>
      <c r="F45" s="72"/>
      <c r="G45" s="17" t="s">
        <v>772</v>
      </c>
      <c r="H45" s="18"/>
      <c r="I45" s="17"/>
      <c r="J45" s="19" t="s">
        <v>133</v>
      </c>
      <c r="K45" s="19" t="s">
        <v>202</v>
      </c>
      <c r="L45" s="19" t="s">
        <v>67</v>
      </c>
    </row>
    <row r="46" spans="1:12" s="1" customFormat="1">
      <c r="A46" s="15"/>
      <c r="B46" s="11" t="s">
        <v>809</v>
      </c>
      <c r="C46" s="11" t="s">
        <v>45</v>
      </c>
      <c r="D46" s="9" t="s">
        <v>175</v>
      </c>
      <c r="E46" s="16" t="s">
        <v>128</v>
      </c>
      <c r="F46" s="72"/>
      <c r="G46" s="17" t="s">
        <v>1120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317</v>
      </c>
      <c r="C47" s="11" t="s">
        <v>45</v>
      </c>
      <c r="D47" s="9" t="s">
        <v>168</v>
      </c>
      <c r="E47" s="16" t="s">
        <v>128</v>
      </c>
      <c r="F47" s="72"/>
      <c r="G47" s="17" t="s">
        <v>1489</v>
      </c>
      <c r="H47" s="18"/>
      <c r="I47" s="17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810</v>
      </c>
      <c r="C48" s="11" t="s">
        <v>45</v>
      </c>
      <c r="D48" s="9" t="s">
        <v>176</v>
      </c>
      <c r="E48" s="16" t="s">
        <v>128</v>
      </c>
      <c r="F48" s="72"/>
      <c r="G48" s="17" t="s">
        <v>1121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1213</v>
      </c>
      <c r="C49" s="11" t="s">
        <v>45</v>
      </c>
      <c r="D49" s="9" t="s">
        <v>178</v>
      </c>
      <c r="E49" s="16" t="s">
        <v>128</v>
      </c>
      <c r="F49" s="72"/>
      <c r="G49" s="17" t="s">
        <v>1215</v>
      </c>
      <c r="H49" s="18"/>
      <c r="I49" s="17"/>
      <c r="J49" s="19" t="s">
        <v>133</v>
      </c>
      <c r="K49" s="19" t="s">
        <v>202</v>
      </c>
      <c r="L49" s="19" t="s">
        <v>67</v>
      </c>
    </row>
    <row r="50" spans="1:12" s="1" customFormat="1">
      <c r="A50" s="15"/>
      <c r="B50" s="11" t="s">
        <v>221</v>
      </c>
      <c r="C50" s="11" t="s">
        <v>45</v>
      </c>
      <c r="D50" s="9" t="s">
        <v>177</v>
      </c>
      <c r="E50" s="16" t="s">
        <v>128</v>
      </c>
      <c r="F50" s="72"/>
      <c r="G50" s="17" t="s">
        <v>1256</v>
      </c>
      <c r="H50" s="18"/>
      <c r="I50" s="17"/>
      <c r="J50" s="19" t="s">
        <v>133</v>
      </c>
      <c r="K50" s="19" t="s">
        <v>204</v>
      </c>
      <c r="L50" s="19" t="s">
        <v>67</v>
      </c>
    </row>
    <row r="51" spans="1:12" s="1" customFormat="1">
      <c r="A51" s="15"/>
      <c r="B51" s="11" t="s">
        <v>1212</v>
      </c>
      <c r="C51" s="11" t="s">
        <v>45</v>
      </c>
      <c r="D51" s="9" t="s">
        <v>180</v>
      </c>
      <c r="E51" s="16" t="s">
        <v>128</v>
      </c>
      <c r="F51" s="72"/>
      <c r="G51" s="17" t="s">
        <v>1214</v>
      </c>
      <c r="H51" s="18"/>
      <c r="I51" s="17"/>
      <c r="J51" s="19" t="s">
        <v>133</v>
      </c>
      <c r="K51" s="19" t="s">
        <v>202</v>
      </c>
      <c r="L51" s="19" t="s">
        <v>67</v>
      </c>
    </row>
    <row r="52" spans="1:12" s="1" customFormat="1">
      <c r="A52" s="15"/>
      <c r="B52" s="11" t="s">
        <v>222</v>
      </c>
      <c r="C52" s="11" t="s">
        <v>45</v>
      </c>
      <c r="D52" s="9" t="s">
        <v>179</v>
      </c>
      <c r="E52" s="16" t="s">
        <v>128</v>
      </c>
      <c r="F52" s="72"/>
      <c r="G52" s="17" t="s">
        <v>1123</v>
      </c>
      <c r="H52" s="18"/>
      <c r="I52" s="17"/>
      <c r="J52" s="19" t="s">
        <v>133</v>
      </c>
      <c r="K52" s="19" t="s">
        <v>204</v>
      </c>
      <c r="L52" s="19" t="s">
        <v>67</v>
      </c>
    </row>
    <row r="53" spans="1:12" s="1" customFormat="1">
      <c r="A53" s="15"/>
      <c r="B53" s="11" t="s">
        <v>811</v>
      </c>
      <c r="C53" s="11" t="s">
        <v>45</v>
      </c>
      <c r="D53" s="9" t="s">
        <v>643</v>
      </c>
      <c r="E53" s="16" t="s">
        <v>128</v>
      </c>
      <c r="F53" s="72"/>
      <c r="G53" s="17" t="s">
        <v>768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812</v>
      </c>
      <c r="C54" s="11" t="s">
        <v>45</v>
      </c>
      <c r="D54" s="9" t="s">
        <v>813</v>
      </c>
      <c r="E54" s="16" t="s">
        <v>128</v>
      </c>
      <c r="F54" s="72"/>
      <c r="G54" s="17" t="s">
        <v>1124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814</v>
      </c>
      <c r="C55" s="11" t="s">
        <v>45</v>
      </c>
      <c r="D55" s="9" t="s">
        <v>500</v>
      </c>
      <c r="E55" s="16" t="s">
        <v>128</v>
      </c>
      <c r="F55" s="72"/>
      <c r="G55" s="17" t="s">
        <v>1125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205</v>
      </c>
      <c r="C56" s="11" t="s">
        <v>45</v>
      </c>
      <c r="D56" s="9" t="s">
        <v>147</v>
      </c>
      <c r="E56" s="16" t="s">
        <v>128</v>
      </c>
      <c r="F56" s="72"/>
      <c r="G56" s="17" t="s">
        <v>1126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206</v>
      </c>
      <c r="C57" s="11" t="s">
        <v>280</v>
      </c>
      <c r="D57" s="9" t="s">
        <v>820</v>
      </c>
      <c r="E57" s="16" t="s">
        <v>128</v>
      </c>
      <c r="F57" s="72"/>
      <c r="G57" s="17" t="s">
        <v>1081</v>
      </c>
      <c r="H57" s="18"/>
      <c r="I57" s="17"/>
      <c r="J57" s="19" t="s">
        <v>133</v>
      </c>
      <c r="K57" s="19" t="s">
        <v>202</v>
      </c>
      <c r="L57" s="19" t="s">
        <v>67</v>
      </c>
    </row>
    <row r="58" spans="1:12" s="1" customFormat="1">
      <c r="A58" s="15"/>
      <c r="B58" s="11" t="s">
        <v>1022</v>
      </c>
      <c r="C58" s="11" t="s">
        <v>45</v>
      </c>
      <c r="D58" s="9" t="s">
        <v>1018</v>
      </c>
      <c r="E58" s="16" t="s">
        <v>128</v>
      </c>
      <c r="F58" s="72"/>
      <c r="G58" s="17" t="s">
        <v>1127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1014</v>
      </c>
      <c r="C59" s="11" t="s">
        <v>45</v>
      </c>
      <c r="D59" s="9" t="s">
        <v>1019</v>
      </c>
      <c r="E59" s="16" t="s">
        <v>128</v>
      </c>
      <c r="F59" s="72"/>
      <c r="G59" s="17" t="s">
        <v>1128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1015</v>
      </c>
      <c r="C60" s="11" t="s">
        <v>45</v>
      </c>
      <c r="D60" s="9" t="s">
        <v>1020</v>
      </c>
      <c r="E60" s="16" t="s">
        <v>128</v>
      </c>
      <c r="F60" s="72"/>
      <c r="G60" s="17" t="s">
        <v>1129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1016</v>
      </c>
      <c r="C61" s="11" t="s">
        <v>45</v>
      </c>
      <c r="D61" s="9" t="s">
        <v>1021</v>
      </c>
      <c r="E61" s="16" t="s">
        <v>128</v>
      </c>
      <c r="F61" s="72"/>
      <c r="G61" s="17" t="s">
        <v>1130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1017</v>
      </c>
      <c r="C62" s="11" t="s">
        <v>45</v>
      </c>
      <c r="D62" s="9" t="s">
        <v>1042</v>
      </c>
      <c r="E62" s="16" t="s">
        <v>128</v>
      </c>
      <c r="F62" s="72"/>
      <c r="G62" s="17" t="s">
        <v>1131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1049</v>
      </c>
      <c r="C63" s="11" t="s">
        <v>45</v>
      </c>
      <c r="D63" s="9" t="s">
        <v>153</v>
      </c>
      <c r="E63" s="16" t="s">
        <v>128</v>
      </c>
      <c r="F63" s="72"/>
      <c r="G63" s="17" t="s">
        <v>1262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823</v>
      </c>
      <c r="C64" s="11" t="s">
        <v>280</v>
      </c>
      <c r="D64" s="9" t="s">
        <v>1474</v>
      </c>
      <c r="E64" s="16" t="s">
        <v>128</v>
      </c>
      <c r="F64" s="72"/>
      <c r="G64" s="17" t="s">
        <v>1082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1030</v>
      </c>
      <c r="C65" s="11" t="s">
        <v>45</v>
      </c>
      <c r="D65" s="9" t="s">
        <v>1026</v>
      </c>
      <c r="E65" s="16" t="s">
        <v>128</v>
      </c>
      <c r="F65" s="72"/>
      <c r="G65" s="17" t="s">
        <v>1133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1023</v>
      </c>
      <c r="C66" s="11" t="s">
        <v>45</v>
      </c>
      <c r="D66" s="9" t="s">
        <v>1027</v>
      </c>
      <c r="E66" s="16" t="s">
        <v>128</v>
      </c>
      <c r="F66" s="72"/>
      <c r="G66" s="17" t="s">
        <v>1134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1024</v>
      </c>
      <c r="C67" s="11" t="s">
        <v>45</v>
      </c>
      <c r="D67" s="9" t="s">
        <v>1028</v>
      </c>
      <c r="E67" s="16" t="s">
        <v>128</v>
      </c>
      <c r="F67" s="72"/>
      <c r="G67" s="17" t="s">
        <v>1135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1032</v>
      </c>
      <c r="C68" s="11" t="s">
        <v>45</v>
      </c>
      <c r="D68" s="9" t="s">
        <v>1029</v>
      </c>
      <c r="E68" s="16" t="s">
        <v>128</v>
      </c>
      <c r="F68" s="72"/>
      <c r="G68" s="17" t="s">
        <v>1136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1025</v>
      </c>
      <c r="C69" s="11" t="s">
        <v>45</v>
      </c>
      <c r="D69" s="9" t="s">
        <v>1043</v>
      </c>
      <c r="E69" s="16" t="s">
        <v>128</v>
      </c>
      <c r="F69" s="72"/>
      <c r="G69" s="17" t="s">
        <v>1137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1084</v>
      </c>
      <c r="C70" s="11" t="s">
        <v>280</v>
      </c>
      <c r="D70" s="9" t="s">
        <v>1086</v>
      </c>
      <c r="E70" s="16" t="s">
        <v>128</v>
      </c>
      <c r="F70" s="72"/>
      <c r="G70" s="17" t="s">
        <v>1087</v>
      </c>
      <c r="H70" s="18"/>
      <c r="I70" s="17"/>
      <c r="J70" s="19" t="s">
        <v>133</v>
      </c>
      <c r="K70" s="19" t="s">
        <v>202</v>
      </c>
      <c r="L70" s="19" t="s">
        <v>67</v>
      </c>
    </row>
    <row r="71" spans="1:12" s="1" customFormat="1">
      <c r="A71" s="15"/>
      <c r="B71" s="11" t="s">
        <v>1083</v>
      </c>
      <c r="C71" s="11" t="s">
        <v>280</v>
      </c>
      <c r="D71" s="9" t="s">
        <v>841</v>
      </c>
      <c r="E71" s="16" t="s">
        <v>128</v>
      </c>
      <c r="F71" s="72"/>
      <c r="G71" s="17" t="s">
        <v>1866</v>
      </c>
      <c r="H71" s="18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1033</v>
      </c>
      <c r="C72" s="11" t="s">
        <v>45</v>
      </c>
      <c r="D72" s="9" t="s">
        <v>1038</v>
      </c>
      <c r="E72" s="16" t="s">
        <v>128</v>
      </c>
      <c r="F72" s="72"/>
      <c r="G72" s="17" t="s">
        <v>1138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1034</v>
      </c>
      <c r="C73" s="11" t="s">
        <v>45</v>
      </c>
      <c r="D73" s="9" t="s">
        <v>1039</v>
      </c>
      <c r="E73" s="16" t="s">
        <v>128</v>
      </c>
      <c r="F73" s="72"/>
      <c r="G73" s="17" t="s">
        <v>1139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1035</v>
      </c>
      <c r="C74" s="11" t="s">
        <v>45</v>
      </c>
      <c r="D74" s="9" t="s">
        <v>1040</v>
      </c>
      <c r="E74" s="16" t="s">
        <v>128</v>
      </c>
      <c r="F74" s="72"/>
      <c r="G74" s="17" t="s">
        <v>1140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1036</v>
      </c>
      <c r="C75" s="11" t="s">
        <v>45</v>
      </c>
      <c r="D75" s="9" t="s">
        <v>1041</v>
      </c>
      <c r="E75" s="16" t="s">
        <v>128</v>
      </c>
      <c r="F75" s="72"/>
      <c r="G75" s="17" t="s">
        <v>1141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1037</v>
      </c>
      <c r="C76" s="11" t="s">
        <v>45</v>
      </c>
      <c r="D76" s="9" t="s">
        <v>1044</v>
      </c>
      <c r="E76" s="16" t="s">
        <v>128</v>
      </c>
      <c r="F76" s="72"/>
      <c r="G76" s="17" t="s">
        <v>1142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816</v>
      </c>
      <c r="C77" s="11" t="s">
        <v>280</v>
      </c>
      <c r="D77" s="9" t="s">
        <v>839</v>
      </c>
      <c r="E77" s="16" t="s">
        <v>128</v>
      </c>
      <c r="F77" s="72"/>
      <c r="G77" s="17" t="s">
        <v>1088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817</v>
      </c>
      <c r="C78" s="11" t="s">
        <v>45</v>
      </c>
      <c r="D78" s="9" t="s">
        <v>658</v>
      </c>
      <c r="E78" s="16" t="s">
        <v>128</v>
      </c>
      <c r="F78" s="72"/>
      <c r="G78" s="17" t="s">
        <v>1090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818</v>
      </c>
      <c r="C79" s="11" t="s">
        <v>280</v>
      </c>
      <c r="D79" s="9" t="s">
        <v>842</v>
      </c>
      <c r="E79" s="16" t="s">
        <v>128</v>
      </c>
      <c r="F79" s="72"/>
      <c r="G79" s="17" t="s">
        <v>1091</v>
      </c>
      <c r="H79" s="18"/>
      <c r="I79" s="17"/>
      <c r="J79" s="19" t="s">
        <v>133</v>
      </c>
      <c r="K79" s="19" t="s">
        <v>202</v>
      </c>
      <c r="L79" s="19" t="s">
        <v>67</v>
      </c>
    </row>
    <row r="80" spans="1:12" s="1" customFormat="1">
      <c r="A80" s="15"/>
      <c r="B80" s="11" t="s">
        <v>819</v>
      </c>
      <c r="C80" s="11" t="s">
        <v>45</v>
      </c>
      <c r="D80" s="9" t="s">
        <v>660</v>
      </c>
      <c r="E80" s="16" t="s">
        <v>128</v>
      </c>
      <c r="F80" s="72"/>
      <c r="G80" s="17" t="s">
        <v>1093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829</v>
      </c>
      <c r="C81" s="11" t="s">
        <v>280</v>
      </c>
      <c r="D81" s="9" t="s">
        <v>505</v>
      </c>
      <c r="E81" s="16" t="s">
        <v>128</v>
      </c>
      <c r="F81" s="72"/>
      <c r="G81" s="17" t="s">
        <v>1094</v>
      </c>
      <c r="H81" s="18"/>
      <c r="I81" s="17"/>
      <c r="J81" s="19" t="s">
        <v>133</v>
      </c>
      <c r="K81" s="19" t="s">
        <v>203</v>
      </c>
      <c r="L81" s="19" t="s">
        <v>67</v>
      </c>
    </row>
    <row r="82" spans="1:12" s="1" customFormat="1">
      <c r="A82" s="15"/>
      <c r="B82" s="11" t="s">
        <v>1570</v>
      </c>
      <c r="C82" s="11" t="s">
        <v>45</v>
      </c>
      <c r="D82" s="9" t="s">
        <v>1526</v>
      </c>
      <c r="E82" s="16" t="s">
        <v>128</v>
      </c>
      <c r="F82" s="72"/>
      <c r="G82" s="17" t="s">
        <v>1571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1527</v>
      </c>
      <c r="C83" s="11" t="s">
        <v>45</v>
      </c>
      <c r="D83" s="9" t="s">
        <v>1528</v>
      </c>
      <c r="E83" s="16" t="s">
        <v>128</v>
      </c>
      <c r="F83" s="72"/>
      <c r="G83" s="17" t="s">
        <v>1572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11" t="s">
        <v>1529</v>
      </c>
      <c r="C84" s="11" t="s">
        <v>45</v>
      </c>
      <c r="D84" s="9" t="s">
        <v>1530</v>
      </c>
      <c r="E84" s="16" t="s">
        <v>128</v>
      </c>
      <c r="F84" s="72"/>
      <c r="G84" s="17" t="s">
        <v>1573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1531</v>
      </c>
      <c r="C85" s="11" t="s">
        <v>45</v>
      </c>
      <c r="D85" s="9" t="s">
        <v>1532</v>
      </c>
      <c r="E85" s="16" t="s">
        <v>128</v>
      </c>
      <c r="F85" s="72"/>
      <c r="G85" s="17" t="s">
        <v>1574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1533</v>
      </c>
      <c r="C86" s="11" t="s">
        <v>45</v>
      </c>
      <c r="D86" s="9" t="s">
        <v>1534</v>
      </c>
      <c r="E86" s="16" t="s">
        <v>128</v>
      </c>
      <c r="F86" s="72"/>
      <c r="G86" s="17" t="s">
        <v>1575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799</v>
      </c>
      <c r="C87" s="11" t="s">
        <v>280</v>
      </c>
      <c r="D87" s="9" t="s">
        <v>506</v>
      </c>
      <c r="E87" s="16" t="s">
        <v>128</v>
      </c>
      <c r="F87" s="72"/>
      <c r="G87" s="17" t="s">
        <v>1095</v>
      </c>
      <c r="H87" s="18"/>
      <c r="I87" s="17"/>
      <c r="J87" s="19" t="s">
        <v>133</v>
      </c>
      <c r="K87" s="19" t="s">
        <v>203</v>
      </c>
      <c r="L87" s="19" t="s">
        <v>67</v>
      </c>
    </row>
    <row r="88" spans="1:12" s="1" customFormat="1">
      <c r="A88" s="15"/>
      <c r="B88" s="11" t="s">
        <v>1549</v>
      </c>
      <c r="C88" s="11" t="s">
        <v>45</v>
      </c>
      <c r="D88" s="9" t="s">
        <v>1540</v>
      </c>
      <c r="E88" s="16" t="s">
        <v>128</v>
      </c>
      <c r="F88" s="72"/>
      <c r="G88" s="17" t="s">
        <v>1576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1541</v>
      </c>
      <c r="C89" s="11" t="s">
        <v>45</v>
      </c>
      <c r="D89" s="9" t="s">
        <v>1542</v>
      </c>
      <c r="E89" s="16" t="s">
        <v>128</v>
      </c>
      <c r="F89" s="72"/>
      <c r="G89" s="17" t="s">
        <v>1577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1543</v>
      </c>
      <c r="C90" s="11" t="s">
        <v>45</v>
      </c>
      <c r="D90" s="9" t="s">
        <v>1544</v>
      </c>
      <c r="E90" s="16" t="s">
        <v>128</v>
      </c>
      <c r="F90" s="72"/>
      <c r="G90" s="17" t="s">
        <v>1578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1545</v>
      </c>
      <c r="C91" s="11" t="s">
        <v>45</v>
      </c>
      <c r="D91" s="9" t="s">
        <v>1546</v>
      </c>
      <c r="E91" s="16" t="s">
        <v>128</v>
      </c>
      <c r="F91" s="72"/>
      <c r="G91" s="17" t="s">
        <v>1579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1547</v>
      </c>
      <c r="C92" s="11" t="s">
        <v>45</v>
      </c>
      <c r="D92" s="9" t="s">
        <v>1548</v>
      </c>
      <c r="E92" s="16" t="s">
        <v>128</v>
      </c>
      <c r="F92" s="72"/>
      <c r="G92" s="17" t="s">
        <v>1580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830</v>
      </c>
      <c r="C93" s="11" t="s">
        <v>45</v>
      </c>
      <c r="D93" s="9" t="s">
        <v>837</v>
      </c>
      <c r="E93" s="16" t="s">
        <v>128</v>
      </c>
      <c r="F93" s="72"/>
      <c r="G93" s="17" t="s">
        <v>1097</v>
      </c>
      <c r="H93" s="18"/>
      <c r="I93" s="17"/>
      <c r="J93" s="19" t="s">
        <v>133</v>
      </c>
      <c r="K93" s="19" t="s">
        <v>44</v>
      </c>
      <c r="L93" s="19" t="s">
        <v>67</v>
      </c>
    </row>
    <row r="94" spans="1:12" s="1" customFormat="1">
      <c r="A94" s="15"/>
      <c r="B94" s="11" t="s">
        <v>623</v>
      </c>
      <c r="C94" s="11" t="s">
        <v>280</v>
      </c>
      <c r="D94" s="9" t="s">
        <v>836</v>
      </c>
      <c r="E94" s="16" t="s">
        <v>128</v>
      </c>
      <c r="F94" s="72"/>
      <c r="G94" s="17" t="s">
        <v>1099</v>
      </c>
      <c r="H94" s="18"/>
      <c r="I94" s="17"/>
      <c r="J94" s="19" t="s">
        <v>133</v>
      </c>
      <c r="K94" s="19" t="s">
        <v>202</v>
      </c>
      <c r="L94" s="19" t="s">
        <v>67</v>
      </c>
    </row>
    <row r="95" spans="1:12" s="1" customFormat="1">
      <c r="A95" s="15"/>
      <c r="B95" s="95" t="s">
        <v>1564</v>
      </c>
      <c r="C95" s="95" t="s">
        <v>45</v>
      </c>
      <c r="D95" s="96" t="s">
        <v>1555</v>
      </c>
      <c r="E95" s="16" t="s">
        <v>128</v>
      </c>
      <c r="F95" s="72"/>
      <c r="G95" s="17" t="s">
        <v>1581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95" t="s">
        <v>1556</v>
      </c>
      <c r="C96" s="95" t="s">
        <v>45</v>
      </c>
      <c r="D96" s="96" t="s">
        <v>1557</v>
      </c>
      <c r="E96" s="16" t="s">
        <v>128</v>
      </c>
      <c r="F96" s="72"/>
      <c r="G96" s="17" t="s">
        <v>1582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95" t="s">
        <v>1558</v>
      </c>
      <c r="C97" s="95" t="s">
        <v>45</v>
      </c>
      <c r="D97" s="96" t="s">
        <v>1559</v>
      </c>
      <c r="E97" s="16" t="s">
        <v>128</v>
      </c>
      <c r="F97" s="72"/>
      <c r="G97" s="17" t="s">
        <v>1583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95" t="s">
        <v>1560</v>
      </c>
      <c r="C98" s="95" t="s">
        <v>45</v>
      </c>
      <c r="D98" s="96" t="s">
        <v>1561</v>
      </c>
      <c r="E98" s="16" t="s">
        <v>128</v>
      </c>
      <c r="F98" s="72"/>
      <c r="G98" s="17" t="s">
        <v>1584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95" t="s">
        <v>1562</v>
      </c>
      <c r="C99" s="95" t="s">
        <v>45</v>
      </c>
      <c r="D99" s="96" t="s">
        <v>1563</v>
      </c>
      <c r="E99" s="16" t="s">
        <v>128</v>
      </c>
      <c r="F99" s="72"/>
      <c r="G99" s="17" t="s">
        <v>1585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11" t="s">
        <v>831</v>
      </c>
      <c r="C100" s="11" t="s">
        <v>45</v>
      </c>
      <c r="D100" s="9" t="s">
        <v>825</v>
      </c>
      <c r="E100" s="16" t="s">
        <v>128</v>
      </c>
      <c r="F100" s="72"/>
      <c r="G100" s="17" t="s">
        <v>1100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2" s="1" customFormat="1">
      <c r="A101" s="15"/>
      <c r="B101" s="11" t="s">
        <v>1098</v>
      </c>
      <c r="C101" s="11" t="s">
        <v>280</v>
      </c>
      <c r="D101" s="9" t="s">
        <v>826</v>
      </c>
      <c r="E101" s="16" t="s">
        <v>128</v>
      </c>
      <c r="F101" s="72"/>
      <c r="G101" s="17" t="s">
        <v>1101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2" s="1" customFormat="1">
      <c r="A102" s="15"/>
      <c r="B102" s="11" t="s">
        <v>834</v>
      </c>
      <c r="C102" s="11" t="s">
        <v>280</v>
      </c>
      <c r="D102" s="9" t="s">
        <v>833</v>
      </c>
      <c r="E102" s="16" t="s">
        <v>128</v>
      </c>
      <c r="F102" s="72"/>
      <c r="G102" s="17" t="s">
        <v>1102</v>
      </c>
      <c r="H102" s="18"/>
      <c r="I102" s="17"/>
      <c r="J102" s="19" t="s">
        <v>133</v>
      </c>
      <c r="K102" s="19" t="s">
        <v>202</v>
      </c>
      <c r="L102" s="19" t="s">
        <v>67</v>
      </c>
    </row>
    <row r="103" spans="1:12" s="1" customFormat="1">
      <c r="A103" s="15"/>
      <c r="B103" s="11" t="s">
        <v>535</v>
      </c>
      <c r="C103" s="11" t="s">
        <v>280</v>
      </c>
      <c r="D103" s="9" t="s">
        <v>534</v>
      </c>
      <c r="E103" s="16" t="s">
        <v>128</v>
      </c>
      <c r="F103" s="72"/>
      <c r="G103" s="17" t="s">
        <v>1103</v>
      </c>
      <c r="H103" s="18"/>
      <c r="I103" s="17"/>
      <c r="J103" s="19" t="s">
        <v>133</v>
      </c>
      <c r="K103" s="19" t="s">
        <v>202</v>
      </c>
      <c r="L103" s="19" t="s">
        <v>67</v>
      </c>
    </row>
    <row r="104" spans="1:12" s="1" customFormat="1">
      <c r="A104" s="15"/>
      <c r="B104" s="11" t="s">
        <v>848</v>
      </c>
      <c r="C104" s="11" t="s">
        <v>45</v>
      </c>
      <c r="D104" s="9" t="s">
        <v>850</v>
      </c>
      <c r="E104" s="16" t="s">
        <v>128</v>
      </c>
      <c r="F104" s="72"/>
      <c r="G104" s="17" t="s">
        <v>1104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A105" s="15"/>
      <c r="B105" s="11" t="s">
        <v>849</v>
      </c>
      <c r="C105" s="11" t="s">
        <v>45</v>
      </c>
      <c r="D105" s="9" t="s">
        <v>116</v>
      </c>
      <c r="E105" s="16" t="s">
        <v>128</v>
      </c>
      <c r="F105" s="72"/>
      <c r="G105" s="17" t="s">
        <v>1105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A106" s="15"/>
      <c r="B106" s="11" t="s">
        <v>854</v>
      </c>
      <c r="C106" s="11" t="s">
        <v>1202</v>
      </c>
      <c r="D106" s="9" t="s">
        <v>502</v>
      </c>
      <c r="E106" s="16" t="s">
        <v>128</v>
      </c>
      <c r="F106" s="72"/>
      <c r="G106" s="17" t="s">
        <v>1107</v>
      </c>
      <c r="H106" s="18"/>
      <c r="I106" s="17"/>
      <c r="J106" s="19" t="s">
        <v>133</v>
      </c>
      <c r="K106" s="19" t="s">
        <v>202</v>
      </c>
      <c r="L106" s="19" t="s">
        <v>67</v>
      </c>
    </row>
    <row r="107" spans="1:12" s="1" customFormat="1">
      <c r="A107" s="15"/>
      <c r="B107" s="11" t="s">
        <v>856</v>
      </c>
      <c r="C107" s="11" t="s">
        <v>45</v>
      </c>
      <c r="D107" s="9" t="s">
        <v>857</v>
      </c>
      <c r="E107" s="16" t="s">
        <v>128</v>
      </c>
      <c r="F107" s="72"/>
      <c r="G107" s="17" t="s">
        <v>1106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315</v>
      </c>
      <c r="C108" s="11" t="s">
        <v>45</v>
      </c>
      <c r="D108" s="9" t="s">
        <v>112</v>
      </c>
      <c r="E108" s="16" t="s">
        <v>128</v>
      </c>
      <c r="F108" s="72"/>
      <c r="G108" s="17" t="s">
        <v>1145</v>
      </c>
      <c r="H108" s="18"/>
      <c r="I108" s="17"/>
      <c r="J108" s="19" t="s">
        <v>133</v>
      </c>
      <c r="K108" s="19" t="s">
        <v>44</v>
      </c>
      <c r="L108" s="19" t="s">
        <v>67</v>
      </c>
    </row>
    <row r="109" spans="1:12" s="1" customFormat="1">
      <c r="A109" s="15"/>
      <c r="B109" s="11" t="s">
        <v>868</v>
      </c>
      <c r="C109" s="11" t="s">
        <v>45</v>
      </c>
      <c r="D109" s="9" t="s">
        <v>859</v>
      </c>
      <c r="E109" s="16" t="s">
        <v>128</v>
      </c>
      <c r="F109" s="72"/>
      <c r="G109" s="17" t="s">
        <v>1146</v>
      </c>
      <c r="H109" s="18"/>
      <c r="I109" s="17"/>
      <c r="J109" s="19" t="s">
        <v>133</v>
      </c>
      <c r="K109" s="19" t="s">
        <v>44</v>
      </c>
      <c r="L109" s="19" t="s">
        <v>67</v>
      </c>
    </row>
    <row r="110" spans="1:12" s="1" customFormat="1">
      <c r="A110" s="15"/>
      <c r="B110" s="11" t="s">
        <v>869</v>
      </c>
      <c r="C110" s="11" t="s">
        <v>45</v>
      </c>
      <c r="D110" s="9" t="s">
        <v>860</v>
      </c>
      <c r="E110" s="16" t="s">
        <v>128</v>
      </c>
      <c r="F110" s="72"/>
      <c r="G110" s="17" t="s">
        <v>1147</v>
      </c>
      <c r="H110" s="18"/>
      <c r="I110" s="17"/>
      <c r="J110" s="19" t="s">
        <v>133</v>
      </c>
      <c r="K110" s="19" t="s">
        <v>44</v>
      </c>
      <c r="L110" s="19" t="s">
        <v>67</v>
      </c>
    </row>
    <row r="111" spans="1:12" s="1" customFormat="1">
      <c r="A111" s="15"/>
      <c r="B111" s="11" t="s">
        <v>870</v>
      </c>
      <c r="C111" s="11" t="s">
        <v>45</v>
      </c>
      <c r="D111" s="9" t="s">
        <v>861</v>
      </c>
      <c r="E111" s="16" t="s">
        <v>128</v>
      </c>
      <c r="F111" s="72"/>
      <c r="G111" s="17" t="s">
        <v>1148</v>
      </c>
      <c r="H111" s="18"/>
      <c r="I111" s="17"/>
      <c r="J111" s="19" t="s">
        <v>133</v>
      </c>
      <c r="K111" s="19" t="s">
        <v>44</v>
      </c>
      <c r="L111" s="19" t="s">
        <v>67</v>
      </c>
    </row>
    <row r="112" spans="1:12" s="1" customFormat="1">
      <c r="A112" s="15"/>
      <c r="B112" s="11" t="s">
        <v>871</v>
      </c>
      <c r="C112" s="11" t="s">
        <v>45</v>
      </c>
      <c r="D112" s="9" t="s">
        <v>880</v>
      </c>
      <c r="E112" s="16" t="s">
        <v>128</v>
      </c>
      <c r="F112" s="72"/>
      <c r="G112" s="17" t="s">
        <v>1149</v>
      </c>
      <c r="H112" s="18"/>
      <c r="I112" s="17"/>
      <c r="J112" s="19" t="s">
        <v>133</v>
      </c>
      <c r="K112" s="19" t="s">
        <v>44</v>
      </c>
      <c r="L112" s="19" t="s">
        <v>67</v>
      </c>
    </row>
    <row r="113" spans="1:17" s="1" customFormat="1">
      <c r="A113" s="15"/>
      <c r="B113" s="11" t="s">
        <v>872</v>
      </c>
      <c r="C113" s="11" t="s">
        <v>45</v>
      </c>
      <c r="D113" s="9" t="s">
        <v>881</v>
      </c>
      <c r="E113" s="16" t="s">
        <v>128</v>
      </c>
      <c r="F113" s="72"/>
      <c r="G113" s="17" t="s">
        <v>1150</v>
      </c>
      <c r="H113" s="18"/>
      <c r="I113" s="17"/>
      <c r="J113" s="19" t="s">
        <v>133</v>
      </c>
      <c r="K113" s="19" t="s">
        <v>44</v>
      </c>
      <c r="L113" s="19" t="s">
        <v>67</v>
      </c>
    </row>
    <row r="114" spans="1:17" s="1" customFormat="1">
      <c r="A114" s="15"/>
      <c r="B114" s="11" t="s">
        <v>873</v>
      </c>
      <c r="C114" s="11" t="s">
        <v>45</v>
      </c>
      <c r="D114" s="9" t="s">
        <v>882</v>
      </c>
      <c r="E114" s="16" t="s">
        <v>128</v>
      </c>
      <c r="F114" s="72"/>
      <c r="G114" s="17" t="s">
        <v>1151</v>
      </c>
      <c r="H114" s="18"/>
      <c r="I114" s="17"/>
      <c r="J114" s="19" t="s">
        <v>133</v>
      </c>
      <c r="K114" s="19" t="s">
        <v>44</v>
      </c>
      <c r="L114" s="19" t="s">
        <v>67</v>
      </c>
    </row>
    <row r="115" spans="1:17" s="1" customFormat="1">
      <c r="A115" s="15"/>
      <c r="B115" s="11" t="s">
        <v>874</v>
      </c>
      <c r="C115" s="11" t="s">
        <v>45</v>
      </c>
      <c r="D115" s="9" t="s">
        <v>862</v>
      </c>
      <c r="E115" s="16" t="s">
        <v>128</v>
      </c>
      <c r="F115" s="72"/>
      <c r="G115" s="17" t="s">
        <v>1152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875</v>
      </c>
      <c r="C116" s="11" t="s">
        <v>45</v>
      </c>
      <c r="D116" s="9" t="s">
        <v>863</v>
      </c>
      <c r="E116" s="16" t="s">
        <v>128</v>
      </c>
      <c r="F116" s="72"/>
      <c r="G116" s="17" t="s">
        <v>1153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1" customFormat="1">
      <c r="A117" s="15"/>
      <c r="B117" s="11" t="s">
        <v>876</v>
      </c>
      <c r="C117" s="11" t="s">
        <v>45</v>
      </c>
      <c r="D117" s="9" t="s">
        <v>864</v>
      </c>
      <c r="E117" s="16" t="s">
        <v>128</v>
      </c>
      <c r="F117" s="72"/>
      <c r="G117" s="17" t="s">
        <v>1154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7" s="1" customFormat="1">
      <c r="A118" s="15"/>
      <c r="B118" s="11" t="s">
        <v>877</v>
      </c>
      <c r="C118" s="11" t="s">
        <v>45</v>
      </c>
      <c r="D118" s="9" t="s">
        <v>865</v>
      </c>
      <c r="E118" s="16" t="s">
        <v>128</v>
      </c>
      <c r="F118" s="72"/>
      <c r="G118" s="17" t="s">
        <v>1155</v>
      </c>
      <c r="H118" s="18"/>
      <c r="I118" s="17"/>
      <c r="J118" s="19" t="s">
        <v>133</v>
      </c>
      <c r="K118" s="19" t="s">
        <v>44</v>
      </c>
      <c r="L118" s="19" t="s">
        <v>67</v>
      </c>
    </row>
    <row r="119" spans="1:17" s="1" customFormat="1">
      <c r="A119" s="15"/>
      <c r="B119" s="11" t="s">
        <v>878</v>
      </c>
      <c r="C119" s="11" t="s">
        <v>45</v>
      </c>
      <c r="D119" s="9" t="s">
        <v>866</v>
      </c>
      <c r="E119" s="16" t="s">
        <v>128</v>
      </c>
      <c r="F119" s="72"/>
      <c r="G119" s="17" t="s">
        <v>1156</v>
      </c>
      <c r="H119" s="18"/>
      <c r="I119" s="17"/>
      <c r="J119" s="19" t="s">
        <v>133</v>
      </c>
      <c r="K119" s="19" t="s">
        <v>44</v>
      </c>
      <c r="L119" s="19" t="s">
        <v>67</v>
      </c>
    </row>
    <row r="120" spans="1:17" s="1" customFormat="1">
      <c r="A120" s="15"/>
      <c r="B120" s="11" t="s">
        <v>879</v>
      </c>
      <c r="C120" s="11" t="s">
        <v>45</v>
      </c>
      <c r="D120" s="9" t="s">
        <v>867</v>
      </c>
      <c r="E120" s="16" t="s">
        <v>128</v>
      </c>
      <c r="F120" s="72"/>
      <c r="G120" s="17" t="s">
        <v>1157</v>
      </c>
      <c r="H120" s="18"/>
      <c r="I120" s="17"/>
      <c r="J120" s="19" t="s">
        <v>133</v>
      </c>
      <c r="K120" s="19" t="s">
        <v>44</v>
      </c>
      <c r="L120" s="19" t="s">
        <v>67</v>
      </c>
    </row>
    <row r="121" spans="1:17" s="3" customFormat="1">
      <c r="B121" s="23" t="s">
        <v>47</v>
      </c>
      <c r="C121" s="24" t="s">
        <v>46</v>
      </c>
      <c r="D121" s="21" t="s">
        <v>48</v>
      </c>
      <c r="E121" s="44"/>
      <c r="F121" s="44"/>
      <c r="G121" s="44" t="s">
        <v>282</v>
      </c>
      <c r="H121" s="23" t="s">
        <v>282</v>
      </c>
      <c r="I121" s="23"/>
      <c r="J121" s="23"/>
      <c r="K121" s="23"/>
      <c r="L121" s="23"/>
      <c r="M121" s="23"/>
      <c r="N121" s="23"/>
      <c r="O121" s="23"/>
      <c r="P121" s="23"/>
      <c r="Q121" s="23"/>
    </row>
    <row r="122" spans="1:17" s="3" customFormat="1">
      <c r="B122" s="23" t="s">
        <v>49</v>
      </c>
      <c r="C122" s="24" t="s">
        <v>43</v>
      </c>
      <c r="D122" s="21" t="s">
        <v>50</v>
      </c>
      <c r="E122" s="44"/>
      <c r="F122" s="44"/>
      <c r="G122" s="44" t="s">
        <v>282</v>
      </c>
      <c r="H122" s="23" t="s">
        <v>282</v>
      </c>
      <c r="I122" s="23"/>
      <c r="J122" s="23"/>
      <c r="K122" s="23"/>
      <c r="L122" s="23"/>
      <c r="M122" s="23"/>
      <c r="N122" s="23"/>
      <c r="O122" s="23"/>
      <c r="P122" s="23"/>
      <c r="Q122" s="23"/>
    </row>
  </sheetData>
  <autoFilter ref="A13:Q122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0581-5269-46F5-AA77-FC494F56D611}">
  <sheetPr codeName="Sheet12"/>
  <dimension ref="A1:Q120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1317</v>
      </c>
      <c r="D5" s="10" t="s">
        <v>1318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1315</v>
      </c>
      <c r="D9" s="10" t="s">
        <v>1316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2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2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95</v>
      </c>
      <c r="C22" s="11" t="s">
        <v>93</v>
      </c>
      <c r="D22" s="9" t="s">
        <v>114</v>
      </c>
      <c r="E22" s="16" t="s">
        <v>128</v>
      </c>
      <c r="F22" s="9" t="s">
        <v>1069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1072</v>
      </c>
      <c r="C23" s="11" t="s">
        <v>45</v>
      </c>
      <c r="D23" s="9" t="s">
        <v>146</v>
      </c>
      <c r="E23" s="16" t="s">
        <v>128</v>
      </c>
      <c r="F23" s="17"/>
      <c r="G23" s="17" t="s">
        <v>1073</v>
      </c>
      <c r="H23" s="18"/>
      <c r="I23" s="17"/>
      <c r="J23" s="19" t="s">
        <v>133</v>
      </c>
      <c r="K23" s="19" t="s">
        <v>132</v>
      </c>
      <c r="L23" s="19" t="s">
        <v>134</v>
      </c>
    </row>
    <row r="24" spans="1:12" s="1" customFormat="1">
      <c r="A24" s="15"/>
      <c r="B24" s="11" t="s">
        <v>189</v>
      </c>
      <c r="C24" s="11" t="s">
        <v>45</v>
      </c>
      <c r="D24" s="9" t="s">
        <v>190</v>
      </c>
      <c r="E24" s="16" t="s">
        <v>128</v>
      </c>
      <c r="F24" s="17"/>
      <c r="G24" s="17" t="s">
        <v>1259</v>
      </c>
      <c r="H24" s="18"/>
      <c r="I24" s="17"/>
      <c r="J24" s="19" t="s">
        <v>133</v>
      </c>
      <c r="K24" s="19" t="s">
        <v>132</v>
      </c>
      <c r="L24" s="19" t="s">
        <v>134</v>
      </c>
    </row>
    <row r="25" spans="1:12" s="1" customFormat="1">
      <c r="A25" s="15"/>
      <c r="B25" s="11" t="s">
        <v>192</v>
      </c>
      <c r="C25" s="11" t="s">
        <v>45</v>
      </c>
      <c r="D25" s="9" t="s">
        <v>193</v>
      </c>
      <c r="E25" s="16" t="s">
        <v>128</v>
      </c>
      <c r="F25" s="17"/>
      <c r="G25" s="17" t="s">
        <v>1074</v>
      </c>
      <c r="H25" s="18"/>
      <c r="I25" s="17"/>
      <c r="J25" s="19" t="s">
        <v>133</v>
      </c>
      <c r="K25" s="19" t="s">
        <v>132</v>
      </c>
      <c r="L25" s="19" t="s">
        <v>134</v>
      </c>
    </row>
    <row r="26" spans="1:12" s="1" customFormat="1">
      <c r="A26" s="15"/>
      <c r="B26" s="22" t="s">
        <v>255</v>
      </c>
      <c r="C26" s="22" t="s">
        <v>45</v>
      </c>
      <c r="D26" s="9" t="s">
        <v>348</v>
      </c>
      <c r="E26" s="16" t="s">
        <v>128</v>
      </c>
      <c r="F26" s="17"/>
      <c r="G26" s="17" t="s">
        <v>257</v>
      </c>
      <c r="H26" s="18"/>
      <c r="I26" s="17"/>
      <c r="J26" s="19" t="s">
        <v>133</v>
      </c>
      <c r="K26" s="19" t="s">
        <v>203</v>
      </c>
      <c r="L26" s="19" t="s">
        <v>134</v>
      </c>
    </row>
    <row r="27" spans="1:12" s="1" customFormat="1">
      <c r="A27" s="15"/>
      <c r="B27" s="11" t="s">
        <v>207</v>
      </c>
      <c r="C27" s="11" t="s">
        <v>45</v>
      </c>
      <c r="D27" s="9" t="s">
        <v>759</v>
      </c>
      <c r="E27" s="16" t="s">
        <v>128</v>
      </c>
      <c r="F27" s="72"/>
      <c r="G27" s="17" t="s">
        <v>320</v>
      </c>
      <c r="H27" s="18"/>
      <c r="I27" s="17"/>
      <c r="J27" s="19" t="s">
        <v>133</v>
      </c>
      <c r="K27" s="19" t="s">
        <v>204</v>
      </c>
      <c r="L27" s="19" t="s">
        <v>134</v>
      </c>
    </row>
    <row r="28" spans="1:12" s="1" customFormat="1">
      <c r="A28" s="15"/>
      <c r="B28" s="11" t="s">
        <v>208</v>
      </c>
      <c r="C28" s="11" t="s">
        <v>45</v>
      </c>
      <c r="D28" s="9" t="s">
        <v>160</v>
      </c>
      <c r="E28" s="16" t="s">
        <v>128</v>
      </c>
      <c r="F28" s="72"/>
      <c r="G28" s="17" t="s">
        <v>319</v>
      </c>
      <c r="H28" s="18"/>
      <c r="I28" s="17"/>
      <c r="J28" s="19" t="s">
        <v>133</v>
      </c>
      <c r="K28" s="19" t="s">
        <v>204</v>
      </c>
      <c r="L28" s="19" t="s">
        <v>134</v>
      </c>
    </row>
    <row r="29" spans="1:12" s="1" customFormat="1">
      <c r="A29" s="15"/>
      <c r="B29" s="11" t="s">
        <v>763</v>
      </c>
      <c r="C29" s="11" t="s">
        <v>45</v>
      </c>
      <c r="D29" s="9" t="s">
        <v>181</v>
      </c>
      <c r="E29" s="16" t="s">
        <v>128</v>
      </c>
      <c r="F29" s="72"/>
      <c r="G29" s="9" t="s">
        <v>1076</v>
      </c>
      <c r="H29" s="18"/>
      <c r="I29" s="17"/>
      <c r="J29" s="19" t="s">
        <v>133</v>
      </c>
      <c r="K29" s="19" t="s">
        <v>44</v>
      </c>
      <c r="L29" s="19" t="s">
        <v>67</v>
      </c>
    </row>
    <row r="30" spans="1:12" s="1" customFormat="1">
      <c r="A30" s="15"/>
      <c r="B30" s="11" t="s">
        <v>805</v>
      </c>
      <c r="C30" s="11" t="s">
        <v>45</v>
      </c>
      <c r="D30" s="9" t="s">
        <v>184</v>
      </c>
      <c r="E30" s="16" t="s">
        <v>128</v>
      </c>
      <c r="F30" s="72"/>
      <c r="G30" s="17" t="s">
        <v>1110</v>
      </c>
      <c r="H30" s="18"/>
      <c r="I30" s="17"/>
      <c r="J30" s="19" t="s">
        <v>133</v>
      </c>
      <c r="K30" s="19" t="s">
        <v>44</v>
      </c>
      <c r="L30" s="19" t="s">
        <v>67</v>
      </c>
    </row>
    <row r="31" spans="1:12" s="1" customFormat="1">
      <c r="A31" s="15"/>
      <c r="B31" s="11" t="s">
        <v>210</v>
      </c>
      <c r="C31" s="11" t="s">
        <v>45</v>
      </c>
      <c r="D31" s="9" t="s">
        <v>1056</v>
      </c>
      <c r="E31" s="16" t="s">
        <v>128</v>
      </c>
      <c r="F31" s="72"/>
      <c r="G31" s="17" t="s">
        <v>224</v>
      </c>
      <c r="H31" s="18"/>
      <c r="I31" s="17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11" t="s">
        <v>209</v>
      </c>
      <c r="C32" s="11" t="s">
        <v>45</v>
      </c>
      <c r="D32" s="9" t="s">
        <v>1055</v>
      </c>
      <c r="E32" s="16" t="s">
        <v>128</v>
      </c>
      <c r="F32" s="72"/>
      <c r="G32" s="17" t="s">
        <v>223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" t="s">
        <v>211</v>
      </c>
      <c r="C33" s="11" t="s">
        <v>45</v>
      </c>
      <c r="D33" s="9" t="s">
        <v>163</v>
      </c>
      <c r="E33" s="16" t="s">
        <v>128</v>
      </c>
      <c r="F33" s="72"/>
      <c r="G33" s="17" t="s">
        <v>225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212</v>
      </c>
      <c r="C34" s="11" t="s">
        <v>45</v>
      </c>
      <c r="D34" s="9" t="s">
        <v>164</v>
      </c>
      <c r="E34" s="16" t="s">
        <v>128</v>
      </c>
      <c r="F34" s="72"/>
      <c r="G34" s="17" t="s">
        <v>226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213</v>
      </c>
      <c r="C35" s="11" t="s">
        <v>45</v>
      </c>
      <c r="D35" s="9" t="s">
        <v>165</v>
      </c>
      <c r="E35" s="16" t="s">
        <v>128</v>
      </c>
      <c r="F35" s="72"/>
      <c r="G35" s="17" t="s">
        <v>1114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214</v>
      </c>
      <c r="C36" s="11" t="s">
        <v>45</v>
      </c>
      <c r="D36" s="9" t="s">
        <v>166</v>
      </c>
      <c r="E36" s="16" t="s">
        <v>128</v>
      </c>
      <c r="F36" s="72"/>
      <c r="G36" s="17" t="s">
        <v>1115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217</v>
      </c>
      <c r="C37" s="11" t="s">
        <v>45</v>
      </c>
      <c r="D37" s="9" t="s">
        <v>171</v>
      </c>
      <c r="E37" s="16" t="s">
        <v>128</v>
      </c>
      <c r="F37" s="72"/>
      <c r="G37" s="17" t="s">
        <v>1116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218</v>
      </c>
      <c r="C38" s="11" t="s">
        <v>45</v>
      </c>
      <c r="D38" s="9" t="s">
        <v>172</v>
      </c>
      <c r="E38" s="16" t="s">
        <v>128</v>
      </c>
      <c r="F38" s="72"/>
      <c r="G38" s="17" t="s">
        <v>1117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219</v>
      </c>
      <c r="C39" s="11" t="s">
        <v>45</v>
      </c>
      <c r="D39" s="9" t="s">
        <v>173</v>
      </c>
      <c r="E39" s="16" t="s">
        <v>128</v>
      </c>
      <c r="F39" s="72"/>
      <c r="G39" s="17" t="s">
        <v>1118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220</v>
      </c>
      <c r="C40" s="11" t="s">
        <v>45</v>
      </c>
      <c r="D40" s="9" t="s">
        <v>174</v>
      </c>
      <c r="E40" s="16" t="s">
        <v>128</v>
      </c>
      <c r="F40" s="72"/>
      <c r="G40" s="17" t="s">
        <v>1119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215</v>
      </c>
      <c r="C41" s="11" t="s">
        <v>45</v>
      </c>
      <c r="D41" s="9" t="s">
        <v>1260</v>
      </c>
      <c r="E41" s="16" t="s">
        <v>128</v>
      </c>
      <c r="F41" s="72"/>
      <c r="G41" s="17" t="s">
        <v>227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216</v>
      </c>
      <c r="C42" s="11" t="s">
        <v>45</v>
      </c>
      <c r="D42" s="9" t="s">
        <v>1261</v>
      </c>
      <c r="E42" s="16" t="s">
        <v>128</v>
      </c>
      <c r="F42" s="72"/>
      <c r="G42" s="17" t="s">
        <v>228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316</v>
      </c>
      <c r="C43" s="11" t="s">
        <v>45</v>
      </c>
      <c r="D43" s="9" t="s">
        <v>167</v>
      </c>
      <c r="E43" s="16" t="s">
        <v>128</v>
      </c>
      <c r="F43" s="72"/>
      <c r="G43" s="17" t="s">
        <v>772</v>
      </c>
      <c r="H43" s="18"/>
      <c r="I43" s="17"/>
      <c r="J43" s="19" t="s">
        <v>133</v>
      </c>
      <c r="K43" s="19" t="s">
        <v>202</v>
      </c>
      <c r="L43" s="19" t="s">
        <v>67</v>
      </c>
    </row>
    <row r="44" spans="1:12" s="1" customFormat="1">
      <c r="A44" s="15"/>
      <c r="B44" s="11" t="s">
        <v>809</v>
      </c>
      <c r="C44" s="11" t="s">
        <v>45</v>
      </c>
      <c r="D44" s="9" t="s">
        <v>175</v>
      </c>
      <c r="E44" s="16" t="s">
        <v>128</v>
      </c>
      <c r="F44" s="72"/>
      <c r="G44" s="17" t="s">
        <v>1120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317</v>
      </c>
      <c r="C45" s="11" t="s">
        <v>45</v>
      </c>
      <c r="D45" s="9" t="s">
        <v>168</v>
      </c>
      <c r="E45" s="16" t="s">
        <v>128</v>
      </c>
      <c r="F45" s="72"/>
      <c r="G45" s="17" t="s">
        <v>1489</v>
      </c>
      <c r="H45" s="18"/>
      <c r="I45" s="17"/>
      <c r="J45" s="19" t="s">
        <v>133</v>
      </c>
      <c r="K45" s="19" t="s">
        <v>202</v>
      </c>
      <c r="L45" s="19" t="s">
        <v>67</v>
      </c>
    </row>
    <row r="46" spans="1:12" s="1" customFormat="1">
      <c r="A46" s="15"/>
      <c r="B46" s="11" t="s">
        <v>810</v>
      </c>
      <c r="C46" s="11" t="s">
        <v>45</v>
      </c>
      <c r="D46" s="9" t="s">
        <v>176</v>
      </c>
      <c r="E46" s="16" t="s">
        <v>128</v>
      </c>
      <c r="F46" s="72"/>
      <c r="G46" s="17" t="s">
        <v>1121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1213</v>
      </c>
      <c r="C47" s="11" t="s">
        <v>45</v>
      </c>
      <c r="D47" s="9" t="s">
        <v>178</v>
      </c>
      <c r="E47" s="16" t="s">
        <v>128</v>
      </c>
      <c r="F47" s="72"/>
      <c r="G47" s="17" t="s">
        <v>1215</v>
      </c>
      <c r="H47" s="18"/>
      <c r="I47" s="17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221</v>
      </c>
      <c r="C48" s="11" t="s">
        <v>45</v>
      </c>
      <c r="D48" s="9" t="s">
        <v>177</v>
      </c>
      <c r="E48" s="16" t="s">
        <v>128</v>
      </c>
      <c r="F48" s="72"/>
      <c r="G48" s="17" t="s">
        <v>1256</v>
      </c>
      <c r="H48" s="18"/>
      <c r="I48" s="17"/>
      <c r="J48" s="19" t="s">
        <v>133</v>
      </c>
      <c r="K48" s="19" t="s">
        <v>204</v>
      </c>
      <c r="L48" s="19" t="s">
        <v>67</v>
      </c>
    </row>
    <row r="49" spans="1:12" s="1" customFormat="1">
      <c r="A49" s="15"/>
      <c r="B49" s="11" t="s">
        <v>1212</v>
      </c>
      <c r="C49" s="11" t="s">
        <v>45</v>
      </c>
      <c r="D49" s="9" t="s">
        <v>180</v>
      </c>
      <c r="E49" s="16" t="s">
        <v>128</v>
      </c>
      <c r="F49" s="72"/>
      <c r="G49" s="17" t="s">
        <v>1214</v>
      </c>
      <c r="H49" s="18"/>
      <c r="I49" s="17"/>
      <c r="J49" s="19" t="s">
        <v>133</v>
      </c>
      <c r="K49" s="19" t="s">
        <v>202</v>
      </c>
      <c r="L49" s="19" t="s">
        <v>67</v>
      </c>
    </row>
    <row r="50" spans="1:12" s="1" customFormat="1">
      <c r="A50" s="15"/>
      <c r="B50" s="11" t="s">
        <v>222</v>
      </c>
      <c r="C50" s="11" t="s">
        <v>45</v>
      </c>
      <c r="D50" s="9" t="s">
        <v>179</v>
      </c>
      <c r="E50" s="16" t="s">
        <v>128</v>
      </c>
      <c r="F50" s="72"/>
      <c r="G50" s="17" t="s">
        <v>1123</v>
      </c>
      <c r="H50" s="18"/>
      <c r="I50" s="17"/>
      <c r="J50" s="19" t="s">
        <v>133</v>
      </c>
      <c r="K50" s="19" t="s">
        <v>204</v>
      </c>
      <c r="L50" s="19" t="s">
        <v>67</v>
      </c>
    </row>
    <row r="51" spans="1:12" s="1" customFormat="1">
      <c r="A51" s="15"/>
      <c r="B51" s="11" t="s">
        <v>811</v>
      </c>
      <c r="C51" s="11" t="s">
        <v>45</v>
      </c>
      <c r="D51" s="9" t="s">
        <v>643</v>
      </c>
      <c r="E51" s="16" t="s">
        <v>128</v>
      </c>
      <c r="F51" s="72"/>
      <c r="G51" s="17" t="s">
        <v>768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812</v>
      </c>
      <c r="C52" s="11" t="s">
        <v>45</v>
      </c>
      <c r="D52" s="9" t="s">
        <v>813</v>
      </c>
      <c r="E52" s="16" t="s">
        <v>128</v>
      </c>
      <c r="F52" s="72"/>
      <c r="G52" s="17" t="s">
        <v>1124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814</v>
      </c>
      <c r="C53" s="11" t="s">
        <v>45</v>
      </c>
      <c r="D53" s="9" t="s">
        <v>500</v>
      </c>
      <c r="E53" s="16" t="s">
        <v>128</v>
      </c>
      <c r="F53" s="72"/>
      <c r="G53" s="17" t="s">
        <v>1125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205</v>
      </c>
      <c r="C54" s="11" t="s">
        <v>45</v>
      </c>
      <c r="D54" s="9" t="s">
        <v>147</v>
      </c>
      <c r="E54" s="16" t="s">
        <v>128</v>
      </c>
      <c r="F54" s="72"/>
      <c r="G54" s="17" t="s">
        <v>1126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206</v>
      </c>
      <c r="C55" s="11" t="s">
        <v>280</v>
      </c>
      <c r="D55" s="9" t="s">
        <v>820</v>
      </c>
      <c r="E55" s="16" t="s">
        <v>128</v>
      </c>
      <c r="F55" s="72"/>
      <c r="G55" s="17" t="s">
        <v>1081</v>
      </c>
      <c r="H55" s="18"/>
      <c r="I55" s="17"/>
      <c r="J55" s="19" t="s">
        <v>133</v>
      </c>
      <c r="K55" s="19" t="s">
        <v>202</v>
      </c>
      <c r="L55" s="19" t="s">
        <v>67</v>
      </c>
    </row>
    <row r="56" spans="1:12" s="1" customFormat="1">
      <c r="A56" s="15"/>
      <c r="B56" s="11" t="s">
        <v>1022</v>
      </c>
      <c r="C56" s="11" t="s">
        <v>45</v>
      </c>
      <c r="D56" s="9" t="s">
        <v>1018</v>
      </c>
      <c r="E56" s="16" t="s">
        <v>128</v>
      </c>
      <c r="F56" s="72"/>
      <c r="G56" s="17" t="s">
        <v>1127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1014</v>
      </c>
      <c r="C57" s="11" t="s">
        <v>45</v>
      </c>
      <c r="D57" s="9" t="s">
        <v>1019</v>
      </c>
      <c r="E57" s="16" t="s">
        <v>128</v>
      </c>
      <c r="F57" s="72"/>
      <c r="G57" s="17" t="s">
        <v>1128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1015</v>
      </c>
      <c r="C58" s="11" t="s">
        <v>45</v>
      </c>
      <c r="D58" s="9" t="s">
        <v>1020</v>
      </c>
      <c r="E58" s="16" t="s">
        <v>128</v>
      </c>
      <c r="F58" s="72"/>
      <c r="G58" s="17" t="s">
        <v>1129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1016</v>
      </c>
      <c r="C59" s="11" t="s">
        <v>45</v>
      </c>
      <c r="D59" s="9" t="s">
        <v>1021</v>
      </c>
      <c r="E59" s="16" t="s">
        <v>128</v>
      </c>
      <c r="F59" s="72"/>
      <c r="G59" s="17" t="s">
        <v>1130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1017</v>
      </c>
      <c r="C60" s="11" t="s">
        <v>45</v>
      </c>
      <c r="D60" s="9" t="s">
        <v>1042</v>
      </c>
      <c r="E60" s="16" t="s">
        <v>128</v>
      </c>
      <c r="F60" s="72"/>
      <c r="G60" s="17" t="s">
        <v>1131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1049</v>
      </c>
      <c r="C61" s="11" t="s">
        <v>45</v>
      </c>
      <c r="D61" s="9" t="s">
        <v>153</v>
      </c>
      <c r="E61" s="16" t="s">
        <v>128</v>
      </c>
      <c r="F61" s="72"/>
      <c r="G61" s="17" t="s">
        <v>1262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823</v>
      </c>
      <c r="C62" s="11" t="s">
        <v>280</v>
      </c>
      <c r="D62" s="9" t="s">
        <v>1474</v>
      </c>
      <c r="E62" s="16" t="s">
        <v>128</v>
      </c>
      <c r="F62" s="72"/>
      <c r="G62" s="17" t="s">
        <v>1082</v>
      </c>
      <c r="H62" s="18"/>
      <c r="I62" s="17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11" t="s">
        <v>1030</v>
      </c>
      <c r="C63" s="11" t="s">
        <v>45</v>
      </c>
      <c r="D63" s="9" t="s">
        <v>1026</v>
      </c>
      <c r="E63" s="16" t="s">
        <v>128</v>
      </c>
      <c r="F63" s="72"/>
      <c r="G63" s="17" t="s">
        <v>1133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1023</v>
      </c>
      <c r="C64" s="11" t="s">
        <v>45</v>
      </c>
      <c r="D64" s="9" t="s">
        <v>1027</v>
      </c>
      <c r="E64" s="16" t="s">
        <v>128</v>
      </c>
      <c r="F64" s="72"/>
      <c r="G64" s="17" t="s">
        <v>1134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1024</v>
      </c>
      <c r="C65" s="11" t="s">
        <v>45</v>
      </c>
      <c r="D65" s="9" t="s">
        <v>1028</v>
      </c>
      <c r="E65" s="16" t="s">
        <v>128</v>
      </c>
      <c r="F65" s="72"/>
      <c r="G65" s="17" t="s">
        <v>1135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1032</v>
      </c>
      <c r="C66" s="11" t="s">
        <v>45</v>
      </c>
      <c r="D66" s="9" t="s">
        <v>1029</v>
      </c>
      <c r="E66" s="16" t="s">
        <v>128</v>
      </c>
      <c r="F66" s="72"/>
      <c r="G66" s="17" t="s">
        <v>1136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1025</v>
      </c>
      <c r="C67" s="11" t="s">
        <v>45</v>
      </c>
      <c r="D67" s="9" t="s">
        <v>1043</v>
      </c>
      <c r="E67" s="16" t="s">
        <v>128</v>
      </c>
      <c r="F67" s="72"/>
      <c r="G67" s="17" t="s">
        <v>1137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1084</v>
      </c>
      <c r="C68" s="11" t="s">
        <v>280</v>
      </c>
      <c r="D68" s="9" t="s">
        <v>1086</v>
      </c>
      <c r="E68" s="16" t="s">
        <v>128</v>
      </c>
      <c r="F68" s="72"/>
      <c r="G68" s="17" t="s">
        <v>1087</v>
      </c>
      <c r="H68" s="18"/>
      <c r="I68" s="17"/>
      <c r="J68" s="19" t="s">
        <v>133</v>
      </c>
      <c r="K68" s="19" t="s">
        <v>202</v>
      </c>
      <c r="L68" s="19" t="s">
        <v>67</v>
      </c>
    </row>
    <row r="69" spans="1:12" s="1" customFormat="1">
      <c r="A69" s="15"/>
      <c r="B69" s="11" t="s">
        <v>1083</v>
      </c>
      <c r="C69" s="11" t="s">
        <v>280</v>
      </c>
      <c r="D69" s="9" t="s">
        <v>841</v>
      </c>
      <c r="E69" s="16" t="s">
        <v>128</v>
      </c>
      <c r="F69" s="72"/>
      <c r="G69" s="17" t="s">
        <v>1866</v>
      </c>
      <c r="H69" s="18"/>
      <c r="I69" s="17"/>
      <c r="J69" s="19" t="s">
        <v>133</v>
      </c>
      <c r="K69" s="19" t="s">
        <v>202</v>
      </c>
      <c r="L69" s="19" t="s">
        <v>67</v>
      </c>
    </row>
    <row r="70" spans="1:12" s="1" customFormat="1">
      <c r="A70" s="15"/>
      <c r="B70" s="11" t="s">
        <v>1033</v>
      </c>
      <c r="C70" s="11" t="s">
        <v>45</v>
      </c>
      <c r="D70" s="9" t="s">
        <v>1038</v>
      </c>
      <c r="E70" s="16" t="s">
        <v>128</v>
      </c>
      <c r="F70" s="72"/>
      <c r="G70" s="17" t="s">
        <v>1138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1034</v>
      </c>
      <c r="C71" s="11" t="s">
        <v>45</v>
      </c>
      <c r="D71" s="9" t="s">
        <v>1039</v>
      </c>
      <c r="E71" s="16" t="s">
        <v>128</v>
      </c>
      <c r="F71" s="72"/>
      <c r="G71" s="17" t="s">
        <v>1139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1035</v>
      </c>
      <c r="C72" s="11" t="s">
        <v>45</v>
      </c>
      <c r="D72" s="9" t="s">
        <v>1040</v>
      </c>
      <c r="E72" s="16" t="s">
        <v>128</v>
      </c>
      <c r="F72" s="72"/>
      <c r="G72" s="17" t="s">
        <v>1140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1036</v>
      </c>
      <c r="C73" s="11" t="s">
        <v>45</v>
      </c>
      <c r="D73" s="9" t="s">
        <v>1041</v>
      </c>
      <c r="E73" s="16" t="s">
        <v>128</v>
      </c>
      <c r="F73" s="72"/>
      <c r="G73" s="17" t="s">
        <v>1141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1037</v>
      </c>
      <c r="C74" s="11" t="s">
        <v>45</v>
      </c>
      <c r="D74" s="9" t="s">
        <v>1044</v>
      </c>
      <c r="E74" s="16" t="s">
        <v>128</v>
      </c>
      <c r="F74" s="72"/>
      <c r="G74" s="17" t="s">
        <v>1142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816</v>
      </c>
      <c r="C75" s="11" t="s">
        <v>280</v>
      </c>
      <c r="D75" s="9" t="s">
        <v>839</v>
      </c>
      <c r="E75" s="16" t="s">
        <v>128</v>
      </c>
      <c r="F75" s="72"/>
      <c r="G75" s="17" t="s">
        <v>1088</v>
      </c>
      <c r="H75" s="18"/>
      <c r="I75" s="17"/>
      <c r="J75" s="19" t="s">
        <v>133</v>
      </c>
      <c r="K75" s="19" t="s">
        <v>202</v>
      </c>
      <c r="L75" s="19" t="s">
        <v>67</v>
      </c>
    </row>
    <row r="76" spans="1:12" s="1" customFormat="1">
      <c r="A76" s="15"/>
      <c r="B76" s="11" t="s">
        <v>817</v>
      </c>
      <c r="C76" s="11" t="s">
        <v>45</v>
      </c>
      <c r="D76" s="9" t="s">
        <v>658</v>
      </c>
      <c r="E76" s="16" t="s">
        <v>128</v>
      </c>
      <c r="F76" s="72"/>
      <c r="G76" s="17" t="s">
        <v>1090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818</v>
      </c>
      <c r="C77" s="11" t="s">
        <v>280</v>
      </c>
      <c r="D77" s="9" t="s">
        <v>842</v>
      </c>
      <c r="E77" s="16" t="s">
        <v>128</v>
      </c>
      <c r="F77" s="72"/>
      <c r="G77" s="17" t="s">
        <v>1091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819</v>
      </c>
      <c r="C78" s="11" t="s">
        <v>45</v>
      </c>
      <c r="D78" s="9" t="s">
        <v>660</v>
      </c>
      <c r="E78" s="16" t="s">
        <v>128</v>
      </c>
      <c r="F78" s="72"/>
      <c r="G78" s="17" t="s">
        <v>1093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829</v>
      </c>
      <c r="C79" s="11" t="s">
        <v>280</v>
      </c>
      <c r="D79" s="9" t="s">
        <v>505</v>
      </c>
      <c r="E79" s="16" t="s">
        <v>128</v>
      </c>
      <c r="F79" s="72"/>
      <c r="G79" s="17" t="s">
        <v>1094</v>
      </c>
      <c r="H79" s="18"/>
      <c r="I79" s="17"/>
      <c r="J79" s="19" t="s">
        <v>133</v>
      </c>
      <c r="K79" s="19" t="s">
        <v>203</v>
      </c>
      <c r="L79" s="19" t="s">
        <v>67</v>
      </c>
    </row>
    <row r="80" spans="1:12" s="1" customFormat="1">
      <c r="A80" s="15"/>
      <c r="B80" s="11" t="s">
        <v>1570</v>
      </c>
      <c r="C80" s="11" t="s">
        <v>45</v>
      </c>
      <c r="D80" s="9" t="s">
        <v>1526</v>
      </c>
      <c r="E80" s="16" t="s">
        <v>128</v>
      </c>
      <c r="F80" s="72"/>
      <c r="G80" s="17" t="s">
        <v>1571</v>
      </c>
      <c r="H80" s="18"/>
      <c r="I80" s="17"/>
      <c r="J80" s="19" t="s">
        <v>133</v>
      </c>
      <c r="K80" s="19" t="s">
        <v>903</v>
      </c>
      <c r="L80" s="19" t="s">
        <v>67</v>
      </c>
    </row>
    <row r="81" spans="1:12" s="1" customFormat="1">
      <c r="A81" s="15"/>
      <c r="B81" s="11" t="s">
        <v>1527</v>
      </c>
      <c r="C81" s="11" t="s">
        <v>45</v>
      </c>
      <c r="D81" s="9" t="s">
        <v>1528</v>
      </c>
      <c r="E81" s="16" t="s">
        <v>128</v>
      </c>
      <c r="F81" s="72"/>
      <c r="G81" s="17" t="s">
        <v>1572</v>
      </c>
      <c r="H81" s="18"/>
      <c r="I81" s="17"/>
      <c r="J81" s="19" t="s">
        <v>133</v>
      </c>
      <c r="K81" s="19" t="s">
        <v>903</v>
      </c>
      <c r="L81" s="19" t="s">
        <v>67</v>
      </c>
    </row>
    <row r="82" spans="1:12" s="1" customFormat="1">
      <c r="A82" s="15"/>
      <c r="B82" s="11" t="s">
        <v>1529</v>
      </c>
      <c r="C82" s="11" t="s">
        <v>45</v>
      </c>
      <c r="D82" s="9" t="s">
        <v>1530</v>
      </c>
      <c r="E82" s="16" t="s">
        <v>128</v>
      </c>
      <c r="F82" s="72"/>
      <c r="G82" s="17" t="s">
        <v>1573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1531</v>
      </c>
      <c r="C83" s="11" t="s">
        <v>45</v>
      </c>
      <c r="D83" s="9" t="s">
        <v>1532</v>
      </c>
      <c r="E83" s="16" t="s">
        <v>128</v>
      </c>
      <c r="F83" s="72"/>
      <c r="G83" s="17" t="s">
        <v>1574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11" t="s">
        <v>1533</v>
      </c>
      <c r="C84" s="11" t="s">
        <v>45</v>
      </c>
      <c r="D84" s="9" t="s">
        <v>1534</v>
      </c>
      <c r="E84" s="16" t="s">
        <v>128</v>
      </c>
      <c r="F84" s="72"/>
      <c r="G84" s="17" t="s">
        <v>1575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799</v>
      </c>
      <c r="C85" s="11" t="s">
        <v>280</v>
      </c>
      <c r="D85" s="9" t="s">
        <v>506</v>
      </c>
      <c r="E85" s="16" t="s">
        <v>128</v>
      </c>
      <c r="F85" s="72"/>
      <c r="G85" s="17" t="s">
        <v>1095</v>
      </c>
      <c r="H85" s="18"/>
      <c r="I85" s="17"/>
      <c r="J85" s="19" t="s">
        <v>133</v>
      </c>
      <c r="K85" s="19" t="s">
        <v>203</v>
      </c>
      <c r="L85" s="19" t="s">
        <v>67</v>
      </c>
    </row>
    <row r="86" spans="1:12" s="1" customFormat="1">
      <c r="A86" s="15"/>
      <c r="B86" s="11" t="s">
        <v>1549</v>
      </c>
      <c r="C86" s="11" t="s">
        <v>45</v>
      </c>
      <c r="D86" s="9" t="s">
        <v>1540</v>
      </c>
      <c r="E86" s="16" t="s">
        <v>128</v>
      </c>
      <c r="F86" s="72"/>
      <c r="G86" s="17" t="s">
        <v>1576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1541</v>
      </c>
      <c r="C87" s="11" t="s">
        <v>45</v>
      </c>
      <c r="D87" s="9" t="s">
        <v>1542</v>
      </c>
      <c r="E87" s="16" t="s">
        <v>128</v>
      </c>
      <c r="F87" s="72"/>
      <c r="G87" s="17" t="s">
        <v>1577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1543</v>
      </c>
      <c r="C88" s="11" t="s">
        <v>45</v>
      </c>
      <c r="D88" s="9" t="s">
        <v>1544</v>
      </c>
      <c r="E88" s="16" t="s">
        <v>128</v>
      </c>
      <c r="F88" s="72"/>
      <c r="G88" s="17" t="s">
        <v>1578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1545</v>
      </c>
      <c r="C89" s="11" t="s">
        <v>45</v>
      </c>
      <c r="D89" s="9" t="s">
        <v>1546</v>
      </c>
      <c r="E89" s="16" t="s">
        <v>128</v>
      </c>
      <c r="F89" s="72"/>
      <c r="G89" s="17" t="s">
        <v>1579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1547</v>
      </c>
      <c r="C90" s="11" t="s">
        <v>45</v>
      </c>
      <c r="D90" s="9" t="s">
        <v>1548</v>
      </c>
      <c r="E90" s="16" t="s">
        <v>128</v>
      </c>
      <c r="F90" s="72"/>
      <c r="G90" s="17" t="s">
        <v>1580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830</v>
      </c>
      <c r="C91" s="11" t="s">
        <v>45</v>
      </c>
      <c r="D91" s="9" t="s">
        <v>837</v>
      </c>
      <c r="E91" s="16" t="s">
        <v>128</v>
      </c>
      <c r="F91" s="72"/>
      <c r="G91" s="17" t="s">
        <v>1097</v>
      </c>
      <c r="H91" s="18"/>
      <c r="I91" s="17"/>
      <c r="J91" s="19" t="s">
        <v>133</v>
      </c>
      <c r="K91" s="19" t="s">
        <v>44</v>
      </c>
      <c r="L91" s="19" t="s">
        <v>67</v>
      </c>
    </row>
    <row r="92" spans="1:12" s="1" customFormat="1">
      <c r="A92" s="15"/>
      <c r="B92" s="11" t="s">
        <v>623</v>
      </c>
      <c r="C92" s="11" t="s">
        <v>280</v>
      </c>
      <c r="D92" s="9" t="s">
        <v>836</v>
      </c>
      <c r="E92" s="16" t="s">
        <v>128</v>
      </c>
      <c r="F92" s="72"/>
      <c r="G92" s="17" t="s">
        <v>1099</v>
      </c>
      <c r="H92" s="18"/>
      <c r="I92" s="17"/>
      <c r="J92" s="19" t="s">
        <v>133</v>
      </c>
      <c r="K92" s="19" t="s">
        <v>202</v>
      </c>
      <c r="L92" s="19" t="s">
        <v>67</v>
      </c>
    </row>
    <row r="93" spans="1:12" s="1" customFormat="1">
      <c r="A93" s="15"/>
      <c r="B93" s="95" t="s">
        <v>1564</v>
      </c>
      <c r="C93" s="95" t="s">
        <v>45</v>
      </c>
      <c r="D93" s="96" t="s">
        <v>1555</v>
      </c>
      <c r="E93" s="16" t="s">
        <v>128</v>
      </c>
      <c r="F93" s="72"/>
      <c r="G93" s="17" t="s">
        <v>1581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95" t="s">
        <v>1556</v>
      </c>
      <c r="C94" s="95" t="s">
        <v>45</v>
      </c>
      <c r="D94" s="96" t="s">
        <v>1557</v>
      </c>
      <c r="E94" s="16" t="s">
        <v>128</v>
      </c>
      <c r="F94" s="72"/>
      <c r="G94" s="17" t="s">
        <v>1582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95" t="s">
        <v>1558</v>
      </c>
      <c r="C95" s="95" t="s">
        <v>45</v>
      </c>
      <c r="D95" s="96" t="s">
        <v>1559</v>
      </c>
      <c r="E95" s="16" t="s">
        <v>128</v>
      </c>
      <c r="F95" s="72"/>
      <c r="G95" s="17" t="s">
        <v>1583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95" t="s">
        <v>1560</v>
      </c>
      <c r="C96" s="95" t="s">
        <v>45</v>
      </c>
      <c r="D96" s="96" t="s">
        <v>1561</v>
      </c>
      <c r="E96" s="16" t="s">
        <v>128</v>
      </c>
      <c r="F96" s="72"/>
      <c r="G96" s="17" t="s">
        <v>1584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95" t="s">
        <v>1562</v>
      </c>
      <c r="C97" s="95" t="s">
        <v>45</v>
      </c>
      <c r="D97" s="96" t="s">
        <v>1563</v>
      </c>
      <c r="E97" s="16" t="s">
        <v>128</v>
      </c>
      <c r="F97" s="72"/>
      <c r="G97" s="17" t="s">
        <v>1585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11" t="s">
        <v>831</v>
      </c>
      <c r="C98" s="11" t="s">
        <v>45</v>
      </c>
      <c r="D98" s="9" t="s">
        <v>825</v>
      </c>
      <c r="E98" s="16" t="s">
        <v>128</v>
      </c>
      <c r="F98" s="72"/>
      <c r="G98" s="17" t="s">
        <v>1100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11" t="s">
        <v>1098</v>
      </c>
      <c r="C99" s="11" t="s">
        <v>280</v>
      </c>
      <c r="D99" s="9" t="s">
        <v>826</v>
      </c>
      <c r="E99" s="16" t="s">
        <v>128</v>
      </c>
      <c r="F99" s="72"/>
      <c r="G99" s="17" t="s">
        <v>1101</v>
      </c>
      <c r="H99" s="18"/>
      <c r="I99" s="17"/>
      <c r="J99" s="19" t="s">
        <v>133</v>
      </c>
      <c r="K99" s="19" t="s">
        <v>202</v>
      </c>
      <c r="L99" s="19" t="s">
        <v>67</v>
      </c>
    </row>
    <row r="100" spans="1:12" s="1" customFormat="1">
      <c r="A100" s="15"/>
      <c r="B100" s="11" t="s">
        <v>834</v>
      </c>
      <c r="C100" s="11" t="s">
        <v>280</v>
      </c>
      <c r="D100" s="9" t="s">
        <v>833</v>
      </c>
      <c r="E100" s="16" t="s">
        <v>128</v>
      </c>
      <c r="F100" s="72"/>
      <c r="G100" s="17" t="s">
        <v>1102</v>
      </c>
      <c r="H100" s="18"/>
      <c r="I100" s="17"/>
      <c r="J100" s="19" t="s">
        <v>133</v>
      </c>
      <c r="K100" s="19" t="s">
        <v>202</v>
      </c>
      <c r="L100" s="19" t="s">
        <v>67</v>
      </c>
    </row>
    <row r="101" spans="1:12" s="1" customFormat="1">
      <c r="A101" s="15"/>
      <c r="B101" s="11" t="s">
        <v>535</v>
      </c>
      <c r="C101" s="11" t="s">
        <v>280</v>
      </c>
      <c r="D101" s="9" t="s">
        <v>534</v>
      </c>
      <c r="E101" s="16" t="s">
        <v>128</v>
      </c>
      <c r="F101" s="72"/>
      <c r="G101" s="17" t="s">
        <v>1103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2" s="1" customFormat="1">
      <c r="A102" s="15"/>
      <c r="B102" s="11" t="s">
        <v>848</v>
      </c>
      <c r="C102" s="11" t="s">
        <v>45</v>
      </c>
      <c r="D102" s="9" t="s">
        <v>850</v>
      </c>
      <c r="E102" s="16" t="s">
        <v>128</v>
      </c>
      <c r="F102" s="72"/>
      <c r="G102" s="17" t="s">
        <v>1104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A103" s="15"/>
      <c r="B103" s="11" t="s">
        <v>849</v>
      </c>
      <c r="C103" s="11" t="s">
        <v>45</v>
      </c>
      <c r="D103" s="9" t="s">
        <v>116</v>
      </c>
      <c r="E103" s="16" t="s">
        <v>128</v>
      </c>
      <c r="F103" s="72"/>
      <c r="G103" s="17" t="s">
        <v>1105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A104" s="15"/>
      <c r="B104" s="11" t="s">
        <v>854</v>
      </c>
      <c r="C104" s="11" t="s">
        <v>1202</v>
      </c>
      <c r="D104" s="9" t="s">
        <v>502</v>
      </c>
      <c r="E104" s="16" t="s">
        <v>128</v>
      </c>
      <c r="F104" s="72"/>
      <c r="G104" s="17" t="s">
        <v>1107</v>
      </c>
      <c r="H104" s="18"/>
      <c r="I104" s="17"/>
      <c r="J104" s="19" t="s">
        <v>133</v>
      </c>
      <c r="K104" s="19" t="s">
        <v>202</v>
      </c>
      <c r="L104" s="19" t="s">
        <v>67</v>
      </c>
    </row>
    <row r="105" spans="1:12" s="1" customFormat="1">
      <c r="A105" s="15"/>
      <c r="B105" s="11" t="s">
        <v>856</v>
      </c>
      <c r="C105" s="11" t="s">
        <v>45</v>
      </c>
      <c r="D105" s="9" t="s">
        <v>857</v>
      </c>
      <c r="E105" s="16" t="s">
        <v>128</v>
      </c>
      <c r="F105" s="72"/>
      <c r="G105" s="17" t="s">
        <v>1106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A106" s="15"/>
      <c r="B106" s="11" t="s">
        <v>315</v>
      </c>
      <c r="C106" s="11" t="s">
        <v>45</v>
      </c>
      <c r="D106" s="9" t="s">
        <v>112</v>
      </c>
      <c r="E106" s="16" t="s">
        <v>128</v>
      </c>
      <c r="F106" s="72"/>
      <c r="G106" s="17" t="s">
        <v>1145</v>
      </c>
      <c r="H106" s="18"/>
      <c r="I106" s="17"/>
      <c r="J106" s="19" t="s">
        <v>133</v>
      </c>
      <c r="K106" s="19" t="s">
        <v>44</v>
      </c>
      <c r="L106" s="19" t="s">
        <v>67</v>
      </c>
    </row>
    <row r="107" spans="1:12" s="1" customFormat="1">
      <c r="A107" s="15"/>
      <c r="B107" s="11" t="s">
        <v>868</v>
      </c>
      <c r="C107" s="11" t="s">
        <v>45</v>
      </c>
      <c r="D107" s="9" t="s">
        <v>859</v>
      </c>
      <c r="E107" s="16" t="s">
        <v>128</v>
      </c>
      <c r="F107" s="72"/>
      <c r="G107" s="17" t="s">
        <v>1146</v>
      </c>
      <c r="H107" s="18"/>
      <c r="I107" s="17"/>
      <c r="J107" s="19" t="s">
        <v>133</v>
      </c>
      <c r="K107" s="19" t="s">
        <v>44</v>
      </c>
      <c r="L107" s="19" t="s">
        <v>67</v>
      </c>
    </row>
    <row r="108" spans="1:12" s="1" customFormat="1">
      <c r="A108" s="15"/>
      <c r="B108" s="11" t="s">
        <v>869</v>
      </c>
      <c r="C108" s="11" t="s">
        <v>45</v>
      </c>
      <c r="D108" s="9" t="s">
        <v>860</v>
      </c>
      <c r="E108" s="16" t="s">
        <v>128</v>
      </c>
      <c r="F108" s="72"/>
      <c r="G108" s="17" t="s">
        <v>1147</v>
      </c>
      <c r="H108" s="18"/>
      <c r="I108" s="17"/>
      <c r="J108" s="19" t="s">
        <v>133</v>
      </c>
      <c r="K108" s="19" t="s">
        <v>44</v>
      </c>
      <c r="L108" s="19" t="s">
        <v>67</v>
      </c>
    </row>
    <row r="109" spans="1:12" s="1" customFormat="1">
      <c r="A109" s="15"/>
      <c r="B109" s="11" t="s">
        <v>870</v>
      </c>
      <c r="C109" s="11" t="s">
        <v>45</v>
      </c>
      <c r="D109" s="9" t="s">
        <v>861</v>
      </c>
      <c r="E109" s="16" t="s">
        <v>128</v>
      </c>
      <c r="F109" s="72"/>
      <c r="G109" s="17" t="s">
        <v>1148</v>
      </c>
      <c r="H109" s="18"/>
      <c r="I109" s="17"/>
      <c r="J109" s="19" t="s">
        <v>133</v>
      </c>
      <c r="K109" s="19" t="s">
        <v>44</v>
      </c>
      <c r="L109" s="19" t="s">
        <v>67</v>
      </c>
    </row>
    <row r="110" spans="1:12" s="1" customFormat="1">
      <c r="A110" s="15"/>
      <c r="B110" s="11" t="s">
        <v>871</v>
      </c>
      <c r="C110" s="11" t="s">
        <v>45</v>
      </c>
      <c r="D110" s="9" t="s">
        <v>880</v>
      </c>
      <c r="E110" s="16" t="s">
        <v>128</v>
      </c>
      <c r="F110" s="72"/>
      <c r="G110" s="17" t="s">
        <v>1149</v>
      </c>
      <c r="H110" s="18"/>
      <c r="I110" s="17"/>
      <c r="J110" s="19" t="s">
        <v>133</v>
      </c>
      <c r="K110" s="19" t="s">
        <v>44</v>
      </c>
      <c r="L110" s="19" t="s">
        <v>67</v>
      </c>
    </row>
    <row r="111" spans="1:12" s="1" customFormat="1">
      <c r="A111" s="15"/>
      <c r="B111" s="11" t="s">
        <v>872</v>
      </c>
      <c r="C111" s="11" t="s">
        <v>45</v>
      </c>
      <c r="D111" s="9" t="s">
        <v>881</v>
      </c>
      <c r="E111" s="16" t="s">
        <v>128</v>
      </c>
      <c r="F111" s="72"/>
      <c r="G111" s="17" t="s">
        <v>1150</v>
      </c>
      <c r="H111" s="18"/>
      <c r="I111" s="17"/>
      <c r="J111" s="19" t="s">
        <v>133</v>
      </c>
      <c r="K111" s="19" t="s">
        <v>44</v>
      </c>
      <c r="L111" s="19" t="s">
        <v>67</v>
      </c>
    </row>
    <row r="112" spans="1:12" s="1" customFormat="1">
      <c r="A112" s="15"/>
      <c r="B112" s="11" t="s">
        <v>873</v>
      </c>
      <c r="C112" s="11" t="s">
        <v>45</v>
      </c>
      <c r="D112" s="9" t="s">
        <v>882</v>
      </c>
      <c r="E112" s="16" t="s">
        <v>128</v>
      </c>
      <c r="F112" s="72"/>
      <c r="G112" s="17" t="s">
        <v>1151</v>
      </c>
      <c r="H112" s="18"/>
      <c r="I112" s="17"/>
      <c r="J112" s="19" t="s">
        <v>133</v>
      </c>
      <c r="K112" s="19" t="s">
        <v>44</v>
      </c>
      <c r="L112" s="19" t="s">
        <v>67</v>
      </c>
    </row>
    <row r="113" spans="1:17" s="1" customFormat="1">
      <c r="A113" s="15"/>
      <c r="B113" s="11" t="s">
        <v>874</v>
      </c>
      <c r="C113" s="11" t="s">
        <v>45</v>
      </c>
      <c r="D113" s="9" t="s">
        <v>862</v>
      </c>
      <c r="E113" s="16" t="s">
        <v>128</v>
      </c>
      <c r="F113" s="72"/>
      <c r="G113" s="17" t="s">
        <v>1152</v>
      </c>
      <c r="H113" s="18"/>
      <c r="I113" s="17"/>
      <c r="J113" s="19" t="s">
        <v>133</v>
      </c>
      <c r="K113" s="19" t="s">
        <v>44</v>
      </c>
      <c r="L113" s="19" t="s">
        <v>67</v>
      </c>
    </row>
    <row r="114" spans="1:17" s="1" customFormat="1">
      <c r="A114" s="15"/>
      <c r="B114" s="11" t="s">
        <v>875</v>
      </c>
      <c r="C114" s="11" t="s">
        <v>45</v>
      </c>
      <c r="D114" s="9" t="s">
        <v>863</v>
      </c>
      <c r="E114" s="16" t="s">
        <v>128</v>
      </c>
      <c r="F114" s="72"/>
      <c r="G114" s="17" t="s">
        <v>1153</v>
      </c>
      <c r="H114" s="18"/>
      <c r="I114" s="17"/>
      <c r="J114" s="19" t="s">
        <v>133</v>
      </c>
      <c r="K114" s="19" t="s">
        <v>44</v>
      </c>
      <c r="L114" s="19" t="s">
        <v>67</v>
      </c>
    </row>
    <row r="115" spans="1:17" s="1" customFormat="1">
      <c r="A115" s="15"/>
      <c r="B115" s="11" t="s">
        <v>876</v>
      </c>
      <c r="C115" s="11" t="s">
        <v>45</v>
      </c>
      <c r="D115" s="9" t="s">
        <v>864</v>
      </c>
      <c r="E115" s="16" t="s">
        <v>128</v>
      </c>
      <c r="F115" s="72"/>
      <c r="G115" s="17" t="s">
        <v>1154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877</v>
      </c>
      <c r="C116" s="11" t="s">
        <v>45</v>
      </c>
      <c r="D116" s="9" t="s">
        <v>865</v>
      </c>
      <c r="E116" s="16" t="s">
        <v>128</v>
      </c>
      <c r="F116" s="72"/>
      <c r="G116" s="17" t="s">
        <v>1155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1" customFormat="1">
      <c r="A117" s="15"/>
      <c r="B117" s="11" t="s">
        <v>878</v>
      </c>
      <c r="C117" s="11" t="s">
        <v>45</v>
      </c>
      <c r="D117" s="9" t="s">
        <v>866</v>
      </c>
      <c r="E117" s="16" t="s">
        <v>128</v>
      </c>
      <c r="F117" s="72"/>
      <c r="G117" s="17" t="s">
        <v>1156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7" s="1" customFormat="1">
      <c r="A118" s="15"/>
      <c r="B118" s="11" t="s">
        <v>879</v>
      </c>
      <c r="C118" s="11" t="s">
        <v>45</v>
      </c>
      <c r="D118" s="9" t="s">
        <v>867</v>
      </c>
      <c r="E118" s="16" t="s">
        <v>128</v>
      </c>
      <c r="F118" s="72"/>
      <c r="G118" s="17" t="s">
        <v>1157</v>
      </c>
      <c r="H118" s="18"/>
      <c r="I118" s="17"/>
      <c r="J118" s="19" t="s">
        <v>133</v>
      </c>
      <c r="K118" s="19" t="s">
        <v>44</v>
      </c>
      <c r="L118" s="19" t="s">
        <v>67</v>
      </c>
    </row>
    <row r="119" spans="1:17" s="3" customFormat="1">
      <c r="B119" s="23" t="s">
        <v>47</v>
      </c>
      <c r="C119" s="24" t="s">
        <v>46</v>
      </c>
      <c r="D119" s="21" t="s">
        <v>48</v>
      </c>
      <c r="E119" s="44"/>
      <c r="F119" s="44"/>
      <c r="G119" s="44" t="s">
        <v>282</v>
      </c>
      <c r="H119" s="23" t="s">
        <v>282</v>
      </c>
      <c r="I119" s="23"/>
      <c r="J119" s="23"/>
      <c r="K119" s="23"/>
      <c r="L119" s="23"/>
      <c r="M119" s="23"/>
      <c r="N119" s="23"/>
      <c r="O119" s="23"/>
      <c r="P119" s="23"/>
      <c r="Q119" s="23"/>
    </row>
    <row r="120" spans="1:17" s="3" customFormat="1">
      <c r="B120" s="23" t="s">
        <v>49</v>
      </c>
      <c r="C120" s="24" t="s">
        <v>43</v>
      </c>
      <c r="D120" s="21" t="s">
        <v>50</v>
      </c>
      <c r="E120" s="44"/>
      <c r="F120" s="44"/>
      <c r="G120" s="44" t="s">
        <v>282</v>
      </c>
      <c r="H120" s="23" t="s">
        <v>282</v>
      </c>
      <c r="I120" s="23"/>
      <c r="J120" s="23"/>
      <c r="K120" s="23"/>
      <c r="L120" s="23"/>
      <c r="M120" s="23"/>
      <c r="N120" s="23"/>
      <c r="O120" s="23"/>
      <c r="P120" s="23"/>
      <c r="Q120" s="23"/>
    </row>
  </sheetData>
  <autoFilter ref="A13:Q120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60D1-48E8-4C93-94DE-3E7DA8796623}">
  <sheetPr codeName="Sheet13"/>
  <dimension ref="A1:Q28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4.2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1319</v>
      </c>
      <c r="D5" s="10" t="s">
        <v>1320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1317</v>
      </c>
      <c r="D9" s="10" t="s">
        <v>1318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1321</v>
      </c>
      <c r="C14" s="22" t="s">
        <v>1322</v>
      </c>
      <c r="D14" s="9" t="s">
        <v>1169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46</v>
      </c>
      <c r="D15" s="9" t="s">
        <v>1323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79</v>
      </c>
      <c r="C16" s="22" t="s">
        <v>43</v>
      </c>
      <c r="D16" s="9" t="s">
        <v>104</v>
      </c>
      <c r="E16" s="16" t="s">
        <v>128</v>
      </c>
      <c r="F16" s="17"/>
      <c r="G16" s="17" t="s">
        <v>129</v>
      </c>
      <c r="H16" s="18"/>
      <c r="I16" s="20"/>
      <c r="J16" s="19" t="s">
        <v>131</v>
      </c>
      <c r="K16" s="19" t="s">
        <v>132</v>
      </c>
      <c r="L16" s="19"/>
    </row>
    <row r="17" spans="1:17" s="1" customFormat="1">
      <c r="A17" s="15"/>
      <c r="B17" s="22" t="s">
        <v>1324</v>
      </c>
      <c r="C17" s="22" t="s">
        <v>43</v>
      </c>
      <c r="D17" s="9" t="s">
        <v>1325</v>
      </c>
      <c r="E17" s="16" t="s">
        <v>128</v>
      </c>
      <c r="F17" s="9"/>
      <c r="G17" s="17" t="s">
        <v>1334</v>
      </c>
      <c r="H17" s="18"/>
      <c r="I17" s="20"/>
      <c r="J17" s="19" t="s">
        <v>131</v>
      </c>
      <c r="K17" s="19" t="s">
        <v>132</v>
      </c>
      <c r="L17" s="19"/>
    </row>
    <row r="18" spans="1:17" s="1" customFormat="1">
      <c r="A18" s="15"/>
      <c r="B18" s="11" t="s">
        <v>78</v>
      </c>
      <c r="C18" s="22" t="s">
        <v>43</v>
      </c>
      <c r="D18" s="9" t="s">
        <v>103</v>
      </c>
      <c r="E18" s="16" t="s">
        <v>128</v>
      </c>
      <c r="F18" s="9"/>
      <c r="G18" s="17" t="s">
        <v>1334</v>
      </c>
      <c r="H18" s="18"/>
      <c r="I18" s="20"/>
      <c r="J18" s="19" t="s">
        <v>131</v>
      </c>
      <c r="K18" s="19" t="s">
        <v>132</v>
      </c>
      <c r="L18" s="19"/>
    </row>
    <row r="19" spans="1:17" s="1" customFormat="1">
      <c r="A19" s="15"/>
      <c r="B19" s="11" t="s">
        <v>1174</v>
      </c>
      <c r="C19" s="22" t="s">
        <v>45</v>
      </c>
      <c r="D19" s="9" t="s">
        <v>1175</v>
      </c>
      <c r="E19" s="16" t="s">
        <v>128</v>
      </c>
      <c r="F19" s="9"/>
      <c r="G19" s="17" t="s">
        <v>1198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7" s="1" customFormat="1">
      <c r="A20" s="15"/>
      <c r="B20" s="11" t="s">
        <v>1176</v>
      </c>
      <c r="C20" s="22" t="s">
        <v>45</v>
      </c>
      <c r="D20" s="9" t="s">
        <v>1177</v>
      </c>
      <c r="E20" s="16" t="s">
        <v>128</v>
      </c>
      <c r="F20" s="9"/>
      <c r="G20" s="17" t="s">
        <v>1199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7" s="1" customFormat="1">
      <c r="A21" s="15"/>
      <c r="B21" s="11" t="s">
        <v>64</v>
      </c>
      <c r="C21" s="22" t="s">
        <v>46</v>
      </c>
      <c r="D21" s="9" t="s">
        <v>1170</v>
      </c>
      <c r="E21" s="16" t="s">
        <v>128</v>
      </c>
      <c r="F21" s="9" t="s">
        <v>138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679</v>
      </c>
    </row>
    <row r="22" spans="1:17" s="1" customFormat="1">
      <c r="A22" s="15"/>
      <c r="B22" s="11" t="s">
        <v>65</v>
      </c>
      <c r="C22" s="11" t="s">
        <v>46</v>
      </c>
      <c r="D22" s="9" t="s">
        <v>1171</v>
      </c>
      <c r="E22" s="16" t="s">
        <v>128</v>
      </c>
      <c r="F22" s="9" t="s">
        <v>61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679</v>
      </c>
    </row>
    <row r="23" spans="1:17" s="1" customFormat="1">
      <c r="A23" s="15"/>
      <c r="B23" s="11" t="s">
        <v>1326</v>
      </c>
      <c r="C23" s="69" t="s">
        <v>46</v>
      </c>
      <c r="D23" s="9" t="s">
        <v>1327</v>
      </c>
      <c r="E23" s="16" t="s">
        <v>128</v>
      </c>
      <c r="F23" s="9" t="s">
        <v>62</v>
      </c>
      <c r="G23" s="17" t="s">
        <v>129</v>
      </c>
      <c r="H23" s="18"/>
      <c r="I23" s="35"/>
      <c r="J23" s="19" t="s">
        <v>131</v>
      </c>
      <c r="K23" s="19" t="s">
        <v>132</v>
      </c>
      <c r="L23" s="19" t="s">
        <v>679</v>
      </c>
    </row>
    <row r="24" spans="1:17" s="1" customFormat="1">
      <c r="A24" s="15"/>
      <c r="B24" s="11" t="s">
        <v>1328</v>
      </c>
      <c r="C24" s="69" t="s">
        <v>45</v>
      </c>
      <c r="D24" s="9" t="s">
        <v>1329</v>
      </c>
      <c r="E24" s="16" t="s">
        <v>128</v>
      </c>
      <c r="F24" s="9"/>
      <c r="G24" s="17" t="s">
        <v>1335</v>
      </c>
      <c r="H24" s="18"/>
      <c r="I24" s="35"/>
      <c r="J24" s="19" t="s">
        <v>133</v>
      </c>
      <c r="K24" s="19" t="s">
        <v>132</v>
      </c>
      <c r="L24" s="19" t="s">
        <v>134</v>
      </c>
    </row>
    <row r="25" spans="1:17" s="1" customFormat="1">
      <c r="A25" s="15"/>
      <c r="B25" s="11" t="s">
        <v>1330</v>
      </c>
      <c r="C25" s="69" t="s">
        <v>45</v>
      </c>
      <c r="D25" s="9" t="s">
        <v>1331</v>
      </c>
      <c r="E25" s="16" t="s">
        <v>128</v>
      </c>
      <c r="F25" s="9"/>
      <c r="G25" s="17" t="s">
        <v>1203</v>
      </c>
      <c r="H25" s="18"/>
      <c r="I25" s="35"/>
      <c r="J25" s="19" t="s">
        <v>133</v>
      </c>
      <c r="K25" s="19" t="s">
        <v>132</v>
      </c>
      <c r="L25" s="19" t="s">
        <v>134</v>
      </c>
    </row>
    <row r="26" spans="1:17" s="1" customFormat="1">
      <c r="A26" s="15"/>
      <c r="B26" s="11" t="s">
        <v>1332</v>
      </c>
      <c r="C26" s="69" t="s">
        <v>56</v>
      </c>
      <c r="D26" s="9" t="s">
        <v>1333</v>
      </c>
      <c r="E26" s="16" t="s">
        <v>128</v>
      </c>
      <c r="F26" s="9"/>
      <c r="G26" s="17" t="s">
        <v>1336</v>
      </c>
      <c r="H26" s="18"/>
      <c r="I26" s="35"/>
      <c r="J26" s="19" t="s">
        <v>133</v>
      </c>
      <c r="K26" s="19" t="s">
        <v>132</v>
      </c>
      <c r="L26" s="19" t="s">
        <v>1337</v>
      </c>
    </row>
    <row r="27" spans="1:17" s="3" customFormat="1">
      <c r="B27" s="23" t="s">
        <v>47</v>
      </c>
      <c r="C27" s="24" t="s">
        <v>46</v>
      </c>
      <c r="D27" s="21" t="s">
        <v>48</v>
      </c>
      <c r="E27" s="44"/>
      <c r="F27" s="44"/>
      <c r="G27" s="44" t="s">
        <v>282</v>
      </c>
      <c r="H27" s="23" t="s">
        <v>282</v>
      </c>
      <c r="I27" s="23"/>
      <c r="J27" s="23"/>
      <c r="K27" s="23"/>
      <c r="L27" s="23"/>
      <c r="M27" s="23"/>
      <c r="N27" s="23"/>
      <c r="O27" s="23"/>
      <c r="P27" s="23"/>
      <c r="Q27" s="23"/>
    </row>
    <row r="28" spans="1:17" s="3" customFormat="1">
      <c r="B28" s="23" t="s">
        <v>49</v>
      </c>
      <c r="C28" s="24" t="s">
        <v>43</v>
      </c>
      <c r="D28" s="21" t="s">
        <v>50</v>
      </c>
      <c r="E28" s="44"/>
      <c r="F28" s="44"/>
      <c r="G28" s="44" t="s">
        <v>282</v>
      </c>
      <c r="H28" s="23" t="s">
        <v>282</v>
      </c>
      <c r="I28" s="23"/>
      <c r="J28" s="23"/>
      <c r="K28" s="23"/>
      <c r="L28" s="23"/>
      <c r="M28" s="23"/>
      <c r="N28" s="23"/>
      <c r="O28" s="23"/>
      <c r="P28" s="23"/>
      <c r="Q28" s="23"/>
    </row>
  </sheetData>
  <autoFilter ref="A13:Q28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2616-878D-4991-84EA-51B083B58061}">
  <sheetPr codeName="Sheet14"/>
  <dimension ref="A1:Q120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4.77734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1342</v>
      </c>
      <c r="D5" s="10" t="s">
        <v>1345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1312</v>
      </c>
      <c r="D9" s="10" t="s">
        <v>1313</v>
      </c>
      <c r="E9" s="11" t="s">
        <v>55</v>
      </c>
      <c r="F9" s="17"/>
      <c r="G9" s="17" t="s">
        <v>1343</v>
      </c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2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1068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61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62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64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65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66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95</v>
      </c>
      <c r="C23" s="11" t="s">
        <v>93</v>
      </c>
      <c r="D23" s="9" t="s">
        <v>114</v>
      </c>
      <c r="E23" s="16" t="s">
        <v>128</v>
      </c>
      <c r="F23" s="9" t="s">
        <v>1069</v>
      </c>
      <c r="G23" s="17" t="s">
        <v>129</v>
      </c>
      <c r="H23" s="18"/>
      <c r="I23" s="35"/>
      <c r="J23" s="19" t="s">
        <v>131</v>
      </c>
      <c r="K23" s="19" t="s">
        <v>132</v>
      </c>
      <c r="L23" s="19" t="s">
        <v>44</v>
      </c>
    </row>
    <row r="24" spans="1:12" s="1" customFormat="1">
      <c r="B24" s="22" t="s">
        <v>85</v>
      </c>
      <c r="C24" s="11" t="s">
        <v>43</v>
      </c>
      <c r="D24" s="9" t="s">
        <v>107</v>
      </c>
      <c r="E24" s="16" t="s">
        <v>128</v>
      </c>
      <c r="F24" s="17" t="s">
        <v>85</v>
      </c>
      <c r="G24" s="17" t="s">
        <v>129</v>
      </c>
      <c r="H24" s="18"/>
      <c r="I24" s="19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1072</v>
      </c>
      <c r="C25" s="11" t="s">
        <v>45</v>
      </c>
      <c r="D25" s="9" t="s">
        <v>146</v>
      </c>
      <c r="E25" s="16" t="s">
        <v>128</v>
      </c>
      <c r="F25" s="17"/>
      <c r="G25" s="17" t="s">
        <v>1073</v>
      </c>
      <c r="H25" s="18"/>
      <c r="I25" s="17"/>
      <c r="J25" s="19" t="s">
        <v>133</v>
      </c>
      <c r="K25" s="19" t="s">
        <v>132</v>
      </c>
      <c r="L25" s="19" t="s">
        <v>134</v>
      </c>
    </row>
    <row r="26" spans="1:12" s="1" customFormat="1">
      <c r="A26" s="15"/>
      <c r="B26" s="11" t="s">
        <v>189</v>
      </c>
      <c r="C26" s="11" t="s">
        <v>45</v>
      </c>
      <c r="D26" s="9" t="s">
        <v>190</v>
      </c>
      <c r="E26" s="16" t="s">
        <v>128</v>
      </c>
      <c r="F26" s="17"/>
      <c r="G26" s="17" t="s">
        <v>1259</v>
      </c>
      <c r="H26" s="18"/>
      <c r="I26" s="17"/>
      <c r="J26" s="19" t="s">
        <v>133</v>
      </c>
      <c r="K26" s="19" t="s">
        <v>132</v>
      </c>
      <c r="L26" s="19" t="s">
        <v>134</v>
      </c>
    </row>
    <row r="27" spans="1:12" s="1" customFormat="1">
      <c r="A27" s="15"/>
      <c r="B27" s="11" t="s">
        <v>192</v>
      </c>
      <c r="C27" s="11" t="s">
        <v>45</v>
      </c>
      <c r="D27" s="9" t="s">
        <v>193</v>
      </c>
      <c r="E27" s="16" t="s">
        <v>128</v>
      </c>
      <c r="F27" s="17"/>
      <c r="G27" s="17" t="s">
        <v>1074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2" s="1" customFormat="1">
      <c r="A28" s="15"/>
      <c r="B28" s="22" t="s">
        <v>255</v>
      </c>
      <c r="C28" s="22" t="s">
        <v>45</v>
      </c>
      <c r="D28" s="9" t="s">
        <v>348</v>
      </c>
      <c r="E28" s="16" t="s">
        <v>128</v>
      </c>
      <c r="F28" s="17"/>
      <c r="G28" s="17" t="s">
        <v>257</v>
      </c>
      <c r="H28" s="18"/>
      <c r="I28" s="17"/>
      <c r="J28" s="19" t="s">
        <v>133</v>
      </c>
      <c r="K28" s="19" t="s">
        <v>203</v>
      </c>
      <c r="L28" s="19" t="s">
        <v>134</v>
      </c>
    </row>
    <row r="29" spans="1:12" s="1" customFormat="1">
      <c r="A29" s="15"/>
      <c r="B29" s="11" t="s">
        <v>207</v>
      </c>
      <c r="C29" s="11" t="s">
        <v>45</v>
      </c>
      <c r="D29" s="9" t="s">
        <v>759</v>
      </c>
      <c r="E29" s="16" t="s">
        <v>128</v>
      </c>
      <c r="F29" s="72"/>
      <c r="G29" s="17" t="s">
        <v>320</v>
      </c>
      <c r="H29" s="18"/>
      <c r="I29" s="17"/>
      <c r="J29" s="19" t="s">
        <v>133</v>
      </c>
      <c r="K29" s="19" t="s">
        <v>204</v>
      </c>
      <c r="L29" s="19" t="s">
        <v>134</v>
      </c>
    </row>
    <row r="30" spans="1:12" s="1" customFormat="1">
      <c r="A30" s="15"/>
      <c r="B30" s="11" t="s">
        <v>208</v>
      </c>
      <c r="C30" s="11" t="s">
        <v>45</v>
      </c>
      <c r="D30" s="9" t="s">
        <v>160</v>
      </c>
      <c r="E30" s="16" t="s">
        <v>128</v>
      </c>
      <c r="F30" s="72"/>
      <c r="G30" s="17" t="s">
        <v>319</v>
      </c>
      <c r="H30" s="18"/>
      <c r="I30" s="17"/>
      <c r="J30" s="19" t="s">
        <v>133</v>
      </c>
      <c r="K30" s="19" t="s">
        <v>204</v>
      </c>
      <c r="L30" s="19" t="s">
        <v>134</v>
      </c>
    </row>
    <row r="31" spans="1:12" s="1" customFormat="1">
      <c r="A31" s="15"/>
      <c r="B31" s="11" t="s">
        <v>763</v>
      </c>
      <c r="C31" s="11" t="s">
        <v>45</v>
      </c>
      <c r="D31" s="9" t="s">
        <v>181</v>
      </c>
      <c r="E31" s="16" t="s">
        <v>128</v>
      </c>
      <c r="F31" s="72"/>
      <c r="G31" s="9" t="s">
        <v>1076</v>
      </c>
      <c r="H31" s="18"/>
      <c r="I31" s="17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11" t="s">
        <v>805</v>
      </c>
      <c r="C32" s="11" t="s">
        <v>45</v>
      </c>
      <c r="D32" s="9" t="s">
        <v>184</v>
      </c>
      <c r="E32" s="16" t="s">
        <v>128</v>
      </c>
      <c r="F32" s="72"/>
      <c r="G32" s="17" t="s">
        <v>1110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" t="s">
        <v>210</v>
      </c>
      <c r="C33" s="11" t="s">
        <v>45</v>
      </c>
      <c r="D33" s="9" t="s">
        <v>1056</v>
      </c>
      <c r="E33" s="16" t="s">
        <v>128</v>
      </c>
      <c r="F33" s="72"/>
      <c r="G33" s="17" t="s">
        <v>224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209</v>
      </c>
      <c r="C34" s="11" t="s">
        <v>45</v>
      </c>
      <c r="D34" s="9" t="s">
        <v>1055</v>
      </c>
      <c r="E34" s="16" t="s">
        <v>128</v>
      </c>
      <c r="F34" s="72"/>
      <c r="G34" s="17" t="s">
        <v>223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211</v>
      </c>
      <c r="C35" s="11" t="s">
        <v>45</v>
      </c>
      <c r="D35" s="9" t="s">
        <v>163</v>
      </c>
      <c r="E35" s="16" t="s">
        <v>128</v>
      </c>
      <c r="F35" s="72"/>
      <c r="G35" s="17" t="s">
        <v>225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212</v>
      </c>
      <c r="C36" s="11" t="s">
        <v>45</v>
      </c>
      <c r="D36" s="9" t="s">
        <v>164</v>
      </c>
      <c r="E36" s="16" t="s">
        <v>128</v>
      </c>
      <c r="F36" s="72"/>
      <c r="G36" s="17" t="s">
        <v>226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213</v>
      </c>
      <c r="C37" s="11" t="s">
        <v>45</v>
      </c>
      <c r="D37" s="9" t="s">
        <v>165</v>
      </c>
      <c r="E37" s="16" t="s">
        <v>128</v>
      </c>
      <c r="F37" s="72"/>
      <c r="G37" s="17" t="s">
        <v>1114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214</v>
      </c>
      <c r="C38" s="11" t="s">
        <v>45</v>
      </c>
      <c r="D38" s="9" t="s">
        <v>166</v>
      </c>
      <c r="E38" s="16" t="s">
        <v>128</v>
      </c>
      <c r="F38" s="72"/>
      <c r="G38" s="17" t="s">
        <v>1115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217</v>
      </c>
      <c r="C39" s="11" t="s">
        <v>45</v>
      </c>
      <c r="D39" s="9" t="s">
        <v>171</v>
      </c>
      <c r="E39" s="16" t="s">
        <v>128</v>
      </c>
      <c r="F39" s="72"/>
      <c r="G39" s="17" t="s">
        <v>1116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218</v>
      </c>
      <c r="C40" s="11" t="s">
        <v>45</v>
      </c>
      <c r="D40" s="9" t="s">
        <v>172</v>
      </c>
      <c r="E40" s="16" t="s">
        <v>128</v>
      </c>
      <c r="F40" s="72"/>
      <c r="G40" s="17" t="s">
        <v>1117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219</v>
      </c>
      <c r="C41" s="11" t="s">
        <v>45</v>
      </c>
      <c r="D41" s="9" t="s">
        <v>173</v>
      </c>
      <c r="E41" s="16" t="s">
        <v>128</v>
      </c>
      <c r="F41" s="72"/>
      <c r="G41" s="17" t="s">
        <v>1118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220</v>
      </c>
      <c r="C42" s="11" t="s">
        <v>45</v>
      </c>
      <c r="D42" s="9" t="s">
        <v>174</v>
      </c>
      <c r="E42" s="16" t="s">
        <v>128</v>
      </c>
      <c r="F42" s="72"/>
      <c r="G42" s="17" t="s">
        <v>1119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215</v>
      </c>
      <c r="C43" s="11" t="s">
        <v>45</v>
      </c>
      <c r="D43" s="9" t="s">
        <v>1260</v>
      </c>
      <c r="E43" s="16" t="s">
        <v>128</v>
      </c>
      <c r="F43" s="72"/>
      <c r="G43" s="17" t="s">
        <v>227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216</v>
      </c>
      <c r="C44" s="11" t="s">
        <v>45</v>
      </c>
      <c r="D44" s="9" t="s">
        <v>1261</v>
      </c>
      <c r="E44" s="16" t="s">
        <v>128</v>
      </c>
      <c r="F44" s="72"/>
      <c r="G44" s="17" t="s">
        <v>228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316</v>
      </c>
      <c r="C45" s="11" t="s">
        <v>45</v>
      </c>
      <c r="D45" s="9" t="s">
        <v>167</v>
      </c>
      <c r="E45" s="16" t="s">
        <v>128</v>
      </c>
      <c r="F45" s="72"/>
      <c r="G45" s="17" t="s">
        <v>772</v>
      </c>
      <c r="H45" s="18"/>
      <c r="I45" s="17"/>
      <c r="J45" s="19" t="s">
        <v>133</v>
      </c>
      <c r="K45" s="19" t="s">
        <v>202</v>
      </c>
      <c r="L45" s="19" t="s">
        <v>67</v>
      </c>
    </row>
    <row r="46" spans="1:12" s="1" customFormat="1">
      <c r="A46" s="15"/>
      <c r="B46" s="11" t="s">
        <v>809</v>
      </c>
      <c r="C46" s="11" t="s">
        <v>45</v>
      </c>
      <c r="D46" s="9" t="s">
        <v>175</v>
      </c>
      <c r="E46" s="16" t="s">
        <v>128</v>
      </c>
      <c r="F46" s="72"/>
      <c r="G46" s="17" t="s">
        <v>1120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317</v>
      </c>
      <c r="C47" s="11" t="s">
        <v>45</v>
      </c>
      <c r="D47" s="9" t="s">
        <v>168</v>
      </c>
      <c r="E47" s="16" t="s">
        <v>128</v>
      </c>
      <c r="F47" s="72"/>
      <c r="G47" s="17" t="s">
        <v>1489</v>
      </c>
      <c r="H47" s="18"/>
      <c r="I47" s="17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810</v>
      </c>
      <c r="C48" s="11" t="s">
        <v>45</v>
      </c>
      <c r="D48" s="9" t="s">
        <v>176</v>
      </c>
      <c r="E48" s="16" t="s">
        <v>128</v>
      </c>
      <c r="F48" s="72"/>
      <c r="G48" s="17" t="s">
        <v>1121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1213</v>
      </c>
      <c r="C49" s="11" t="s">
        <v>45</v>
      </c>
      <c r="D49" s="9" t="s">
        <v>178</v>
      </c>
      <c r="E49" s="16" t="s">
        <v>128</v>
      </c>
      <c r="F49" s="72"/>
      <c r="G49" s="17" t="s">
        <v>1215</v>
      </c>
      <c r="H49" s="18"/>
      <c r="I49" s="17"/>
      <c r="J49" s="19" t="s">
        <v>133</v>
      </c>
      <c r="K49" s="19" t="s">
        <v>202</v>
      </c>
      <c r="L49" s="19" t="s">
        <v>67</v>
      </c>
    </row>
    <row r="50" spans="1:12" s="1" customFormat="1">
      <c r="A50" s="15"/>
      <c r="B50" s="11" t="s">
        <v>221</v>
      </c>
      <c r="C50" s="11" t="s">
        <v>45</v>
      </c>
      <c r="D50" s="9" t="s">
        <v>177</v>
      </c>
      <c r="E50" s="16" t="s">
        <v>128</v>
      </c>
      <c r="F50" s="72"/>
      <c r="G50" s="17" t="s">
        <v>1256</v>
      </c>
      <c r="H50" s="18"/>
      <c r="I50" s="17"/>
      <c r="J50" s="19" t="s">
        <v>133</v>
      </c>
      <c r="K50" s="19" t="s">
        <v>204</v>
      </c>
      <c r="L50" s="19" t="s">
        <v>67</v>
      </c>
    </row>
    <row r="51" spans="1:12" s="1" customFormat="1">
      <c r="A51" s="15"/>
      <c r="B51" s="11" t="s">
        <v>1212</v>
      </c>
      <c r="C51" s="11" t="s">
        <v>45</v>
      </c>
      <c r="D51" s="9" t="s">
        <v>180</v>
      </c>
      <c r="E51" s="16" t="s">
        <v>128</v>
      </c>
      <c r="F51" s="72"/>
      <c r="G51" s="17" t="s">
        <v>1214</v>
      </c>
      <c r="H51" s="18"/>
      <c r="I51" s="17"/>
      <c r="J51" s="19" t="s">
        <v>133</v>
      </c>
      <c r="K51" s="19" t="s">
        <v>202</v>
      </c>
      <c r="L51" s="19" t="s">
        <v>67</v>
      </c>
    </row>
    <row r="52" spans="1:12" s="1" customFormat="1">
      <c r="A52" s="15"/>
      <c r="B52" s="11" t="s">
        <v>222</v>
      </c>
      <c r="C52" s="11" t="s">
        <v>45</v>
      </c>
      <c r="D52" s="9" t="s">
        <v>179</v>
      </c>
      <c r="E52" s="16" t="s">
        <v>128</v>
      </c>
      <c r="F52" s="72"/>
      <c r="G52" s="17" t="s">
        <v>1123</v>
      </c>
      <c r="H52" s="18"/>
      <c r="I52" s="17"/>
      <c r="J52" s="19" t="s">
        <v>133</v>
      </c>
      <c r="K52" s="19" t="s">
        <v>204</v>
      </c>
      <c r="L52" s="19" t="s">
        <v>67</v>
      </c>
    </row>
    <row r="53" spans="1:12" s="1" customFormat="1">
      <c r="A53" s="15"/>
      <c r="B53" s="11" t="s">
        <v>811</v>
      </c>
      <c r="C53" s="11" t="s">
        <v>45</v>
      </c>
      <c r="D53" s="9" t="s">
        <v>643</v>
      </c>
      <c r="E53" s="16" t="s">
        <v>128</v>
      </c>
      <c r="F53" s="72"/>
      <c r="G53" s="17" t="s">
        <v>768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812</v>
      </c>
      <c r="C54" s="11" t="s">
        <v>45</v>
      </c>
      <c r="D54" s="9" t="s">
        <v>813</v>
      </c>
      <c r="E54" s="16" t="s">
        <v>128</v>
      </c>
      <c r="F54" s="72"/>
      <c r="G54" s="17" t="s">
        <v>1124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814</v>
      </c>
      <c r="C55" s="11" t="s">
        <v>45</v>
      </c>
      <c r="D55" s="9" t="s">
        <v>500</v>
      </c>
      <c r="E55" s="16" t="s">
        <v>128</v>
      </c>
      <c r="F55" s="72"/>
      <c r="G55" s="17" t="s">
        <v>1125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205</v>
      </c>
      <c r="C56" s="11" t="s">
        <v>45</v>
      </c>
      <c r="D56" s="9" t="s">
        <v>147</v>
      </c>
      <c r="E56" s="16" t="s">
        <v>128</v>
      </c>
      <c r="F56" s="72"/>
      <c r="G56" s="17" t="s">
        <v>1126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206</v>
      </c>
      <c r="C57" s="11" t="s">
        <v>280</v>
      </c>
      <c r="D57" s="9" t="s">
        <v>820</v>
      </c>
      <c r="E57" s="16" t="s">
        <v>128</v>
      </c>
      <c r="F57" s="72"/>
      <c r="G57" s="17" t="s">
        <v>1081</v>
      </c>
      <c r="H57" s="18"/>
      <c r="I57" s="17"/>
      <c r="J57" s="19" t="s">
        <v>133</v>
      </c>
      <c r="K57" s="19" t="s">
        <v>202</v>
      </c>
      <c r="L57" s="19" t="s">
        <v>67</v>
      </c>
    </row>
    <row r="58" spans="1:12" s="1" customFormat="1">
      <c r="A58" s="15"/>
      <c r="B58" s="11" t="s">
        <v>1022</v>
      </c>
      <c r="C58" s="11" t="s">
        <v>45</v>
      </c>
      <c r="D58" s="9" t="s">
        <v>1018</v>
      </c>
      <c r="E58" s="16" t="s">
        <v>128</v>
      </c>
      <c r="F58" s="72"/>
      <c r="G58" s="17" t="s">
        <v>1127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1014</v>
      </c>
      <c r="C59" s="11" t="s">
        <v>45</v>
      </c>
      <c r="D59" s="9" t="s">
        <v>1019</v>
      </c>
      <c r="E59" s="16" t="s">
        <v>128</v>
      </c>
      <c r="F59" s="72"/>
      <c r="G59" s="17" t="s">
        <v>1128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1015</v>
      </c>
      <c r="C60" s="11" t="s">
        <v>45</v>
      </c>
      <c r="D60" s="9" t="s">
        <v>1020</v>
      </c>
      <c r="E60" s="16" t="s">
        <v>128</v>
      </c>
      <c r="F60" s="72"/>
      <c r="G60" s="17" t="s">
        <v>1129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1016</v>
      </c>
      <c r="C61" s="11" t="s">
        <v>45</v>
      </c>
      <c r="D61" s="9" t="s">
        <v>1021</v>
      </c>
      <c r="E61" s="16" t="s">
        <v>128</v>
      </c>
      <c r="F61" s="72"/>
      <c r="G61" s="17" t="s">
        <v>1130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1017</v>
      </c>
      <c r="C62" s="11" t="s">
        <v>45</v>
      </c>
      <c r="D62" s="9" t="s">
        <v>1042</v>
      </c>
      <c r="E62" s="16" t="s">
        <v>128</v>
      </c>
      <c r="F62" s="72"/>
      <c r="G62" s="17" t="s">
        <v>1131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1049</v>
      </c>
      <c r="C63" s="11" t="s">
        <v>45</v>
      </c>
      <c r="D63" s="9" t="s">
        <v>153</v>
      </c>
      <c r="E63" s="16" t="s">
        <v>128</v>
      </c>
      <c r="F63" s="72"/>
      <c r="G63" s="17" t="s">
        <v>1262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823</v>
      </c>
      <c r="C64" s="11" t="s">
        <v>280</v>
      </c>
      <c r="D64" s="9" t="s">
        <v>1474</v>
      </c>
      <c r="E64" s="16" t="s">
        <v>128</v>
      </c>
      <c r="F64" s="72"/>
      <c r="G64" s="17" t="s">
        <v>1082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1030</v>
      </c>
      <c r="C65" s="11" t="s">
        <v>45</v>
      </c>
      <c r="D65" s="9" t="s">
        <v>1026</v>
      </c>
      <c r="E65" s="16" t="s">
        <v>128</v>
      </c>
      <c r="F65" s="72"/>
      <c r="G65" s="17" t="s">
        <v>1133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1023</v>
      </c>
      <c r="C66" s="11" t="s">
        <v>45</v>
      </c>
      <c r="D66" s="9" t="s">
        <v>1027</v>
      </c>
      <c r="E66" s="16" t="s">
        <v>128</v>
      </c>
      <c r="F66" s="72"/>
      <c r="G66" s="17" t="s">
        <v>1134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1024</v>
      </c>
      <c r="C67" s="11" t="s">
        <v>45</v>
      </c>
      <c r="D67" s="9" t="s">
        <v>1028</v>
      </c>
      <c r="E67" s="16" t="s">
        <v>128</v>
      </c>
      <c r="F67" s="72"/>
      <c r="G67" s="17" t="s">
        <v>1135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1032</v>
      </c>
      <c r="C68" s="11" t="s">
        <v>45</v>
      </c>
      <c r="D68" s="9" t="s">
        <v>1029</v>
      </c>
      <c r="E68" s="16" t="s">
        <v>128</v>
      </c>
      <c r="F68" s="72"/>
      <c r="G68" s="17" t="s">
        <v>1136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1025</v>
      </c>
      <c r="C69" s="11" t="s">
        <v>45</v>
      </c>
      <c r="D69" s="9" t="s">
        <v>1043</v>
      </c>
      <c r="E69" s="16" t="s">
        <v>128</v>
      </c>
      <c r="F69" s="72"/>
      <c r="G69" s="17" t="s">
        <v>1137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1084</v>
      </c>
      <c r="C70" s="11" t="s">
        <v>280</v>
      </c>
      <c r="D70" s="9" t="s">
        <v>1086</v>
      </c>
      <c r="E70" s="16" t="s">
        <v>128</v>
      </c>
      <c r="F70" s="72"/>
      <c r="G70" s="17" t="s">
        <v>1087</v>
      </c>
      <c r="H70" s="18"/>
      <c r="I70" s="17"/>
      <c r="J70" s="19" t="s">
        <v>133</v>
      </c>
      <c r="K70" s="19" t="s">
        <v>202</v>
      </c>
      <c r="L70" s="19" t="s">
        <v>67</v>
      </c>
    </row>
    <row r="71" spans="1:12" s="1" customFormat="1">
      <c r="A71" s="15"/>
      <c r="B71" s="11" t="s">
        <v>1083</v>
      </c>
      <c r="C71" s="11" t="s">
        <v>280</v>
      </c>
      <c r="D71" s="9" t="s">
        <v>841</v>
      </c>
      <c r="E71" s="16" t="s">
        <v>128</v>
      </c>
      <c r="F71" s="72"/>
      <c r="G71" s="17" t="s">
        <v>1866</v>
      </c>
      <c r="H71" s="18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1033</v>
      </c>
      <c r="C72" s="11" t="s">
        <v>45</v>
      </c>
      <c r="D72" s="9" t="s">
        <v>1038</v>
      </c>
      <c r="E72" s="16" t="s">
        <v>128</v>
      </c>
      <c r="F72" s="72"/>
      <c r="G72" s="17" t="s">
        <v>1138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1034</v>
      </c>
      <c r="C73" s="11" t="s">
        <v>45</v>
      </c>
      <c r="D73" s="9" t="s">
        <v>1039</v>
      </c>
      <c r="E73" s="16" t="s">
        <v>128</v>
      </c>
      <c r="F73" s="72"/>
      <c r="G73" s="17" t="s">
        <v>1139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1035</v>
      </c>
      <c r="C74" s="11" t="s">
        <v>45</v>
      </c>
      <c r="D74" s="9" t="s">
        <v>1040</v>
      </c>
      <c r="E74" s="16" t="s">
        <v>128</v>
      </c>
      <c r="F74" s="72"/>
      <c r="G74" s="17" t="s">
        <v>1140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1036</v>
      </c>
      <c r="C75" s="11" t="s">
        <v>45</v>
      </c>
      <c r="D75" s="9" t="s">
        <v>1041</v>
      </c>
      <c r="E75" s="16" t="s">
        <v>128</v>
      </c>
      <c r="F75" s="72"/>
      <c r="G75" s="17" t="s">
        <v>1141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1037</v>
      </c>
      <c r="C76" s="11" t="s">
        <v>45</v>
      </c>
      <c r="D76" s="9" t="s">
        <v>1044</v>
      </c>
      <c r="E76" s="16" t="s">
        <v>128</v>
      </c>
      <c r="F76" s="72"/>
      <c r="G76" s="17" t="s">
        <v>1142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816</v>
      </c>
      <c r="C77" s="11" t="s">
        <v>280</v>
      </c>
      <c r="D77" s="9" t="s">
        <v>839</v>
      </c>
      <c r="E77" s="16" t="s">
        <v>128</v>
      </c>
      <c r="F77" s="72"/>
      <c r="G77" s="17" t="s">
        <v>1088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817</v>
      </c>
      <c r="C78" s="11" t="s">
        <v>45</v>
      </c>
      <c r="D78" s="9" t="s">
        <v>658</v>
      </c>
      <c r="E78" s="16" t="s">
        <v>128</v>
      </c>
      <c r="F78" s="72"/>
      <c r="G78" s="17" t="s">
        <v>1090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818</v>
      </c>
      <c r="C79" s="11" t="s">
        <v>280</v>
      </c>
      <c r="D79" s="9" t="s">
        <v>842</v>
      </c>
      <c r="E79" s="16" t="s">
        <v>128</v>
      </c>
      <c r="F79" s="72"/>
      <c r="G79" s="17" t="s">
        <v>1091</v>
      </c>
      <c r="H79" s="18"/>
      <c r="I79" s="17"/>
      <c r="J79" s="19" t="s">
        <v>133</v>
      </c>
      <c r="K79" s="19" t="s">
        <v>202</v>
      </c>
      <c r="L79" s="19" t="s">
        <v>67</v>
      </c>
    </row>
    <row r="80" spans="1:12" s="1" customFormat="1">
      <c r="A80" s="15"/>
      <c r="B80" s="11" t="s">
        <v>819</v>
      </c>
      <c r="C80" s="11" t="s">
        <v>45</v>
      </c>
      <c r="D80" s="9" t="s">
        <v>660</v>
      </c>
      <c r="E80" s="16" t="s">
        <v>128</v>
      </c>
      <c r="F80" s="72"/>
      <c r="G80" s="17" t="s">
        <v>1093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829</v>
      </c>
      <c r="C81" s="11" t="s">
        <v>280</v>
      </c>
      <c r="D81" s="9" t="s">
        <v>505</v>
      </c>
      <c r="E81" s="16" t="s">
        <v>128</v>
      </c>
      <c r="F81" s="72"/>
      <c r="G81" s="17" t="s">
        <v>1094</v>
      </c>
      <c r="H81" s="18"/>
      <c r="I81" s="17"/>
      <c r="J81" s="19" t="s">
        <v>133</v>
      </c>
      <c r="K81" s="19" t="s">
        <v>203</v>
      </c>
      <c r="L81" s="19" t="s">
        <v>67</v>
      </c>
    </row>
    <row r="82" spans="1:12" s="1" customFormat="1">
      <c r="A82" s="15"/>
      <c r="B82" s="11" t="s">
        <v>1570</v>
      </c>
      <c r="C82" s="11" t="s">
        <v>45</v>
      </c>
      <c r="D82" s="9" t="s">
        <v>1526</v>
      </c>
      <c r="E82" s="16" t="s">
        <v>128</v>
      </c>
      <c r="F82" s="72"/>
      <c r="G82" s="17" t="s">
        <v>1571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1527</v>
      </c>
      <c r="C83" s="11" t="s">
        <v>45</v>
      </c>
      <c r="D83" s="9" t="s">
        <v>1528</v>
      </c>
      <c r="E83" s="16" t="s">
        <v>128</v>
      </c>
      <c r="F83" s="72"/>
      <c r="G83" s="17" t="s">
        <v>1572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11" t="s">
        <v>1529</v>
      </c>
      <c r="C84" s="11" t="s">
        <v>45</v>
      </c>
      <c r="D84" s="9" t="s">
        <v>1530</v>
      </c>
      <c r="E84" s="16" t="s">
        <v>128</v>
      </c>
      <c r="F84" s="72"/>
      <c r="G84" s="17" t="s">
        <v>1573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1531</v>
      </c>
      <c r="C85" s="11" t="s">
        <v>45</v>
      </c>
      <c r="D85" s="9" t="s">
        <v>1532</v>
      </c>
      <c r="E85" s="16" t="s">
        <v>128</v>
      </c>
      <c r="F85" s="72"/>
      <c r="G85" s="17" t="s">
        <v>1574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1533</v>
      </c>
      <c r="C86" s="11" t="s">
        <v>45</v>
      </c>
      <c r="D86" s="9" t="s">
        <v>1534</v>
      </c>
      <c r="E86" s="16" t="s">
        <v>128</v>
      </c>
      <c r="F86" s="72"/>
      <c r="G86" s="17" t="s">
        <v>1575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799</v>
      </c>
      <c r="C87" s="11" t="s">
        <v>280</v>
      </c>
      <c r="D87" s="9" t="s">
        <v>506</v>
      </c>
      <c r="E87" s="16" t="s">
        <v>128</v>
      </c>
      <c r="F87" s="72"/>
      <c r="G87" s="17" t="s">
        <v>1095</v>
      </c>
      <c r="H87" s="18"/>
      <c r="I87" s="17"/>
      <c r="J87" s="19" t="s">
        <v>133</v>
      </c>
      <c r="K87" s="19" t="s">
        <v>203</v>
      </c>
      <c r="L87" s="19" t="s">
        <v>67</v>
      </c>
    </row>
    <row r="88" spans="1:12" s="1" customFormat="1">
      <c r="A88" s="15"/>
      <c r="B88" s="11" t="s">
        <v>1549</v>
      </c>
      <c r="C88" s="11" t="s">
        <v>45</v>
      </c>
      <c r="D88" s="9" t="s">
        <v>1540</v>
      </c>
      <c r="E88" s="16" t="s">
        <v>128</v>
      </c>
      <c r="F88" s="72"/>
      <c r="G88" s="17" t="s">
        <v>1576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1541</v>
      </c>
      <c r="C89" s="11" t="s">
        <v>45</v>
      </c>
      <c r="D89" s="9" t="s">
        <v>1542</v>
      </c>
      <c r="E89" s="16" t="s">
        <v>128</v>
      </c>
      <c r="F89" s="72"/>
      <c r="G89" s="17" t="s">
        <v>1577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1543</v>
      </c>
      <c r="C90" s="11" t="s">
        <v>45</v>
      </c>
      <c r="D90" s="9" t="s">
        <v>1544</v>
      </c>
      <c r="E90" s="16" t="s">
        <v>128</v>
      </c>
      <c r="F90" s="72"/>
      <c r="G90" s="17" t="s">
        <v>1578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1545</v>
      </c>
      <c r="C91" s="11" t="s">
        <v>45</v>
      </c>
      <c r="D91" s="9" t="s">
        <v>1546</v>
      </c>
      <c r="E91" s="16" t="s">
        <v>128</v>
      </c>
      <c r="F91" s="72"/>
      <c r="G91" s="17" t="s">
        <v>1579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1547</v>
      </c>
      <c r="C92" s="11" t="s">
        <v>45</v>
      </c>
      <c r="D92" s="9" t="s">
        <v>1548</v>
      </c>
      <c r="E92" s="16" t="s">
        <v>128</v>
      </c>
      <c r="F92" s="72"/>
      <c r="G92" s="17" t="s">
        <v>1580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830</v>
      </c>
      <c r="C93" s="11" t="s">
        <v>45</v>
      </c>
      <c r="D93" s="9" t="s">
        <v>837</v>
      </c>
      <c r="E93" s="16" t="s">
        <v>128</v>
      </c>
      <c r="F93" s="72"/>
      <c r="G93" s="17" t="s">
        <v>1097</v>
      </c>
      <c r="H93" s="18"/>
      <c r="I93" s="17"/>
      <c r="J93" s="19" t="s">
        <v>133</v>
      </c>
      <c r="K93" s="19" t="s">
        <v>44</v>
      </c>
      <c r="L93" s="19" t="s">
        <v>67</v>
      </c>
    </row>
    <row r="94" spans="1:12" s="1" customFormat="1">
      <c r="A94" s="15"/>
      <c r="B94" s="11" t="s">
        <v>623</v>
      </c>
      <c r="C94" s="11" t="s">
        <v>280</v>
      </c>
      <c r="D94" s="9" t="s">
        <v>836</v>
      </c>
      <c r="E94" s="16" t="s">
        <v>128</v>
      </c>
      <c r="F94" s="72"/>
      <c r="G94" s="17" t="s">
        <v>1099</v>
      </c>
      <c r="H94" s="18"/>
      <c r="I94" s="17"/>
      <c r="J94" s="19" t="s">
        <v>133</v>
      </c>
      <c r="K94" s="19" t="s">
        <v>202</v>
      </c>
      <c r="L94" s="19" t="s">
        <v>67</v>
      </c>
    </row>
    <row r="95" spans="1:12" s="1" customFormat="1">
      <c r="A95" s="15"/>
      <c r="B95" s="95" t="s">
        <v>1564</v>
      </c>
      <c r="C95" s="95" t="s">
        <v>45</v>
      </c>
      <c r="D95" s="96" t="s">
        <v>1555</v>
      </c>
      <c r="E95" s="16" t="s">
        <v>128</v>
      </c>
      <c r="F95" s="72"/>
      <c r="G95" s="17" t="s">
        <v>1581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95" t="s">
        <v>1556</v>
      </c>
      <c r="C96" s="95" t="s">
        <v>45</v>
      </c>
      <c r="D96" s="96" t="s">
        <v>1557</v>
      </c>
      <c r="E96" s="16" t="s">
        <v>128</v>
      </c>
      <c r="F96" s="72"/>
      <c r="G96" s="17" t="s">
        <v>1582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95" t="s">
        <v>1558</v>
      </c>
      <c r="C97" s="95" t="s">
        <v>45</v>
      </c>
      <c r="D97" s="96" t="s">
        <v>1559</v>
      </c>
      <c r="E97" s="16" t="s">
        <v>128</v>
      </c>
      <c r="F97" s="72"/>
      <c r="G97" s="17" t="s">
        <v>1583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95" t="s">
        <v>1560</v>
      </c>
      <c r="C98" s="95" t="s">
        <v>45</v>
      </c>
      <c r="D98" s="96" t="s">
        <v>1561</v>
      </c>
      <c r="E98" s="16" t="s">
        <v>128</v>
      </c>
      <c r="F98" s="72"/>
      <c r="G98" s="17" t="s">
        <v>1584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95" t="s">
        <v>1562</v>
      </c>
      <c r="C99" s="95" t="s">
        <v>45</v>
      </c>
      <c r="D99" s="96" t="s">
        <v>1563</v>
      </c>
      <c r="E99" s="16" t="s">
        <v>128</v>
      </c>
      <c r="F99" s="72"/>
      <c r="G99" s="17" t="s">
        <v>1585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11" t="s">
        <v>831</v>
      </c>
      <c r="C100" s="11" t="s">
        <v>45</v>
      </c>
      <c r="D100" s="9" t="s">
        <v>825</v>
      </c>
      <c r="E100" s="16" t="s">
        <v>128</v>
      </c>
      <c r="F100" s="72"/>
      <c r="G100" s="17" t="s">
        <v>1100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2" s="1" customFormat="1">
      <c r="A101" s="15"/>
      <c r="B101" s="11" t="s">
        <v>1098</v>
      </c>
      <c r="C101" s="11" t="s">
        <v>280</v>
      </c>
      <c r="D101" s="9" t="s">
        <v>826</v>
      </c>
      <c r="E101" s="16" t="s">
        <v>128</v>
      </c>
      <c r="F101" s="72"/>
      <c r="G101" s="17" t="s">
        <v>1101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2" s="1" customFormat="1">
      <c r="A102" s="15"/>
      <c r="B102" s="11" t="s">
        <v>834</v>
      </c>
      <c r="C102" s="11" t="s">
        <v>280</v>
      </c>
      <c r="D102" s="9" t="s">
        <v>833</v>
      </c>
      <c r="E102" s="16" t="s">
        <v>128</v>
      </c>
      <c r="F102" s="72"/>
      <c r="G102" s="17" t="s">
        <v>1102</v>
      </c>
      <c r="H102" s="18"/>
      <c r="I102" s="17"/>
      <c r="J102" s="19" t="s">
        <v>133</v>
      </c>
      <c r="K102" s="19" t="s">
        <v>202</v>
      </c>
      <c r="L102" s="19" t="s">
        <v>67</v>
      </c>
    </row>
    <row r="103" spans="1:12" s="1" customFormat="1">
      <c r="A103" s="15"/>
      <c r="B103" s="11" t="s">
        <v>535</v>
      </c>
      <c r="C103" s="11" t="s">
        <v>280</v>
      </c>
      <c r="D103" s="9" t="s">
        <v>534</v>
      </c>
      <c r="E103" s="16" t="s">
        <v>128</v>
      </c>
      <c r="F103" s="72"/>
      <c r="G103" s="17" t="s">
        <v>1103</v>
      </c>
      <c r="H103" s="18"/>
      <c r="I103" s="17"/>
      <c r="J103" s="19" t="s">
        <v>133</v>
      </c>
      <c r="K103" s="19" t="s">
        <v>202</v>
      </c>
      <c r="L103" s="19" t="s">
        <v>67</v>
      </c>
    </row>
    <row r="104" spans="1:12" s="1" customFormat="1">
      <c r="A104" s="15"/>
      <c r="B104" s="11" t="s">
        <v>848</v>
      </c>
      <c r="C104" s="11" t="s">
        <v>45</v>
      </c>
      <c r="D104" s="9" t="s">
        <v>850</v>
      </c>
      <c r="E104" s="16" t="s">
        <v>128</v>
      </c>
      <c r="F104" s="72"/>
      <c r="G104" s="17" t="s">
        <v>1104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A105" s="15"/>
      <c r="B105" s="11" t="s">
        <v>849</v>
      </c>
      <c r="C105" s="11" t="s">
        <v>45</v>
      </c>
      <c r="D105" s="9" t="s">
        <v>116</v>
      </c>
      <c r="E105" s="16" t="s">
        <v>128</v>
      </c>
      <c r="F105" s="72"/>
      <c r="G105" s="17" t="s">
        <v>1105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A106" s="15"/>
      <c r="B106" s="11" t="s">
        <v>854</v>
      </c>
      <c r="C106" s="11" t="s">
        <v>1202</v>
      </c>
      <c r="D106" s="9" t="s">
        <v>502</v>
      </c>
      <c r="E106" s="16" t="s">
        <v>128</v>
      </c>
      <c r="F106" s="72"/>
      <c r="G106" s="17" t="s">
        <v>1107</v>
      </c>
      <c r="H106" s="18"/>
      <c r="I106" s="17"/>
      <c r="J106" s="19" t="s">
        <v>133</v>
      </c>
      <c r="K106" s="19" t="s">
        <v>202</v>
      </c>
      <c r="L106" s="19" t="s">
        <v>67</v>
      </c>
    </row>
    <row r="107" spans="1:12" s="1" customFormat="1">
      <c r="A107" s="15"/>
      <c r="B107" s="11" t="s">
        <v>856</v>
      </c>
      <c r="C107" s="11" t="s">
        <v>45</v>
      </c>
      <c r="D107" s="9" t="s">
        <v>857</v>
      </c>
      <c r="E107" s="16" t="s">
        <v>128</v>
      </c>
      <c r="F107" s="72"/>
      <c r="G107" s="17" t="s">
        <v>1106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315</v>
      </c>
      <c r="C108" s="11" t="s">
        <v>45</v>
      </c>
      <c r="D108" s="9" t="s">
        <v>112</v>
      </c>
      <c r="E108" s="16" t="s">
        <v>128</v>
      </c>
      <c r="F108" s="72"/>
      <c r="G108" s="17" t="s">
        <v>1145</v>
      </c>
      <c r="H108" s="18"/>
      <c r="I108" s="17"/>
      <c r="J108" s="19" t="s">
        <v>133</v>
      </c>
      <c r="K108" s="19" t="s">
        <v>44</v>
      </c>
      <c r="L108" s="19" t="s">
        <v>67</v>
      </c>
    </row>
    <row r="109" spans="1:12" s="1" customFormat="1">
      <c r="A109" s="15"/>
      <c r="B109" s="11" t="s">
        <v>868</v>
      </c>
      <c r="C109" s="11" t="s">
        <v>45</v>
      </c>
      <c r="D109" s="9" t="s">
        <v>859</v>
      </c>
      <c r="E109" s="16" t="s">
        <v>128</v>
      </c>
      <c r="F109" s="72"/>
      <c r="G109" s="17" t="s">
        <v>1146</v>
      </c>
      <c r="H109" s="18"/>
      <c r="I109" s="17"/>
      <c r="J109" s="19" t="s">
        <v>133</v>
      </c>
      <c r="K109" s="19" t="s">
        <v>44</v>
      </c>
      <c r="L109" s="19" t="s">
        <v>67</v>
      </c>
    </row>
    <row r="110" spans="1:12" s="1" customFormat="1">
      <c r="A110" s="15"/>
      <c r="B110" s="11" t="s">
        <v>869</v>
      </c>
      <c r="C110" s="11" t="s">
        <v>45</v>
      </c>
      <c r="D110" s="9" t="s">
        <v>860</v>
      </c>
      <c r="E110" s="16" t="s">
        <v>128</v>
      </c>
      <c r="F110" s="72"/>
      <c r="G110" s="17" t="s">
        <v>1147</v>
      </c>
      <c r="H110" s="18"/>
      <c r="I110" s="17"/>
      <c r="J110" s="19" t="s">
        <v>133</v>
      </c>
      <c r="K110" s="19" t="s">
        <v>44</v>
      </c>
      <c r="L110" s="19" t="s">
        <v>67</v>
      </c>
    </row>
    <row r="111" spans="1:12" s="1" customFormat="1">
      <c r="A111" s="15"/>
      <c r="B111" s="11" t="s">
        <v>870</v>
      </c>
      <c r="C111" s="11" t="s">
        <v>45</v>
      </c>
      <c r="D111" s="9" t="s">
        <v>861</v>
      </c>
      <c r="E111" s="16" t="s">
        <v>128</v>
      </c>
      <c r="F111" s="72"/>
      <c r="G111" s="17" t="s">
        <v>1148</v>
      </c>
      <c r="H111" s="18"/>
      <c r="I111" s="17"/>
      <c r="J111" s="19" t="s">
        <v>133</v>
      </c>
      <c r="K111" s="19" t="s">
        <v>44</v>
      </c>
      <c r="L111" s="19" t="s">
        <v>67</v>
      </c>
    </row>
    <row r="112" spans="1:12" s="1" customFormat="1">
      <c r="A112" s="15"/>
      <c r="B112" s="11" t="s">
        <v>871</v>
      </c>
      <c r="C112" s="11" t="s">
        <v>45</v>
      </c>
      <c r="D112" s="9" t="s">
        <v>880</v>
      </c>
      <c r="E112" s="16" t="s">
        <v>128</v>
      </c>
      <c r="F112" s="72"/>
      <c r="G112" s="17" t="s">
        <v>1149</v>
      </c>
      <c r="H112" s="18"/>
      <c r="I112" s="17"/>
      <c r="J112" s="19" t="s">
        <v>133</v>
      </c>
      <c r="K112" s="19" t="s">
        <v>44</v>
      </c>
      <c r="L112" s="19" t="s">
        <v>67</v>
      </c>
    </row>
    <row r="113" spans="1:17" s="1" customFormat="1">
      <c r="A113" s="15"/>
      <c r="B113" s="11" t="s">
        <v>872</v>
      </c>
      <c r="C113" s="11" t="s">
        <v>45</v>
      </c>
      <c r="D113" s="9" t="s">
        <v>881</v>
      </c>
      <c r="E113" s="16" t="s">
        <v>128</v>
      </c>
      <c r="F113" s="72"/>
      <c r="G113" s="17" t="s">
        <v>1150</v>
      </c>
      <c r="H113" s="18"/>
      <c r="I113" s="17"/>
      <c r="J113" s="19" t="s">
        <v>133</v>
      </c>
      <c r="K113" s="19" t="s">
        <v>44</v>
      </c>
      <c r="L113" s="19" t="s">
        <v>67</v>
      </c>
    </row>
    <row r="114" spans="1:17" s="1" customFormat="1">
      <c r="A114" s="15"/>
      <c r="B114" s="11" t="s">
        <v>873</v>
      </c>
      <c r="C114" s="11" t="s">
        <v>45</v>
      </c>
      <c r="D114" s="9" t="s">
        <v>882</v>
      </c>
      <c r="E114" s="16" t="s">
        <v>128</v>
      </c>
      <c r="F114" s="72"/>
      <c r="G114" s="17" t="s">
        <v>1151</v>
      </c>
      <c r="H114" s="18"/>
      <c r="I114" s="17"/>
      <c r="J114" s="19" t="s">
        <v>133</v>
      </c>
      <c r="K114" s="19" t="s">
        <v>44</v>
      </c>
      <c r="L114" s="19" t="s">
        <v>67</v>
      </c>
    </row>
    <row r="115" spans="1:17" s="1" customFormat="1">
      <c r="A115" s="15"/>
      <c r="B115" s="11" t="s">
        <v>874</v>
      </c>
      <c r="C115" s="11" t="s">
        <v>45</v>
      </c>
      <c r="D115" s="9" t="s">
        <v>862</v>
      </c>
      <c r="E115" s="16" t="s">
        <v>128</v>
      </c>
      <c r="F115" s="72"/>
      <c r="G115" s="17" t="s">
        <v>1152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875</v>
      </c>
      <c r="C116" s="11" t="s">
        <v>45</v>
      </c>
      <c r="D116" s="9" t="s">
        <v>863</v>
      </c>
      <c r="E116" s="16" t="s">
        <v>128</v>
      </c>
      <c r="F116" s="72"/>
      <c r="G116" s="17" t="s">
        <v>1153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1" customFormat="1">
      <c r="A117" s="15"/>
      <c r="B117" s="11" t="s">
        <v>876</v>
      </c>
      <c r="C117" s="11" t="s">
        <v>45</v>
      </c>
      <c r="D117" s="9" t="s">
        <v>864</v>
      </c>
      <c r="E117" s="16" t="s">
        <v>128</v>
      </c>
      <c r="F117" s="72"/>
      <c r="G117" s="17" t="s">
        <v>1154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7" s="3" customFormat="1">
      <c r="B118" s="23" t="s">
        <v>47</v>
      </c>
      <c r="C118" s="24" t="s">
        <v>46</v>
      </c>
      <c r="D118" s="21" t="s">
        <v>48</v>
      </c>
      <c r="E118" s="44"/>
      <c r="F118" s="44"/>
      <c r="G118" s="44" t="s">
        <v>282</v>
      </c>
      <c r="H118" s="23" t="s">
        <v>282</v>
      </c>
      <c r="I118" s="23"/>
      <c r="J118" s="23"/>
      <c r="K118" s="23"/>
      <c r="L118" s="23"/>
      <c r="M118" s="23"/>
      <c r="N118" s="23"/>
      <c r="O118" s="23"/>
      <c r="P118" s="23"/>
      <c r="Q118" s="23"/>
    </row>
    <row r="119" spans="1:17" s="3" customFormat="1">
      <c r="B119" s="23" t="s">
        <v>49</v>
      </c>
      <c r="C119" s="24" t="s">
        <v>43</v>
      </c>
      <c r="D119" s="21" t="s">
        <v>50</v>
      </c>
      <c r="E119" s="44"/>
      <c r="F119" s="44"/>
      <c r="G119" s="44" t="s">
        <v>282</v>
      </c>
      <c r="H119" s="23" t="s">
        <v>282</v>
      </c>
      <c r="I119" s="23"/>
      <c r="J119" s="23"/>
      <c r="K119" s="23"/>
      <c r="L119" s="23"/>
      <c r="M119" s="23"/>
      <c r="N119" s="23"/>
      <c r="O119" s="23"/>
      <c r="P119" s="23"/>
      <c r="Q119" s="23"/>
    </row>
    <row r="120" spans="1:17" s="3" customFormat="1">
      <c r="B120" s="23" t="s">
        <v>51</v>
      </c>
      <c r="C120" s="24" t="s">
        <v>46</v>
      </c>
      <c r="D120" s="21" t="s">
        <v>52</v>
      </c>
      <c r="E120" s="44"/>
      <c r="F120" s="44"/>
      <c r="G120" s="44" t="s">
        <v>282</v>
      </c>
      <c r="H120" s="23" t="s">
        <v>282</v>
      </c>
      <c r="I120" s="23"/>
      <c r="J120" s="23"/>
      <c r="K120" s="23"/>
      <c r="L120" s="23"/>
      <c r="M120" s="23"/>
      <c r="N120" s="23"/>
      <c r="O120" s="23"/>
      <c r="P120" s="23"/>
      <c r="Q120" s="23"/>
    </row>
  </sheetData>
  <autoFilter ref="A13:Q120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8450-3941-4B1A-B95E-8F6339F5C703}">
  <sheetPr codeName="Sheet15"/>
  <dimension ref="A1:Q118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1365</v>
      </c>
      <c r="D5" s="10" t="s">
        <v>1346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1342</v>
      </c>
      <c r="D9" s="10" t="s">
        <v>1345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2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2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95</v>
      </c>
      <c r="C22" s="11" t="s">
        <v>93</v>
      </c>
      <c r="D22" s="9" t="s">
        <v>114</v>
      </c>
      <c r="E22" s="16" t="s">
        <v>128</v>
      </c>
      <c r="F22" s="9" t="s">
        <v>1069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44</v>
      </c>
    </row>
    <row r="23" spans="1:12" s="1" customFormat="1">
      <c r="B23" s="22" t="s">
        <v>85</v>
      </c>
      <c r="C23" s="11" t="s">
        <v>43</v>
      </c>
      <c r="D23" s="9" t="s">
        <v>107</v>
      </c>
      <c r="E23" s="16" t="s">
        <v>128</v>
      </c>
      <c r="F23" s="17" t="s">
        <v>85</v>
      </c>
      <c r="G23" s="17" t="s">
        <v>129</v>
      </c>
      <c r="H23" s="18"/>
      <c r="I23" s="19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1072</v>
      </c>
      <c r="C24" s="11" t="s">
        <v>45</v>
      </c>
      <c r="D24" s="9" t="s">
        <v>146</v>
      </c>
      <c r="E24" s="16" t="s">
        <v>128</v>
      </c>
      <c r="F24" s="17"/>
      <c r="G24" s="17" t="s">
        <v>1073</v>
      </c>
      <c r="H24" s="18"/>
      <c r="I24" s="17"/>
      <c r="J24" s="19" t="s">
        <v>133</v>
      </c>
      <c r="K24" s="19" t="s">
        <v>132</v>
      </c>
      <c r="L24" s="19" t="s">
        <v>134</v>
      </c>
    </row>
    <row r="25" spans="1:12" s="1" customFormat="1">
      <c r="A25" s="15"/>
      <c r="B25" s="11" t="s">
        <v>189</v>
      </c>
      <c r="C25" s="11" t="s">
        <v>45</v>
      </c>
      <c r="D25" s="9" t="s">
        <v>190</v>
      </c>
      <c r="E25" s="16" t="s">
        <v>128</v>
      </c>
      <c r="F25" s="17"/>
      <c r="G25" s="17" t="s">
        <v>1259</v>
      </c>
      <c r="H25" s="18"/>
      <c r="I25" s="17"/>
      <c r="J25" s="19" t="s">
        <v>133</v>
      </c>
      <c r="K25" s="19" t="s">
        <v>132</v>
      </c>
      <c r="L25" s="19" t="s">
        <v>134</v>
      </c>
    </row>
    <row r="26" spans="1:12" s="1" customFormat="1">
      <c r="A26" s="15"/>
      <c r="B26" s="11" t="s">
        <v>192</v>
      </c>
      <c r="C26" s="11" t="s">
        <v>45</v>
      </c>
      <c r="D26" s="9" t="s">
        <v>193</v>
      </c>
      <c r="E26" s="16" t="s">
        <v>128</v>
      </c>
      <c r="F26" s="17"/>
      <c r="G26" s="17" t="s">
        <v>1074</v>
      </c>
      <c r="H26" s="18"/>
      <c r="I26" s="17"/>
      <c r="J26" s="19" t="s">
        <v>133</v>
      </c>
      <c r="K26" s="19" t="s">
        <v>132</v>
      </c>
      <c r="L26" s="19" t="s">
        <v>134</v>
      </c>
    </row>
    <row r="27" spans="1:12" s="1" customFormat="1">
      <c r="A27" s="15"/>
      <c r="B27" s="22" t="s">
        <v>1383</v>
      </c>
      <c r="C27" s="22" t="s">
        <v>45</v>
      </c>
      <c r="D27" s="9" t="s">
        <v>348</v>
      </c>
      <c r="E27" s="16" t="s">
        <v>128</v>
      </c>
      <c r="F27" s="17"/>
      <c r="G27" s="17" t="s">
        <v>257</v>
      </c>
      <c r="H27" s="18"/>
      <c r="I27" s="17"/>
      <c r="J27" s="19" t="s">
        <v>133</v>
      </c>
      <c r="K27" s="19" t="s">
        <v>203</v>
      </c>
      <c r="L27" s="19" t="s">
        <v>134</v>
      </c>
    </row>
    <row r="28" spans="1:12" s="1" customFormat="1">
      <c r="A28" s="15"/>
      <c r="B28" s="11" t="s">
        <v>296</v>
      </c>
      <c r="C28" s="11" t="s">
        <v>45</v>
      </c>
      <c r="D28" s="9" t="s">
        <v>759</v>
      </c>
      <c r="E28" s="16" t="s">
        <v>128</v>
      </c>
      <c r="F28" s="72"/>
      <c r="G28" s="17" t="s">
        <v>320</v>
      </c>
      <c r="H28" s="18"/>
      <c r="I28" s="17"/>
      <c r="J28" s="19" t="s">
        <v>133</v>
      </c>
      <c r="K28" s="19" t="s">
        <v>204</v>
      </c>
      <c r="L28" s="19" t="s">
        <v>134</v>
      </c>
    </row>
    <row r="29" spans="1:12" s="1" customFormat="1">
      <c r="A29" s="15"/>
      <c r="B29" s="11" t="s">
        <v>297</v>
      </c>
      <c r="C29" s="11" t="s">
        <v>45</v>
      </c>
      <c r="D29" s="9" t="s">
        <v>160</v>
      </c>
      <c r="E29" s="16" t="s">
        <v>128</v>
      </c>
      <c r="F29" s="72"/>
      <c r="G29" s="17" t="s">
        <v>319</v>
      </c>
      <c r="H29" s="18"/>
      <c r="I29" s="17"/>
      <c r="J29" s="19" t="s">
        <v>133</v>
      </c>
      <c r="K29" s="19" t="s">
        <v>204</v>
      </c>
      <c r="L29" s="19" t="s">
        <v>134</v>
      </c>
    </row>
    <row r="30" spans="1:12" s="1" customFormat="1">
      <c r="A30" s="15"/>
      <c r="B30" s="11" t="s">
        <v>763</v>
      </c>
      <c r="C30" s="11" t="s">
        <v>45</v>
      </c>
      <c r="D30" s="9" t="s">
        <v>181</v>
      </c>
      <c r="E30" s="16" t="s">
        <v>128</v>
      </c>
      <c r="F30" s="72"/>
      <c r="G30" s="9" t="s">
        <v>1076</v>
      </c>
      <c r="H30" s="18"/>
      <c r="I30" s="17"/>
      <c r="J30" s="19" t="s">
        <v>133</v>
      </c>
      <c r="K30" s="19" t="s">
        <v>44</v>
      </c>
      <c r="L30" s="19" t="s">
        <v>67</v>
      </c>
    </row>
    <row r="31" spans="1:12" s="1" customFormat="1">
      <c r="A31" s="15"/>
      <c r="B31" s="11" t="s">
        <v>805</v>
      </c>
      <c r="C31" s="11" t="s">
        <v>45</v>
      </c>
      <c r="D31" s="9" t="s">
        <v>184</v>
      </c>
      <c r="E31" s="16" t="s">
        <v>128</v>
      </c>
      <c r="F31" s="72"/>
      <c r="G31" s="17" t="s">
        <v>1110</v>
      </c>
      <c r="H31" s="18"/>
      <c r="I31" s="17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11" t="s">
        <v>299</v>
      </c>
      <c r="C32" s="11" t="s">
        <v>45</v>
      </c>
      <c r="D32" s="9" t="s">
        <v>1056</v>
      </c>
      <c r="E32" s="16" t="s">
        <v>128</v>
      </c>
      <c r="F32" s="72"/>
      <c r="G32" s="17" t="s">
        <v>224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" t="s">
        <v>298</v>
      </c>
      <c r="C33" s="11" t="s">
        <v>45</v>
      </c>
      <c r="D33" s="9" t="s">
        <v>1055</v>
      </c>
      <c r="E33" s="16" t="s">
        <v>128</v>
      </c>
      <c r="F33" s="72"/>
      <c r="G33" s="17" t="s">
        <v>223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300</v>
      </c>
      <c r="C34" s="11" t="s">
        <v>45</v>
      </c>
      <c r="D34" s="9" t="s">
        <v>163</v>
      </c>
      <c r="E34" s="16" t="s">
        <v>128</v>
      </c>
      <c r="F34" s="72"/>
      <c r="G34" s="17" t="s">
        <v>225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301</v>
      </c>
      <c r="C35" s="11" t="s">
        <v>45</v>
      </c>
      <c r="D35" s="9" t="s">
        <v>164</v>
      </c>
      <c r="E35" s="16" t="s">
        <v>128</v>
      </c>
      <c r="F35" s="72"/>
      <c r="G35" s="17" t="s">
        <v>226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302</v>
      </c>
      <c r="C36" s="11" t="s">
        <v>45</v>
      </c>
      <c r="D36" s="9" t="s">
        <v>165</v>
      </c>
      <c r="E36" s="16" t="s">
        <v>128</v>
      </c>
      <c r="F36" s="72"/>
      <c r="G36" s="17" t="s">
        <v>1114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303</v>
      </c>
      <c r="C37" s="11" t="s">
        <v>45</v>
      </c>
      <c r="D37" s="9" t="s">
        <v>166</v>
      </c>
      <c r="E37" s="16" t="s">
        <v>128</v>
      </c>
      <c r="F37" s="72"/>
      <c r="G37" s="17" t="s">
        <v>1115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217</v>
      </c>
      <c r="C38" s="11" t="s">
        <v>45</v>
      </c>
      <c r="D38" s="9" t="s">
        <v>171</v>
      </c>
      <c r="E38" s="16" t="s">
        <v>128</v>
      </c>
      <c r="F38" s="72"/>
      <c r="G38" s="17" t="s">
        <v>1116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218</v>
      </c>
      <c r="C39" s="11" t="s">
        <v>45</v>
      </c>
      <c r="D39" s="9" t="s">
        <v>172</v>
      </c>
      <c r="E39" s="16" t="s">
        <v>128</v>
      </c>
      <c r="F39" s="72"/>
      <c r="G39" s="17" t="s">
        <v>1117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219</v>
      </c>
      <c r="C40" s="11" t="s">
        <v>45</v>
      </c>
      <c r="D40" s="9" t="s">
        <v>173</v>
      </c>
      <c r="E40" s="16" t="s">
        <v>128</v>
      </c>
      <c r="F40" s="72"/>
      <c r="G40" s="17" t="s">
        <v>1118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220</v>
      </c>
      <c r="C41" s="11" t="s">
        <v>45</v>
      </c>
      <c r="D41" s="9" t="s">
        <v>174</v>
      </c>
      <c r="E41" s="16" t="s">
        <v>128</v>
      </c>
      <c r="F41" s="72"/>
      <c r="G41" s="17" t="s">
        <v>1119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304</v>
      </c>
      <c r="C42" s="11" t="s">
        <v>45</v>
      </c>
      <c r="D42" s="9" t="s">
        <v>1260</v>
      </c>
      <c r="E42" s="16" t="s">
        <v>128</v>
      </c>
      <c r="F42" s="72"/>
      <c r="G42" s="17" t="s">
        <v>227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305</v>
      </c>
      <c r="C43" s="11" t="s">
        <v>45</v>
      </c>
      <c r="D43" s="9" t="s">
        <v>1261</v>
      </c>
      <c r="E43" s="16" t="s">
        <v>128</v>
      </c>
      <c r="F43" s="72"/>
      <c r="G43" s="17" t="s">
        <v>228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306</v>
      </c>
      <c r="C44" s="11" t="s">
        <v>45</v>
      </c>
      <c r="D44" s="9" t="s">
        <v>167</v>
      </c>
      <c r="E44" s="16" t="s">
        <v>128</v>
      </c>
      <c r="F44" s="72"/>
      <c r="G44" s="17" t="s">
        <v>772</v>
      </c>
      <c r="H44" s="18"/>
      <c r="I44" s="17"/>
      <c r="J44" s="19" t="s">
        <v>133</v>
      </c>
      <c r="K44" s="19" t="s">
        <v>202</v>
      </c>
      <c r="L44" s="19" t="s">
        <v>67</v>
      </c>
    </row>
    <row r="45" spans="1:12" s="1" customFormat="1">
      <c r="A45" s="15"/>
      <c r="B45" s="11" t="s">
        <v>809</v>
      </c>
      <c r="C45" s="11" t="s">
        <v>45</v>
      </c>
      <c r="D45" s="9" t="s">
        <v>175</v>
      </c>
      <c r="E45" s="16" t="s">
        <v>128</v>
      </c>
      <c r="F45" s="72"/>
      <c r="G45" s="17" t="s">
        <v>1120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1490</v>
      </c>
      <c r="C46" s="11" t="s">
        <v>45</v>
      </c>
      <c r="D46" s="9" t="s">
        <v>168</v>
      </c>
      <c r="E46" s="16" t="s">
        <v>128</v>
      </c>
      <c r="F46" s="72"/>
      <c r="G46" s="17" t="s">
        <v>1489</v>
      </c>
      <c r="H46" s="18"/>
      <c r="I46" s="17"/>
      <c r="J46" s="19" t="s">
        <v>133</v>
      </c>
      <c r="K46" s="19" t="s">
        <v>202</v>
      </c>
      <c r="L46" s="19" t="s">
        <v>67</v>
      </c>
    </row>
    <row r="47" spans="1:12" s="1" customFormat="1">
      <c r="A47" s="15"/>
      <c r="B47" s="11" t="s">
        <v>810</v>
      </c>
      <c r="C47" s="11" t="s">
        <v>45</v>
      </c>
      <c r="D47" s="9" t="s">
        <v>176</v>
      </c>
      <c r="E47" s="16" t="s">
        <v>128</v>
      </c>
      <c r="F47" s="72"/>
      <c r="G47" s="17" t="s">
        <v>1121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1213</v>
      </c>
      <c r="C48" s="11" t="s">
        <v>45</v>
      </c>
      <c r="D48" s="9" t="s">
        <v>178</v>
      </c>
      <c r="E48" s="16" t="s">
        <v>128</v>
      </c>
      <c r="F48" s="72"/>
      <c r="G48" s="17" t="s">
        <v>1215</v>
      </c>
      <c r="H48" s="18"/>
      <c r="I48" s="17"/>
      <c r="J48" s="19" t="s">
        <v>133</v>
      </c>
      <c r="K48" s="19" t="s">
        <v>202</v>
      </c>
      <c r="L48" s="19" t="s">
        <v>67</v>
      </c>
    </row>
    <row r="49" spans="1:12" s="1" customFormat="1">
      <c r="A49" s="15"/>
      <c r="B49" s="11" t="s">
        <v>221</v>
      </c>
      <c r="C49" s="11" t="s">
        <v>45</v>
      </c>
      <c r="D49" s="9" t="s">
        <v>177</v>
      </c>
      <c r="E49" s="16" t="s">
        <v>128</v>
      </c>
      <c r="F49" s="72"/>
      <c r="G49" s="17" t="s">
        <v>1256</v>
      </c>
      <c r="H49" s="18"/>
      <c r="I49" s="17"/>
      <c r="J49" s="19" t="s">
        <v>133</v>
      </c>
      <c r="K49" s="19" t="s">
        <v>204</v>
      </c>
      <c r="L49" s="19" t="s">
        <v>67</v>
      </c>
    </row>
    <row r="50" spans="1:12" s="1" customFormat="1">
      <c r="A50" s="15"/>
      <c r="B50" s="11" t="s">
        <v>1212</v>
      </c>
      <c r="C50" s="11" t="s">
        <v>45</v>
      </c>
      <c r="D50" s="9" t="s">
        <v>180</v>
      </c>
      <c r="E50" s="16" t="s">
        <v>128</v>
      </c>
      <c r="F50" s="72"/>
      <c r="G50" s="17" t="s">
        <v>1214</v>
      </c>
      <c r="H50" s="18"/>
      <c r="I50" s="17"/>
      <c r="J50" s="19" t="s">
        <v>133</v>
      </c>
      <c r="K50" s="19" t="s">
        <v>202</v>
      </c>
      <c r="L50" s="19" t="s">
        <v>67</v>
      </c>
    </row>
    <row r="51" spans="1:12" s="1" customFormat="1">
      <c r="A51" s="15"/>
      <c r="B51" s="11" t="s">
        <v>222</v>
      </c>
      <c r="C51" s="11" t="s">
        <v>45</v>
      </c>
      <c r="D51" s="9" t="s">
        <v>179</v>
      </c>
      <c r="E51" s="16" t="s">
        <v>128</v>
      </c>
      <c r="F51" s="72"/>
      <c r="G51" s="17" t="s">
        <v>1123</v>
      </c>
      <c r="H51" s="18"/>
      <c r="I51" s="17"/>
      <c r="J51" s="19" t="s">
        <v>133</v>
      </c>
      <c r="K51" s="19" t="s">
        <v>204</v>
      </c>
      <c r="L51" s="19" t="s">
        <v>67</v>
      </c>
    </row>
    <row r="52" spans="1:12" s="1" customFormat="1">
      <c r="A52" s="15"/>
      <c r="B52" s="11" t="s">
        <v>1384</v>
      </c>
      <c r="C52" s="11" t="s">
        <v>45</v>
      </c>
      <c r="D52" s="9" t="s">
        <v>643</v>
      </c>
      <c r="E52" s="16" t="s">
        <v>128</v>
      </c>
      <c r="F52" s="72"/>
      <c r="G52" s="17" t="s">
        <v>768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1385</v>
      </c>
      <c r="C53" s="11" t="s">
        <v>45</v>
      </c>
      <c r="D53" s="9" t="s">
        <v>813</v>
      </c>
      <c r="E53" s="16" t="s">
        <v>128</v>
      </c>
      <c r="F53" s="72"/>
      <c r="G53" s="17" t="s">
        <v>1124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1386</v>
      </c>
      <c r="C54" s="11" t="s">
        <v>45</v>
      </c>
      <c r="D54" s="9" t="s">
        <v>500</v>
      </c>
      <c r="E54" s="16" t="s">
        <v>128</v>
      </c>
      <c r="F54" s="72"/>
      <c r="G54" s="17" t="s">
        <v>1125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205</v>
      </c>
      <c r="C55" s="11" t="s">
        <v>45</v>
      </c>
      <c r="D55" s="9" t="s">
        <v>147</v>
      </c>
      <c r="E55" s="16" t="s">
        <v>128</v>
      </c>
      <c r="F55" s="72"/>
      <c r="G55" s="17" t="s">
        <v>1126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206</v>
      </c>
      <c r="C56" s="11" t="s">
        <v>280</v>
      </c>
      <c r="D56" s="9" t="s">
        <v>820</v>
      </c>
      <c r="E56" s="16" t="s">
        <v>128</v>
      </c>
      <c r="F56" s="72"/>
      <c r="G56" s="17" t="s">
        <v>1081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1387</v>
      </c>
      <c r="C57" s="11" t="s">
        <v>45</v>
      </c>
      <c r="D57" s="9" t="s">
        <v>1018</v>
      </c>
      <c r="E57" s="16" t="s">
        <v>128</v>
      </c>
      <c r="F57" s="72"/>
      <c r="G57" s="17" t="s">
        <v>1127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1388</v>
      </c>
      <c r="C58" s="11" t="s">
        <v>45</v>
      </c>
      <c r="D58" s="9" t="s">
        <v>1019</v>
      </c>
      <c r="E58" s="16" t="s">
        <v>128</v>
      </c>
      <c r="F58" s="72"/>
      <c r="G58" s="17" t="s">
        <v>1128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1389</v>
      </c>
      <c r="C59" s="11" t="s">
        <v>45</v>
      </c>
      <c r="D59" s="9" t="s">
        <v>1020</v>
      </c>
      <c r="E59" s="16" t="s">
        <v>128</v>
      </c>
      <c r="F59" s="72"/>
      <c r="G59" s="17" t="s">
        <v>1129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1390</v>
      </c>
      <c r="C60" s="11" t="s">
        <v>45</v>
      </c>
      <c r="D60" s="9" t="s">
        <v>1021</v>
      </c>
      <c r="E60" s="16" t="s">
        <v>128</v>
      </c>
      <c r="F60" s="72"/>
      <c r="G60" s="17" t="s">
        <v>1130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1391</v>
      </c>
      <c r="C61" s="11" t="s">
        <v>45</v>
      </c>
      <c r="D61" s="9" t="s">
        <v>1042</v>
      </c>
      <c r="E61" s="16" t="s">
        <v>128</v>
      </c>
      <c r="F61" s="72"/>
      <c r="G61" s="17" t="s">
        <v>1131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1049</v>
      </c>
      <c r="C62" s="11" t="s">
        <v>45</v>
      </c>
      <c r="D62" s="9" t="s">
        <v>153</v>
      </c>
      <c r="E62" s="16" t="s">
        <v>128</v>
      </c>
      <c r="F62" s="72"/>
      <c r="G62" s="17" t="s">
        <v>1262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823</v>
      </c>
      <c r="C63" s="11" t="s">
        <v>280</v>
      </c>
      <c r="D63" s="9" t="s">
        <v>1474</v>
      </c>
      <c r="E63" s="16" t="s">
        <v>128</v>
      </c>
      <c r="F63" s="72"/>
      <c r="G63" s="17" t="s">
        <v>1082</v>
      </c>
      <c r="H63" s="18"/>
      <c r="I63" s="17"/>
      <c r="J63" s="19" t="s">
        <v>133</v>
      </c>
      <c r="K63" s="19" t="s">
        <v>202</v>
      </c>
      <c r="L63" s="19" t="s">
        <v>67</v>
      </c>
    </row>
    <row r="64" spans="1:12" s="1" customFormat="1">
      <c r="A64" s="15"/>
      <c r="B64" s="11" t="s">
        <v>1392</v>
      </c>
      <c r="C64" s="11" t="s">
        <v>45</v>
      </c>
      <c r="D64" s="9" t="s">
        <v>1026</v>
      </c>
      <c r="E64" s="16" t="s">
        <v>128</v>
      </c>
      <c r="F64" s="72"/>
      <c r="G64" s="17" t="s">
        <v>1133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1393</v>
      </c>
      <c r="C65" s="11" t="s">
        <v>45</v>
      </c>
      <c r="D65" s="9" t="s">
        <v>1027</v>
      </c>
      <c r="E65" s="16" t="s">
        <v>128</v>
      </c>
      <c r="F65" s="72"/>
      <c r="G65" s="17" t="s">
        <v>1134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1394</v>
      </c>
      <c r="C66" s="11" t="s">
        <v>45</v>
      </c>
      <c r="D66" s="9" t="s">
        <v>1028</v>
      </c>
      <c r="E66" s="16" t="s">
        <v>128</v>
      </c>
      <c r="F66" s="72"/>
      <c r="G66" s="17" t="s">
        <v>1135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1395</v>
      </c>
      <c r="C67" s="11" t="s">
        <v>45</v>
      </c>
      <c r="D67" s="9" t="s">
        <v>1029</v>
      </c>
      <c r="E67" s="16" t="s">
        <v>128</v>
      </c>
      <c r="F67" s="72"/>
      <c r="G67" s="17" t="s">
        <v>1136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1396</v>
      </c>
      <c r="C68" s="11" t="s">
        <v>45</v>
      </c>
      <c r="D68" s="9" t="s">
        <v>1043</v>
      </c>
      <c r="E68" s="16" t="s">
        <v>128</v>
      </c>
      <c r="F68" s="72"/>
      <c r="G68" s="17" t="s">
        <v>1137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1084</v>
      </c>
      <c r="C69" s="11" t="s">
        <v>280</v>
      </c>
      <c r="D69" s="9" t="s">
        <v>1086</v>
      </c>
      <c r="E69" s="16" t="s">
        <v>128</v>
      </c>
      <c r="F69" s="72"/>
      <c r="G69" s="17" t="s">
        <v>1087</v>
      </c>
      <c r="H69" s="18"/>
      <c r="I69" s="17"/>
      <c r="J69" s="19" t="s">
        <v>133</v>
      </c>
      <c r="K69" s="19" t="s">
        <v>202</v>
      </c>
      <c r="L69" s="19" t="s">
        <v>67</v>
      </c>
    </row>
    <row r="70" spans="1:12" s="1" customFormat="1">
      <c r="A70" s="15"/>
      <c r="B70" s="11" t="s">
        <v>1083</v>
      </c>
      <c r="C70" s="11" t="s">
        <v>280</v>
      </c>
      <c r="D70" s="9" t="s">
        <v>841</v>
      </c>
      <c r="E70" s="16" t="s">
        <v>128</v>
      </c>
      <c r="F70" s="72"/>
      <c r="G70" s="17" t="s">
        <v>1866</v>
      </c>
      <c r="H70" s="18"/>
      <c r="I70" s="17"/>
      <c r="J70" s="19" t="s">
        <v>133</v>
      </c>
      <c r="K70" s="19" t="s">
        <v>202</v>
      </c>
      <c r="L70" s="19" t="s">
        <v>67</v>
      </c>
    </row>
    <row r="71" spans="1:12" s="1" customFormat="1">
      <c r="A71" s="15"/>
      <c r="B71" s="11" t="s">
        <v>1397</v>
      </c>
      <c r="C71" s="11" t="s">
        <v>45</v>
      </c>
      <c r="D71" s="9" t="s">
        <v>1038</v>
      </c>
      <c r="E71" s="16" t="s">
        <v>128</v>
      </c>
      <c r="F71" s="72"/>
      <c r="G71" s="17" t="s">
        <v>1138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1398</v>
      </c>
      <c r="C72" s="11" t="s">
        <v>45</v>
      </c>
      <c r="D72" s="9" t="s">
        <v>1039</v>
      </c>
      <c r="E72" s="16" t="s">
        <v>128</v>
      </c>
      <c r="F72" s="72"/>
      <c r="G72" s="17" t="s">
        <v>1139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1399</v>
      </c>
      <c r="C73" s="11" t="s">
        <v>45</v>
      </c>
      <c r="D73" s="9" t="s">
        <v>1040</v>
      </c>
      <c r="E73" s="16" t="s">
        <v>128</v>
      </c>
      <c r="F73" s="72"/>
      <c r="G73" s="17" t="s">
        <v>1140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1400</v>
      </c>
      <c r="C74" s="11" t="s">
        <v>45</v>
      </c>
      <c r="D74" s="9" t="s">
        <v>1041</v>
      </c>
      <c r="E74" s="16" t="s">
        <v>128</v>
      </c>
      <c r="F74" s="72"/>
      <c r="G74" s="17" t="s">
        <v>1141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1401</v>
      </c>
      <c r="C75" s="11" t="s">
        <v>45</v>
      </c>
      <c r="D75" s="9" t="s">
        <v>1044</v>
      </c>
      <c r="E75" s="16" t="s">
        <v>128</v>
      </c>
      <c r="F75" s="72"/>
      <c r="G75" s="17" t="s">
        <v>1142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816</v>
      </c>
      <c r="C76" s="11" t="s">
        <v>280</v>
      </c>
      <c r="D76" s="9" t="s">
        <v>839</v>
      </c>
      <c r="E76" s="16" t="s">
        <v>128</v>
      </c>
      <c r="F76" s="72"/>
      <c r="G76" s="17" t="s">
        <v>1088</v>
      </c>
      <c r="H76" s="18"/>
      <c r="I76" s="17"/>
      <c r="J76" s="19" t="s">
        <v>133</v>
      </c>
      <c r="K76" s="19" t="s">
        <v>202</v>
      </c>
      <c r="L76" s="19" t="s">
        <v>67</v>
      </c>
    </row>
    <row r="77" spans="1:12" s="1" customFormat="1">
      <c r="A77" s="15"/>
      <c r="B77" s="11" t="s">
        <v>817</v>
      </c>
      <c r="C77" s="11" t="s">
        <v>45</v>
      </c>
      <c r="D77" s="9" t="s">
        <v>658</v>
      </c>
      <c r="E77" s="16" t="s">
        <v>128</v>
      </c>
      <c r="F77" s="72"/>
      <c r="G77" s="17" t="s">
        <v>1090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818</v>
      </c>
      <c r="C78" s="11" t="s">
        <v>280</v>
      </c>
      <c r="D78" s="9" t="s">
        <v>842</v>
      </c>
      <c r="E78" s="16" t="s">
        <v>128</v>
      </c>
      <c r="F78" s="72"/>
      <c r="G78" s="17" t="s">
        <v>1091</v>
      </c>
      <c r="H78" s="18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819</v>
      </c>
      <c r="C79" s="11" t="s">
        <v>45</v>
      </c>
      <c r="D79" s="9" t="s">
        <v>660</v>
      </c>
      <c r="E79" s="16" t="s">
        <v>128</v>
      </c>
      <c r="F79" s="72"/>
      <c r="G79" s="17" t="s">
        <v>1093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1403</v>
      </c>
      <c r="C80" s="11" t="s">
        <v>280</v>
      </c>
      <c r="D80" s="9" t="s">
        <v>505</v>
      </c>
      <c r="E80" s="16" t="s">
        <v>128</v>
      </c>
      <c r="F80" s="72"/>
      <c r="G80" s="17" t="s">
        <v>1094</v>
      </c>
      <c r="H80" s="18"/>
      <c r="I80" s="17"/>
      <c r="J80" s="19" t="s">
        <v>133</v>
      </c>
      <c r="K80" s="19" t="s">
        <v>203</v>
      </c>
      <c r="L80" s="19" t="s">
        <v>67</v>
      </c>
    </row>
    <row r="81" spans="1:12" s="1" customFormat="1">
      <c r="A81" s="15"/>
      <c r="B81" s="11" t="s">
        <v>1570</v>
      </c>
      <c r="C81" s="11" t="s">
        <v>45</v>
      </c>
      <c r="D81" s="9" t="s">
        <v>1526</v>
      </c>
      <c r="E81" s="16" t="s">
        <v>128</v>
      </c>
      <c r="F81" s="72"/>
      <c r="G81" s="17" t="s">
        <v>1571</v>
      </c>
      <c r="H81" s="18"/>
      <c r="I81" s="17"/>
      <c r="J81" s="19" t="s">
        <v>133</v>
      </c>
      <c r="K81" s="19" t="s">
        <v>903</v>
      </c>
      <c r="L81" s="19" t="s">
        <v>67</v>
      </c>
    </row>
    <row r="82" spans="1:12" s="1" customFormat="1">
      <c r="A82" s="15"/>
      <c r="B82" s="11" t="s">
        <v>1527</v>
      </c>
      <c r="C82" s="11" t="s">
        <v>45</v>
      </c>
      <c r="D82" s="9" t="s">
        <v>1528</v>
      </c>
      <c r="E82" s="16" t="s">
        <v>128</v>
      </c>
      <c r="F82" s="72"/>
      <c r="G82" s="17" t="s">
        <v>1572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1529</v>
      </c>
      <c r="C83" s="11" t="s">
        <v>45</v>
      </c>
      <c r="D83" s="9" t="s">
        <v>1530</v>
      </c>
      <c r="E83" s="16" t="s">
        <v>128</v>
      </c>
      <c r="F83" s="72"/>
      <c r="G83" s="17" t="s">
        <v>1573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11" t="s">
        <v>1531</v>
      </c>
      <c r="C84" s="11" t="s">
        <v>45</v>
      </c>
      <c r="D84" s="9" t="s">
        <v>1532</v>
      </c>
      <c r="E84" s="16" t="s">
        <v>128</v>
      </c>
      <c r="F84" s="72"/>
      <c r="G84" s="17" t="s">
        <v>1574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1533</v>
      </c>
      <c r="C85" s="11" t="s">
        <v>45</v>
      </c>
      <c r="D85" s="9" t="s">
        <v>1534</v>
      </c>
      <c r="E85" s="16" t="s">
        <v>128</v>
      </c>
      <c r="F85" s="72"/>
      <c r="G85" s="17" t="s">
        <v>1575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1404</v>
      </c>
      <c r="C86" s="11" t="s">
        <v>280</v>
      </c>
      <c r="D86" s="9" t="s">
        <v>506</v>
      </c>
      <c r="E86" s="16" t="s">
        <v>128</v>
      </c>
      <c r="F86" s="72"/>
      <c r="G86" s="17" t="s">
        <v>1095</v>
      </c>
      <c r="H86" s="18"/>
      <c r="I86" s="17"/>
      <c r="J86" s="19" t="s">
        <v>133</v>
      </c>
      <c r="K86" s="19" t="s">
        <v>203</v>
      </c>
      <c r="L86" s="19" t="s">
        <v>67</v>
      </c>
    </row>
    <row r="87" spans="1:12" s="1" customFormat="1">
      <c r="A87" s="15"/>
      <c r="B87" s="11" t="s">
        <v>1549</v>
      </c>
      <c r="C87" s="11" t="s">
        <v>45</v>
      </c>
      <c r="D87" s="9" t="s">
        <v>1540</v>
      </c>
      <c r="E87" s="16" t="s">
        <v>128</v>
      </c>
      <c r="F87" s="72"/>
      <c r="G87" s="17" t="s">
        <v>1576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1541</v>
      </c>
      <c r="C88" s="11" t="s">
        <v>45</v>
      </c>
      <c r="D88" s="9" t="s">
        <v>1542</v>
      </c>
      <c r="E88" s="16" t="s">
        <v>128</v>
      </c>
      <c r="F88" s="72"/>
      <c r="G88" s="17" t="s">
        <v>1577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1543</v>
      </c>
      <c r="C89" s="11" t="s">
        <v>45</v>
      </c>
      <c r="D89" s="9" t="s">
        <v>1544</v>
      </c>
      <c r="E89" s="16" t="s">
        <v>128</v>
      </c>
      <c r="F89" s="72"/>
      <c r="G89" s="17" t="s">
        <v>1578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1545</v>
      </c>
      <c r="C90" s="11" t="s">
        <v>45</v>
      </c>
      <c r="D90" s="9" t="s">
        <v>1546</v>
      </c>
      <c r="E90" s="16" t="s">
        <v>128</v>
      </c>
      <c r="F90" s="72"/>
      <c r="G90" s="17" t="s">
        <v>1579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1547</v>
      </c>
      <c r="C91" s="11" t="s">
        <v>45</v>
      </c>
      <c r="D91" s="9" t="s">
        <v>1548</v>
      </c>
      <c r="E91" s="16" t="s">
        <v>128</v>
      </c>
      <c r="F91" s="72"/>
      <c r="G91" s="17" t="s">
        <v>1580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830</v>
      </c>
      <c r="C92" s="11" t="s">
        <v>45</v>
      </c>
      <c r="D92" s="9" t="s">
        <v>837</v>
      </c>
      <c r="E92" s="16" t="s">
        <v>128</v>
      </c>
      <c r="F92" s="72"/>
      <c r="G92" s="17" t="s">
        <v>1097</v>
      </c>
      <c r="H92" s="18"/>
      <c r="I92" s="17"/>
      <c r="J92" s="19" t="s">
        <v>133</v>
      </c>
      <c r="K92" s="19" t="s">
        <v>44</v>
      </c>
      <c r="L92" s="19" t="s">
        <v>67</v>
      </c>
    </row>
    <row r="93" spans="1:12" s="1" customFormat="1">
      <c r="A93" s="15"/>
      <c r="B93" s="11" t="s">
        <v>1405</v>
      </c>
      <c r="C93" s="11" t="s">
        <v>280</v>
      </c>
      <c r="D93" s="9" t="s">
        <v>836</v>
      </c>
      <c r="E93" s="16" t="s">
        <v>128</v>
      </c>
      <c r="F93" s="72"/>
      <c r="G93" s="17" t="s">
        <v>1099</v>
      </c>
      <c r="H93" s="18"/>
      <c r="I93" s="17"/>
      <c r="J93" s="19" t="s">
        <v>133</v>
      </c>
      <c r="K93" s="19" t="s">
        <v>202</v>
      </c>
      <c r="L93" s="19" t="s">
        <v>67</v>
      </c>
    </row>
    <row r="94" spans="1:12" s="1" customFormat="1">
      <c r="A94" s="15"/>
      <c r="B94" s="95" t="s">
        <v>1564</v>
      </c>
      <c r="C94" s="95" t="s">
        <v>45</v>
      </c>
      <c r="D94" s="96" t="s">
        <v>1555</v>
      </c>
      <c r="E94" s="16" t="s">
        <v>128</v>
      </c>
      <c r="F94" s="72"/>
      <c r="G94" s="17" t="s">
        <v>1581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95" t="s">
        <v>1556</v>
      </c>
      <c r="C95" s="95" t="s">
        <v>45</v>
      </c>
      <c r="D95" s="96" t="s">
        <v>1557</v>
      </c>
      <c r="E95" s="16" t="s">
        <v>128</v>
      </c>
      <c r="F95" s="72"/>
      <c r="G95" s="17" t="s">
        <v>1582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95" t="s">
        <v>1558</v>
      </c>
      <c r="C96" s="95" t="s">
        <v>45</v>
      </c>
      <c r="D96" s="96" t="s">
        <v>1559</v>
      </c>
      <c r="E96" s="16" t="s">
        <v>128</v>
      </c>
      <c r="F96" s="72"/>
      <c r="G96" s="17" t="s">
        <v>1583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95" t="s">
        <v>1560</v>
      </c>
      <c r="C97" s="95" t="s">
        <v>45</v>
      </c>
      <c r="D97" s="96" t="s">
        <v>1561</v>
      </c>
      <c r="E97" s="16" t="s">
        <v>128</v>
      </c>
      <c r="F97" s="72"/>
      <c r="G97" s="17" t="s">
        <v>1584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95" t="s">
        <v>1562</v>
      </c>
      <c r="C98" s="95" t="s">
        <v>45</v>
      </c>
      <c r="D98" s="96" t="s">
        <v>1563</v>
      </c>
      <c r="E98" s="16" t="s">
        <v>128</v>
      </c>
      <c r="F98" s="72"/>
      <c r="G98" s="17" t="s">
        <v>1585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11" t="s">
        <v>831</v>
      </c>
      <c r="C99" s="11" t="s">
        <v>45</v>
      </c>
      <c r="D99" s="9" t="s">
        <v>825</v>
      </c>
      <c r="E99" s="16" t="s">
        <v>128</v>
      </c>
      <c r="F99" s="72"/>
      <c r="G99" s="17" t="s">
        <v>1100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11" t="s">
        <v>1098</v>
      </c>
      <c r="C100" s="11" t="s">
        <v>280</v>
      </c>
      <c r="D100" s="9" t="s">
        <v>826</v>
      </c>
      <c r="E100" s="16" t="s">
        <v>128</v>
      </c>
      <c r="F100" s="72"/>
      <c r="G100" s="17" t="s">
        <v>1101</v>
      </c>
      <c r="H100" s="18"/>
      <c r="I100" s="17"/>
      <c r="J100" s="19" t="s">
        <v>133</v>
      </c>
      <c r="K100" s="19" t="s">
        <v>202</v>
      </c>
      <c r="L100" s="19" t="s">
        <v>67</v>
      </c>
    </row>
    <row r="101" spans="1:12" s="1" customFormat="1">
      <c r="A101" s="15"/>
      <c r="B101" s="11" t="s">
        <v>1406</v>
      </c>
      <c r="C101" s="11" t="s">
        <v>280</v>
      </c>
      <c r="D101" s="9" t="s">
        <v>833</v>
      </c>
      <c r="E101" s="16" t="s">
        <v>128</v>
      </c>
      <c r="F101" s="72"/>
      <c r="G101" s="17" t="s">
        <v>1102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2" s="1" customFormat="1">
      <c r="A102" s="15"/>
      <c r="B102" s="11" t="s">
        <v>1402</v>
      </c>
      <c r="C102" s="11" t="s">
        <v>280</v>
      </c>
      <c r="D102" s="9" t="s">
        <v>534</v>
      </c>
      <c r="E102" s="16" t="s">
        <v>128</v>
      </c>
      <c r="F102" s="72"/>
      <c r="G102" s="17" t="s">
        <v>1103</v>
      </c>
      <c r="H102" s="18"/>
      <c r="I102" s="17"/>
      <c r="J102" s="19" t="s">
        <v>133</v>
      </c>
      <c r="K102" s="19" t="s">
        <v>202</v>
      </c>
      <c r="L102" s="19" t="s">
        <v>67</v>
      </c>
    </row>
    <row r="103" spans="1:12" s="1" customFormat="1">
      <c r="A103" s="15"/>
      <c r="B103" s="11" t="s">
        <v>848</v>
      </c>
      <c r="C103" s="11" t="s">
        <v>45</v>
      </c>
      <c r="D103" s="9" t="s">
        <v>850</v>
      </c>
      <c r="E103" s="16" t="s">
        <v>128</v>
      </c>
      <c r="F103" s="72"/>
      <c r="G103" s="17" t="s">
        <v>1104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A104" s="15"/>
      <c r="B104" s="11" t="s">
        <v>849</v>
      </c>
      <c r="C104" s="11" t="s">
        <v>45</v>
      </c>
      <c r="D104" s="9" t="s">
        <v>116</v>
      </c>
      <c r="E104" s="16" t="s">
        <v>128</v>
      </c>
      <c r="F104" s="72"/>
      <c r="G104" s="17" t="s">
        <v>1105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A105" s="15"/>
      <c r="B105" s="11" t="s">
        <v>1407</v>
      </c>
      <c r="C105" s="11" t="s">
        <v>1202</v>
      </c>
      <c r="D105" s="9" t="s">
        <v>502</v>
      </c>
      <c r="E105" s="16" t="s">
        <v>128</v>
      </c>
      <c r="F105" s="72"/>
      <c r="G105" s="17" t="s">
        <v>1107</v>
      </c>
      <c r="H105" s="18"/>
      <c r="I105" s="17"/>
      <c r="J105" s="19" t="s">
        <v>133</v>
      </c>
      <c r="K105" s="19" t="s">
        <v>202</v>
      </c>
      <c r="L105" s="19" t="s">
        <v>67</v>
      </c>
    </row>
    <row r="106" spans="1:12" s="1" customFormat="1">
      <c r="A106" s="15"/>
      <c r="B106" s="11" t="s">
        <v>856</v>
      </c>
      <c r="C106" s="11" t="s">
        <v>45</v>
      </c>
      <c r="D106" s="9" t="s">
        <v>857</v>
      </c>
      <c r="E106" s="16" t="s">
        <v>128</v>
      </c>
      <c r="F106" s="72"/>
      <c r="G106" s="17" t="s">
        <v>1106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11" t="s">
        <v>315</v>
      </c>
      <c r="C107" s="11" t="s">
        <v>45</v>
      </c>
      <c r="D107" s="9" t="s">
        <v>112</v>
      </c>
      <c r="E107" s="16" t="s">
        <v>128</v>
      </c>
      <c r="F107" s="72"/>
      <c r="G107" s="17" t="s">
        <v>1145</v>
      </c>
      <c r="H107" s="18"/>
      <c r="I107" s="17"/>
      <c r="J107" s="19" t="s">
        <v>133</v>
      </c>
      <c r="K107" s="19" t="s">
        <v>44</v>
      </c>
      <c r="L107" s="19" t="s">
        <v>67</v>
      </c>
    </row>
    <row r="108" spans="1:12" s="1" customFormat="1">
      <c r="A108" s="15"/>
      <c r="B108" s="11" t="s">
        <v>1408</v>
      </c>
      <c r="C108" s="11" t="s">
        <v>45</v>
      </c>
      <c r="D108" s="9" t="s">
        <v>859</v>
      </c>
      <c r="E108" s="16" t="s">
        <v>128</v>
      </c>
      <c r="F108" s="72"/>
      <c r="G108" s="17" t="s">
        <v>1146</v>
      </c>
      <c r="H108" s="18"/>
      <c r="I108" s="17"/>
      <c r="J108" s="19" t="s">
        <v>133</v>
      </c>
      <c r="K108" s="19" t="s">
        <v>44</v>
      </c>
      <c r="L108" s="19" t="s">
        <v>67</v>
      </c>
    </row>
    <row r="109" spans="1:12" s="1" customFormat="1">
      <c r="A109" s="15"/>
      <c r="B109" s="11" t="s">
        <v>1409</v>
      </c>
      <c r="C109" s="11" t="s">
        <v>45</v>
      </c>
      <c r="D109" s="9" t="s">
        <v>860</v>
      </c>
      <c r="E109" s="16" t="s">
        <v>128</v>
      </c>
      <c r="F109" s="72"/>
      <c r="G109" s="17" t="s">
        <v>1147</v>
      </c>
      <c r="H109" s="18"/>
      <c r="I109" s="17"/>
      <c r="J109" s="19" t="s">
        <v>133</v>
      </c>
      <c r="K109" s="19" t="s">
        <v>44</v>
      </c>
      <c r="L109" s="19" t="s">
        <v>67</v>
      </c>
    </row>
    <row r="110" spans="1:12" s="1" customFormat="1">
      <c r="A110" s="15"/>
      <c r="B110" s="11" t="s">
        <v>1410</v>
      </c>
      <c r="C110" s="11" t="s">
        <v>45</v>
      </c>
      <c r="D110" s="9" t="s">
        <v>861</v>
      </c>
      <c r="E110" s="16" t="s">
        <v>128</v>
      </c>
      <c r="F110" s="72"/>
      <c r="G110" s="17" t="s">
        <v>1148</v>
      </c>
      <c r="H110" s="18"/>
      <c r="I110" s="17"/>
      <c r="J110" s="19" t="s">
        <v>133</v>
      </c>
      <c r="K110" s="19" t="s">
        <v>44</v>
      </c>
      <c r="L110" s="19" t="s">
        <v>67</v>
      </c>
    </row>
    <row r="111" spans="1:12" s="1" customFormat="1">
      <c r="A111" s="15"/>
      <c r="B111" s="11" t="s">
        <v>871</v>
      </c>
      <c r="C111" s="11" t="s">
        <v>45</v>
      </c>
      <c r="D111" s="9" t="s">
        <v>880</v>
      </c>
      <c r="E111" s="16" t="s">
        <v>128</v>
      </c>
      <c r="F111" s="72"/>
      <c r="G111" s="17" t="s">
        <v>1149</v>
      </c>
      <c r="H111" s="18"/>
      <c r="I111" s="17"/>
      <c r="J111" s="19" t="s">
        <v>133</v>
      </c>
      <c r="K111" s="19" t="s">
        <v>44</v>
      </c>
      <c r="L111" s="19" t="s">
        <v>67</v>
      </c>
    </row>
    <row r="112" spans="1:12" s="1" customFormat="1">
      <c r="A112" s="15"/>
      <c r="B112" s="11" t="s">
        <v>872</v>
      </c>
      <c r="C112" s="11" t="s">
        <v>45</v>
      </c>
      <c r="D112" s="9" t="s">
        <v>881</v>
      </c>
      <c r="E112" s="16" t="s">
        <v>128</v>
      </c>
      <c r="F112" s="72"/>
      <c r="G112" s="17" t="s">
        <v>1150</v>
      </c>
      <c r="H112" s="18"/>
      <c r="I112" s="17"/>
      <c r="J112" s="19" t="s">
        <v>133</v>
      </c>
      <c r="K112" s="19" t="s">
        <v>44</v>
      </c>
      <c r="L112" s="19" t="s">
        <v>67</v>
      </c>
    </row>
    <row r="113" spans="1:17" s="1" customFormat="1">
      <c r="A113" s="15"/>
      <c r="B113" s="11" t="s">
        <v>873</v>
      </c>
      <c r="C113" s="11" t="s">
        <v>45</v>
      </c>
      <c r="D113" s="9" t="s">
        <v>882</v>
      </c>
      <c r="E113" s="16" t="s">
        <v>128</v>
      </c>
      <c r="F113" s="72"/>
      <c r="G113" s="17" t="s">
        <v>1151</v>
      </c>
      <c r="H113" s="18"/>
      <c r="I113" s="17"/>
      <c r="J113" s="19" t="s">
        <v>133</v>
      </c>
      <c r="K113" s="19" t="s">
        <v>44</v>
      </c>
      <c r="L113" s="19" t="s">
        <v>67</v>
      </c>
    </row>
    <row r="114" spans="1:17" s="1" customFormat="1">
      <c r="A114" s="15"/>
      <c r="B114" s="11" t="s">
        <v>1411</v>
      </c>
      <c r="C114" s="11" t="s">
        <v>45</v>
      </c>
      <c r="D114" s="9" t="s">
        <v>862</v>
      </c>
      <c r="E114" s="16" t="s">
        <v>128</v>
      </c>
      <c r="F114" s="72"/>
      <c r="G114" s="17" t="s">
        <v>1152</v>
      </c>
      <c r="H114" s="18"/>
      <c r="I114" s="17"/>
      <c r="J114" s="19" t="s">
        <v>133</v>
      </c>
      <c r="K114" s="19" t="s">
        <v>44</v>
      </c>
      <c r="L114" s="19" t="s">
        <v>67</v>
      </c>
    </row>
    <row r="115" spans="1:17" s="1" customFormat="1">
      <c r="A115" s="15"/>
      <c r="B115" s="11" t="s">
        <v>1412</v>
      </c>
      <c r="C115" s="11" t="s">
        <v>45</v>
      </c>
      <c r="D115" s="9" t="s">
        <v>863</v>
      </c>
      <c r="E115" s="16" t="s">
        <v>128</v>
      </c>
      <c r="F115" s="72"/>
      <c r="G115" s="17" t="s">
        <v>1153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1413</v>
      </c>
      <c r="C116" s="11" t="s">
        <v>45</v>
      </c>
      <c r="D116" s="9" t="s">
        <v>864</v>
      </c>
      <c r="E116" s="16" t="s">
        <v>128</v>
      </c>
      <c r="F116" s="72"/>
      <c r="G116" s="17" t="s">
        <v>1154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3" customFormat="1">
      <c r="B117" s="23" t="s">
        <v>47</v>
      </c>
      <c r="C117" s="24" t="s">
        <v>46</v>
      </c>
      <c r="D117" s="21" t="s">
        <v>48</v>
      </c>
      <c r="E117" s="44"/>
      <c r="F117" s="44"/>
      <c r="G117" s="44" t="s">
        <v>282</v>
      </c>
      <c r="H117" s="23"/>
      <c r="I117" s="23"/>
      <c r="J117" s="23"/>
      <c r="K117" s="23"/>
      <c r="L117" s="23"/>
      <c r="M117" s="23"/>
      <c r="N117" s="23"/>
      <c r="O117" s="23"/>
      <c r="P117" s="23"/>
      <c r="Q117" s="23"/>
    </row>
    <row r="118" spans="1:17" s="3" customFormat="1">
      <c r="B118" s="23" t="s">
        <v>49</v>
      </c>
      <c r="C118" s="24" t="s">
        <v>43</v>
      </c>
      <c r="D118" s="21" t="s">
        <v>50</v>
      </c>
      <c r="E118" s="44"/>
      <c r="F118" s="44"/>
      <c r="G118" s="44" t="s">
        <v>282</v>
      </c>
      <c r="H118" s="23"/>
      <c r="I118" s="23"/>
      <c r="J118" s="23"/>
      <c r="K118" s="23"/>
      <c r="L118" s="23"/>
      <c r="M118" s="23"/>
      <c r="N118" s="23"/>
      <c r="O118" s="23"/>
      <c r="P118" s="23"/>
      <c r="Q118" s="23"/>
    </row>
  </sheetData>
  <autoFilter ref="A13:Q118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8F9C-E881-41E6-8EA2-F22A131B87AC}">
  <sheetPr codeName="Sheet16"/>
  <dimension ref="A1:Q117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4.8867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1347</v>
      </c>
      <c r="D5" s="10" t="s">
        <v>1348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1365</v>
      </c>
      <c r="D9" s="10" t="s">
        <v>1346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2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11" t="s">
        <v>1880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2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95</v>
      </c>
      <c r="C22" s="11" t="s">
        <v>93</v>
      </c>
      <c r="D22" s="9" t="s">
        <v>114</v>
      </c>
      <c r="E22" s="16" t="s">
        <v>128</v>
      </c>
      <c r="F22" s="9" t="s">
        <v>1069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1072</v>
      </c>
      <c r="C23" s="11" t="s">
        <v>45</v>
      </c>
      <c r="D23" s="9" t="s">
        <v>146</v>
      </c>
      <c r="E23" s="16" t="s">
        <v>128</v>
      </c>
      <c r="F23" s="17" t="str">
        <f>VLOOKUP(B23,'12'!B:L,1,0)</f>
        <v>abnormal_cnt</v>
      </c>
      <c r="G23" s="17" t="s">
        <v>1073</v>
      </c>
      <c r="H23" s="18"/>
      <c r="I23" s="17"/>
      <c r="J23" s="19" t="s">
        <v>133</v>
      </c>
      <c r="K23" s="19" t="s">
        <v>132</v>
      </c>
      <c r="L23" s="19" t="s">
        <v>134</v>
      </c>
    </row>
    <row r="24" spans="1:12" s="1" customFormat="1">
      <c r="A24" s="15"/>
      <c r="B24" s="11" t="s">
        <v>189</v>
      </c>
      <c r="C24" s="11" t="s">
        <v>45</v>
      </c>
      <c r="D24" s="9" t="s">
        <v>190</v>
      </c>
      <c r="E24" s="16" t="s">
        <v>128</v>
      </c>
      <c r="F24" s="17" t="str">
        <f>VLOOKUP(B24,'12'!B:L,1,0)</f>
        <v>record_cnt</v>
      </c>
      <c r="G24" s="17" t="s">
        <v>1259</v>
      </c>
      <c r="H24" s="18"/>
      <c r="I24" s="17"/>
      <c r="J24" s="19" t="s">
        <v>133</v>
      </c>
      <c r="K24" s="19" t="s">
        <v>132</v>
      </c>
      <c r="L24" s="19" t="s">
        <v>134</v>
      </c>
    </row>
    <row r="25" spans="1:12" s="1" customFormat="1">
      <c r="A25" s="15"/>
      <c r="B25" s="11" t="s">
        <v>192</v>
      </c>
      <c r="C25" s="11" t="s">
        <v>45</v>
      </c>
      <c r="D25" s="9" t="s">
        <v>193</v>
      </c>
      <c r="E25" s="16" t="s">
        <v>128</v>
      </c>
      <c r="F25" s="17" t="str">
        <f>VLOOKUP(B25,'12'!B:L,1,0)</f>
        <v>speedlimit_cnt</v>
      </c>
      <c r="G25" s="17" t="s">
        <v>1074</v>
      </c>
      <c r="H25" s="18"/>
      <c r="I25" s="17"/>
      <c r="J25" s="19" t="s">
        <v>133</v>
      </c>
      <c r="K25" s="19" t="s">
        <v>132</v>
      </c>
      <c r="L25" s="19" t="s">
        <v>134</v>
      </c>
    </row>
    <row r="26" spans="1:12" s="1" customFormat="1">
      <c r="A26" s="15"/>
      <c r="B26" s="90" t="s">
        <v>1881</v>
      </c>
      <c r="C26" s="22" t="s">
        <v>45</v>
      </c>
      <c r="D26" s="9" t="s">
        <v>348</v>
      </c>
      <c r="E26" s="16" t="s">
        <v>128</v>
      </c>
      <c r="F26" s="17"/>
      <c r="G26" s="91" t="s">
        <v>1426</v>
      </c>
      <c r="H26" s="92"/>
      <c r="I26" s="91"/>
      <c r="J26" s="19" t="s">
        <v>133</v>
      </c>
      <c r="K26" s="19" t="s">
        <v>203</v>
      </c>
      <c r="L26" s="19" t="s">
        <v>134</v>
      </c>
    </row>
    <row r="27" spans="1:12" s="1" customFormat="1">
      <c r="A27" s="15"/>
      <c r="B27" s="89" t="s">
        <v>296</v>
      </c>
      <c r="C27" s="11" t="s">
        <v>45</v>
      </c>
      <c r="D27" s="9" t="s">
        <v>759</v>
      </c>
      <c r="E27" s="16" t="s">
        <v>128</v>
      </c>
      <c r="F27" s="17"/>
      <c r="G27" s="91" t="s">
        <v>1427</v>
      </c>
      <c r="H27" s="92"/>
      <c r="I27" s="91"/>
      <c r="J27" s="19" t="s">
        <v>133</v>
      </c>
      <c r="K27" s="19" t="s">
        <v>204</v>
      </c>
      <c r="L27" s="19" t="s">
        <v>134</v>
      </c>
    </row>
    <row r="28" spans="1:12" s="1" customFormat="1">
      <c r="A28" s="15"/>
      <c r="B28" s="89" t="s">
        <v>297</v>
      </c>
      <c r="C28" s="11" t="s">
        <v>45</v>
      </c>
      <c r="D28" s="9" t="s">
        <v>160</v>
      </c>
      <c r="E28" s="16" t="s">
        <v>128</v>
      </c>
      <c r="F28" s="17"/>
      <c r="G28" s="91" t="s">
        <v>1428</v>
      </c>
      <c r="H28" s="92"/>
      <c r="I28" s="91"/>
      <c r="J28" s="19" t="s">
        <v>133</v>
      </c>
      <c r="K28" s="19" t="s">
        <v>204</v>
      </c>
      <c r="L28" s="19" t="s">
        <v>134</v>
      </c>
    </row>
    <row r="29" spans="1:12" s="1" customFormat="1">
      <c r="A29" s="15"/>
      <c r="B29" s="11" t="s">
        <v>763</v>
      </c>
      <c r="C29" s="11" t="s">
        <v>45</v>
      </c>
      <c r="D29" s="9" t="s">
        <v>181</v>
      </c>
      <c r="E29" s="16" t="s">
        <v>128</v>
      </c>
      <c r="F29" s="17"/>
      <c r="G29" s="9" t="s">
        <v>1076</v>
      </c>
      <c r="H29" s="18"/>
      <c r="I29" s="17"/>
      <c r="J29" s="19" t="s">
        <v>133</v>
      </c>
      <c r="K29" s="19" t="s">
        <v>44</v>
      </c>
      <c r="L29" s="19" t="s">
        <v>67</v>
      </c>
    </row>
    <row r="30" spans="1:12" s="1" customFormat="1">
      <c r="A30" s="15"/>
      <c r="B30" s="11" t="s">
        <v>805</v>
      </c>
      <c r="C30" s="11" t="s">
        <v>45</v>
      </c>
      <c r="D30" s="9" t="s">
        <v>184</v>
      </c>
      <c r="E30" s="16" t="s">
        <v>128</v>
      </c>
      <c r="F30" s="17"/>
      <c r="G30" s="17" t="s">
        <v>1110</v>
      </c>
      <c r="H30" s="18"/>
      <c r="I30" s="17"/>
      <c r="J30" s="19" t="s">
        <v>133</v>
      </c>
      <c r="K30" s="19" t="s">
        <v>44</v>
      </c>
      <c r="L30" s="19" t="s">
        <v>67</v>
      </c>
    </row>
    <row r="31" spans="1:12" s="1" customFormat="1">
      <c r="A31" s="15"/>
      <c r="B31" s="89" t="s">
        <v>299</v>
      </c>
      <c r="C31" s="11" t="s">
        <v>45</v>
      </c>
      <c r="D31" s="9" t="s">
        <v>1056</v>
      </c>
      <c r="E31" s="16" t="s">
        <v>128</v>
      </c>
      <c r="F31" s="17"/>
      <c r="G31" s="91" t="s">
        <v>1429</v>
      </c>
      <c r="H31" s="92"/>
      <c r="I31" s="91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89" t="s">
        <v>298</v>
      </c>
      <c r="C32" s="11" t="s">
        <v>45</v>
      </c>
      <c r="D32" s="9" t="s">
        <v>1055</v>
      </c>
      <c r="E32" s="16" t="s">
        <v>128</v>
      </c>
      <c r="F32" s="17"/>
      <c r="G32" s="91" t="s">
        <v>1430</v>
      </c>
      <c r="H32" s="92"/>
      <c r="I32" s="91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89" t="s">
        <v>300</v>
      </c>
      <c r="C33" s="11" t="s">
        <v>45</v>
      </c>
      <c r="D33" s="9" t="s">
        <v>163</v>
      </c>
      <c r="E33" s="16" t="s">
        <v>128</v>
      </c>
      <c r="F33" s="17"/>
      <c r="G33" s="91" t="s">
        <v>1431</v>
      </c>
      <c r="H33" s="92"/>
      <c r="I33" s="91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89" t="s">
        <v>301</v>
      </c>
      <c r="C34" s="11" t="s">
        <v>45</v>
      </c>
      <c r="D34" s="9" t="s">
        <v>164</v>
      </c>
      <c r="E34" s="16" t="s">
        <v>128</v>
      </c>
      <c r="F34" s="17"/>
      <c r="G34" s="91" t="s">
        <v>1432</v>
      </c>
      <c r="H34" s="92"/>
      <c r="I34" s="91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89" t="s">
        <v>302</v>
      </c>
      <c r="C35" s="11" t="s">
        <v>45</v>
      </c>
      <c r="D35" s="9" t="s">
        <v>165</v>
      </c>
      <c r="E35" s="16" t="s">
        <v>128</v>
      </c>
      <c r="F35" s="17"/>
      <c r="G35" s="91" t="s">
        <v>1433</v>
      </c>
      <c r="H35" s="92"/>
      <c r="I35" s="91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89" t="s">
        <v>303</v>
      </c>
      <c r="C36" s="11" t="s">
        <v>45</v>
      </c>
      <c r="D36" s="9" t="s">
        <v>166</v>
      </c>
      <c r="E36" s="16" t="s">
        <v>128</v>
      </c>
      <c r="F36" s="17"/>
      <c r="G36" s="91" t="s">
        <v>1434</v>
      </c>
      <c r="H36" s="92"/>
      <c r="I36" s="91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217</v>
      </c>
      <c r="C37" s="11" t="s">
        <v>45</v>
      </c>
      <c r="D37" s="9" t="s">
        <v>171</v>
      </c>
      <c r="E37" s="16" t="s">
        <v>128</v>
      </c>
      <c r="F37" s="17"/>
      <c r="G37" s="17" t="s">
        <v>1116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218</v>
      </c>
      <c r="C38" s="11" t="s">
        <v>45</v>
      </c>
      <c r="D38" s="9" t="s">
        <v>172</v>
      </c>
      <c r="E38" s="16" t="s">
        <v>128</v>
      </c>
      <c r="F38" s="17"/>
      <c r="G38" s="17" t="s">
        <v>1117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219</v>
      </c>
      <c r="C39" s="11" t="s">
        <v>45</v>
      </c>
      <c r="D39" s="9" t="s">
        <v>173</v>
      </c>
      <c r="E39" s="16" t="s">
        <v>128</v>
      </c>
      <c r="F39" s="17"/>
      <c r="G39" s="17" t="s">
        <v>1118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220</v>
      </c>
      <c r="C40" s="11" t="s">
        <v>45</v>
      </c>
      <c r="D40" s="9" t="s">
        <v>174</v>
      </c>
      <c r="E40" s="16" t="s">
        <v>128</v>
      </c>
      <c r="F40" s="17"/>
      <c r="G40" s="17" t="s">
        <v>1119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89" t="s">
        <v>304</v>
      </c>
      <c r="C41" s="11" t="s">
        <v>45</v>
      </c>
      <c r="D41" s="9" t="s">
        <v>1260</v>
      </c>
      <c r="E41" s="16" t="s">
        <v>128</v>
      </c>
      <c r="F41" s="17"/>
      <c r="G41" s="91" t="s">
        <v>1435</v>
      </c>
      <c r="H41" s="92"/>
      <c r="I41" s="91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89" t="s">
        <v>305</v>
      </c>
      <c r="C42" s="11" t="s">
        <v>45</v>
      </c>
      <c r="D42" s="9" t="s">
        <v>1261</v>
      </c>
      <c r="E42" s="16" t="s">
        <v>128</v>
      </c>
      <c r="F42" s="17"/>
      <c r="G42" s="91" t="s">
        <v>1436</v>
      </c>
      <c r="H42" s="92"/>
      <c r="I42" s="91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89" t="s">
        <v>3043</v>
      </c>
      <c r="C43" s="11" t="s">
        <v>45</v>
      </c>
      <c r="D43" s="9" t="s">
        <v>167</v>
      </c>
      <c r="E43" s="16" t="s">
        <v>128</v>
      </c>
      <c r="F43" s="17"/>
      <c r="G43" s="91" t="s">
        <v>1437</v>
      </c>
      <c r="H43" s="92"/>
      <c r="I43" s="91"/>
      <c r="J43" s="19" t="s">
        <v>133</v>
      </c>
      <c r="K43" s="19" t="s">
        <v>202</v>
      </c>
      <c r="L43" s="19" t="s">
        <v>67</v>
      </c>
    </row>
    <row r="44" spans="1:12" s="1" customFormat="1">
      <c r="A44" s="15"/>
      <c r="B44" s="11" t="s">
        <v>809</v>
      </c>
      <c r="C44" s="11" t="s">
        <v>45</v>
      </c>
      <c r="D44" s="9" t="s">
        <v>175</v>
      </c>
      <c r="E44" s="16" t="s">
        <v>128</v>
      </c>
      <c r="F44" s="17"/>
      <c r="G44" s="17" t="s">
        <v>1120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89" t="s">
        <v>1490</v>
      </c>
      <c r="C45" s="11" t="s">
        <v>45</v>
      </c>
      <c r="D45" s="9" t="s">
        <v>168</v>
      </c>
      <c r="E45" s="16" t="s">
        <v>128</v>
      </c>
      <c r="F45" s="17"/>
      <c r="G45" s="91" t="s">
        <v>1491</v>
      </c>
      <c r="H45" s="92"/>
      <c r="I45" s="91"/>
      <c r="J45" s="19" t="s">
        <v>133</v>
      </c>
      <c r="K45" s="19" t="s">
        <v>202</v>
      </c>
      <c r="L45" s="19" t="s">
        <v>67</v>
      </c>
    </row>
    <row r="46" spans="1:12" s="1" customFormat="1">
      <c r="A46" s="15"/>
      <c r="B46" s="11" t="s">
        <v>810</v>
      </c>
      <c r="C46" s="11" t="s">
        <v>45</v>
      </c>
      <c r="D46" s="9" t="s">
        <v>176</v>
      </c>
      <c r="E46" s="16" t="s">
        <v>128</v>
      </c>
      <c r="F46" s="17"/>
      <c r="G46" s="17" t="s">
        <v>1121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1213</v>
      </c>
      <c r="C47" s="11" t="s">
        <v>45</v>
      </c>
      <c r="D47" s="9" t="s">
        <v>178</v>
      </c>
      <c r="E47" s="16" t="s">
        <v>128</v>
      </c>
      <c r="F47" s="17"/>
      <c r="G47" s="17" t="s">
        <v>1215</v>
      </c>
      <c r="H47" s="18"/>
      <c r="I47" s="17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221</v>
      </c>
      <c r="C48" s="11" t="s">
        <v>45</v>
      </c>
      <c r="D48" s="9" t="s">
        <v>177</v>
      </c>
      <c r="E48" s="16" t="s">
        <v>128</v>
      </c>
      <c r="F48" s="17"/>
      <c r="G48" s="17" t="s">
        <v>1256</v>
      </c>
      <c r="H48" s="18"/>
      <c r="I48" s="17"/>
      <c r="J48" s="19" t="s">
        <v>133</v>
      </c>
      <c r="K48" s="19" t="s">
        <v>204</v>
      </c>
      <c r="L48" s="19" t="s">
        <v>67</v>
      </c>
    </row>
    <row r="49" spans="1:12" s="1" customFormat="1">
      <c r="A49" s="15"/>
      <c r="B49" s="11" t="s">
        <v>1212</v>
      </c>
      <c r="C49" s="11" t="s">
        <v>45</v>
      </c>
      <c r="D49" s="9" t="s">
        <v>180</v>
      </c>
      <c r="E49" s="16" t="s">
        <v>128</v>
      </c>
      <c r="F49" s="17"/>
      <c r="G49" s="17" t="s">
        <v>1214</v>
      </c>
      <c r="H49" s="18"/>
      <c r="I49" s="17"/>
      <c r="J49" s="19" t="s">
        <v>133</v>
      </c>
      <c r="K49" s="19" t="s">
        <v>202</v>
      </c>
      <c r="L49" s="19" t="s">
        <v>67</v>
      </c>
    </row>
    <row r="50" spans="1:12" s="1" customFormat="1">
      <c r="A50" s="15"/>
      <c r="B50" s="11" t="s">
        <v>222</v>
      </c>
      <c r="C50" s="11" t="s">
        <v>45</v>
      </c>
      <c r="D50" s="9" t="s">
        <v>179</v>
      </c>
      <c r="E50" s="16" t="s">
        <v>128</v>
      </c>
      <c r="F50" s="17"/>
      <c r="G50" s="17" t="s">
        <v>1123</v>
      </c>
      <c r="H50" s="18"/>
      <c r="I50" s="17"/>
      <c r="J50" s="19" t="s">
        <v>133</v>
      </c>
      <c r="K50" s="19" t="s">
        <v>204</v>
      </c>
      <c r="L50" s="19" t="s">
        <v>67</v>
      </c>
    </row>
    <row r="51" spans="1:12" s="1" customFormat="1">
      <c r="A51" s="15"/>
      <c r="B51" s="89" t="s">
        <v>1384</v>
      </c>
      <c r="C51" s="11" t="s">
        <v>45</v>
      </c>
      <c r="D51" s="9" t="s">
        <v>643</v>
      </c>
      <c r="E51" s="16" t="s">
        <v>128</v>
      </c>
      <c r="F51" s="17"/>
      <c r="G51" s="91" t="s">
        <v>1438</v>
      </c>
      <c r="H51" s="92"/>
      <c r="I51" s="91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89" t="s">
        <v>1385</v>
      </c>
      <c r="C52" s="11" t="s">
        <v>45</v>
      </c>
      <c r="D52" s="9" t="s">
        <v>813</v>
      </c>
      <c r="E52" s="16" t="s">
        <v>128</v>
      </c>
      <c r="F52" s="17"/>
      <c r="G52" s="91" t="s">
        <v>1439</v>
      </c>
      <c r="H52" s="92"/>
      <c r="I52" s="91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89" t="s">
        <v>1386</v>
      </c>
      <c r="C53" s="11" t="s">
        <v>45</v>
      </c>
      <c r="D53" s="9" t="s">
        <v>500</v>
      </c>
      <c r="E53" s="16" t="s">
        <v>128</v>
      </c>
      <c r="F53" s="17"/>
      <c r="G53" s="91" t="s">
        <v>1440</v>
      </c>
      <c r="H53" s="92"/>
      <c r="I53" s="91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205</v>
      </c>
      <c r="C54" s="11" t="s">
        <v>45</v>
      </c>
      <c r="D54" s="9" t="s">
        <v>147</v>
      </c>
      <c r="E54" s="16" t="s">
        <v>128</v>
      </c>
      <c r="F54" s="17"/>
      <c r="G54" s="17" t="s">
        <v>1126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206</v>
      </c>
      <c r="C55" s="11" t="s">
        <v>280</v>
      </c>
      <c r="D55" s="9" t="s">
        <v>820</v>
      </c>
      <c r="E55" s="16" t="s">
        <v>128</v>
      </c>
      <c r="F55" s="17"/>
      <c r="G55" s="17" t="s">
        <v>1081</v>
      </c>
      <c r="H55" s="18"/>
      <c r="I55" s="17"/>
      <c r="J55" s="19" t="s">
        <v>133</v>
      </c>
      <c r="K55" s="19" t="s">
        <v>202</v>
      </c>
      <c r="L55" s="19" t="s">
        <v>67</v>
      </c>
    </row>
    <row r="56" spans="1:12" s="1" customFormat="1">
      <c r="A56" s="15"/>
      <c r="B56" s="89" t="s">
        <v>1387</v>
      </c>
      <c r="C56" s="11" t="s">
        <v>45</v>
      </c>
      <c r="D56" s="9" t="s">
        <v>1018</v>
      </c>
      <c r="E56" s="16" t="s">
        <v>128</v>
      </c>
      <c r="F56" s="17"/>
      <c r="G56" s="91" t="s">
        <v>1441</v>
      </c>
      <c r="H56" s="92"/>
      <c r="I56" s="91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89" t="s">
        <v>1388</v>
      </c>
      <c r="C57" s="11" t="s">
        <v>45</v>
      </c>
      <c r="D57" s="9" t="s">
        <v>1019</v>
      </c>
      <c r="E57" s="16" t="s">
        <v>128</v>
      </c>
      <c r="F57" s="17"/>
      <c r="G57" s="91" t="s">
        <v>1442</v>
      </c>
      <c r="H57" s="92"/>
      <c r="I57" s="91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89" t="s">
        <v>1389</v>
      </c>
      <c r="C58" s="11" t="s">
        <v>45</v>
      </c>
      <c r="D58" s="9" t="s">
        <v>1020</v>
      </c>
      <c r="E58" s="16" t="s">
        <v>128</v>
      </c>
      <c r="F58" s="17"/>
      <c r="G58" s="91" t="s">
        <v>1443</v>
      </c>
      <c r="H58" s="92"/>
      <c r="I58" s="91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89" t="s">
        <v>1390</v>
      </c>
      <c r="C59" s="11" t="s">
        <v>45</v>
      </c>
      <c r="D59" s="9" t="s">
        <v>1021</v>
      </c>
      <c r="E59" s="16" t="s">
        <v>128</v>
      </c>
      <c r="F59" s="17"/>
      <c r="G59" s="91" t="s">
        <v>1444</v>
      </c>
      <c r="H59" s="92"/>
      <c r="I59" s="91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89" t="s">
        <v>1391</v>
      </c>
      <c r="C60" s="11" t="s">
        <v>45</v>
      </c>
      <c r="D60" s="9" t="s">
        <v>1042</v>
      </c>
      <c r="E60" s="16" t="s">
        <v>128</v>
      </c>
      <c r="F60" s="17"/>
      <c r="G60" s="91" t="s">
        <v>1445</v>
      </c>
      <c r="H60" s="92"/>
      <c r="I60" s="91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1049</v>
      </c>
      <c r="C61" s="11" t="s">
        <v>45</v>
      </c>
      <c r="D61" s="9" t="s">
        <v>153</v>
      </c>
      <c r="E61" s="16" t="s">
        <v>128</v>
      </c>
      <c r="F61" s="17"/>
      <c r="G61" s="17" t="s">
        <v>1262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823</v>
      </c>
      <c r="C62" s="11" t="s">
        <v>280</v>
      </c>
      <c r="D62" s="9" t="s">
        <v>1474</v>
      </c>
      <c r="E62" s="16" t="s">
        <v>128</v>
      </c>
      <c r="F62" s="17"/>
      <c r="G62" s="17" t="s">
        <v>1082</v>
      </c>
      <c r="H62" s="18"/>
      <c r="I62" s="17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89" t="s">
        <v>1392</v>
      </c>
      <c r="C63" s="11" t="s">
        <v>45</v>
      </c>
      <c r="D63" s="9" t="s">
        <v>1026</v>
      </c>
      <c r="E63" s="16" t="s">
        <v>128</v>
      </c>
      <c r="F63" s="17"/>
      <c r="G63" s="91" t="s">
        <v>1446</v>
      </c>
      <c r="H63" s="92"/>
      <c r="I63" s="91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89" t="s">
        <v>1393</v>
      </c>
      <c r="C64" s="11" t="s">
        <v>45</v>
      </c>
      <c r="D64" s="9" t="s">
        <v>1027</v>
      </c>
      <c r="E64" s="16" t="s">
        <v>128</v>
      </c>
      <c r="F64" s="17"/>
      <c r="G64" s="91" t="s">
        <v>1447</v>
      </c>
      <c r="H64" s="92"/>
      <c r="I64" s="91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89" t="s">
        <v>1394</v>
      </c>
      <c r="C65" s="11" t="s">
        <v>45</v>
      </c>
      <c r="D65" s="9" t="s">
        <v>1028</v>
      </c>
      <c r="E65" s="16" t="s">
        <v>128</v>
      </c>
      <c r="F65" s="17"/>
      <c r="G65" s="91" t="s">
        <v>1448</v>
      </c>
      <c r="H65" s="92"/>
      <c r="I65" s="91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89" t="s">
        <v>1395</v>
      </c>
      <c r="C66" s="11" t="s">
        <v>45</v>
      </c>
      <c r="D66" s="9" t="s">
        <v>1029</v>
      </c>
      <c r="E66" s="16" t="s">
        <v>128</v>
      </c>
      <c r="F66" s="17"/>
      <c r="G66" s="91" t="s">
        <v>1449</v>
      </c>
      <c r="H66" s="92"/>
      <c r="I66" s="91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89" t="s">
        <v>1396</v>
      </c>
      <c r="C67" s="11" t="s">
        <v>45</v>
      </c>
      <c r="D67" s="9" t="s">
        <v>1043</v>
      </c>
      <c r="E67" s="16" t="s">
        <v>128</v>
      </c>
      <c r="F67" s="17"/>
      <c r="G67" s="91" t="s">
        <v>1450</v>
      </c>
      <c r="H67" s="92"/>
      <c r="I67" s="91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1084</v>
      </c>
      <c r="C68" s="11" t="s">
        <v>280</v>
      </c>
      <c r="D68" s="9" t="s">
        <v>1086</v>
      </c>
      <c r="E68" s="16" t="s">
        <v>128</v>
      </c>
      <c r="F68" s="17"/>
      <c r="G68" s="17" t="s">
        <v>1087</v>
      </c>
      <c r="H68" s="18"/>
      <c r="I68" s="17"/>
      <c r="J68" s="19" t="s">
        <v>133</v>
      </c>
      <c r="K68" s="19" t="s">
        <v>202</v>
      </c>
      <c r="L68" s="19" t="s">
        <v>67</v>
      </c>
    </row>
    <row r="69" spans="1:12" s="1" customFormat="1">
      <c r="A69" s="15"/>
      <c r="B69" s="11" t="s">
        <v>1083</v>
      </c>
      <c r="C69" s="11" t="s">
        <v>280</v>
      </c>
      <c r="D69" s="9" t="s">
        <v>841</v>
      </c>
      <c r="E69" s="16" t="s">
        <v>128</v>
      </c>
      <c r="F69" s="17"/>
      <c r="G69" s="17" t="s">
        <v>1866</v>
      </c>
      <c r="H69" s="18"/>
      <c r="I69" s="17"/>
      <c r="J69" s="19" t="s">
        <v>133</v>
      </c>
      <c r="K69" s="19" t="s">
        <v>202</v>
      </c>
      <c r="L69" s="19" t="s">
        <v>67</v>
      </c>
    </row>
    <row r="70" spans="1:12" s="1" customFormat="1">
      <c r="A70" s="15"/>
      <c r="B70" s="89" t="s">
        <v>1397</v>
      </c>
      <c r="C70" s="11" t="s">
        <v>45</v>
      </c>
      <c r="D70" s="9" t="s">
        <v>1038</v>
      </c>
      <c r="E70" s="16" t="s">
        <v>128</v>
      </c>
      <c r="F70" s="17"/>
      <c r="G70" s="91" t="s">
        <v>1451</v>
      </c>
      <c r="H70" s="92"/>
      <c r="I70" s="91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89" t="s">
        <v>1398</v>
      </c>
      <c r="C71" s="11" t="s">
        <v>45</v>
      </c>
      <c r="D71" s="9" t="s">
        <v>1039</v>
      </c>
      <c r="E71" s="16" t="s">
        <v>128</v>
      </c>
      <c r="F71" s="17"/>
      <c r="G71" s="91" t="s">
        <v>1452</v>
      </c>
      <c r="H71" s="92"/>
      <c r="I71" s="91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89" t="s">
        <v>1399</v>
      </c>
      <c r="C72" s="11" t="s">
        <v>45</v>
      </c>
      <c r="D72" s="9" t="s">
        <v>1040</v>
      </c>
      <c r="E72" s="16" t="s">
        <v>128</v>
      </c>
      <c r="F72" s="17"/>
      <c r="G72" s="91" t="s">
        <v>1453</v>
      </c>
      <c r="H72" s="92"/>
      <c r="I72" s="91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89" t="s">
        <v>1400</v>
      </c>
      <c r="C73" s="11" t="s">
        <v>45</v>
      </c>
      <c r="D73" s="9" t="s">
        <v>1041</v>
      </c>
      <c r="E73" s="16" t="s">
        <v>128</v>
      </c>
      <c r="F73" s="17"/>
      <c r="G73" s="91" t="s">
        <v>1454</v>
      </c>
      <c r="H73" s="92"/>
      <c r="I73" s="91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89" t="s">
        <v>1401</v>
      </c>
      <c r="C74" s="11" t="s">
        <v>45</v>
      </c>
      <c r="D74" s="9" t="s">
        <v>1044</v>
      </c>
      <c r="E74" s="16" t="s">
        <v>128</v>
      </c>
      <c r="F74" s="17"/>
      <c r="G74" s="91" t="s">
        <v>1455</v>
      </c>
      <c r="H74" s="92"/>
      <c r="I74" s="91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816</v>
      </c>
      <c r="C75" s="11" t="s">
        <v>280</v>
      </c>
      <c r="D75" s="9" t="s">
        <v>839</v>
      </c>
      <c r="E75" s="16" t="s">
        <v>128</v>
      </c>
      <c r="F75" s="17"/>
      <c r="G75" s="17" t="s">
        <v>1088</v>
      </c>
      <c r="H75" s="18"/>
      <c r="I75" s="17"/>
      <c r="J75" s="19" t="s">
        <v>133</v>
      </c>
      <c r="K75" s="19" t="s">
        <v>202</v>
      </c>
      <c r="L75" s="19" t="s">
        <v>67</v>
      </c>
    </row>
    <row r="76" spans="1:12" s="1" customFormat="1">
      <c r="A76" s="15"/>
      <c r="B76" s="11" t="s">
        <v>817</v>
      </c>
      <c r="C76" s="11" t="s">
        <v>45</v>
      </c>
      <c r="D76" s="9" t="s">
        <v>658</v>
      </c>
      <c r="E76" s="16" t="s">
        <v>128</v>
      </c>
      <c r="F76" s="17"/>
      <c r="G76" s="17" t="s">
        <v>1090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818</v>
      </c>
      <c r="C77" s="11" t="s">
        <v>280</v>
      </c>
      <c r="D77" s="9" t="s">
        <v>842</v>
      </c>
      <c r="E77" s="16" t="s">
        <v>128</v>
      </c>
      <c r="F77" s="17"/>
      <c r="G77" s="17" t="s">
        <v>1091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819</v>
      </c>
      <c r="C78" s="11" t="s">
        <v>45</v>
      </c>
      <c r="D78" s="9" t="s">
        <v>660</v>
      </c>
      <c r="E78" s="16" t="s">
        <v>128</v>
      </c>
      <c r="F78" s="17"/>
      <c r="G78" s="17" t="s">
        <v>1093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89" t="s">
        <v>1403</v>
      </c>
      <c r="C79" s="11" t="s">
        <v>280</v>
      </c>
      <c r="D79" s="9" t="s">
        <v>505</v>
      </c>
      <c r="E79" s="16" t="s">
        <v>128</v>
      </c>
      <c r="F79" s="17"/>
      <c r="G79" s="91" t="s">
        <v>1414</v>
      </c>
      <c r="H79" s="18"/>
      <c r="I79" s="17"/>
      <c r="J79" s="19" t="s">
        <v>133</v>
      </c>
      <c r="K79" s="19" t="s">
        <v>203</v>
      </c>
      <c r="L79" s="19" t="s">
        <v>67</v>
      </c>
    </row>
    <row r="80" spans="1:12" s="1" customFormat="1">
      <c r="A80" s="15"/>
      <c r="B80" s="11" t="s">
        <v>1570</v>
      </c>
      <c r="C80" s="11" t="s">
        <v>45</v>
      </c>
      <c r="D80" s="9" t="s">
        <v>1526</v>
      </c>
      <c r="E80" s="16" t="s">
        <v>128</v>
      </c>
      <c r="F80" s="72"/>
      <c r="G80" s="17" t="s">
        <v>1571</v>
      </c>
      <c r="H80" s="18"/>
      <c r="I80" s="17"/>
      <c r="J80" s="19" t="s">
        <v>133</v>
      </c>
      <c r="K80" s="19" t="s">
        <v>903</v>
      </c>
      <c r="L80" s="19" t="s">
        <v>67</v>
      </c>
    </row>
    <row r="81" spans="1:12" s="1" customFormat="1">
      <c r="A81" s="15"/>
      <c r="B81" s="11" t="s">
        <v>1527</v>
      </c>
      <c r="C81" s="11" t="s">
        <v>45</v>
      </c>
      <c r="D81" s="9" t="s">
        <v>1528</v>
      </c>
      <c r="E81" s="16" t="s">
        <v>128</v>
      </c>
      <c r="F81" s="72"/>
      <c r="G81" s="17" t="s">
        <v>1572</v>
      </c>
      <c r="H81" s="18"/>
      <c r="I81" s="17"/>
      <c r="J81" s="19" t="s">
        <v>133</v>
      </c>
      <c r="K81" s="19" t="s">
        <v>903</v>
      </c>
      <c r="L81" s="19" t="s">
        <v>67</v>
      </c>
    </row>
    <row r="82" spans="1:12" s="1" customFormat="1">
      <c r="A82" s="15"/>
      <c r="B82" s="11" t="s">
        <v>1529</v>
      </c>
      <c r="C82" s="11" t="s">
        <v>45</v>
      </c>
      <c r="D82" s="9" t="s">
        <v>1530</v>
      </c>
      <c r="E82" s="16" t="s">
        <v>128</v>
      </c>
      <c r="F82" s="72"/>
      <c r="G82" s="17" t="s">
        <v>1573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1531</v>
      </c>
      <c r="C83" s="11" t="s">
        <v>45</v>
      </c>
      <c r="D83" s="9" t="s">
        <v>1532</v>
      </c>
      <c r="E83" s="16" t="s">
        <v>128</v>
      </c>
      <c r="F83" s="72"/>
      <c r="G83" s="17" t="s">
        <v>1574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11" t="s">
        <v>1533</v>
      </c>
      <c r="C84" s="11" t="s">
        <v>45</v>
      </c>
      <c r="D84" s="9" t="s">
        <v>1534</v>
      </c>
      <c r="E84" s="16" t="s">
        <v>128</v>
      </c>
      <c r="F84" s="72"/>
      <c r="G84" s="17" t="s">
        <v>1575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89" t="s">
        <v>1404</v>
      </c>
      <c r="C85" s="11" t="s">
        <v>280</v>
      </c>
      <c r="D85" s="9" t="s">
        <v>506</v>
      </c>
      <c r="E85" s="16" t="s">
        <v>128</v>
      </c>
      <c r="F85" s="17"/>
      <c r="G85" s="91" t="s">
        <v>1415</v>
      </c>
      <c r="H85" s="18"/>
      <c r="I85" s="17"/>
      <c r="J85" s="19" t="s">
        <v>133</v>
      </c>
      <c r="K85" s="19" t="s">
        <v>203</v>
      </c>
      <c r="L85" s="19" t="s">
        <v>67</v>
      </c>
    </row>
    <row r="86" spans="1:12" s="1" customFormat="1">
      <c r="A86" s="15"/>
      <c r="B86" s="11" t="s">
        <v>1549</v>
      </c>
      <c r="C86" s="11" t="s">
        <v>45</v>
      </c>
      <c r="D86" s="9" t="s">
        <v>1540</v>
      </c>
      <c r="E86" s="16" t="s">
        <v>128</v>
      </c>
      <c r="F86" s="72"/>
      <c r="G86" s="17" t="s">
        <v>1576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1541</v>
      </c>
      <c r="C87" s="11" t="s">
        <v>45</v>
      </c>
      <c r="D87" s="9" t="s">
        <v>1542</v>
      </c>
      <c r="E87" s="16" t="s">
        <v>128</v>
      </c>
      <c r="F87" s="72"/>
      <c r="G87" s="17" t="s">
        <v>1577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1543</v>
      </c>
      <c r="C88" s="11" t="s">
        <v>45</v>
      </c>
      <c r="D88" s="9" t="s">
        <v>1544</v>
      </c>
      <c r="E88" s="16" t="s">
        <v>128</v>
      </c>
      <c r="F88" s="72"/>
      <c r="G88" s="17" t="s">
        <v>1578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1545</v>
      </c>
      <c r="C89" s="11" t="s">
        <v>45</v>
      </c>
      <c r="D89" s="9" t="s">
        <v>1546</v>
      </c>
      <c r="E89" s="16" t="s">
        <v>128</v>
      </c>
      <c r="F89" s="72"/>
      <c r="G89" s="17" t="s">
        <v>1579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1547</v>
      </c>
      <c r="C90" s="11" t="s">
        <v>45</v>
      </c>
      <c r="D90" s="9" t="s">
        <v>1548</v>
      </c>
      <c r="E90" s="16" t="s">
        <v>128</v>
      </c>
      <c r="F90" s="72"/>
      <c r="G90" s="17" t="s">
        <v>1580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830</v>
      </c>
      <c r="C91" s="11" t="s">
        <v>45</v>
      </c>
      <c r="D91" s="9" t="s">
        <v>837</v>
      </c>
      <c r="E91" s="16" t="s">
        <v>128</v>
      </c>
      <c r="F91" s="17"/>
      <c r="G91" s="17" t="s">
        <v>1097</v>
      </c>
      <c r="H91" s="18"/>
      <c r="I91" s="17"/>
      <c r="J91" s="19" t="s">
        <v>133</v>
      </c>
      <c r="K91" s="19" t="s">
        <v>44</v>
      </c>
      <c r="L91" s="19" t="s">
        <v>67</v>
      </c>
    </row>
    <row r="92" spans="1:12" s="1" customFormat="1">
      <c r="A92" s="15"/>
      <c r="B92" s="89" t="s">
        <v>1405</v>
      </c>
      <c r="C92" s="11" t="s">
        <v>280</v>
      </c>
      <c r="D92" s="9" t="s">
        <v>836</v>
      </c>
      <c r="E92" s="16" t="s">
        <v>128</v>
      </c>
      <c r="F92" s="17"/>
      <c r="G92" s="91" t="s">
        <v>1416</v>
      </c>
      <c r="H92" s="18"/>
      <c r="I92" s="17"/>
      <c r="J92" s="19" t="s">
        <v>133</v>
      </c>
      <c r="K92" s="19" t="s">
        <v>202</v>
      </c>
      <c r="L92" s="19" t="s">
        <v>67</v>
      </c>
    </row>
    <row r="93" spans="1:12" s="1" customFormat="1">
      <c r="A93" s="15"/>
      <c r="B93" s="95" t="s">
        <v>1564</v>
      </c>
      <c r="C93" s="95" t="s">
        <v>45</v>
      </c>
      <c r="D93" s="96" t="s">
        <v>1555</v>
      </c>
      <c r="E93" s="16" t="s">
        <v>128</v>
      </c>
      <c r="F93" s="72"/>
      <c r="G93" s="17" t="s">
        <v>1581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95" t="s">
        <v>1556</v>
      </c>
      <c r="C94" s="95" t="s">
        <v>45</v>
      </c>
      <c r="D94" s="96" t="s">
        <v>1557</v>
      </c>
      <c r="E94" s="16" t="s">
        <v>128</v>
      </c>
      <c r="F94" s="72"/>
      <c r="G94" s="17" t="s">
        <v>1582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95" t="s">
        <v>1558</v>
      </c>
      <c r="C95" s="95" t="s">
        <v>45</v>
      </c>
      <c r="D95" s="96" t="s">
        <v>1559</v>
      </c>
      <c r="E95" s="16" t="s">
        <v>128</v>
      </c>
      <c r="F95" s="72"/>
      <c r="G95" s="17" t="s">
        <v>1583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95" t="s">
        <v>1560</v>
      </c>
      <c r="C96" s="95" t="s">
        <v>45</v>
      </c>
      <c r="D96" s="96" t="s">
        <v>1561</v>
      </c>
      <c r="E96" s="16" t="s">
        <v>128</v>
      </c>
      <c r="F96" s="72"/>
      <c r="G96" s="17" t="s">
        <v>1584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95" t="s">
        <v>1562</v>
      </c>
      <c r="C97" s="95" t="s">
        <v>45</v>
      </c>
      <c r="D97" s="96" t="s">
        <v>1563</v>
      </c>
      <c r="E97" s="16" t="s">
        <v>128</v>
      </c>
      <c r="F97" s="72"/>
      <c r="G97" s="17" t="s">
        <v>1585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11" t="s">
        <v>831</v>
      </c>
      <c r="C98" s="11" t="s">
        <v>45</v>
      </c>
      <c r="D98" s="9" t="s">
        <v>825</v>
      </c>
      <c r="E98" s="16" t="s">
        <v>128</v>
      </c>
      <c r="F98" s="17"/>
      <c r="G98" s="17" t="s">
        <v>1100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11" t="s">
        <v>1098</v>
      </c>
      <c r="C99" s="11" t="s">
        <v>280</v>
      </c>
      <c r="D99" s="9" t="s">
        <v>826</v>
      </c>
      <c r="E99" s="16" t="s">
        <v>128</v>
      </c>
      <c r="F99" s="17"/>
      <c r="G99" s="17" t="s">
        <v>1101</v>
      </c>
      <c r="H99" s="18"/>
      <c r="I99" s="17"/>
      <c r="J99" s="19" t="s">
        <v>133</v>
      </c>
      <c r="K99" s="19" t="s">
        <v>202</v>
      </c>
      <c r="L99" s="19" t="s">
        <v>67</v>
      </c>
    </row>
    <row r="100" spans="1:12" s="1" customFormat="1">
      <c r="A100" s="15"/>
      <c r="B100" s="89" t="s">
        <v>1406</v>
      </c>
      <c r="C100" s="11" t="s">
        <v>280</v>
      </c>
      <c r="D100" s="9" t="s">
        <v>833</v>
      </c>
      <c r="E100" s="16" t="s">
        <v>128</v>
      </c>
      <c r="F100" s="17"/>
      <c r="G100" s="91" t="s">
        <v>1419</v>
      </c>
      <c r="H100" s="18"/>
      <c r="I100" s="17"/>
      <c r="J100" s="19" t="s">
        <v>133</v>
      </c>
      <c r="K100" s="19" t="s">
        <v>202</v>
      </c>
      <c r="L100" s="19" t="s">
        <v>67</v>
      </c>
    </row>
    <row r="101" spans="1:12" s="1" customFormat="1">
      <c r="A101" s="15"/>
      <c r="B101" s="89" t="s">
        <v>1402</v>
      </c>
      <c r="C101" s="11" t="s">
        <v>280</v>
      </c>
      <c r="D101" s="9" t="s">
        <v>534</v>
      </c>
      <c r="E101" s="16" t="s">
        <v>128</v>
      </c>
      <c r="F101" s="17"/>
      <c r="G101" s="91" t="s">
        <v>1422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2" s="1" customFormat="1">
      <c r="A102" s="15"/>
      <c r="B102" s="11" t="s">
        <v>848</v>
      </c>
      <c r="C102" s="11" t="s">
        <v>45</v>
      </c>
      <c r="D102" s="9" t="s">
        <v>850</v>
      </c>
      <c r="E102" s="16" t="s">
        <v>128</v>
      </c>
      <c r="F102" s="17"/>
      <c r="G102" s="17" t="s">
        <v>1104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A103" s="15"/>
      <c r="B103" s="11" t="s">
        <v>849</v>
      </c>
      <c r="C103" s="11" t="s">
        <v>45</v>
      </c>
      <c r="D103" s="9" t="s">
        <v>116</v>
      </c>
      <c r="E103" s="16" t="s">
        <v>128</v>
      </c>
      <c r="F103" s="17"/>
      <c r="G103" s="17" t="s">
        <v>1105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A104" s="15"/>
      <c r="B104" s="89" t="s">
        <v>1407</v>
      </c>
      <c r="C104" s="11" t="s">
        <v>1202</v>
      </c>
      <c r="D104" s="9" t="s">
        <v>502</v>
      </c>
      <c r="E104" s="16" t="s">
        <v>128</v>
      </c>
      <c r="F104" s="17"/>
      <c r="G104" s="91" t="s">
        <v>1425</v>
      </c>
      <c r="H104" s="18"/>
      <c r="I104" s="17"/>
      <c r="J104" s="19" t="s">
        <v>133</v>
      </c>
      <c r="K104" s="19" t="s">
        <v>202</v>
      </c>
      <c r="L104" s="19" t="s">
        <v>67</v>
      </c>
    </row>
    <row r="105" spans="1:12" s="1" customFormat="1">
      <c r="A105" s="15"/>
      <c r="B105" s="11" t="s">
        <v>856</v>
      </c>
      <c r="C105" s="11" t="s">
        <v>45</v>
      </c>
      <c r="D105" s="9" t="s">
        <v>857</v>
      </c>
      <c r="E105" s="16" t="s">
        <v>128</v>
      </c>
      <c r="F105" s="17"/>
      <c r="G105" s="17" t="s">
        <v>1106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A106" s="15"/>
      <c r="B106" s="11" t="s">
        <v>315</v>
      </c>
      <c r="C106" s="11" t="s">
        <v>45</v>
      </c>
      <c r="D106" s="9" t="s">
        <v>112</v>
      </c>
      <c r="E106" s="16" t="s">
        <v>128</v>
      </c>
      <c r="F106" s="17"/>
      <c r="G106" s="17" t="s">
        <v>1145</v>
      </c>
      <c r="H106" s="18"/>
      <c r="I106" s="17"/>
      <c r="J106" s="19" t="s">
        <v>133</v>
      </c>
      <c r="K106" s="19" t="s">
        <v>44</v>
      </c>
      <c r="L106" s="19" t="s">
        <v>67</v>
      </c>
    </row>
    <row r="107" spans="1:12" s="1" customFormat="1">
      <c r="A107" s="15"/>
      <c r="B107" s="89" t="s">
        <v>1408</v>
      </c>
      <c r="C107" s="11" t="s">
        <v>45</v>
      </c>
      <c r="D107" s="9" t="s">
        <v>859</v>
      </c>
      <c r="E107" s="16" t="s">
        <v>128</v>
      </c>
      <c r="F107" s="17"/>
      <c r="G107" s="91" t="s">
        <v>1456</v>
      </c>
      <c r="H107" s="92"/>
      <c r="I107" s="91"/>
      <c r="J107" s="19" t="s">
        <v>133</v>
      </c>
      <c r="K107" s="19" t="s">
        <v>44</v>
      </c>
      <c r="L107" s="19" t="s">
        <v>67</v>
      </c>
    </row>
    <row r="108" spans="1:12" s="1" customFormat="1">
      <c r="A108" s="15"/>
      <c r="B108" s="89" t="s">
        <v>1409</v>
      </c>
      <c r="C108" s="11" t="s">
        <v>45</v>
      </c>
      <c r="D108" s="9" t="s">
        <v>860</v>
      </c>
      <c r="E108" s="16" t="s">
        <v>128</v>
      </c>
      <c r="F108" s="17"/>
      <c r="G108" s="91" t="s">
        <v>1457</v>
      </c>
      <c r="H108" s="92"/>
      <c r="I108" s="91"/>
      <c r="J108" s="19" t="s">
        <v>133</v>
      </c>
      <c r="K108" s="19" t="s">
        <v>44</v>
      </c>
      <c r="L108" s="19" t="s">
        <v>67</v>
      </c>
    </row>
    <row r="109" spans="1:12" s="1" customFormat="1">
      <c r="A109" s="15"/>
      <c r="B109" s="89" t="s">
        <v>1410</v>
      </c>
      <c r="C109" s="11" t="s">
        <v>45</v>
      </c>
      <c r="D109" s="9" t="s">
        <v>861</v>
      </c>
      <c r="E109" s="16" t="s">
        <v>128</v>
      </c>
      <c r="F109" s="17"/>
      <c r="G109" s="91" t="s">
        <v>1458</v>
      </c>
      <c r="H109" s="92"/>
      <c r="I109" s="91"/>
      <c r="J109" s="19" t="s">
        <v>133</v>
      </c>
      <c r="K109" s="19" t="s">
        <v>44</v>
      </c>
      <c r="L109" s="19" t="s">
        <v>67</v>
      </c>
    </row>
    <row r="110" spans="1:12" s="1" customFormat="1">
      <c r="A110" s="15"/>
      <c r="B110" s="11" t="s">
        <v>871</v>
      </c>
      <c r="C110" s="11" t="s">
        <v>45</v>
      </c>
      <c r="D110" s="9" t="s">
        <v>880</v>
      </c>
      <c r="E110" s="16" t="s">
        <v>128</v>
      </c>
      <c r="F110" s="17"/>
      <c r="G110" s="17" t="s">
        <v>1149</v>
      </c>
      <c r="H110" s="18"/>
      <c r="I110" s="17"/>
      <c r="J110" s="19" t="s">
        <v>133</v>
      </c>
      <c r="K110" s="19" t="s">
        <v>44</v>
      </c>
      <c r="L110" s="19" t="s">
        <v>67</v>
      </c>
    </row>
    <row r="111" spans="1:12" s="1" customFormat="1">
      <c r="A111" s="15"/>
      <c r="B111" s="11" t="s">
        <v>872</v>
      </c>
      <c r="C111" s="11" t="s">
        <v>45</v>
      </c>
      <c r="D111" s="9" t="s">
        <v>881</v>
      </c>
      <c r="E111" s="16" t="s">
        <v>128</v>
      </c>
      <c r="F111" s="17"/>
      <c r="G111" s="17" t="s">
        <v>1150</v>
      </c>
      <c r="H111" s="18"/>
      <c r="I111" s="17"/>
      <c r="J111" s="19" t="s">
        <v>133</v>
      </c>
      <c r="K111" s="19" t="s">
        <v>44</v>
      </c>
      <c r="L111" s="19" t="s">
        <v>67</v>
      </c>
    </row>
    <row r="112" spans="1:12" s="1" customFormat="1">
      <c r="A112" s="15"/>
      <c r="B112" s="11" t="s">
        <v>873</v>
      </c>
      <c r="C112" s="11" t="s">
        <v>45</v>
      </c>
      <c r="D112" s="9" t="s">
        <v>882</v>
      </c>
      <c r="E112" s="16" t="s">
        <v>128</v>
      </c>
      <c r="F112" s="17"/>
      <c r="G112" s="17" t="s">
        <v>1151</v>
      </c>
      <c r="H112" s="18"/>
      <c r="I112" s="17"/>
      <c r="J112" s="19" t="s">
        <v>133</v>
      </c>
      <c r="K112" s="19" t="s">
        <v>44</v>
      </c>
      <c r="L112" s="19" t="s">
        <v>67</v>
      </c>
    </row>
    <row r="113" spans="1:17" s="1" customFormat="1">
      <c r="A113" s="15"/>
      <c r="B113" s="89" t="s">
        <v>1411</v>
      </c>
      <c r="C113" s="11" t="s">
        <v>45</v>
      </c>
      <c r="D113" s="9" t="s">
        <v>862</v>
      </c>
      <c r="E113" s="16" t="s">
        <v>128</v>
      </c>
      <c r="F113" s="17"/>
      <c r="G113" s="91" t="s">
        <v>1459</v>
      </c>
      <c r="H113" s="92"/>
      <c r="I113" s="91"/>
      <c r="J113" s="19" t="s">
        <v>133</v>
      </c>
      <c r="K113" s="19" t="s">
        <v>44</v>
      </c>
      <c r="L113" s="19" t="s">
        <v>67</v>
      </c>
    </row>
    <row r="114" spans="1:17" s="1" customFormat="1">
      <c r="A114" s="15"/>
      <c r="B114" s="89" t="s">
        <v>1412</v>
      </c>
      <c r="C114" s="11" t="s">
        <v>45</v>
      </c>
      <c r="D114" s="9" t="s">
        <v>863</v>
      </c>
      <c r="E114" s="16" t="s">
        <v>128</v>
      </c>
      <c r="F114" s="17"/>
      <c r="G114" s="91" t="s">
        <v>1460</v>
      </c>
      <c r="H114" s="92"/>
      <c r="I114" s="91"/>
      <c r="J114" s="19" t="s">
        <v>133</v>
      </c>
      <c r="K114" s="19" t="s">
        <v>44</v>
      </c>
      <c r="L114" s="19" t="s">
        <v>67</v>
      </c>
    </row>
    <row r="115" spans="1:17" s="1" customFormat="1">
      <c r="A115" s="15"/>
      <c r="B115" s="89" t="s">
        <v>1413</v>
      </c>
      <c r="C115" s="11" t="s">
        <v>45</v>
      </c>
      <c r="D115" s="9" t="s">
        <v>864</v>
      </c>
      <c r="E115" s="16" t="s">
        <v>128</v>
      </c>
      <c r="F115" s="17"/>
      <c r="G115" s="91" t="s">
        <v>1461</v>
      </c>
      <c r="H115" s="92"/>
      <c r="I115" s="91"/>
      <c r="J115" s="19" t="s">
        <v>133</v>
      </c>
      <c r="K115" s="19" t="s">
        <v>44</v>
      </c>
      <c r="L115" s="19" t="s">
        <v>67</v>
      </c>
    </row>
    <row r="116" spans="1:17" s="3" customFormat="1">
      <c r="B116" s="23" t="s">
        <v>47</v>
      </c>
      <c r="C116" s="24" t="s">
        <v>46</v>
      </c>
      <c r="D116" s="21" t="s">
        <v>48</v>
      </c>
      <c r="E116" s="44"/>
      <c r="F116" s="44"/>
      <c r="G116" s="44" t="s">
        <v>282</v>
      </c>
      <c r="H116" s="23"/>
      <c r="I116" s="23"/>
      <c r="J116" s="23"/>
      <c r="K116" s="23"/>
      <c r="L116" s="23"/>
      <c r="M116" s="23"/>
      <c r="N116" s="23"/>
      <c r="O116" s="23"/>
      <c r="P116" s="23"/>
      <c r="Q116" s="23"/>
    </row>
    <row r="117" spans="1:17" s="3" customFormat="1">
      <c r="B117" s="23" t="s">
        <v>49</v>
      </c>
      <c r="C117" s="24" t="s">
        <v>43</v>
      </c>
      <c r="D117" s="21" t="s">
        <v>50</v>
      </c>
      <c r="E117" s="44"/>
      <c r="F117" s="44"/>
      <c r="G117" s="44" t="s">
        <v>282</v>
      </c>
      <c r="H117" s="23" t="s">
        <v>282</v>
      </c>
      <c r="I117" s="23"/>
      <c r="J117" s="23"/>
      <c r="K117" s="23"/>
      <c r="L117" s="23"/>
      <c r="M117" s="23"/>
      <c r="N117" s="23"/>
      <c r="O117" s="23"/>
      <c r="P117" s="23"/>
      <c r="Q117" s="23"/>
    </row>
  </sheetData>
  <autoFilter ref="A13:Q117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0376-77B0-4A6B-B928-C56C559F2D3E}">
  <sheetPr codeName="Sheet17"/>
  <dimension ref="A1:Q106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4.77734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1349</v>
      </c>
      <c r="D5" s="10" t="s">
        <v>1350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1312</v>
      </c>
      <c r="D9" s="10" t="s">
        <v>1313</v>
      </c>
      <c r="E9" s="11" t="s">
        <v>55</v>
      </c>
      <c r="F9" s="17"/>
      <c r="G9" s="17" t="s">
        <v>1361</v>
      </c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2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1068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61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62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64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65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66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95</v>
      </c>
      <c r="C23" s="11" t="s">
        <v>93</v>
      </c>
      <c r="D23" s="9" t="s">
        <v>114</v>
      </c>
      <c r="E23" s="16" t="s">
        <v>128</v>
      </c>
      <c r="F23" s="9" t="s">
        <v>1069</v>
      </c>
      <c r="G23" s="17" t="s">
        <v>129</v>
      </c>
      <c r="H23" s="18"/>
      <c r="I23" s="35"/>
      <c r="J23" s="19" t="s">
        <v>131</v>
      </c>
      <c r="K23" s="19" t="s">
        <v>132</v>
      </c>
      <c r="L23" s="19" t="s">
        <v>44</v>
      </c>
    </row>
    <row r="24" spans="1:12" s="1" customFormat="1">
      <c r="B24" s="22" t="s">
        <v>85</v>
      </c>
      <c r="C24" s="11" t="s">
        <v>43</v>
      </c>
      <c r="D24" s="9" t="s">
        <v>107</v>
      </c>
      <c r="E24" s="16" t="s">
        <v>128</v>
      </c>
      <c r="F24" s="17" t="s">
        <v>85</v>
      </c>
      <c r="G24" s="17" t="s">
        <v>129</v>
      </c>
      <c r="H24" s="18"/>
      <c r="I24" s="19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1072</v>
      </c>
      <c r="C25" s="11" t="s">
        <v>45</v>
      </c>
      <c r="D25" s="9" t="s">
        <v>146</v>
      </c>
      <c r="E25" s="16" t="s">
        <v>128</v>
      </c>
      <c r="F25" s="17"/>
      <c r="G25" s="17" t="s">
        <v>1073</v>
      </c>
      <c r="H25" s="18"/>
      <c r="I25" s="17"/>
      <c r="J25" s="19" t="s">
        <v>133</v>
      </c>
      <c r="K25" s="19" t="s">
        <v>132</v>
      </c>
      <c r="L25" s="19" t="s">
        <v>134</v>
      </c>
    </row>
    <row r="26" spans="1:12" s="1" customFormat="1">
      <c r="A26" s="15"/>
      <c r="B26" s="11" t="s">
        <v>189</v>
      </c>
      <c r="C26" s="11" t="s">
        <v>45</v>
      </c>
      <c r="D26" s="9" t="s">
        <v>190</v>
      </c>
      <c r="E26" s="16" t="s">
        <v>128</v>
      </c>
      <c r="F26" s="17"/>
      <c r="G26" s="17" t="s">
        <v>1259</v>
      </c>
      <c r="H26" s="18"/>
      <c r="I26" s="17"/>
      <c r="J26" s="19" t="s">
        <v>133</v>
      </c>
      <c r="K26" s="19" t="s">
        <v>132</v>
      </c>
      <c r="L26" s="19" t="s">
        <v>134</v>
      </c>
    </row>
    <row r="27" spans="1:12" s="1" customFormat="1">
      <c r="A27" s="15"/>
      <c r="B27" s="11" t="s">
        <v>192</v>
      </c>
      <c r="C27" s="11" t="s">
        <v>45</v>
      </c>
      <c r="D27" s="9" t="s">
        <v>193</v>
      </c>
      <c r="E27" s="16" t="s">
        <v>128</v>
      </c>
      <c r="F27" s="17"/>
      <c r="G27" s="17" t="s">
        <v>1074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2" s="1" customFormat="1">
      <c r="A28" s="15"/>
      <c r="B28" s="22" t="s">
        <v>255</v>
      </c>
      <c r="C28" s="22" t="s">
        <v>45</v>
      </c>
      <c r="D28" s="9" t="s">
        <v>348</v>
      </c>
      <c r="E28" s="16" t="s">
        <v>128</v>
      </c>
      <c r="F28" s="17"/>
      <c r="G28" s="17" t="s">
        <v>257</v>
      </c>
      <c r="H28" s="18"/>
      <c r="I28" s="17"/>
      <c r="J28" s="19" t="s">
        <v>133</v>
      </c>
      <c r="K28" s="19" t="s">
        <v>203</v>
      </c>
      <c r="L28" s="19" t="s">
        <v>134</v>
      </c>
    </row>
    <row r="29" spans="1:12" s="1" customFormat="1">
      <c r="A29" s="15"/>
      <c r="B29" s="11" t="s">
        <v>207</v>
      </c>
      <c r="C29" s="11" t="s">
        <v>45</v>
      </c>
      <c r="D29" s="9" t="s">
        <v>759</v>
      </c>
      <c r="E29" s="16" t="s">
        <v>128</v>
      </c>
      <c r="F29" s="72"/>
      <c r="G29" s="17" t="s">
        <v>320</v>
      </c>
      <c r="H29" s="18"/>
      <c r="I29" s="17"/>
      <c r="J29" s="19" t="s">
        <v>133</v>
      </c>
      <c r="K29" s="19" t="s">
        <v>204</v>
      </c>
      <c r="L29" s="19" t="s">
        <v>134</v>
      </c>
    </row>
    <row r="30" spans="1:12" s="1" customFormat="1">
      <c r="A30" s="15"/>
      <c r="B30" s="11" t="s">
        <v>208</v>
      </c>
      <c r="C30" s="11" t="s">
        <v>45</v>
      </c>
      <c r="D30" s="9" t="s">
        <v>160</v>
      </c>
      <c r="E30" s="16" t="s">
        <v>128</v>
      </c>
      <c r="F30" s="72"/>
      <c r="G30" s="17" t="s">
        <v>319</v>
      </c>
      <c r="H30" s="18"/>
      <c r="I30" s="17"/>
      <c r="J30" s="19" t="s">
        <v>133</v>
      </c>
      <c r="K30" s="19" t="s">
        <v>204</v>
      </c>
      <c r="L30" s="19" t="s">
        <v>134</v>
      </c>
    </row>
    <row r="31" spans="1:12" s="1" customFormat="1">
      <c r="A31" s="15"/>
      <c r="B31" s="11" t="s">
        <v>763</v>
      </c>
      <c r="C31" s="11" t="s">
        <v>45</v>
      </c>
      <c r="D31" s="9" t="s">
        <v>181</v>
      </c>
      <c r="E31" s="16" t="s">
        <v>128</v>
      </c>
      <c r="F31" s="72"/>
      <c r="G31" s="9" t="s">
        <v>1076</v>
      </c>
      <c r="H31" s="18"/>
      <c r="I31" s="17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11" t="s">
        <v>805</v>
      </c>
      <c r="C32" s="11" t="s">
        <v>45</v>
      </c>
      <c r="D32" s="9" t="s">
        <v>184</v>
      </c>
      <c r="E32" s="16" t="s">
        <v>128</v>
      </c>
      <c r="F32" s="72"/>
      <c r="G32" s="17" t="s">
        <v>1110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" t="s">
        <v>210</v>
      </c>
      <c r="C33" s="11" t="s">
        <v>45</v>
      </c>
      <c r="D33" s="9" t="s">
        <v>1056</v>
      </c>
      <c r="E33" s="16" t="s">
        <v>128</v>
      </c>
      <c r="F33" s="72"/>
      <c r="G33" s="17" t="s">
        <v>224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209</v>
      </c>
      <c r="C34" s="11" t="s">
        <v>45</v>
      </c>
      <c r="D34" s="9" t="s">
        <v>1055</v>
      </c>
      <c r="E34" s="16" t="s">
        <v>128</v>
      </c>
      <c r="F34" s="72"/>
      <c r="G34" s="17" t="s">
        <v>223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211</v>
      </c>
      <c r="C35" s="11" t="s">
        <v>45</v>
      </c>
      <c r="D35" s="9" t="s">
        <v>163</v>
      </c>
      <c r="E35" s="16" t="s">
        <v>128</v>
      </c>
      <c r="F35" s="72"/>
      <c r="G35" s="17" t="s">
        <v>225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212</v>
      </c>
      <c r="C36" s="11" t="s">
        <v>45</v>
      </c>
      <c r="D36" s="9" t="s">
        <v>164</v>
      </c>
      <c r="E36" s="16" t="s">
        <v>128</v>
      </c>
      <c r="F36" s="72"/>
      <c r="G36" s="17" t="s">
        <v>226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213</v>
      </c>
      <c r="C37" s="11" t="s">
        <v>45</v>
      </c>
      <c r="D37" s="9" t="s">
        <v>165</v>
      </c>
      <c r="E37" s="16" t="s">
        <v>128</v>
      </c>
      <c r="F37" s="72"/>
      <c r="G37" s="17" t="s">
        <v>1114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214</v>
      </c>
      <c r="C38" s="11" t="s">
        <v>45</v>
      </c>
      <c r="D38" s="9" t="s">
        <v>166</v>
      </c>
      <c r="E38" s="16" t="s">
        <v>128</v>
      </c>
      <c r="F38" s="72"/>
      <c r="G38" s="17" t="s">
        <v>1115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215</v>
      </c>
      <c r="C39" s="11" t="s">
        <v>45</v>
      </c>
      <c r="D39" s="9" t="s">
        <v>1260</v>
      </c>
      <c r="E39" s="16" t="s">
        <v>128</v>
      </c>
      <c r="F39" s="72"/>
      <c r="G39" s="17" t="s">
        <v>227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216</v>
      </c>
      <c r="C40" s="11" t="s">
        <v>45</v>
      </c>
      <c r="D40" s="9" t="s">
        <v>1261</v>
      </c>
      <c r="E40" s="16" t="s">
        <v>128</v>
      </c>
      <c r="F40" s="72"/>
      <c r="G40" s="17" t="s">
        <v>228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316</v>
      </c>
      <c r="C41" s="11" t="s">
        <v>45</v>
      </c>
      <c r="D41" s="9" t="s">
        <v>167</v>
      </c>
      <c r="E41" s="16" t="s">
        <v>128</v>
      </c>
      <c r="F41" s="72"/>
      <c r="G41" s="17" t="s">
        <v>772</v>
      </c>
      <c r="H41" s="18"/>
      <c r="I41" s="17"/>
      <c r="J41" s="19" t="s">
        <v>133</v>
      </c>
      <c r="K41" s="19" t="s">
        <v>202</v>
      </c>
      <c r="L41" s="19" t="s">
        <v>67</v>
      </c>
    </row>
    <row r="42" spans="1:12" s="1" customFormat="1">
      <c r="A42" s="15"/>
      <c r="B42" s="11" t="s">
        <v>809</v>
      </c>
      <c r="C42" s="11" t="s">
        <v>45</v>
      </c>
      <c r="D42" s="9" t="s">
        <v>175</v>
      </c>
      <c r="E42" s="16" t="s">
        <v>128</v>
      </c>
      <c r="F42" s="72"/>
      <c r="G42" s="17" t="s">
        <v>1120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317</v>
      </c>
      <c r="C43" s="11" t="s">
        <v>45</v>
      </c>
      <c r="D43" s="9" t="s">
        <v>168</v>
      </c>
      <c r="E43" s="16" t="s">
        <v>128</v>
      </c>
      <c r="F43" s="72"/>
      <c r="G43" s="17" t="s">
        <v>1489</v>
      </c>
      <c r="H43" s="18"/>
      <c r="I43" s="17"/>
      <c r="J43" s="19" t="s">
        <v>133</v>
      </c>
      <c r="K43" s="19" t="s">
        <v>202</v>
      </c>
      <c r="L43" s="19" t="s">
        <v>67</v>
      </c>
    </row>
    <row r="44" spans="1:12" s="1" customFormat="1">
      <c r="A44" s="15"/>
      <c r="B44" s="11" t="s">
        <v>810</v>
      </c>
      <c r="C44" s="11" t="s">
        <v>45</v>
      </c>
      <c r="D44" s="9" t="s">
        <v>176</v>
      </c>
      <c r="E44" s="16" t="s">
        <v>128</v>
      </c>
      <c r="F44" s="72"/>
      <c r="G44" s="17" t="s">
        <v>1121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1213</v>
      </c>
      <c r="C45" s="11" t="s">
        <v>45</v>
      </c>
      <c r="D45" s="9" t="s">
        <v>178</v>
      </c>
      <c r="E45" s="16" t="s">
        <v>128</v>
      </c>
      <c r="F45" s="72"/>
      <c r="G45" s="17" t="s">
        <v>1215</v>
      </c>
      <c r="H45" s="18"/>
      <c r="I45" s="17"/>
      <c r="J45" s="19" t="s">
        <v>133</v>
      </c>
      <c r="K45" s="19" t="s">
        <v>202</v>
      </c>
      <c r="L45" s="19" t="s">
        <v>67</v>
      </c>
    </row>
    <row r="46" spans="1:12" s="1" customFormat="1">
      <c r="A46" s="15"/>
      <c r="B46" s="11" t="s">
        <v>221</v>
      </c>
      <c r="C46" s="11" t="s">
        <v>45</v>
      </c>
      <c r="D46" s="9" t="s">
        <v>177</v>
      </c>
      <c r="E46" s="16" t="s">
        <v>128</v>
      </c>
      <c r="F46" s="72"/>
      <c r="G46" s="17" t="s">
        <v>1256</v>
      </c>
      <c r="H46" s="18"/>
      <c r="I46" s="17"/>
      <c r="J46" s="19" t="s">
        <v>133</v>
      </c>
      <c r="K46" s="19" t="s">
        <v>204</v>
      </c>
      <c r="L46" s="19" t="s">
        <v>67</v>
      </c>
    </row>
    <row r="47" spans="1:12" s="1" customFormat="1">
      <c r="A47" s="15"/>
      <c r="B47" s="11" t="s">
        <v>1212</v>
      </c>
      <c r="C47" s="11" t="s">
        <v>45</v>
      </c>
      <c r="D47" s="9" t="s">
        <v>180</v>
      </c>
      <c r="E47" s="16" t="s">
        <v>128</v>
      </c>
      <c r="F47" s="72"/>
      <c r="G47" s="17" t="s">
        <v>1214</v>
      </c>
      <c r="H47" s="18"/>
      <c r="I47" s="17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222</v>
      </c>
      <c r="C48" s="11" t="s">
        <v>45</v>
      </c>
      <c r="D48" s="9" t="s">
        <v>179</v>
      </c>
      <c r="E48" s="16" t="s">
        <v>128</v>
      </c>
      <c r="F48" s="72"/>
      <c r="G48" s="17" t="s">
        <v>1123</v>
      </c>
      <c r="H48" s="18"/>
      <c r="I48" s="17"/>
      <c r="J48" s="19" t="s">
        <v>133</v>
      </c>
      <c r="K48" s="19" t="s">
        <v>204</v>
      </c>
      <c r="L48" s="19" t="s">
        <v>67</v>
      </c>
    </row>
    <row r="49" spans="1:12" s="1" customFormat="1">
      <c r="A49" s="15"/>
      <c r="B49" s="11" t="s">
        <v>811</v>
      </c>
      <c r="C49" s="11" t="s">
        <v>45</v>
      </c>
      <c r="D49" s="9" t="s">
        <v>643</v>
      </c>
      <c r="E49" s="16" t="s">
        <v>128</v>
      </c>
      <c r="F49" s="72"/>
      <c r="G49" s="17" t="s">
        <v>768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812</v>
      </c>
      <c r="C50" s="11" t="s">
        <v>45</v>
      </c>
      <c r="D50" s="9" t="s">
        <v>813</v>
      </c>
      <c r="E50" s="16" t="s">
        <v>128</v>
      </c>
      <c r="F50" s="72"/>
      <c r="G50" s="17" t="s">
        <v>1124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814</v>
      </c>
      <c r="C51" s="11" t="s">
        <v>45</v>
      </c>
      <c r="D51" s="9" t="s">
        <v>500</v>
      </c>
      <c r="E51" s="16" t="s">
        <v>128</v>
      </c>
      <c r="F51" s="72"/>
      <c r="G51" s="17" t="s">
        <v>1125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205</v>
      </c>
      <c r="C52" s="11" t="s">
        <v>45</v>
      </c>
      <c r="D52" s="9" t="s">
        <v>147</v>
      </c>
      <c r="E52" s="16" t="s">
        <v>128</v>
      </c>
      <c r="F52" s="72"/>
      <c r="G52" s="17" t="s">
        <v>1126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206</v>
      </c>
      <c r="C53" s="11" t="s">
        <v>280</v>
      </c>
      <c r="D53" s="9" t="s">
        <v>820</v>
      </c>
      <c r="E53" s="16" t="s">
        <v>128</v>
      </c>
      <c r="F53" s="72"/>
      <c r="G53" s="17" t="s">
        <v>1081</v>
      </c>
      <c r="H53" s="18"/>
      <c r="I53" s="17"/>
      <c r="J53" s="19" t="s">
        <v>133</v>
      </c>
      <c r="K53" s="19" t="s">
        <v>202</v>
      </c>
      <c r="L53" s="19" t="s">
        <v>67</v>
      </c>
    </row>
    <row r="54" spans="1:12" s="1" customFormat="1">
      <c r="A54" s="15"/>
      <c r="B54" s="11" t="s">
        <v>1022</v>
      </c>
      <c r="C54" s="11" t="s">
        <v>45</v>
      </c>
      <c r="D54" s="9" t="s">
        <v>1018</v>
      </c>
      <c r="E54" s="16" t="s">
        <v>128</v>
      </c>
      <c r="F54" s="72"/>
      <c r="G54" s="17" t="s">
        <v>1127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1014</v>
      </c>
      <c r="C55" s="11" t="s">
        <v>45</v>
      </c>
      <c r="D55" s="9" t="s">
        <v>1019</v>
      </c>
      <c r="E55" s="16" t="s">
        <v>128</v>
      </c>
      <c r="F55" s="72"/>
      <c r="G55" s="17" t="s">
        <v>1128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1015</v>
      </c>
      <c r="C56" s="11" t="s">
        <v>45</v>
      </c>
      <c r="D56" s="9" t="s">
        <v>1020</v>
      </c>
      <c r="E56" s="16" t="s">
        <v>128</v>
      </c>
      <c r="F56" s="72"/>
      <c r="G56" s="17" t="s">
        <v>1129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1016</v>
      </c>
      <c r="C57" s="11" t="s">
        <v>45</v>
      </c>
      <c r="D57" s="9" t="s">
        <v>1021</v>
      </c>
      <c r="E57" s="16" t="s">
        <v>128</v>
      </c>
      <c r="F57" s="72"/>
      <c r="G57" s="17" t="s">
        <v>1130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1017</v>
      </c>
      <c r="C58" s="11" t="s">
        <v>45</v>
      </c>
      <c r="D58" s="9" t="s">
        <v>1042</v>
      </c>
      <c r="E58" s="16" t="s">
        <v>128</v>
      </c>
      <c r="F58" s="72"/>
      <c r="G58" s="17" t="s">
        <v>1131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1049</v>
      </c>
      <c r="C59" s="11" t="s">
        <v>45</v>
      </c>
      <c r="D59" s="9" t="s">
        <v>153</v>
      </c>
      <c r="E59" s="16" t="s">
        <v>128</v>
      </c>
      <c r="F59" s="72"/>
      <c r="G59" s="17" t="s">
        <v>1262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823</v>
      </c>
      <c r="C60" s="11" t="s">
        <v>280</v>
      </c>
      <c r="D60" s="9" t="s">
        <v>1474</v>
      </c>
      <c r="E60" s="16" t="s">
        <v>128</v>
      </c>
      <c r="F60" s="72"/>
      <c r="G60" s="17" t="s">
        <v>1082</v>
      </c>
      <c r="H60" s="18"/>
      <c r="I60" s="17"/>
      <c r="J60" s="19" t="s">
        <v>133</v>
      </c>
      <c r="K60" s="19" t="s">
        <v>202</v>
      </c>
      <c r="L60" s="19" t="s">
        <v>67</v>
      </c>
    </row>
    <row r="61" spans="1:12" s="1" customFormat="1">
      <c r="A61" s="15"/>
      <c r="B61" s="11" t="s">
        <v>1030</v>
      </c>
      <c r="C61" s="11" t="s">
        <v>45</v>
      </c>
      <c r="D61" s="9" t="s">
        <v>1026</v>
      </c>
      <c r="E61" s="16" t="s">
        <v>128</v>
      </c>
      <c r="F61" s="72"/>
      <c r="G61" s="17" t="s">
        <v>1133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1023</v>
      </c>
      <c r="C62" s="11" t="s">
        <v>45</v>
      </c>
      <c r="D62" s="9" t="s">
        <v>1027</v>
      </c>
      <c r="E62" s="16" t="s">
        <v>128</v>
      </c>
      <c r="F62" s="72"/>
      <c r="G62" s="17" t="s">
        <v>1134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1024</v>
      </c>
      <c r="C63" s="11" t="s">
        <v>45</v>
      </c>
      <c r="D63" s="9" t="s">
        <v>1028</v>
      </c>
      <c r="E63" s="16" t="s">
        <v>128</v>
      </c>
      <c r="F63" s="72"/>
      <c r="G63" s="17" t="s">
        <v>1135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1032</v>
      </c>
      <c r="C64" s="11" t="s">
        <v>45</v>
      </c>
      <c r="D64" s="9" t="s">
        <v>1029</v>
      </c>
      <c r="E64" s="16" t="s">
        <v>128</v>
      </c>
      <c r="F64" s="72"/>
      <c r="G64" s="17" t="s">
        <v>1136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1025</v>
      </c>
      <c r="C65" s="11" t="s">
        <v>45</v>
      </c>
      <c r="D65" s="9" t="s">
        <v>1043</v>
      </c>
      <c r="E65" s="16" t="s">
        <v>128</v>
      </c>
      <c r="F65" s="72"/>
      <c r="G65" s="17" t="s">
        <v>1137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1084</v>
      </c>
      <c r="C66" s="11" t="s">
        <v>280</v>
      </c>
      <c r="D66" s="9" t="s">
        <v>1086</v>
      </c>
      <c r="E66" s="16" t="s">
        <v>128</v>
      </c>
      <c r="F66" s="72"/>
      <c r="G66" s="17" t="s">
        <v>1087</v>
      </c>
      <c r="H66" s="18"/>
      <c r="I66" s="17"/>
      <c r="J66" s="19" t="s">
        <v>133</v>
      </c>
      <c r="K66" s="19" t="s">
        <v>202</v>
      </c>
      <c r="L66" s="19" t="s">
        <v>67</v>
      </c>
    </row>
    <row r="67" spans="1:12" s="1" customFormat="1">
      <c r="A67" s="15"/>
      <c r="B67" s="11" t="s">
        <v>1083</v>
      </c>
      <c r="C67" s="11" t="s">
        <v>280</v>
      </c>
      <c r="D67" s="9" t="s">
        <v>841</v>
      </c>
      <c r="E67" s="16" t="s">
        <v>128</v>
      </c>
      <c r="F67" s="72"/>
      <c r="G67" s="17" t="s">
        <v>1866</v>
      </c>
      <c r="H67" s="18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" t="s">
        <v>1033</v>
      </c>
      <c r="C68" s="11" t="s">
        <v>45</v>
      </c>
      <c r="D68" s="9" t="s">
        <v>1038</v>
      </c>
      <c r="E68" s="16" t="s">
        <v>128</v>
      </c>
      <c r="F68" s="72"/>
      <c r="G68" s="17" t="s">
        <v>1138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1034</v>
      </c>
      <c r="C69" s="11" t="s">
        <v>45</v>
      </c>
      <c r="D69" s="9" t="s">
        <v>1039</v>
      </c>
      <c r="E69" s="16" t="s">
        <v>128</v>
      </c>
      <c r="F69" s="72"/>
      <c r="G69" s="17" t="s">
        <v>1139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1035</v>
      </c>
      <c r="C70" s="11" t="s">
        <v>45</v>
      </c>
      <c r="D70" s="9" t="s">
        <v>1040</v>
      </c>
      <c r="E70" s="16" t="s">
        <v>128</v>
      </c>
      <c r="F70" s="72"/>
      <c r="G70" s="17" t="s">
        <v>1140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1036</v>
      </c>
      <c r="C71" s="11" t="s">
        <v>45</v>
      </c>
      <c r="D71" s="9" t="s">
        <v>1041</v>
      </c>
      <c r="E71" s="16" t="s">
        <v>128</v>
      </c>
      <c r="F71" s="72"/>
      <c r="G71" s="17" t="s">
        <v>1141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1037</v>
      </c>
      <c r="C72" s="11" t="s">
        <v>45</v>
      </c>
      <c r="D72" s="9" t="s">
        <v>1044</v>
      </c>
      <c r="E72" s="16" t="s">
        <v>128</v>
      </c>
      <c r="F72" s="72"/>
      <c r="G72" s="17" t="s">
        <v>1142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816</v>
      </c>
      <c r="C73" s="11" t="s">
        <v>280</v>
      </c>
      <c r="D73" s="9" t="s">
        <v>839</v>
      </c>
      <c r="E73" s="16" t="s">
        <v>128</v>
      </c>
      <c r="F73" s="72"/>
      <c r="G73" s="17" t="s">
        <v>1088</v>
      </c>
      <c r="H73" s="18"/>
      <c r="I73" s="17"/>
      <c r="J73" s="19" t="s">
        <v>133</v>
      </c>
      <c r="K73" s="19" t="s">
        <v>202</v>
      </c>
      <c r="L73" s="19" t="s">
        <v>67</v>
      </c>
    </row>
    <row r="74" spans="1:12" s="1" customFormat="1">
      <c r="A74" s="15"/>
      <c r="B74" s="11" t="s">
        <v>817</v>
      </c>
      <c r="C74" s="11" t="s">
        <v>45</v>
      </c>
      <c r="D74" s="9" t="s">
        <v>658</v>
      </c>
      <c r="E74" s="16" t="s">
        <v>128</v>
      </c>
      <c r="F74" s="72"/>
      <c r="G74" s="17" t="s">
        <v>1090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818</v>
      </c>
      <c r="C75" s="11" t="s">
        <v>280</v>
      </c>
      <c r="D75" s="9" t="s">
        <v>842</v>
      </c>
      <c r="E75" s="16" t="s">
        <v>128</v>
      </c>
      <c r="F75" s="72"/>
      <c r="G75" s="17" t="s">
        <v>1091</v>
      </c>
      <c r="H75" s="18"/>
      <c r="I75" s="17"/>
      <c r="J75" s="19" t="s">
        <v>133</v>
      </c>
      <c r="K75" s="19" t="s">
        <v>202</v>
      </c>
      <c r="L75" s="19" t="s">
        <v>67</v>
      </c>
    </row>
    <row r="76" spans="1:12" s="1" customFormat="1">
      <c r="A76" s="15"/>
      <c r="B76" s="11" t="s">
        <v>819</v>
      </c>
      <c r="C76" s="11" t="s">
        <v>45</v>
      </c>
      <c r="D76" s="9" t="s">
        <v>660</v>
      </c>
      <c r="E76" s="16" t="s">
        <v>128</v>
      </c>
      <c r="F76" s="72"/>
      <c r="G76" s="17" t="s">
        <v>1093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829</v>
      </c>
      <c r="C77" s="11" t="s">
        <v>280</v>
      </c>
      <c r="D77" s="9" t="s">
        <v>505</v>
      </c>
      <c r="E77" s="16" t="s">
        <v>128</v>
      </c>
      <c r="F77" s="72"/>
      <c r="G77" s="17" t="s">
        <v>1094</v>
      </c>
      <c r="H77" s="18"/>
      <c r="I77" s="17"/>
      <c r="J77" s="19" t="s">
        <v>133</v>
      </c>
      <c r="K77" s="19" t="s">
        <v>203</v>
      </c>
      <c r="L77" s="19" t="s">
        <v>67</v>
      </c>
    </row>
    <row r="78" spans="1:12" s="1" customFormat="1">
      <c r="A78" s="15"/>
      <c r="B78" s="11" t="s">
        <v>1570</v>
      </c>
      <c r="C78" s="11" t="s">
        <v>45</v>
      </c>
      <c r="D78" s="9" t="s">
        <v>1526</v>
      </c>
      <c r="E78" s="16" t="s">
        <v>128</v>
      </c>
      <c r="F78" s="72"/>
      <c r="G78" s="17" t="s">
        <v>1571</v>
      </c>
      <c r="H78" s="18"/>
      <c r="I78" s="17"/>
      <c r="J78" s="19" t="s">
        <v>133</v>
      </c>
      <c r="K78" s="19" t="s">
        <v>903</v>
      </c>
      <c r="L78" s="19" t="s">
        <v>67</v>
      </c>
    </row>
    <row r="79" spans="1:12" s="1" customFormat="1">
      <c r="A79" s="15"/>
      <c r="B79" s="11" t="s">
        <v>1527</v>
      </c>
      <c r="C79" s="11" t="s">
        <v>45</v>
      </c>
      <c r="D79" s="9" t="s">
        <v>1528</v>
      </c>
      <c r="E79" s="16" t="s">
        <v>128</v>
      </c>
      <c r="F79" s="72"/>
      <c r="G79" s="17" t="s">
        <v>1572</v>
      </c>
      <c r="H79" s="18"/>
      <c r="I79" s="17"/>
      <c r="J79" s="19" t="s">
        <v>133</v>
      </c>
      <c r="K79" s="19" t="s">
        <v>903</v>
      </c>
      <c r="L79" s="19" t="s">
        <v>67</v>
      </c>
    </row>
    <row r="80" spans="1:12" s="1" customFormat="1">
      <c r="A80" s="15"/>
      <c r="B80" s="11" t="s">
        <v>1529</v>
      </c>
      <c r="C80" s="11" t="s">
        <v>45</v>
      </c>
      <c r="D80" s="9" t="s">
        <v>1530</v>
      </c>
      <c r="E80" s="16" t="s">
        <v>128</v>
      </c>
      <c r="F80" s="72"/>
      <c r="G80" s="17" t="s">
        <v>1573</v>
      </c>
      <c r="H80" s="18"/>
      <c r="I80" s="17"/>
      <c r="J80" s="19" t="s">
        <v>133</v>
      </c>
      <c r="K80" s="19" t="s">
        <v>903</v>
      </c>
      <c r="L80" s="19" t="s">
        <v>67</v>
      </c>
    </row>
    <row r="81" spans="1:12" s="1" customFormat="1">
      <c r="A81" s="15"/>
      <c r="B81" s="11" t="s">
        <v>1531</v>
      </c>
      <c r="C81" s="11" t="s">
        <v>45</v>
      </c>
      <c r="D81" s="9" t="s">
        <v>1532</v>
      </c>
      <c r="E81" s="16" t="s">
        <v>128</v>
      </c>
      <c r="F81" s="72"/>
      <c r="G81" s="17" t="s">
        <v>1574</v>
      </c>
      <c r="H81" s="18"/>
      <c r="I81" s="17"/>
      <c r="J81" s="19" t="s">
        <v>133</v>
      </c>
      <c r="K81" s="19" t="s">
        <v>903</v>
      </c>
      <c r="L81" s="19" t="s">
        <v>67</v>
      </c>
    </row>
    <row r="82" spans="1:12" s="1" customFormat="1">
      <c r="A82" s="15"/>
      <c r="B82" s="11" t="s">
        <v>1533</v>
      </c>
      <c r="C82" s="11" t="s">
        <v>45</v>
      </c>
      <c r="D82" s="9" t="s">
        <v>1534</v>
      </c>
      <c r="E82" s="16" t="s">
        <v>128</v>
      </c>
      <c r="F82" s="72"/>
      <c r="G82" s="17" t="s">
        <v>1575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799</v>
      </c>
      <c r="C83" s="11" t="s">
        <v>280</v>
      </c>
      <c r="D83" s="9" t="s">
        <v>506</v>
      </c>
      <c r="E83" s="16" t="s">
        <v>128</v>
      </c>
      <c r="F83" s="72"/>
      <c r="G83" s="17" t="s">
        <v>1095</v>
      </c>
      <c r="H83" s="18"/>
      <c r="I83" s="17"/>
      <c r="J83" s="19" t="s">
        <v>133</v>
      </c>
      <c r="K83" s="19" t="s">
        <v>203</v>
      </c>
      <c r="L83" s="19" t="s">
        <v>67</v>
      </c>
    </row>
    <row r="84" spans="1:12" s="1" customFormat="1">
      <c r="A84" s="15"/>
      <c r="B84" s="11" t="s">
        <v>1549</v>
      </c>
      <c r="C84" s="11" t="s">
        <v>45</v>
      </c>
      <c r="D84" s="9" t="s">
        <v>1540</v>
      </c>
      <c r="E84" s="16" t="s">
        <v>128</v>
      </c>
      <c r="F84" s="72"/>
      <c r="G84" s="17" t="s">
        <v>1576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1541</v>
      </c>
      <c r="C85" s="11" t="s">
        <v>45</v>
      </c>
      <c r="D85" s="9" t="s">
        <v>1542</v>
      </c>
      <c r="E85" s="16" t="s">
        <v>128</v>
      </c>
      <c r="F85" s="72"/>
      <c r="G85" s="17" t="s">
        <v>1577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1543</v>
      </c>
      <c r="C86" s="11" t="s">
        <v>45</v>
      </c>
      <c r="D86" s="9" t="s">
        <v>1544</v>
      </c>
      <c r="E86" s="16" t="s">
        <v>128</v>
      </c>
      <c r="F86" s="72"/>
      <c r="G86" s="17" t="s">
        <v>1578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1545</v>
      </c>
      <c r="C87" s="11" t="s">
        <v>45</v>
      </c>
      <c r="D87" s="9" t="s">
        <v>1546</v>
      </c>
      <c r="E87" s="16" t="s">
        <v>128</v>
      </c>
      <c r="F87" s="72"/>
      <c r="G87" s="17" t="s">
        <v>1579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1547</v>
      </c>
      <c r="C88" s="11" t="s">
        <v>45</v>
      </c>
      <c r="D88" s="9" t="s">
        <v>1548</v>
      </c>
      <c r="E88" s="16" t="s">
        <v>128</v>
      </c>
      <c r="F88" s="72"/>
      <c r="G88" s="17" t="s">
        <v>1580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830</v>
      </c>
      <c r="C89" s="11" t="s">
        <v>45</v>
      </c>
      <c r="D89" s="9" t="s">
        <v>837</v>
      </c>
      <c r="E89" s="16" t="s">
        <v>128</v>
      </c>
      <c r="F89" s="72"/>
      <c r="G89" s="17" t="s">
        <v>1097</v>
      </c>
      <c r="H89" s="18"/>
      <c r="I89" s="17"/>
      <c r="J89" s="19" t="s">
        <v>133</v>
      </c>
      <c r="K89" s="19" t="s">
        <v>44</v>
      </c>
      <c r="L89" s="19" t="s">
        <v>67</v>
      </c>
    </row>
    <row r="90" spans="1:12" s="1" customFormat="1">
      <c r="A90" s="15"/>
      <c r="B90" s="11" t="s">
        <v>623</v>
      </c>
      <c r="C90" s="11" t="s">
        <v>280</v>
      </c>
      <c r="D90" s="9" t="s">
        <v>836</v>
      </c>
      <c r="E90" s="16" t="s">
        <v>128</v>
      </c>
      <c r="F90" s="72"/>
      <c r="G90" s="17" t="s">
        <v>1099</v>
      </c>
      <c r="H90" s="18"/>
      <c r="I90" s="17"/>
      <c r="J90" s="19" t="s">
        <v>133</v>
      </c>
      <c r="K90" s="19" t="s">
        <v>202</v>
      </c>
      <c r="L90" s="19" t="s">
        <v>67</v>
      </c>
    </row>
    <row r="91" spans="1:12" s="1" customFormat="1">
      <c r="A91" s="15"/>
      <c r="B91" s="95" t="s">
        <v>1564</v>
      </c>
      <c r="C91" s="95" t="s">
        <v>45</v>
      </c>
      <c r="D91" s="96" t="s">
        <v>1555</v>
      </c>
      <c r="E91" s="16" t="s">
        <v>128</v>
      </c>
      <c r="F91" s="72"/>
      <c r="G91" s="17" t="s">
        <v>1581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95" t="s">
        <v>1556</v>
      </c>
      <c r="C92" s="95" t="s">
        <v>45</v>
      </c>
      <c r="D92" s="96" t="s">
        <v>1557</v>
      </c>
      <c r="E92" s="16" t="s">
        <v>128</v>
      </c>
      <c r="F92" s="72"/>
      <c r="G92" s="17" t="s">
        <v>1582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95" t="s">
        <v>1558</v>
      </c>
      <c r="C93" s="95" t="s">
        <v>45</v>
      </c>
      <c r="D93" s="96" t="s">
        <v>1559</v>
      </c>
      <c r="E93" s="16" t="s">
        <v>128</v>
      </c>
      <c r="F93" s="72"/>
      <c r="G93" s="17" t="s">
        <v>1583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95" t="s">
        <v>1560</v>
      </c>
      <c r="C94" s="95" t="s">
        <v>45</v>
      </c>
      <c r="D94" s="96" t="s">
        <v>1561</v>
      </c>
      <c r="E94" s="16" t="s">
        <v>128</v>
      </c>
      <c r="F94" s="72"/>
      <c r="G94" s="17" t="s">
        <v>1584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95" t="s">
        <v>1562</v>
      </c>
      <c r="C95" s="95" t="s">
        <v>45</v>
      </c>
      <c r="D95" s="96" t="s">
        <v>1563</v>
      </c>
      <c r="E95" s="16" t="s">
        <v>128</v>
      </c>
      <c r="F95" s="72"/>
      <c r="G95" s="17" t="s">
        <v>1585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831</v>
      </c>
      <c r="C96" s="11" t="s">
        <v>45</v>
      </c>
      <c r="D96" s="9" t="s">
        <v>825</v>
      </c>
      <c r="E96" s="16" t="s">
        <v>128</v>
      </c>
      <c r="F96" s="72"/>
      <c r="G96" s="17" t="s">
        <v>1100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7" s="1" customFormat="1">
      <c r="A97" s="15"/>
      <c r="B97" s="11" t="s">
        <v>1098</v>
      </c>
      <c r="C97" s="11" t="s">
        <v>280</v>
      </c>
      <c r="D97" s="9" t="s">
        <v>826</v>
      </c>
      <c r="E97" s="16" t="s">
        <v>128</v>
      </c>
      <c r="F97" s="72"/>
      <c r="G97" s="17" t="s">
        <v>1101</v>
      </c>
      <c r="H97" s="18"/>
      <c r="I97" s="17"/>
      <c r="J97" s="19" t="s">
        <v>133</v>
      </c>
      <c r="K97" s="19" t="s">
        <v>202</v>
      </c>
      <c r="L97" s="19" t="s">
        <v>67</v>
      </c>
    </row>
    <row r="98" spans="1:17" s="1" customFormat="1">
      <c r="A98" s="15"/>
      <c r="B98" s="11" t="s">
        <v>834</v>
      </c>
      <c r="C98" s="11" t="s">
        <v>280</v>
      </c>
      <c r="D98" s="9" t="s">
        <v>833</v>
      </c>
      <c r="E98" s="16" t="s">
        <v>128</v>
      </c>
      <c r="F98" s="72"/>
      <c r="G98" s="17" t="s">
        <v>1102</v>
      </c>
      <c r="H98" s="18"/>
      <c r="I98" s="17"/>
      <c r="J98" s="19" t="s">
        <v>133</v>
      </c>
      <c r="K98" s="19" t="s">
        <v>202</v>
      </c>
      <c r="L98" s="19" t="s">
        <v>67</v>
      </c>
    </row>
    <row r="99" spans="1:17" s="1" customFormat="1">
      <c r="A99" s="15"/>
      <c r="B99" s="11" t="s">
        <v>535</v>
      </c>
      <c r="C99" s="11" t="s">
        <v>280</v>
      </c>
      <c r="D99" s="9" t="s">
        <v>534</v>
      </c>
      <c r="E99" s="16" t="s">
        <v>128</v>
      </c>
      <c r="F99" s="72"/>
      <c r="G99" s="17" t="s">
        <v>1103</v>
      </c>
      <c r="H99" s="18"/>
      <c r="I99" s="17"/>
      <c r="J99" s="19" t="s">
        <v>133</v>
      </c>
      <c r="K99" s="19" t="s">
        <v>202</v>
      </c>
      <c r="L99" s="19" t="s">
        <v>67</v>
      </c>
    </row>
    <row r="100" spans="1:17" s="1" customFormat="1">
      <c r="A100" s="15"/>
      <c r="B100" s="11" t="s">
        <v>848</v>
      </c>
      <c r="C100" s="11" t="s">
        <v>45</v>
      </c>
      <c r="D100" s="9" t="s">
        <v>850</v>
      </c>
      <c r="E100" s="16" t="s">
        <v>128</v>
      </c>
      <c r="F100" s="72"/>
      <c r="G100" s="17" t="s">
        <v>1104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7" s="1" customFormat="1">
      <c r="A101" s="15"/>
      <c r="B101" s="11" t="s">
        <v>849</v>
      </c>
      <c r="C101" s="11" t="s">
        <v>45</v>
      </c>
      <c r="D101" s="9" t="s">
        <v>116</v>
      </c>
      <c r="E101" s="16" t="s">
        <v>128</v>
      </c>
      <c r="F101" s="72"/>
      <c r="G101" s="17" t="s">
        <v>1105</v>
      </c>
      <c r="H101" s="18"/>
      <c r="I101" s="17"/>
      <c r="J101" s="19" t="s">
        <v>133</v>
      </c>
      <c r="K101" s="19" t="s">
        <v>903</v>
      </c>
      <c r="L101" s="19" t="s">
        <v>67</v>
      </c>
    </row>
    <row r="102" spans="1:17" s="1" customFormat="1">
      <c r="A102" s="15"/>
      <c r="B102" s="11" t="s">
        <v>854</v>
      </c>
      <c r="C102" s="11" t="s">
        <v>1202</v>
      </c>
      <c r="D102" s="9" t="s">
        <v>502</v>
      </c>
      <c r="E102" s="16" t="s">
        <v>128</v>
      </c>
      <c r="F102" s="72"/>
      <c r="G102" s="17" t="s">
        <v>1107</v>
      </c>
      <c r="H102" s="18"/>
      <c r="I102" s="17"/>
      <c r="J102" s="19" t="s">
        <v>133</v>
      </c>
      <c r="K102" s="19" t="s">
        <v>202</v>
      </c>
      <c r="L102" s="19" t="s">
        <v>67</v>
      </c>
    </row>
    <row r="103" spans="1:17" s="1" customFormat="1">
      <c r="A103" s="15"/>
      <c r="B103" s="11" t="s">
        <v>856</v>
      </c>
      <c r="C103" s="11" t="s">
        <v>45</v>
      </c>
      <c r="D103" s="9" t="s">
        <v>857</v>
      </c>
      <c r="E103" s="16" t="s">
        <v>128</v>
      </c>
      <c r="F103" s="72"/>
      <c r="G103" s="17" t="s">
        <v>1106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7" s="3" customFormat="1">
      <c r="B104" s="23" t="s">
        <v>47</v>
      </c>
      <c r="C104" s="24" t="s">
        <v>46</v>
      </c>
      <c r="D104" s="21" t="s">
        <v>48</v>
      </c>
      <c r="E104" s="44"/>
      <c r="F104" s="44"/>
      <c r="G104" s="44" t="s">
        <v>282</v>
      </c>
      <c r="H104" s="23" t="s">
        <v>282</v>
      </c>
      <c r="I104" s="23"/>
      <c r="J104" s="23"/>
      <c r="K104" s="23"/>
      <c r="L104" s="23"/>
      <c r="M104" s="23"/>
      <c r="N104" s="23"/>
      <c r="O104" s="23"/>
      <c r="P104" s="23"/>
      <c r="Q104" s="23"/>
    </row>
    <row r="105" spans="1:17" s="3" customFormat="1">
      <c r="B105" s="23" t="s">
        <v>49</v>
      </c>
      <c r="C105" s="24" t="s">
        <v>43</v>
      </c>
      <c r="D105" s="21" t="s">
        <v>50</v>
      </c>
      <c r="E105" s="44"/>
      <c r="F105" s="44"/>
      <c r="G105" s="44" t="s">
        <v>282</v>
      </c>
      <c r="H105" s="23" t="s">
        <v>282</v>
      </c>
      <c r="I105" s="23"/>
      <c r="J105" s="23"/>
      <c r="K105" s="23"/>
      <c r="L105" s="23"/>
      <c r="M105" s="23"/>
      <c r="N105" s="23"/>
      <c r="O105" s="23"/>
      <c r="P105" s="23"/>
      <c r="Q105" s="23"/>
    </row>
    <row r="106" spans="1:17" s="3" customFormat="1">
      <c r="B106" s="23" t="s">
        <v>51</v>
      </c>
      <c r="C106" s="24" t="s">
        <v>46</v>
      </c>
      <c r="D106" s="21" t="s">
        <v>52</v>
      </c>
      <c r="E106" s="44"/>
      <c r="F106" s="44"/>
      <c r="G106" s="44" t="s">
        <v>282</v>
      </c>
      <c r="H106" s="23" t="s">
        <v>282</v>
      </c>
      <c r="I106" s="23"/>
      <c r="J106" s="23"/>
      <c r="K106" s="23"/>
      <c r="L106" s="23"/>
      <c r="M106" s="23"/>
      <c r="N106" s="23"/>
      <c r="O106" s="23"/>
      <c r="P106" s="23"/>
      <c r="Q106" s="23"/>
    </row>
  </sheetData>
  <autoFilter ref="A13:Q106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AE3C-DB7D-4805-934F-D6A63864AA6C}">
  <sheetPr codeName="Sheet18"/>
  <dimension ref="A1:Q104"/>
  <sheetViews>
    <sheetView zoomScale="85" zoomScaleNormal="85" workbookViewId="0">
      <pane ySplit="5" topLeftCell="A6" activePane="bottomLeft" state="frozen"/>
      <selection activeCell="G45" sqref="G45"/>
      <selection pane="bottomLeft" activeCell="C5" sqref="C5:C6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1518</v>
      </c>
      <c r="D5" s="10" t="s">
        <v>1519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1520</v>
      </c>
      <c r="D9" s="10" t="s">
        <v>1521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2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2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95</v>
      </c>
      <c r="C22" s="11" t="s">
        <v>93</v>
      </c>
      <c r="D22" s="9" t="s">
        <v>114</v>
      </c>
      <c r="E22" s="16" t="s">
        <v>128</v>
      </c>
      <c r="F22" s="9" t="s">
        <v>1069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44</v>
      </c>
    </row>
    <row r="23" spans="1:12" s="1" customFormat="1">
      <c r="B23" s="22" t="s">
        <v>85</v>
      </c>
      <c r="C23" s="11" t="s">
        <v>43</v>
      </c>
      <c r="D23" s="9" t="s">
        <v>107</v>
      </c>
      <c r="E23" s="16" t="s">
        <v>128</v>
      </c>
      <c r="F23" s="17" t="s">
        <v>3042</v>
      </c>
      <c r="G23" s="17" t="s">
        <v>129</v>
      </c>
      <c r="H23" s="18"/>
      <c r="I23" s="19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1072</v>
      </c>
      <c r="C24" s="11" t="s">
        <v>45</v>
      </c>
      <c r="D24" s="9" t="s">
        <v>146</v>
      </c>
      <c r="E24" s="16" t="s">
        <v>128</v>
      </c>
      <c r="F24" s="17"/>
      <c r="G24" s="17" t="s">
        <v>1073</v>
      </c>
      <c r="H24" s="18"/>
      <c r="I24" s="17"/>
      <c r="J24" s="19" t="s">
        <v>133</v>
      </c>
      <c r="K24" s="19" t="s">
        <v>132</v>
      </c>
      <c r="L24" s="19" t="s">
        <v>134</v>
      </c>
    </row>
    <row r="25" spans="1:12" s="1" customFormat="1">
      <c r="A25" s="15"/>
      <c r="B25" s="11" t="s">
        <v>189</v>
      </c>
      <c r="C25" s="11" t="s">
        <v>45</v>
      </c>
      <c r="D25" s="9" t="s">
        <v>190</v>
      </c>
      <c r="E25" s="16" t="s">
        <v>128</v>
      </c>
      <c r="F25" s="17"/>
      <c r="G25" s="17" t="s">
        <v>1259</v>
      </c>
      <c r="H25" s="18"/>
      <c r="I25" s="17"/>
      <c r="J25" s="19" t="s">
        <v>133</v>
      </c>
      <c r="K25" s="19" t="s">
        <v>132</v>
      </c>
      <c r="L25" s="19" t="s">
        <v>134</v>
      </c>
    </row>
    <row r="26" spans="1:12" s="1" customFormat="1">
      <c r="A26" s="15"/>
      <c r="B26" s="11" t="s">
        <v>192</v>
      </c>
      <c r="C26" s="11" t="s">
        <v>45</v>
      </c>
      <c r="D26" s="9" t="s">
        <v>193</v>
      </c>
      <c r="E26" s="16" t="s">
        <v>128</v>
      </c>
      <c r="F26" s="17"/>
      <c r="G26" s="17" t="s">
        <v>1074</v>
      </c>
      <c r="H26" s="18"/>
      <c r="I26" s="17"/>
      <c r="J26" s="19" t="s">
        <v>133</v>
      </c>
      <c r="K26" s="19" t="s">
        <v>132</v>
      </c>
      <c r="L26" s="19" t="s">
        <v>134</v>
      </c>
    </row>
    <row r="27" spans="1:12" s="1" customFormat="1">
      <c r="A27" s="15"/>
      <c r="B27" s="90" t="s">
        <v>1383</v>
      </c>
      <c r="C27" s="22" t="s">
        <v>45</v>
      </c>
      <c r="D27" s="9" t="s">
        <v>348</v>
      </c>
      <c r="E27" s="16" t="s">
        <v>128</v>
      </c>
      <c r="F27" s="17"/>
      <c r="G27" s="17" t="s">
        <v>257</v>
      </c>
      <c r="H27" s="18"/>
      <c r="I27" s="17"/>
      <c r="J27" s="19" t="s">
        <v>133</v>
      </c>
      <c r="K27" s="19" t="s">
        <v>203</v>
      </c>
      <c r="L27" s="19" t="s">
        <v>134</v>
      </c>
    </row>
    <row r="28" spans="1:12" s="1" customFormat="1">
      <c r="A28" s="15"/>
      <c r="B28" s="89" t="s">
        <v>296</v>
      </c>
      <c r="C28" s="11" t="s">
        <v>45</v>
      </c>
      <c r="D28" s="9" t="s">
        <v>759</v>
      </c>
      <c r="E28" s="16" t="s">
        <v>128</v>
      </c>
      <c r="F28" s="72"/>
      <c r="G28" s="17" t="s">
        <v>320</v>
      </c>
      <c r="H28" s="18"/>
      <c r="I28" s="17"/>
      <c r="J28" s="19" t="s">
        <v>133</v>
      </c>
      <c r="K28" s="19" t="s">
        <v>204</v>
      </c>
      <c r="L28" s="19" t="s">
        <v>134</v>
      </c>
    </row>
    <row r="29" spans="1:12" s="1" customFormat="1">
      <c r="A29" s="15"/>
      <c r="B29" s="89" t="s">
        <v>297</v>
      </c>
      <c r="C29" s="11" t="s">
        <v>45</v>
      </c>
      <c r="D29" s="9" t="s">
        <v>160</v>
      </c>
      <c r="E29" s="16" t="s">
        <v>128</v>
      </c>
      <c r="F29" s="72"/>
      <c r="G29" s="17" t="s">
        <v>319</v>
      </c>
      <c r="H29" s="18"/>
      <c r="I29" s="17"/>
      <c r="J29" s="19" t="s">
        <v>133</v>
      </c>
      <c r="K29" s="19" t="s">
        <v>204</v>
      </c>
      <c r="L29" s="19" t="s">
        <v>134</v>
      </c>
    </row>
    <row r="30" spans="1:12" s="1" customFormat="1">
      <c r="A30" s="15"/>
      <c r="B30" s="11" t="s">
        <v>763</v>
      </c>
      <c r="C30" s="11" t="s">
        <v>45</v>
      </c>
      <c r="D30" s="9" t="s">
        <v>181</v>
      </c>
      <c r="E30" s="16" t="s">
        <v>128</v>
      </c>
      <c r="F30" s="72"/>
      <c r="G30" s="9" t="s">
        <v>1076</v>
      </c>
      <c r="H30" s="18"/>
      <c r="I30" s="17"/>
      <c r="J30" s="19" t="s">
        <v>133</v>
      </c>
      <c r="K30" s="19" t="s">
        <v>44</v>
      </c>
      <c r="L30" s="19" t="s">
        <v>67</v>
      </c>
    </row>
    <row r="31" spans="1:12" s="1" customFormat="1">
      <c r="A31" s="15"/>
      <c r="B31" s="11" t="s">
        <v>805</v>
      </c>
      <c r="C31" s="11" t="s">
        <v>45</v>
      </c>
      <c r="D31" s="9" t="s">
        <v>184</v>
      </c>
      <c r="E31" s="16" t="s">
        <v>128</v>
      </c>
      <c r="F31" s="72"/>
      <c r="G31" s="17" t="s">
        <v>1110</v>
      </c>
      <c r="H31" s="18"/>
      <c r="I31" s="17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90" t="s">
        <v>1462</v>
      </c>
      <c r="C32" s="11" t="s">
        <v>45</v>
      </c>
      <c r="D32" s="9" t="s">
        <v>1056</v>
      </c>
      <c r="E32" s="16" t="s">
        <v>128</v>
      </c>
      <c r="F32" s="72"/>
      <c r="G32" s="17" t="s">
        <v>224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90" t="s">
        <v>1463</v>
      </c>
      <c r="C33" s="11" t="s">
        <v>45</v>
      </c>
      <c r="D33" s="9" t="s">
        <v>1055</v>
      </c>
      <c r="E33" s="16" t="s">
        <v>128</v>
      </c>
      <c r="F33" s="72"/>
      <c r="G33" s="17" t="s">
        <v>223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90" t="s">
        <v>1464</v>
      </c>
      <c r="C34" s="11" t="s">
        <v>45</v>
      </c>
      <c r="D34" s="9" t="s">
        <v>163</v>
      </c>
      <c r="E34" s="16" t="s">
        <v>128</v>
      </c>
      <c r="F34" s="72"/>
      <c r="G34" s="17" t="s">
        <v>225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90" t="s">
        <v>1465</v>
      </c>
      <c r="C35" s="11" t="s">
        <v>45</v>
      </c>
      <c r="D35" s="9" t="s">
        <v>164</v>
      </c>
      <c r="E35" s="16" t="s">
        <v>128</v>
      </c>
      <c r="F35" s="72"/>
      <c r="G35" s="17" t="s">
        <v>226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90" t="s">
        <v>1466</v>
      </c>
      <c r="C36" s="11" t="s">
        <v>45</v>
      </c>
      <c r="D36" s="9" t="s">
        <v>165</v>
      </c>
      <c r="E36" s="16" t="s">
        <v>128</v>
      </c>
      <c r="F36" s="72"/>
      <c r="G36" s="17" t="s">
        <v>1114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90" t="s">
        <v>1467</v>
      </c>
      <c r="C37" s="11" t="s">
        <v>45</v>
      </c>
      <c r="D37" s="9" t="s">
        <v>166</v>
      </c>
      <c r="E37" s="16" t="s">
        <v>128</v>
      </c>
      <c r="F37" s="72"/>
      <c r="G37" s="17" t="s">
        <v>1115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89" t="s">
        <v>304</v>
      </c>
      <c r="C38" s="11" t="s">
        <v>45</v>
      </c>
      <c r="D38" s="9" t="s">
        <v>1260</v>
      </c>
      <c r="E38" s="16" t="s">
        <v>128</v>
      </c>
      <c r="F38" s="72"/>
      <c r="G38" s="17" t="s">
        <v>227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89" t="s">
        <v>305</v>
      </c>
      <c r="C39" s="11" t="s">
        <v>45</v>
      </c>
      <c r="D39" s="9" t="s">
        <v>1261</v>
      </c>
      <c r="E39" s="16" t="s">
        <v>128</v>
      </c>
      <c r="F39" s="72"/>
      <c r="G39" s="17" t="s">
        <v>228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89" t="s">
        <v>306</v>
      </c>
      <c r="C40" s="11" t="s">
        <v>45</v>
      </c>
      <c r="D40" s="9" t="s">
        <v>167</v>
      </c>
      <c r="E40" s="16" t="s">
        <v>128</v>
      </c>
      <c r="F40" s="72"/>
      <c r="G40" s="17" t="s">
        <v>772</v>
      </c>
      <c r="H40" s="18"/>
      <c r="I40" s="17"/>
      <c r="J40" s="19" t="s">
        <v>133</v>
      </c>
      <c r="K40" s="19" t="s">
        <v>202</v>
      </c>
      <c r="L40" s="19" t="s">
        <v>67</v>
      </c>
    </row>
    <row r="41" spans="1:12" s="1" customFormat="1">
      <c r="A41" s="15"/>
      <c r="B41" s="11" t="s">
        <v>809</v>
      </c>
      <c r="C41" s="11" t="s">
        <v>45</v>
      </c>
      <c r="D41" s="9" t="s">
        <v>175</v>
      </c>
      <c r="E41" s="16" t="s">
        <v>128</v>
      </c>
      <c r="F41" s="72"/>
      <c r="G41" s="17" t="s">
        <v>1120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89" t="s">
        <v>1490</v>
      </c>
      <c r="C42" s="11" t="s">
        <v>45</v>
      </c>
      <c r="D42" s="9" t="s">
        <v>168</v>
      </c>
      <c r="E42" s="16" t="s">
        <v>128</v>
      </c>
      <c r="F42" s="72"/>
      <c r="G42" s="17" t="s">
        <v>1489</v>
      </c>
      <c r="H42" s="18"/>
      <c r="I42" s="17"/>
      <c r="J42" s="19" t="s">
        <v>133</v>
      </c>
      <c r="K42" s="19" t="s">
        <v>202</v>
      </c>
      <c r="L42" s="19" t="s">
        <v>67</v>
      </c>
    </row>
    <row r="43" spans="1:12" s="1" customFormat="1">
      <c r="A43" s="15"/>
      <c r="B43" s="11" t="s">
        <v>810</v>
      </c>
      <c r="C43" s="11" t="s">
        <v>45</v>
      </c>
      <c r="D43" s="9" t="s">
        <v>176</v>
      </c>
      <c r="E43" s="16" t="s">
        <v>128</v>
      </c>
      <c r="F43" s="72"/>
      <c r="G43" s="17" t="s">
        <v>1121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1213</v>
      </c>
      <c r="C44" s="11" t="s">
        <v>45</v>
      </c>
      <c r="D44" s="9" t="s">
        <v>178</v>
      </c>
      <c r="E44" s="16" t="s">
        <v>128</v>
      </c>
      <c r="F44" s="72"/>
      <c r="G44" s="17" t="s">
        <v>1215</v>
      </c>
      <c r="H44" s="18"/>
      <c r="I44" s="17"/>
      <c r="J44" s="19" t="s">
        <v>133</v>
      </c>
      <c r="K44" s="19" t="s">
        <v>202</v>
      </c>
      <c r="L44" s="19" t="s">
        <v>67</v>
      </c>
    </row>
    <row r="45" spans="1:12" s="1" customFormat="1">
      <c r="A45" s="15"/>
      <c r="B45" s="11" t="s">
        <v>221</v>
      </c>
      <c r="C45" s="11" t="s">
        <v>45</v>
      </c>
      <c r="D45" s="9" t="s">
        <v>177</v>
      </c>
      <c r="E45" s="16" t="s">
        <v>128</v>
      </c>
      <c r="F45" s="72"/>
      <c r="G45" s="17" t="s">
        <v>1256</v>
      </c>
      <c r="H45" s="18"/>
      <c r="I45" s="17"/>
      <c r="J45" s="19" t="s">
        <v>133</v>
      </c>
      <c r="K45" s="19" t="s">
        <v>204</v>
      </c>
      <c r="L45" s="19" t="s">
        <v>67</v>
      </c>
    </row>
    <row r="46" spans="1:12" s="1" customFormat="1">
      <c r="A46" s="15"/>
      <c r="B46" s="11" t="s">
        <v>1212</v>
      </c>
      <c r="C46" s="11" t="s">
        <v>45</v>
      </c>
      <c r="D46" s="9" t="s">
        <v>180</v>
      </c>
      <c r="E46" s="16" t="s">
        <v>128</v>
      </c>
      <c r="F46" s="72"/>
      <c r="G46" s="17" t="s">
        <v>1214</v>
      </c>
      <c r="H46" s="18"/>
      <c r="I46" s="17"/>
      <c r="J46" s="19" t="s">
        <v>133</v>
      </c>
      <c r="K46" s="19" t="s">
        <v>202</v>
      </c>
      <c r="L46" s="19" t="s">
        <v>67</v>
      </c>
    </row>
    <row r="47" spans="1:12" s="1" customFormat="1">
      <c r="A47" s="15"/>
      <c r="B47" s="11" t="s">
        <v>222</v>
      </c>
      <c r="C47" s="11" t="s">
        <v>45</v>
      </c>
      <c r="D47" s="9" t="s">
        <v>179</v>
      </c>
      <c r="E47" s="16" t="s">
        <v>128</v>
      </c>
      <c r="F47" s="72"/>
      <c r="G47" s="17" t="s">
        <v>1123</v>
      </c>
      <c r="H47" s="18"/>
      <c r="I47" s="17"/>
      <c r="J47" s="19" t="s">
        <v>133</v>
      </c>
      <c r="K47" s="19" t="s">
        <v>204</v>
      </c>
      <c r="L47" s="19" t="s">
        <v>67</v>
      </c>
    </row>
    <row r="48" spans="1:12" s="1" customFormat="1">
      <c r="A48" s="15"/>
      <c r="B48" s="89" t="s">
        <v>1384</v>
      </c>
      <c r="C48" s="11" t="s">
        <v>45</v>
      </c>
      <c r="D48" s="9" t="s">
        <v>643</v>
      </c>
      <c r="E48" s="16" t="s">
        <v>128</v>
      </c>
      <c r="F48" s="72"/>
      <c r="G48" s="17" t="s">
        <v>768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89" t="s">
        <v>1385</v>
      </c>
      <c r="C49" s="11" t="s">
        <v>45</v>
      </c>
      <c r="D49" s="9" t="s">
        <v>813</v>
      </c>
      <c r="E49" s="16" t="s">
        <v>128</v>
      </c>
      <c r="F49" s="72"/>
      <c r="G49" s="17" t="s">
        <v>1124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89" t="s">
        <v>1386</v>
      </c>
      <c r="C50" s="11" t="s">
        <v>45</v>
      </c>
      <c r="D50" s="9" t="s">
        <v>500</v>
      </c>
      <c r="E50" s="16" t="s">
        <v>128</v>
      </c>
      <c r="F50" s="72"/>
      <c r="G50" s="17" t="s">
        <v>1125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205</v>
      </c>
      <c r="C51" s="11" t="s">
        <v>45</v>
      </c>
      <c r="D51" s="9" t="s">
        <v>147</v>
      </c>
      <c r="E51" s="16" t="s">
        <v>128</v>
      </c>
      <c r="F51" s="72"/>
      <c r="G51" s="17" t="s">
        <v>1126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206</v>
      </c>
      <c r="C52" s="11" t="s">
        <v>280</v>
      </c>
      <c r="D52" s="9" t="s">
        <v>820</v>
      </c>
      <c r="E52" s="16" t="s">
        <v>128</v>
      </c>
      <c r="F52" s="72"/>
      <c r="G52" s="17" t="s">
        <v>1081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89" t="s">
        <v>1387</v>
      </c>
      <c r="C53" s="11" t="s">
        <v>45</v>
      </c>
      <c r="D53" s="9" t="s">
        <v>1018</v>
      </c>
      <c r="E53" s="16" t="s">
        <v>128</v>
      </c>
      <c r="F53" s="72"/>
      <c r="G53" s="17" t="s">
        <v>1127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89" t="s">
        <v>1388</v>
      </c>
      <c r="C54" s="11" t="s">
        <v>45</v>
      </c>
      <c r="D54" s="9" t="s">
        <v>1019</v>
      </c>
      <c r="E54" s="16" t="s">
        <v>128</v>
      </c>
      <c r="F54" s="72"/>
      <c r="G54" s="17" t="s">
        <v>1128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89" t="s">
        <v>1389</v>
      </c>
      <c r="C55" s="11" t="s">
        <v>45</v>
      </c>
      <c r="D55" s="9" t="s">
        <v>1020</v>
      </c>
      <c r="E55" s="16" t="s">
        <v>128</v>
      </c>
      <c r="F55" s="72"/>
      <c r="G55" s="17" t="s">
        <v>1129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89" t="s">
        <v>1390</v>
      </c>
      <c r="C56" s="11" t="s">
        <v>45</v>
      </c>
      <c r="D56" s="9" t="s">
        <v>1021</v>
      </c>
      <c r="E56" s="16" t="s">
        <v>128</v>
      </c>
      <c r="F56" s="72"/>
      <c r="G56" s="17" t="s">
        <v>1130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89" t="s">
        <v>1391</v>
      </c>
      <c r="C57" s="11" t="s">
        <v>45</v>
      </c>
      <c r="D57" s="9" t="s">
        <v>1042</v>
      </c>
      <c r="E57" s="16" t="s">
        <v>128</v>
      </c>
      <c r="F57" s="72"/>
      <c r="G57" s="17" t="s">
        <v>1131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1049</v>
      </c>
      <c r="C58" s="11" t="s">
        <v>45</v>
      </c>
      <c r="D58" s="9" t="s">
        <v>153</v>
      </c>
      <c r="E58" s="16" t="s">
        <v>128</v>
      </c>
      <c r="F58" s="72"/>
      <c r="G58" s="17" t="s">
        <v>1262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823</v>
      </c>
      <c r="C59" s="11" t="s">
        <v>280</v>
      </c>
      <c r="D59" s="9" t="s">
        <v>1474</v>
      </c>
      <c r="E59" s="16" t="s">
        <v>128</v>
      </c>
      <c r="F59" s="72"/>
      <c r="G59" s="17" t="s">
        <v>1082</v>
      </c>
      <c r="H59" s="18"/>
      <c r="I59" s="17"/>
      <c r="J59" s="19" t="s">
        <v>133</v>
      </c>
      <c r="K59" s="19" t="s">
        <v>202</v>
      </c>
      <c r="L59" s="19" t="s">
        <v>67</v>
      </c>
    </row>
    <row r="60" spans="1:12" s="1" customFormat="1">
      <c r="A60" s="15"/>
      <c r="B60" s="89" t="s">
        <v>1392</v>
      </c>
      <c r="C60" s="11" t="s">
        <v>45</v>
      </c>
      <c r="D60" s="9" t="s">
        <v>1026</v>
      </c>
      <c r="E60" s="16" t="s">
        <v>128</v>
      </c>
      <c r="F60" s="72"/>
      <c r="G60" s="17" t="s">
        <v>1133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89" t="s">
        <v>1393</v>
      </c>
      <c r="C61" s="11" t="s">
        <v>45</v>
      </c>
      <c r="D61" s="9" t="s">
        <v>1027</v>
      </c>
      <c r="E61" s="16" t="s">
        <v>128</v>
      </c>
      <c r="F61" s="72"/>
      <c r="G61" s="17" t="s">
        <v>1134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89" t="s">
        <v>1394</v>
      </c>
      <c r="C62" s="11" t="s">
        <v>45</v>
      </c>
      <c r="D62" s="9" t="s">
        <v>1028</v>
      </c>
      <c r="E62" s="16" t="s">
        <v>128</v>
      </c>
      <c r="F62" s="72"/>
      <c r="G62" s="17" t="s">
        <v>1135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89" t="s">
        <v>1395</v>
      </c>
      <c r="C63" s="11" t="s">
        <v>45</v>
      </c>
      <c r="D63" s="9" t="s">
        <v>1029</v>
      </c>
      <c r="E63" s="16" t="s">
        <v>128</v>
      </c>
      <c r="F63" s="72"/>
      <c r="G63" s="17" t="s">
        <v>1136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89" t="s">
        <v>1396</v>
      </c>
      <c r="C64" s="11" t="s">
        <v>45</v>
      </c>
      <c r="D64" s="9" t="s">
        <v>1043</v>
      </c>
      <c r="E64" s="16" t="s">
        <v>128</v>
      </c>
      <c r="F64" s="72"/>
      <c r="G64" s="17" t="s">
        <v>1137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1084</v>
      </c>
      <c r="C65" s="11" t="s">
        <v>280</v>
      </c>
      <c r="D65" s="9" t="s">
        <v>1086</v>
      </c>
      <c r="E65" s="16" t="s">
        <v>128</v>
      </c>
      <c r="F65" s="72"/>
      <c r="G65" s="17" t="s">
        <v>1087</v>
      </c>
      <c r="H65" s="18"/>
      <c r="I65" s="17"/>
      <c r="J65" s="19" t="s">
        <v>133</v>
      </c>
      <c r="K65" s="19" t="s">
        <v>202</v>
      </c>
      <c r="L65" s="19" t="s">
        <v>67</v>
      </c>
    </row>
    <row r="66" spans="1:12" s="1" customFormat="1">
      <c r="A66" s="15"/>
      <c r="B66" s="11" t="s">
        <v>1083</v>
      </c>
      <c r="C66" s="11" t="s">
        <v>280</v>
      </c>
      <c r="D66" s="9" t="s">
        <v>841</v>
      </c>
      <c r="E66" s="16" t="s">
        <v>128</v>
      </c>
      <c r="F66" s="72"/>
      <c r="G66" s="17" t="s">
        <v>1866</v>
      </c>
      <c r="H66" s="18"/>
      <c r="I66" s="17"/>
      <c r="J66" s="19" t="s">
        <v>133</v>
      </c>
      <c r="K66" s="19" t="s">
        <v>202</v>
      </c>
      <c r="L66" s="19" t="s">
        <v>67</v>
      </c>
    </row>
    <row r="67" spans="1:12" s="1" customFormat="1">
      <c r="A67" s="15"/>
      <c r="B67" s="89" t="s">
        <v>1397</v>
      </c>
      <c r="C67" s="11" t="s">
        <v>45</v>
      </c>
      <c r="D67" s="9" t="s">
        <v>1038</v>
      </c>
      <c r="E67" s="16" t="s">
        <v>128</v>
      </c>
      <c r="F67" s="72"/>
      <c r="G67" s="17" t="s">
        <v>1138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89" t="s">
        <v>1398</v>
      </c>
      <c r="C68" s="11" t="s">
        <v>45</v>
      </c>
      <c r="D68" s="9" t="s">
        <v>1039</v>
      </c>
      <c r="E68" s="16" t="s">
        <v>128</v>
      </c>
      <c r="F68" s="72"/>
      <c r="G68" s="17" t="s">
        <v>1139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89" t="s">
        <v>1399</v>
      </c>
      <c r="C69" s="11" t="s">
        <v>45</v>
      </c>
      <c r="D69" s="9" t="s">
        <v>1040</v>
      </c>
      <c r="E69" s="16" t="s">
        <v>128</v>
      </c>
      <c r="F69" s="72"/>
      <c r="G69" s="17" t="s">
        <v>1140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89" t="s">
        <v>1400</v>
      </c>
      <c r="C70" s="11" t="s">
        <v>45</v>
      </c>
      <c r="D70" s="9" t="s">
        <v>1041</v>
      </c>
      <c r="E70" s="16" t="s">
        <v>128</v>
      </c>
      <c r="F70" s="72"/>
      <c r="G70" s="17" t="s">
        <v>1141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89" t="s">
        <v>1401</v>
      </c>
      <c r="C71" s="11" t="s">
        <v>45</v>
      </c>
      <c r="D71" s="9" t="s">
        <v>1044</v>
      </c>
      <c r="E71" s="16" t="s">
        <v>128</v>
      </c>
      <c r="F71" s="72"/>
      <c r="G71" s="17" t="s">
        <v>1142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816</v>
      </c>
      <c r="C72" s="11" t="s">
        <v>280</v>
      </c>
      <c r="D72" s="9" t="s">
        <v>839</v>
      </c>
      <c r="E72" s="16" t="s">
        <v>128</v>
      </c>
      <c r="F72" s="72"/>
      <c r="G72" s="17" t="s">
        <v>1088</v>
      </c>
      <c r="H72" s="18"/>
      <c r="I72" s="17"/>
      <c r="J72" s="19" t="s">
        <v>133</v>
      </c>
      <c r="K72" s="19" t="s">
        <v>202</v>
      </c>
      <c r="L72" s="19" t="s">
        <v>67</v>
      </c>
    </row>
    <row r="73" spans="1:12" s="1" customFormat="1">
      <c r="A73" s="15"/>
      <c r="B73" s="11" t="s">
        <v>817</v>
      </c>
      <c r="C73" s="11" t="s">
        <v>45</v>
      </c>
      <c r="D73" s="9" t="s">
        <v>658</v>
      </c>
      <c r="E73" s="16" t="s">
        <v>128</v>
      </c>
      <c r="F73" s="72"/>
      <c r="G73" s="17" t="s">
        <v>1090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818</v>
      </c>
      <c r="C74" s="11" t="s">
        <v>280</v>
      </c>
      <c r="D74" s="9" t="s">
        <v>842</v>
      </c>
      <c r="E74" s="16" t="s">
        <v>128</v>
      </c>
      <c r="F74" s="72"/>
      <c r="G74" s="17" t="s">
        <v>1091</v>
      </c>
      <c r="H74" s="18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819</v>
      </c>
      <c r="C75" s="11" t="s">
        <v>45</v>
      </c>
      <c r="D75" s="9" t="s">
        <v>660</v>
      </c>
      <c r="E75" s="16" t="s">
        <v>128</v>
      </c>
      <c r="F75" s="72"/>
      <c r="G75" s="17" t="s">
        <v>1093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89" t="s">
        <v>1403</v>
      </c>
      <c r="C76" s="11" t="s">
        <v>280</v>
      </c>
      <c r="D76" s="9" t="s">
        <v>505</v>
      </c>
      <c r="E76" s="16" t="s">
        <v>128</v>
      </c>
      <c r="F76" s="72"/>
      <c r="G76" s="17" t="s">
        <v>1094</v>
      </c>
      <c r="H76" s="18"/>
      <c r="I76" s="17"/>
      <c r="J76" s="19" t="s">
        <v>133</v>
      </c>
      <c r="K76" s="19" t="s">
        <v>203</v>
      </c>
      <c r="L76" s="19" t="s">
        <v>67</v>
      </c>
    </row>
    <row r="77" spans="1:12" s="1" customFormat="1">
      <c r="A77" s="15"/>
      <c r="B77" s="11" t="s">
        <v>1570</v>
      </c>
      <c r="C77" s="11" t="s">
        <v>45</v>
      </c>
      <c r="D77" s="9" t="s">
        <v>1526</v>
      </c>
      <c r="E77" s="16" t="s">
        <v>128</v>
      </c>
      <c r="F77" s="72"/>
      <c r="G77" s="17" t="s">
        <v>1571</v>
      </c>
      <c r="H77" s="18"/>
      <c r="I77" s="17"/>
      <c r="J77" s="19" t="s">
        <v>133</v>
      </c>
      <c r="K77" s="19" t="s">
        <v>903</v>
      </c>
      <c r="L77" s="19" t="s">
        <v>67</v>
      </c>
    </row>
    <row r="78" spans="1:12" s="1" customFormat="1">
      <c r="A78" s="15"/>
      <c r="B78" s="11" t="s">
        <v>1527</v>
      </c>
      <c r="C78" s="11" t="s">
        <v>45</v>
      </c>
      <c r="D78" s="9" t="s">
        <v>1528</v>
      </c>
      <c r="E78" s="16" t="s">
        <v>128</v>
      </c>
      <c r="F78" s="72"/>
      <c r="G78" s="17" t="s">
        <v>1572</v>
      </c>
      <c r="H78" s="18"/>
      <c r="I78" s="17"/>
      <c r="J78" s="19" t="s">
        <v>133</v>
      </c>
      <c r="K78" s="19" t="s">
        <v>903</v>
      </c>
      <c r="L78" s="19" t="s">
        <v>67</v>
      </c>
    </row>
    <row r="79" spans="1:12" s="1" customFormat="1">
      <c r="A79" s="15"/>
      <c r="B79" s="11" t="s">
        <v>1529</v>
      </c>
      <c r="C79" s="11" t="s">
        <v>45</v>
      </c>
      <c r="D79" s="9" t="s">
        <v>1530</v>
      </c>
      <c r="E79" s="16" t="s">
        <v>128</v>
      </c>
      <c r="F79" s="72"/>
      <c r="G79" s="17" t="s">
        <v>1573</v>
      </c>
      <c r="H79" s="18"/>
      <c r="I79" s="17"/>
      <c r="J79" s="19" t="s">
        <v>133</v>
      </c>
      <c r="K79" s="19" t="s">
        <v>903</v>
      </c>
      <c r="L79" s="19" t="s">
        <v>67</v>
      </c>
    </row>
    <row r="80" spans="1:12" s="1" customFormat="1">
      <c r="A80" s="15"/>
      <c r="B80" s="11" t="s">
        <v>1531</v>
      </c>
      <c r="C80" s="11" t="s">
        <v>45</v>
      </c>
      <c r="D80" s="9" t="s">
        <v>1532</v>
      </c>
      <c r="E80" s="16" t="s">
        <v>128</v>
      </c>
      <c r="F80" s="72"/>
      <c r="G80" s="17" t="s">
        <v>1574</v>
      </c>
      <c r="H80" s="18"/>
      <c r="I80" s="17"/>
      <c r="J80" s="19" t="s">
        <v>133</v>
      </c>
      <c r="K80" s="19" t="s">
        <v>903</v>
      </c>
      <c r="L80" s="19" t="s">
        <v>67</v>
      </c>
    </row>
    <row r="81" spans="1:12" s="1" customFormat="1">
      <c r="A81" s="15"/>
      <c r="B81" s="11" t="s">
        <v>1533</v>
      </c>
      <c r="C81" s="11" t="s">
        <v>45</v>
      </c>
      <c r="D81" s="9" t="s">
        <v>1534</v>
      </c>
      <c r="E81" s="16" t="s">
        <v>128</v>
      </c>
      <c r="F81" s="72"/>
      <c r="G81" s="17" t="s">
        <v>1575</v>
      </c>
      <c r="H81" s="18"/>
      <c r="I81" s="17"/>
      <c r="J81" s="19" t="s">
        <v>133</v>
      </c>
      <c r="K81" s="19" t="s">
        <v>903</v>
      </c>
      <c r="L81" s="19" t="s">
        <v>67</v>
      </c>
    </row>
    <row r="82" spans="1:12" s="1" customFormat="1">
      <c r="A82" s="15"/>
      <c r="B82" s="89" t="s">
        <v>1404</v>
      </c>
      <c r="C82" s="11" t="s">
        <v>280</v>
      </c>
      <c r="D82" s="9" t="s">
        <v>506</v>
      </c>
      <c r="E82" s="16" t="s">
        <v>128</v>
      </c>
      <c r="F82" s="72"/>
      <c r="G82" s="17" t="s">
        <v>1095</v>
      </c>
      <c r="H82" s="18"/>
      <c r="I82" s="17"/>
      <c r="J82" s="19" t="s">
        <v>133</v>
      </c>
      <c r="K82" s="19" t="s">
        <v>203</v>
      </c>
      <c r="L82" s="19" t="s">
        <v>67</v>
      </c>
    </row>
    <row r="83" spans="1:12" s="1" customFormat="1">
      <c r="A83" s="15"/>
      <c r="B83" s="11" t="s">
        <v>1549</v>
      </c>
      <c r="C83" s="11" t="s">
        <v>45</v>
      </c>
      <c r="D83" s="9" t="s">
        <v>1540</v>
      </c>
      <c r="E83" s="16" t="s">
        <v>128</v>
      </c>
      <c r="F83" s="72"/>
      <c r="G83" s="17" t="s">
        <v>1576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11" t="s">
        <v>1541</v>
      </c>
      <c r="C84" s="11" t="s">
        <v>45</v>
      </c>
      <c r="D84" s="9" t="s">
        <v>1542</v>
      </c>
      <c r="E84" s="16" t="s">
        <v>128</v>
      </c>
      <c r="F84" s="72"/>
      <c r="G84" s="17" t="s">
        <v>1577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1543</v>
      </c>
      <c r="C85" s="11" t="s">
        <v>45</v>
      </c>
      <c r="D85" s="9" t="s">
        <v>1544</v>
      </c>
      <c r="E85" s="16" t="s">
        <v>128</v>
      </c>
      <c r="F85" s="72"/>
      <c r="G85" s="17" t="s">
        <v>1578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1545</v>
      </c>
      <c r="C86" s="11" t="s">
        <v>45</v>
      </c>
      <c r="D86" s="9" t="s">
        <v>1546</v>
      </c>
      <c r="E86" s="16" t="s">
        <v>128</v>
      </c>
      <c r="F86" s="72"/>
      <c r="G86" s="17" t="s">
        <v>1579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1547</v>
      </c>
      <c r="C87" s="11" t="s">
        <v>45</v>
      </c>
      <c r="D87" s="9" t="s">
        <v>1548</v>
      </c>
      <c r="E87" s="16" t="s">
        <v>128</v>
      </c>
      <c r="F87" s="72"/>
      <c r="G87" s="17" t="s">
        <v>1580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830</v>
      </c>
      <c r="C88" s="11" t="s">
        <v>45</v>
      </c>
      <c r="D88" s="9" t="s">
        <v>837</v>
      </c>
      <c r="E88" s="16" t="s">
        <v>128</v>
      </c>
      <c r="F88" s="72"/>
      <c r="G88" s="17" t="s">
        <v>1097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89" t="s">
        <v>1405</v>
      </c>
      <c r="C89" s="11" t="s">
        <v>280</v>
      </c>
      <c r="D89" s="9" t="s">
        <v>836</v>
      </c>
      <c r="E89" s="16" t="s">
        <v>128</v>
      </c>
      <c r="F89" s="72"/>
      <c r="G89" s="17" t="s">
        <v>1099</v>
      </c>
      <c r="H89" s="18"/>
      <c r="I89" s="17"/>
      <c r="J89" s="19" t="s">
        <v>133</v>
      </c>
      <c r="K89" s="19" t="s">
        <v>202</v>
      </c>
      <c r="L89" s="19" t="s">
        <v>67</v>
      </c>
    </row>
    <row r="90" spans="1:12" s="1" customFormat="1">
      <c r="A90" s="15"/>
      <c r="B90" s="95" t="s">
        <v>1564</v>
      </c>
      <c r="C90" s="95" t="s">
        <v>45</v>
      </c>
      <c r="D90" s="96" t="s">
        <v>1555</v>
      </c>
      <c r="E90" s="16" t="s">
        <v>128</v>
      </c>
      <c r="F90" s="72"/>
      <c r="G90" s="17" t="s">
        <v>1581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95" t="s">
        <v>1556</v>
      </c>
      <c r="C91" s="95" t="s">
        <v>45</v>
      </c>
      <c r="D91" s="96" t="s">
        <v>1557</v>
      </c>
      <c r="E91" s="16" t="s">
        <v>128</v>
      </c>
      <c r="F91" s="72"/>
      <c r="G91" s="17" t="s">
        <v>1582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95" t="s">
        <v>1558</v>
      </c>
      <c r="C92" s="95" t="s">
        <v>45</v>
      </c>
      <c r="D92" s="96" t="s">
        <v>1559</v>
      </c>
      <c r="E92" s="16" t="s">
        <v>128</v>
      </c>
      <c r="F92" s="72"/>
      <c r="G92" s="17" t="s">
        <v>1583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95" t="s">
        <v>1560</v>
      </c>
      <c r="C93" s="95" t="s">
        <v>45</v>
      </c>
      <c r="D93" s="96" t="s">
        <v>1561</v>
      </c>
      <c r="E93" s="16" t="s">
        <v>128</v>
      </c>
      <c r="F93" s="72"/>
      <c r="G93" s="17" t="s">
        <v>1584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95" t="s">
        <v>1562</v>
      </c>
      <c r="C94" s="95" t="s">
        <v>45</v>
      </c>
      <c r="D94" s="96" t="s">
        <v>1563</v>
      </c>
      <c r="E94" s="16" t="s">
        <v>128</v>
      </c>
      <c r="F94" s="72"/>
      <c r="G94" s="17" t="s">
        <v>1585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11" t="s">
        <v>831</v>
      </c>
      <c r="C95" s="11" t="s">
        <v>45</v>
      </c>
      <c r="D95" s="9" t="s">
        <v>825</v>
      </c>
      <c r="E95" s="16" t="s">
        <v>128</v>
      </c>
      <c r="F95" s="72"/>
      <c r="G95" s="17" t="s">
        <v>1100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1098</v>
      </c>
      <c r="C96" s="11" t="s">
        <v>280</v>
      </c>
      <c r="D96" s="9" t="s">
        <v>826</v>
      </c>
      <c r="E96" s="16" t="s">
        <v>128</v>
      </c>
      <c r="F96" s="72"/>
      <c r="G96" s="17" t="s">
        <v>1101</v>
      </c>
      <c r="H96" s="18"/>
      <c r="I96" s="17"/>
      <c r="J96" s="19" t="s">
        <v>133</v>
      </c>
      <c r="K96" s="19" t="s">
        <v>202</v>
      </c>
      <c r="L96" s="19" t="s">
        <v>67</v>
      </c>
    </row>
    <row r="97" spans="1:17" s="1" customFormat="1">
      <c r="A97" s="15"/>
      <c r="B97" s="89" t="s">
        <v>1406</v>
      </c>
      <c r="C97" s="11" t="s">
        <v>280</v>
      </c>
      <c r="D97" s="9" t="s">
        <v>833</v>
      </c>
      <c r="E97" s="16" t="s">
        <v>128</v>
      </c>
      <c r="F97" s="72"/>
      <c r="G97" s="17" t="s">
        <v>1102</v>
      </c>
      <c r="H97" s="18"/>
      <c r="I97" s="17"/>
      <c r="J97" s="19" t="s">
        <v>133</v>
      </c>
      <c r="K97" s="19" t="s">
        <v>202</v>
      </c>
      <c r="L97" s="19" t="s">
        <v>67</v>
      </c>
    </row>
    <row r="98" spans="1:17" s="1" customFormat="1">
      <c r="A98" s="15"/>
      <c r="B98" s="89" t="s">
        <v>1402</v>
      </c>
      <c r="C98" s="11" t="s">
        <v>280</v>
      </c>
      <c r="D98" s="9" t="s">
        <v>534</v>
      </c>
      <c r="E98" s="16" t="s">
        <v>128</v>
      </c>
      <c r="F98" s="72"/>
      <c r="G98" s="17" t="s">
        <v>1103</v>
      </c>
      <c r="H98" s="18"/>
      <c r="I98" s="17"/>
      <c r="J98" s="19" t="s">
        <v>133</v>
      </c>
      <c r="K98" s="19" t="s">
        <v>202</v>
      </c>
      <c r="L98" s="19" t="s">
        <v>67</v>
      </c>
    </row>
    <row r="99" spans="1:17" s="1" customFormat="1">
      <c r="A99" s="15"/>
      <c r="B99" s="11" t="s">
        <v>848</v>
      </c>
      <c r="C99" s="11" t="s">
        <v>45</v>
      </c>
      <c r="D99" s="9" t="s">
        <v>850</v>
      </c>
      <c r="E99" s="16" t="s">
        <v>128</v>
      </c>
      <c r="F99" s="72"/>
      <c r="G99" s="17" t="s">
        <v>1104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7" s="1" customFormat="1">
      <c r="A100" s="15"/>
      <c r="B100" s="11" t="s">
        <v>849</v>
      </c>
      <c r="C100" s="11" t="s">
        <v>45</v>
      </c>
      <c r="D100" s="9" t="s">
        <v>116</v>
      </c>
      <c r="E100" s="16" t="s">
        <v>128</v>
      </c>
      <c r="F100" s="72"/>
      <c r="G100" s="17" t="s">
        <v>1105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7" s="1" customFormat="1">
      <c r="A101" s="15"/>
      <c r="B101" s="89" t="s">
        <v>1407</v>
      </c>
      <c r="C101" s="11" t="s">
        <v>1202</v>
      </c>
      <c r="D101" s="9" t="s">
        <v>502</v>
      </c>
      <c r="E101" s="16" t="s">
        <v>128</v>
      </c>
      <c r="F101" s="72"/>
      <c r="G101" s="17" t="s">
        <v>1107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7" s="1" customFormat="1">
      <c r="A102" s="15"/>
      <c r="B102" s="11" t="s">
        <v>856</v>
      </c>
      <c r="C102" s="11" t="s">
        <v>45</v>
      </c>
      <c r="D102" s="9" t="s">
        <v>857</v>
      </c>
      <c r="E102" s="16" t="s">
        <v>128</v>
      </c>
      <c r="F102" s="72"/>
      <c r="G102" s="17" t="s">
        <v>1106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7" s="3" customFormat="1">
      <c r="B103" s="23" t="s">
        <v>47</v>
      </c>
      <c r="C103" s="24" t="s">
        <v>46</v>
      </c>
      <c r="D103" s="21" t="s">
        <v>48</v>
      </c>
      <c r="E103" s="44"/>
      <c r="F103" s="44"/>
      <c r="G103" s="44" t="s">
        <v>282</v>
      </c>
      <c r="H103" s="23" t="s">
        <v>282</v>
      </c>
      <c r="I103" s="23"/>
      <c r="J103" s="23"/>
      <c r="K103" s="23"/>
      <c r="L103" s="23"/>
      <c r="M103" s="23"/>
      <c r="N103" s="23"/>
      <c r="O103" s="23"/>
      <c r="P103" s="23"/>
      <c r="Q103" s="23"/>
    </row>
    <row r="104" spans="1:17" s="3" customFormat="1">
      <c r="B104" s="23" t="s">
        <v>49</v>
      </c>
      <c r="C104" s="24" t="s">
        <v>43</v>
      </c>
      <c r="D104" s="21" t="s">
        <v>50</v>
      </c>
      <c r="E104" s="44"/>
      <c r="F104" s="44"/>
      <c r="G104" s="44" t="s">
        <v>282</v>
      </c>
      <c r="H104" s="23" t="s">
        <v>282</v>
      </c>
      <c r="I104" s="23"/>
      <c r="J104" s="23"/>
      <c r="K104" s="23"/>
      <c r="L104" s="23"/>
      <c r="M104" s="23"/>
      <c r="N104" s="23"/>
      <c r="O104" s="23"/>
      <c r="P104" s="23"/>
      <c r="Q104" s="23"/>
    </row>
  </sheetData>
  <autoFilter ref="A13:Q104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3277-7986-4AA3-A070-3B7529C0DF69}">
  <sheetPr codeName="Sheet19"/>
  <dimension ref="A1:Q103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109375" style="4" customWidth="1"/>
    <col min="9" max="9" width="14.664062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1888</v>
      </c>
      <c r="D5" s="10" t="s">
        <v>1890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1518</v>
      </c>
      <c r="D9" s="10" t="s">
        <v>1519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2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2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95</v>
      </c>
      <c r="C22" s="11" t="s">
        <v>93</v>
      </c>
      <c r="D22" s="9" t="s">
        <v>114</v>
      </c>
      <c r="E22" s="16" t="s">
        <v>128</v>
      </c>
      <c r="F22" s="9" t="s">
        <v>1069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1072</v>
      </c>
      <c r="C23" s="11" t="s">
        <v>45</v>
      </c>
      <c r="D23" s="9" t="s">
        <v>146</v>
      </c>
      <c r="E23" s="16" t="s">
        <v>128</v>
      </c>
      <c r="F23" s="17"/>
      <c r="G23" s="17" t="s">
        <v>1073</v>
      </c>
      <c r="H23" s="18"/>
      <c r="I23" s="17"/>
      <c r="J23" s="19" t="s">
        <v>133</v>
      </c>
      <c r="K23" s="19" t="s">
        <v>132</v>
      </c>
      <c r="L23" s="19" t="s">
        <v>134</v>
      </c>
    </row>
    <row r="24" spans="1:12" s="1" customFormat="1">
      <c r="A24" s="15"/>
      <c r="B24" s="11" t="s">
        <v>189</v>
      </c>
      <c r="C24" s="11" t="s">
        <v>45</v>
      </c>
      <c r="D24" s="9" t="s">
        <v>190</v>
      </c>
      <c r="E24" s="16" t="s">
        <v>128</v>
      </c>
      <c r="F24" s="17"/>
      <c r="G24" s="17" t="s">
        <v>1259</v>
      </c>
      <c r="H24" s="18"/>
      <c r="I24" s="17"/>
      <c r="J24" s="19" t="s">
        <v>133</v>
      </c>
      <c r="K24" s="19" t="s">
        <v>132</v>
      </c>
      <c r="L24" s="19" t="s">
        <v>134</v>
      </c>
    </row>
    <row r="25" spans="1:12" s="1" customFormat="1">
      <c r="A25" s="15"/>
      <c r="B25" s="11" t="s">
        <v>192</v>
      </c>
      <c r="C25" s="11" t="s">
        <v>45</v>
      </c>
      <c r="D25" s="9" t="s">
        <v>193</v>
      </c>
      <c r="E25" s="16" t="s">
        <v>128</v>
      </c>
      <c r="F25" s="17"/>
      <c r="G25" s="17" t="s">
        <v>1074</v>
      </c>
      <c r="H25" s="18"/>
      <c r="I25" s="17"/>
      <c r="J25" s="19" t="s">
        <v>133</v>
      </c>
      <c r="K25" s="19" t="s">
        <v>132</v>
      </c>
      <c r="L25" s="19" t="s">
        <v>134</v>
      </c>
    </row>
    <row r="26" spans="1:12" s="1" customFormat="1">
      <c r="A26" s="15"/>
      <c r="B26" s="90" t="s">
        <v>1383</v>
      </c>
      <c r="C26" s="22" t="s">
        <v>45</v>
      </c>
      <c r="D26" s="9" t="s">
        <v>348</v>
      </c>
      <c r="E26" s="16" t="s">
        <v>128</v>
      </c>
      <c r="F26" s="17"/>
      <c r="G26" s="91" t="s">
        <v>1426</v>
      </c>
      <c r="H26" s="93"/>
      <c r="I26" s="17"/>
      <c r="J26" s="19" t="s">
        <v>133</v>
      </c>
      <c r="K26" s="19" t="s">
        <v>203</v>
      </c>
      <c r="L26" s="19" t="s">
        <v>134</v>
      </c>
    </row>
    <row r="27" spans="1:12" s="1" customFormat="1">
      <c r="A27" s="15"/>
      <c r="B27" s="89" t="s">
        <v>296</v>
      </c>
      <c r="C27" s="11" t="s">
        <v>45</v>
      </c>
      <c r="D27" s="9" t="s">
        <v>759</v>
      </c>
      <c r="E27" s="16" t="s">
        <v>128</v>
      </c>
      <c r="F27" s="17"/>
      <c r="G27" s="91" t="s">
        <v>1427</v>
      </c>
      <c r="H27" s="93"/>
      <c r="I27" s="17"/>
      <c r="J27" s="19" t="s">
        <v>133</v>
      </c>
      <c r="K27" s="19" t="s">
        <v>204</v>
      </c>
      <c r="L27" s="19" t="s">
        <v>134</v>
      </c>
    </row>
    <row r="28" spans="1:12" s="1" customFormat="1">
      <c r="A28" s="15"/>
      <c r="B28" s="89" t="s">
        <v>297</v>
      </c>
      <c r="C28" s="11" t="s">
        <v>45</v>
      </c>
      <c r="D28" s="9" t="s">
        <v>160</v>
      </c>
      <c r="E28" s="16" t="s">
        <v>128</v>
      </c>
      <c r="F28" s="17"/>
      <c r="G28" s="91" t="s">
        <v>1428</v>
      </c>
      <c r="H28" s="93"/>
      <c r="I28" s="17"/>
      <c r="J28" s="19" t="s">
        <v>133</v>
      </c>
      <c r="K28" s="19" t="s">
        <v>204</v>
      </c>
      <c r="L28" s="19" t="s">
        <v>134</v>
      </c>
    </row>
    <row r="29" spans="1:12" s="1" customFormat="1">
      <c r="A29" s="15"/>
      <c r="B29" s="11" t="s">
        <v>763</v>
      </c>
      <c r="C29" s="11" t="s">
        <v>45</v>
      </c>
      <c r="D29" s="9" t="s">
        <v>181</v>
      </c>
      <c r="E29" s="16" t="s">
        <v>128</v>
      </c>
      <c r="F29" s="17"/>
      <c r="G29" s="9" t="s">
        <v>1076</v>
      </c>
      <c r="H29" s="93"/>
      <c r="I29" s="17"/>
      <c r="J29" s="19" t="s">
        <v>133</v>
      </c>
      <c r="K29" s="19" t="s">
        <v>44</v>
      </c>
      <c r="L29" s="19" t="s">
        <v>67</v>
      </c>
    </row>
    <row r="30" spans="1:12" s="1" customFormat="1">
      <c r="A30" s="15"/>
      <c r="B30" s="11" t="s">
        <v>805</v>
      </c>
      <c r="C30" s="11" t="s">
        <v>45</v>
      </c>
      <c r="D30" s="9" t="s">
        <v>184</v>
      </c>
      <c r="E30" s="16" t="s">
        <v>128</v>
      </c>
      <c r="F30" s="17"/>
      <c r="G30" s="17" t="s">
        <v>1110</v>
      </c>
      <c r="H30" s="93"/>
      <c r="I30" s="17"/>
      <c r="J30" s="19" t="s">
        <v>133</v>
      </c>
      <c r="K30" s="19" t="s">
        <v>44</v>
      </c>
      <c r="L30" s="19" t="s">
        <v>67</v>
      </c>
    </row>
    <row r="31" spans="1:12" s="1" customFormat="1">
      <c r="A31" s="15"/>
      <c r="B31" s="91" t="s">
        <v>299</v>
      </c>
      <c r="C31" s="11" t="s">
        <v>45</v>
      </c>
      <c r="D31" s="9" t="s">
        <v>1056</v>
      </c>
      <c r="E31" s="16" t="s">
        <v>128</v>
      </c>
      <c r="F31" s="17"/>
      <c r="G31" s="91" t="s">
        <v>1429</v>
      </c>
      <c r="H31" s="93"/>
      <c r="I31" s="17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91" t="s">
        <v>298</v>
      </c>
      <c r="C32" s="11" t="s">
        <v>45</v>
      </c>
      <c r="D32" s="9" t="s">
        <v>1055</v>
      </c>
      <c r="E32" s="16" t="s">
        <v>128</v>
      </c>
      <c r="F32" s="17"/>
      <c r="G32" s="91" t="s">
        <v>1430</v>
      </c>
      <c r="H32" s="93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91" t="s">
        <v>300</v>
      </c>
      <c r="C33" s="11" t="s">
        <v>45</v>
      </c>
      <c r="D33" s="9" t="s">
        <v>163</v>
      </c>
      <c r="E33" s="16" t="s">
        <v>128</v>
      </c>
      <c r="F33" s="17"/>
      <c r="G33" s="91" t="s">
        <v>1431</v>
      </c>
      <c r="H33" s="93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91" t="s">
        <v>301</v>
      </c>
      <c r="C34" s="11" t="s">
        <v>45</v>
      </c>
      <c r="D34" s="9" t="s">
        <v>164</v>
      </c>
      <c r="E34" s="16" t="s">
        <v>128</v>
      </c>
      <c r="F34" s="17"/>
      <c r="G34" s="91" t="s">
        <v>1432</v>
      </c>
      <c r="H34" s="93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91" t="s">
        <v>302</v>
      </c>
      <c r="C35" s="11" t="s">
        <v>45</v>
      </c>
      <c r="D35" s="9" t="s">
        <v>165</v>
      </c>
      <c r="E35" s="16" t="s">
        <v>128</v>
      </c>
      <c r="F35" s="17"/>
      <c r="G35" s="91" t="s">
        <v>1433</v>
      </c>
      <c r="H35" s="93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91" t="s">
        <v>303</v>
      </c>
      <c r="C36" s="11" t="s">
        <v>45</v>
      </c>
      <c r="D36" s="9" t="s">
        <v>166</v>
      </c>
      <c r="E36" s="16" t="s">
        <v>128</v>
      </c>
      <c r="F36" s="17"/>
      <c r="G36" s="91" t="s">
        <v>1434</v>
      </c>
      <c r="H36" s="93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91" t="s">
        <v>304</v>
      </c>
      <c r="C37" s="11" t="s">
        <v>45</v>
      </c>
      <c r="D37" s="9" t="s">
        <v>1260</v>
      </c>
      <c r="E37" s="16" t="s">
        <v>128</v>
      </c>
      <c r="F37" s="17"/>
      <c r="G37" s="91" t="s">
        <v>1435</v>
      </c>
      <c r="H37" s="93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91" t="s">
        <v>305</v>
      </c>
      <c r="C38" s="11" t="s">
        <v>45</v>
      </c>
      <c r="D38" s="9" t="s">
        <v>1261</v>
      </c>
      <c r="E38" s="16" t="s">
        <v>128</v>
      </c>
      <c r="F38" s="17"/>
      <c r="G38" s="91" t="s">
        <v>1436</v>
      </c>
      <c r="H38" s="93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91" t="s">
        <v>306</v>
      </c>
      <c r="C39" s="11" t="s">
        <v>45</v>
      </c>
      <c r="D39" s="9" t="s">
        <v>167</v>
      </c>
      <c r="E39" s="16" t="s">
        <v>128</v>
      </c>
      <c r="F39" s="17"/>
      <c r="G39" s="91" t="s">
        <v>1437</v>
      </c>
      <c r="H39" s="93"/>
      <c r="I39" s="17"/>
      <c r="J39" s="19" t="s">
        <v>133</v>
      </c>
      <c r="K39" s="19" t="s">
        <v>202</v>
      </c>
      <c r="L39" s="19" t="s">
        <v>67</v>
      </c>
    </row>
    <row r="40" spans="1:12" s="1" customFormat="1">
      <c r="A40" s="15"/>
      <c r="B40" s="11" t="s">
        <v>809</v>
      </c>
      <c r="C40" s="11" t="s">
        <v>45</v>
      </c>
      <c r="D40" s="9" t="s">
        <v>175</v>
      </c>
      <c r="E40" s="16" t="s">
        <v>128</v>
      </c>
      <c r="F40" s="17"/>
      <c r="G40" s="17" t="s">
        <v>1120</v>
      </c>
      <c r="H40" s="93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91" t="s">
        <v>1490</v>
      </c>
      <c r="C41" s="11" t="s">
        <v>45</v>
      </c>
      <c r="D41" s="9" t="s">
        <v>168</v>
      </c>
      <c r="E41" s="16" t="s">
        <v>128</v>
      </c>
      <c r="F41" s="17"/>
      <c r="G41" s="94" t="s">
        <v>1491</v>
      </c>
      <c r="H41" s="93"/>
      <c r="I41" s="17"/>
      <c r="J41" s="19" t="s">
        <v>133</v>
      </c>
      <c r="K41" s="19" t="s">
        <v>202</v>
      </c>
      <c r="L41" s="19" t="s">
        <v>67</v>
      </c>
    </row>
    <row r="42" spans="1:12" s="1" customFormat="1">
      <c r="A42" s="15"/>
      <c r="B42" s="11" t="s">
        <v>810</v>
      </c>
      <c r="C42" s="11" t="s">
        <v>45</v>
      </c>
      <c r="D42" s="9" t="s">
        <v>176</v>
      </c>
      <c r="E42" s="16" t="s">
        <v>128</v>
      </c>
      <c r="F42" s="17"/>
      <c r="G42" s="17" t="s">
        <v>1121</v>
      </c>
      <c r="H42" s="93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1213</v>
      </c>
      <c r="C43" s="11" t="s">
        <v>45</v>
      </c>
      <c r="D43" s="9" t="s">
        <v>178</v>
      </c>
      <c r="E43" s="16" t="s">
        <v>128</v>
      </c>
      <c r="F43" s="17"/>
      <c r="G43" s="17" t="s">
        <v>1215</v>
      </c>
      <c r="H43" s="93"/>
      <c r="I43" s="17"/>
      <c r="J43" s="19" t="s">
        <v>133</v>
      </c>
      <c r="K43" s="19" t="s">
        <v>202</v>
      </c>
      <c r="L43" s="19" t="s">
        <v>67</v>
      </c>
    </row>
    <row r="44" spans="1:12" s="1" customFormat="1">
      <c r="A44" s="15"/>
      <c r="B44" s="11" t="s">
        <v>221</v>
      </c>
      <c r="C44" s="11" t="s">
        <v>45</v>
      </c>
      <c r="D44" s="9" t="s">
        <v>177</v>
      </c>
      <c r="E44" s="16" t="s">
        <v>128</v>
      </c>
      <c r="F44" s="17"/>
      <c r="G44" s="17" t="s">
        <v>1256</v>
      </c>
      <c r="H44" s="93"/>
      <c r="I44" s="17"/>
      <c r="J44" s="19" t="s">
        <v>133</v>
      </c>
      <c r="K44" s="19" t="s">
        <v>204</v>
      </c>
      <c r="L44" s="19" t="s">
        <v>67</v>
      </c>
    </row>
    <row r="45" spans="1:12" s="1" customFormat="1">
      <c r="A45" s="15"/>
      <c r="B45" s="11" t="s">
        <v>1212</v>
      </c>
      <c r="C45" s="11" t="s">
        <v>45</v>
      </c>
      <c r="D45" s="9" t="s">
        <v>180</v>
      </c>
      <c r="E45" s="16" t="s">
        <v>128</v>
      </c>
      <c r="F45" s="17"/>
      <c r="G45" s="17" t="s">
        <v>1214</v>
      </c>
      <c r="H45" s="93"/>
      <c r="I45" s="17"/>
      <c r="J45" s="19" t="s">
        <v>133</v>
      </c>
      <c r="K45" s="19" t="s">
        <v>202</v>
      </c>
      <c r="L45" s="19" t="s">
        <v>67</v>
      </c>
    </row>
    <row r="46" spans="1:12" s="1" customFormat="1">
      <c r="A46" s="15"/>
      <c r="B46" s="11" t="s">
        <v>222</v>
      </c>
      <c r="C46" s="11" t="s">
        <v>45</v>
      </c>
      <c r="D46" s="9" t="s">
        <v>179</v>
      </c>
      <c r="E46" s="16" t="s">
        <v>128</v>
      </c>
      <c r="F46" s="17"/>
      <c r="G46" s="17" t="s">
        <v>1123</v>
      </c>
      <c r="H46" s="93"/>
      <c r="I46" s="17"/>
      <c r="J46" s="19" t="s">
        <v>133</v>
      </c>
      <c r="K46" s="19" t="s">
        <v>204</v>
      </c>
      <c r="L46" s="19" t="s">
        <v>67</v>
      </c>
    </row>
    <row r="47" spans="1:12" s="1" customFormat="1">
      <c r="A47" s="15"/>
      <c r="B47" s="91" t="s">
        <v>3041</v>
      </c>
      <c r="C47" s="11" t="s">
        <v>45</v>
      </c>
      <c r="D47" s="9" t="s">
        <v>643</v>
      </c>
      <c r="E47" s="16" t="s">
        <v>128</v>
      </c>
      <c r="F47" s="17"/>
      <c r="G47" s="94" t="s">
        <v>1438</v>
      </c>
      <c r="H47" s="93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91" t="s">
        <v>1385</v>
      </c>
      <c r="C48" s="11" t="s">
        <v>45</v>
      </c>
      <c r="D48" s="9" t="s">
        <v>813</v>
      </c>
      <c r="E48" s="16" t="s">
        <v>128</v>
      </c>
      <c r="F48" s="17"/>
      <c r="G48" s="94" t="s">
        <v>1439</v>
      </c>
      <c r="H48" s="93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91" t="s">
        <v>1468</v>
      </c>
      <c r="C49" s="11" t="s">
        <v>45</v>
      </c>
      <c r="D49" s="9" t="s">
        <v>500</v>
      </c>
      <c r="E49" s="16" t="s">
        <v>128</v>
      </c>
      <c r="F49" s="17"/>
      <c r="G49" s="94" t="s">
        <v>1440</v>
      </c>
      <c r="H49" s="93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205</v>
      </c>
      <c r="C50" s="11" t="s">
        <v>45</v>
      </c>
      <c r="D50" s="9" t="s">
        <v>147</v>
      </c>
      <c r="E50" s="16" t="s">
        <v>128</v>
      </c>
      <c r="F50" s="17"/>
      <c r="G50" s="17" t="s">
        <v>1126</v>
      </c>
      <c r="H50" s="93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206</v>
      </c>
      <c r="C51" s="11" t="s">
        <v>280</v>
      </c>
      <c r="D51" s="9" t="s">
        <v>820</v>
      </c>
      <c r="E51" s="16" t="s">
        <v>128</v>
      </c>
      <c r="F51" s="17"/>
      <c r="G51" s="17" t="s">
        <v>1081</v>
      </c>
      <c r="H51" s="93"/>
      <c r="I51" s="17"/>
      <c r="J51" s="19" t="s">
        <v>133</v>
      </c>
      <c r="K51" s="19" t="s">
        <v>202</v>
      </c>
      <c r="L51" s="19" t="s">
        <v>67</v>
      </c>
    </row>
    <row r="52" spans="1:12" s="1" customFormat="1">
      <c r="A52" s="15"/>
      <c r="B52" s="91" t="s">
        <v>286</v>
      </c>
      <c r="C52" s="11" t="s">
        <v>45</v>
      </c>
      <c r="D52" s="9" t="s">
        <v>1018</v>
      </c>
      <c r="E52" s="16" t="s">
        <v>128</v>
      </c>
      <c r="F52" s="17"/>
      <c r="G52" s="94" t="s">
        <v>1441</v>
      </c>
      <c r="H52" s="93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91" t="s">
        <v>287</v>
      </c>
      <c r="C53" s="11" t="s">
        <v>45</v>
      </c>
      <c r="D53" s="9" t="s">
        <v>1019</v>
      </c>
      <c r="E53" s="16" t="s">
        <v>128</v>
      </c>
      <c r="F53" s="17"/>
      <c r="G53" s="94" t="s">
        <v>1442</v>
      </c>
      <c r="H53" s="93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91" t="s">
        <v>288</v>
      </c>
      <c r="C54" s="11" t="s">
        <v>45</v>
      </c>
      <c r="D54" s="9" t="s">
        <v>1020</v>
      </c>
      <c r="E54" s="16" t="s">
        <v>128</v>
      </c>
      <c r="F54" s="17"/>
      <c r="G54" s="94" t="s">
        <v>1443</v>
      </c>
      <c r="H54" s="93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91" t="s">
        <v>289</v>
      </c>
      <c r="C55" s="11" t="s">
        <v>45</v>
      </c>
      <c r="D55" s="9" t="s">
        <v>1021</v>
      </c>
      <c r="E55" s="16" t="s">
        <v>128</v>
      </c>
      <c r="F55" s="17"/>
      <c r="G55" s="94" t="s">
        <v>1444</v>
      </c>
      <c r="H55" s="93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91" t="s">
        <v>290</v>
      </c>
      <c r="C56" s="11" t="s">
        <v>45</v>
      </c>
      <c r="D56" s="9" t="s">
        <v>1042</v>
      </c>
      <c r="E56" s="16" t="s">
        <v>128</v>
      </c>
      <c r="F56" s="17"/>
      <c r="G56" s="94" t="s">
        <v>1445</v>
      </c>
      <c r="H56" s="93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1049</v>
      </c>
      <c r="C57" s="11" t="s">
        <v>45</v>
      </c>
      <c r="D57" s="9" t="s">
        <v>153</v>
      </c>
      <c r="E57" s="16" t="s">
        <v>128</v>
      </c>
      <c r="F57" s="17"/>
      <c r="G57" s="17" t="s">
        <v>1262</v>
      </c>
      <c r="H57" s="93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823</v>
      </c>
      <c r="C58" s="11" t="s">
        <v>280</v>
      </c>
      <c r="D58" s="9" t="s">
        <v>1474</v>
      </c>
      <c r="E58" s="16" t="s">
        <v>128</v>
      </c>
      <c r="F58" s="11"/>
      <c r="G58" s="17" t="s">
        <v>1082</v>
      </c>
      <c r="H58" s="93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91" t="s">
        <v>291</v>
      </c>
      <c r="C59" s="11" t="s">
        <v>45</v>
      </c>
      <c r="D59" s="9" t="s">
        <v>1026</v>
      </c>
      <c r="E59" s="16" t="s">
        <v>128</v>
      </c>
      <c r="F59" s="17"/>
      <c r="G59" s="94" t="s">
        <v>1446</v>
      </c>
      <c r="H59" s="93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91" t="s">
        <v>292</v>
      </c>
      <c r="C60" s="11" t="s">
        <v>45</v>
      </c>
      <c r="D60" s="9" t="s">
        <v>1027</v>
      </c>
      <c r="E60" s="16" t="s">
        <v>128</v>
      </c>
      <c r="F60" s="17"/>
      <c r="G60" s="94" t="s">
        <v>1447</v>
      </c>
      <c r="H60" s="93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91" t="s">
        <v>293</v>
      </c>
      <c r="C61" s="11" t="s">
        <v>45</v>
      </c>
      <c r="D61" s="9" t="s">
        <v>1028</v>
      </c>
      <c r="E61" s="16" t="s">
        <v>128</v>
      </c>
      <c r="F61" s="17"/>
      <c r="G61" s="94" t="s">
        <v>1448</v>
      </c>
      <c r="H61" s="93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91" t="s">
        <v>294</v>
      </c>
      <c r="C62" s="11" t="s">
        <v>45</v>
      </c>
      <c r="D62" s="9" t="s">
        <v>1029</v>
      </c>
      <c r="E62" s="16" t="s">
        <v>128</v>
      </c>
      <c r="F62" s="17"/>
      <c r="G62" s="94" t="s">
        <v>1449</v>
      </c>
      <c r="H62" s="93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91" t="s">
        <v>295</v>
      </c>
      <c r="C63" s="11" t="s">
        <v>45</v>
      </c>
      <c r="D63" s="9" t="s">
        <v>1043</v>
      </c>
      <c r="E63" s="16" t="s">
        <v>128</v>
      </c>
      <c r="F63" s="17"/>
      <c r="G63" s="94" t="s">
        <v>1450</v>
      </c>
      <c r="H63" s="93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1084</v>
      </c>
      <c r="C64" s="11" t="s">
        <v>280</v>
      </c>
      <c r="D64" s="9" t="s">
        <v>1086</v>
      </c>
      <c r="E64" s="16" t="s">
        <v>128</v>
      </c>
      <c r="F64" s="17"/>
      <c r="G64" s="17" t="s">
        <v>1087</v>
      </c>
      <c r="H64" s="93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1083</v>
      </c>
      <c r="C65" s="11" t="s">
        <v>280</v>
      </c>
      <c r="D65" s="9" t="s">
        <v>841</v>
      </c>
      <c r="E65" s="16" t="s">
        <v>128</v>
      </c>
      <c r="F65" s="17"/>
      <c r="G65" s="17" t="s">
        <v>1866</v>
      </c>
      <c r="H65" s="93"/>
      <c r="I65" s="17"/>
      <c r="J65" s="19" t="s">
        <v>133</v>
      </c>
      <c r="K65" s="19" t="s">
        <v>202</v>
      </c>
      <c r="L65" s="19" t="s">
        <v>67</v>
      </c>
    </row>
    <row r="66" spans="1:12" s="1" customFormat="1">
      <c r="A66" s="15"/>
      <c r="B66" s="91" t="s">
        <v>1469</v>
      </c>
      <c r="C66" s="11" t="s">
        <v>45</v>
      </c>
      <c r="D66" s="9" t="s">
        <v>1038</v>
      </c>
      <c r="E66" s="16" t="s">
        <v>128</v>
      </c>
      <c r="F66" s="17"/>
      <c r="G66" s="94" t="s">
        <v>1451</v>
      </c>
      <c r="H66" s="93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91" t="s">
        <v>1470</v>
      </c>
      <c r="C67" s="11" t="s">
        <v>45</v>
      </c>
      <c r="D67" s="9" t="s">
        <v>1039</v>
      </c>
      <c r="E67" s="16" t="s">
        <v>128</v>
      </c>
      <c r="F67" s="17"/>
      <c r="G67" s="94" t="s">
        <v>1452</v>
      </c>
      <c r="H67" s="93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91" t="s">
        <v>1471</v>
      </c>
      <c r="C68" s="11" t="s">
        <v>45</v>
      </c>
      <c r="D68" s="9" t="s">
        <v>1040</v>
      </c>
      <c r="E68" s="16" t="s">
        <v>128</v>
      </c>
      <c r="F68" s="17"/>
      <c r="G68" s="94" t="s">
        <v>1453</v>
      </c>
      <c r="H68" s="93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91" t="s">
        <v>1472</v>
      </c>
      <c r="C69" s="11" t="s">
        <v>45</v>
      </c>
      <c r="D69" s="9" t="s">
        <v>1041</v>
      </c>
      <c r="E69" s="16" t="s">
        <v>128</v>
      </c>
      <c r="F69" s="17"/>
      <c r="G69" s="94" t="s">
        <v>1454</v>
      </c>
      <c r="H69" s="93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91" t="s">
        <v>1473</v>
      </c>
      <c r="C70" s="11" t="s">
        <v>45</v>
      </c>
      <c r="D70" s="9" t="s">
        <v>1044</v>
      </c>
      <c r="E70" s="16" t="s">
        <v>128</v>
      </c>
      <c r="F70" s="17"/>
      <c r="G70" s="94" t="s">
        <v>1455</v>
      </c>
      <c r="H70" s="93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816</v>
      </c>
      <c r="C71" s="11" t="s">
        <v>280</v>
      </c>
      <c r="D71" s="9" t="s">
        <v>839</v>
      </c>
      <c r="E71" s="16" t="s">
        <v>128</v>
      </c>
      <c r="F71" s="17"/>
      <c r="G71" s="17" t="s">
        <v>1088</v>
      </c>
      <c r="H71" s="93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817</v>
      </c>
      <c r="C72" s="11" t="s">
        <v>45</v>
      </c>
      <c r="D72" s="9" t="s">
        <v>658</v>
      </c>
      <c r="E72" s="16" t="s">
        <v>128</v>
      </c>
      <c r="F72" s="17"/>
      <c r="G72" s="17" t="s">
        <v>1090</v>
      </c>
      <c r="H72" s="93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818</v>
      </c>
      <c r="C73" s="11" t="s">
        <v>280</v>
      </c>
      <c r="D73" s="9" t="s">
        <v>842</v>
      </c>
      <c r="E73" s="16" t="s">
        <v>128</v>
      </c>
      <c r="F73" s="17"/>
      <c r="G73" s="17" t="s">
        <v>1091</v>
      </c>
      <c r="H73" s="93"/>
      <c r="I73" s="17"/>
      <c r="J73" s="19" t="s">
        <v>133</v>
      </c>
      <c r="K73" s="19" t="s">
        <v>202</v>
      </c>
      <c r="L73" s="19" t="s">
        <v>67</v>
      </c>
    </row>
    <row r="74" spans="1:12" s="1" customFormat="1">
      <c r="A74" s="15"/>
      <c r="B74" s="11" t="s">
        <v>819</v>
      </c>
      <c r="C74" s="11" t="s">
        <v>45</v>
      </c>
      <c r="D74" s="9" t="s">
        <v>660</v>
      </c>
      <c r="E74" s="16" t="s">
        <v>128</v>
      </c>
      <c r="F74" s="17"/>
      <c r="G74" s="17" t="s">
        <v>1093</v>
      </c>
      <c r="H74" s="93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89" t="s">
        <v>1403</v>
      </c>
      <c r="C75" s="11" t="s">
        <v>280</v>
      </c>
      <c r="D75" s="9" t="s">
        <v>505</v>
      </c>
      <c r="E75" s="16" t="s">
        <v>128</v>
      </c>
      <c r="F75" s="17"/>
      <c r="G75" s="91" t="s">
        <v>1414</v>
      </c>
      <c r="H75" s="18"/>
      <c r="I75" s="17"/>
      <c r="J75" s="19" t="s">
        <v>133</v>
      </c>
      <c r="K75" s="19" t="s">
        <v>203</v>
      </c>
      <c r="L75" s="19" t="s">
        <v>67</v>
      </c>
    </row>
    <row r="76" spans="1:12" s="1" customFormat="1">
      <c r="A76" s="15"/>
      <c r="B76" s="11" t="s">
        <v>1570</v>
      </c>
      <c r="C76" s="11" t="s">
        <v>45</v>
      </c>
      <c r="D76" s="9" t="s">
        <v>1526</v>
      </c>
      <c r="E76" s="16" t="s">
        <v>128</v>
      </c>
      <c r="F76" s="72"/>
      <c r="G76" s="17" t="s">
        <v>1571</v>
      </c>
      <c r="H76" s="18"/>
      <c r="I76" s="17"/>
      <c r="J76" s="19" t="s">
        <v>133</v>
      </c>
      <c r="K76" s="19" t="s">
        <v>903</v>
      </c>
      <c r="L76" s="19" t="s">
        <v>67</v>
      </c>
    </row>
    <row r="77" spans="1:12" s="1" customFormat="1">
      <c r="A77" s="15"/>
      <c r="B77" s="11" t="s">
        <v>1527</v>
      </c>
      <c r="C77" s="11" t="s">
        <v>45</v>
      </c>
      <c r="D77" s="9" t="s">
        <v>1528</v>
      </c>
      <c r="E77" s="16" t="s">
        <v>128</v>
      </c>
      <c r="F77" s="72"/>
      <c r="G77" s="17" t="s">
        <v>1572</v>
      </c>
      <c r="H77" s="18"/>
      <c r="I77" s="17"/>
      <c r="J77" s="19" t="s">
        <v>133</v>
      </c>
      <c r="K77" s="19" t="s">
        <v>903</v>
      </c>
      <c r="L77" s="19" t="s">
        <v>67</v>
      </c>
    </row>
    <row r="78" spans="1:12" s="1" customFormat="1">
      <c r="A78" s="15"/>
      <c r="B78" s="11" t="s">
        <v>1529</v>
      </c>
      <c r="C78" s="11" t="s">
        <v>45</v>
      </c>
      <c r="D78" s="9" t="s">
        <v>1530</v>
      </c>
      <c r="E78" s="16" t="s">
        <v>128</v>
      </c>
      <c r="F78" s="72"/>
      <c r="G78" s="17" t="s">
        <v>1573</v>
      </c>
      <c r="H78" s="18"/>
      <c r="I78" s="17"/>
      <c r="J78" s="19" t="s">
        <v>133</v>
      </c>
      <c r="K78" s="19" t="s">
        <v>903</v>
      </c>
      <c r="L78" s="19" t="s">
        <v>67</v>
      </c>
    </row>
    <row r="79" spans="1:12" s="1" customFormat="1">
      <c r="A79" s="15"/>
      <c r="B79" s="11" t="s">
        <v>1531</v>
      </c>
      <c r="C79" s="11" t="s">
        <v>45</v>
      </c>
      <c r="D79" s="9" t="s">
        <v>1532</v>
      </c>
      <c r="E79" s="16" t="s">
        <v>128</v>
      </c>
      <c r="F79" s="72"/>
      <c r="G79" s="17" t="s">
        <v>1574</v>
      </c>
      <c r="H79" s="18"/>
      <c r="I79" s="17"/>
      <c r="J79" s="19" t="s">
        <v>133</v>
      </c>
      <c r="K79" s="19" t="s">
        <v>903</v>
      </c>
      <c r="L79" s="19" t="s">
        <v>67</v>
      </c>
    </row>
    <row r="80" spans="1:12" s="1" customFormat="1">
      <c r="A80" s="15"/>
      <c r="B80" s="11" t="s">
        <v>1533</v>
      </c>
      <c r="C80" s="11" t="s">
        <v>45</v>
      </c>
      <c r="D80" s="9" t="s">
        <v>1534</v>
      </c>
      <c r="E80" s="16" t="s">
        <v>128</v>
      </c>
      <c r="F80" s="72"/>
      <c r="G80" s="17" t="s">
        <v>1575</v>
      </c>
      <c r="H80" s="18"/>
      <c r="I80" s="17"/>
      <c r="J80" s="19" t="s">
        <v>133</v>
      </c>
      <c r="K80" s="19" t="s">
        <v>903</v>
      </c>
      <c r="L80" s="19" t="s">
        <v>67</v>
      </c>
    </row>
    <row r="81" spans="1:12" s="1" customFormat="1">
      <c r="A81" s="15"/>
      <c r="B81" s="89" t="s">
        <v>1404</v>
      </c>
      <c r="C81" s="11" t="s">
        <v>280</v>
      </c>
      <c r="D81" s="9" t="s">
        <v>506</v>
      </c>
      <c r="E81" s="16" t="s">
        <v>128</v>
      </c>
      <c r="F81" s="17"/>
      <c r="G81" s="91" t="s">
        <v>1415</v>
      </c>
      <c r="H81" s="18"/>
      <c r="I81" s="17"/>
      <c r="J81" s="19" t="s">
        <v>133</v>
      </c>
      <c r="K81" s="19" t="s">
        <v>203</v>
      </c>
      <c r="L81" s="19" t="s">
        <v>67</v>
      </c>
    </row>
    <row r="82" spans="1:12" s="1" customFormat="1">
      <c r="A82" s="15"/>
      <c r="B82" s="11" t="s">
        <v>1549</v>
      </c>
      <c r="C82" s="11" t="s">
        <v>45</v>
      </c>
      <c r="D82" s="9" t="s">
        <v>1540</v>
      </c>
      <c r="E82" s="16" t="s">
        <v>128</v>
      </c>
      <c r="F82" s="72"/>
      <c r="G82" s="17" t="s">
        <v>1576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1541</v>
      </c>
      <c r="C83" s="11" t="s">
        <v>45</v>
      </c>
      <c r="D83" s="9" t="s">
        <v>1542</v>
      </c>
      <c r="E83" s="16" t="s">
        <v>128</v>
      </c>
      <c r="F83" s="72"/>
      <c r="G83" s="17" t="s">
        <v>1577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11" t="s">
        <v>1543</v>
      </c>
      <c r="C84" s="11" t="s">
        <v>45</v>
      </c>
      <c r="D84" s="9" t="s">
        <v>1544</v>
      </c>
      <c r="E84" s="16" t="s">
        <v>128</v>
      </c>
      <c r="F84" s="72"/>
      <c r="G84" s="17" t="s">
        <v>1578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1545</v>
      </c>
      <c r="C85" s="11" t="s">
        <v>45</v>
      </c>
      <c r="D85" s="9" t="s">
        <v>1546</v>
      </c>
      <c r="E85" s="16" t="s">
        <v>128</v>
      </c>
      <c r="F85" s="72"/>
      <c r="G85" s="17" t="s">
        <v>1579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1547</v>
      </c>
      <c r="C86" s="11" t="s">
        <v>45</v>
      </c>
      <c r="D86" s="9" t="s">
        <v>1548</v>
      </c>
      <c r="E86" s="16" t="s">
        <v>128</v>
      </c>
      <c r="F86" s="72"/>
      <c r="G86" s="17" t="s">
        <v>1580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830</v>
      </c>
      <c r="C87" s="11" t="s">
        <v>45</v>
      </c>
      <c r="D87" s="9" t="s">
        <v>837</v>
      </c>
      <c r="E87" s="16" t="s">
        <v>128</v>
      </c>
      <c r="F87" s="17"/>
      <c r="G87" s="17" t="s">
        <v>1097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89" t="s">
        <v>1405</v>
      </c>
      <c r="C88" s="11" t="s">
        <v>280</v>
      </c>
      <c r="D88" s="9" t="s">
        <v>836</v>
      </c>
      <c r="E88" s="16" t="s">
        <v>128</v>
      </c>
      <c r="F88" s="17"/>
      <c r="G88" s="91" t="s">
        <v>1416</v>
      </c>
      <c r="H88" s="18"/>
      <c r="I88" s="17"/>
      <c r="J88" s="19" t="s">
        <v>133</v>
      </c>
      <c r="K88" s="19" t="s">
        <v>202</v>
      </c>
      <c r="L88" s="19" t="s">
        <v>67</v>
      </c>
    </row>
    <row r="89" spans="1:12" s="1" customFormat="1">
      <c r="A89" s="15"/>
      <c r="B89" s="95" t="s">
        <v>1564</v>
      </c>
      <c r="C89" s="95" t="s">
        <v>45</v>
      </c>
      <c r="D89" s="96" t="s">
        <v>1555</v>
      </c>
      <c r="E89" s="16" t="s">
        <v>128</v>
      </c>
      <c r="F89" s="72"/>
      <c r="G89" s="17" t="s">
        <v>1581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95" t="s">
        <v>1556</v>
      </c>
      <c r="C90" s="95" t="s">
        <v>45</v>
      </c>
      <c r="D90" s="96" t="s">
        <v>1557</v>
      </c>
      <c r="E90" s="16" t="s">
        <v>128</v>
      </c>
      <c r="F90" s="72"/>
      <c r="G90" s="17" t="s">
        <v>1582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95" t="s">
        <v>1558</v>
      </c>
      <c r="C91" s="95" t="s">
        <v>45</v>
      </c>
      <c r="D91" s="96" t="s">
        <v>1559</v>
      </c>
      <c r="E91" s="16" t="s">
        <v>128</v>
      </c>
      <c r="F91" s="72"/>
      <c r="G91" s="17" t="s">
        <v>1583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95" t="s">
        <v>1560</v>
      </c>
      <c r="C92" s="95" t="s">
        <v>45</v>
      </c>
      <c r="D92" s="96" t="s">
        <v>1561</v>
      </c>
      <c r="E92" s="16" t="s">
        <v>128</v>
      </c>
      <c r="F92" s="72"/>
      <c r="G92" s="17" t="s">
        <v>1584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95" t="s">
        <v>1562</v>
      </c>
      <c r="C93" s="95" t="s">
        <v>45</v>
      </c>
      <c r="D93" s="96" t="s">
        <v>1563</v>
      </c>
      <c r="E93" s="16" t="s">
        <v>128</v>
      </c>
      <c r="F93" s="72"/>
      <c r="G93" s="17" t="s">
        <v>1585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831</v>
      </c>
      <c r="C94" s="11" t="s">
        <v>45</v>
      </c>
      <c r="D94" s="9" t="s">
        <v>825</v>
      </c>
      <c r="E94" s="16" t="s">
        <v>128</v>
      </c>
      <c r="F94" s="17"/>
      <c r="G94" s="17" t="s">
        <v>1100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11" t="s">
        <v>1098</v>
      </c>
      <c r="C95" s="11" t="s">
        <v>280</v>
      </c>
      <c r="D95" s="9" t="s">
        <v>826</v>
      </c>
      <c r="E95" s="16" t="s">
        <v>128</v>
      </c>
      <c r="F95" s="17"/>
      <c r="G95" s="17" t="s">
        <v>1101</v>
      </c>
      <c r="H95" s="18"/>
      <c r="I95" s="17"/>
      <c r="J95" s="19" t="s">
        <v>133</v>
      </c>
      <c r="K95" s="19" t="s">
        <v>202</v>
      </c>
      <c r="L95" s="19" t="s">
        <v>67</v>
      </c>
    </row>
    <row r="96" spans="1:12" s="1" customFormat="1">
      <c r="A96" s="15"/>
      <c r="B96" s="91" t="s">
        <v>1417</v>
      </c>
      <c r="C96" s="11" t="s">
        <v>280</v>
      </c>
      <c r="D96" s="9" t="s">
        <v>833</v>
      </c>
      <c r="E96" s="16" t="s">
        <v>128</v>
      </c>
      <c r="F96" s="17"/>
      <c r="G96" s="94" t="s">
        <v>1418</v>
      </c>
      <c r="H96" s="93"/>
      <c r="I96" s="17"/>
      <c r="J96" s="19" t="s">
        <v>133</v>
      </c>
      <c r="K96" s="19" t="s">
        <v>202</v>
      </c>
      <c r="L96" s="19" t="s">
        <v>67</v>
      </c>
    </row>
    <row r="97" spans="1:17" s="1" customFormat="1">
      <c r="A97" s="15"/>
      <c r="B97" s="91" t="s">
        <v>1420</v>
      </c>
      <c r="C97" s="11" t="s">
        <v>280</v>
      </c>
      <c r="D97" s="9" t="s">
        <v>534</v>
      </c>
      <c r="E97" s="16" t="s">
        <v>128</v>
      </c>
      <c r="F97" s="17"/>
      <c r="G97" s="94" t="s">
        <v>1421</v>
      </c>
      <c r="H97" s="93"/>
      <c r="I97" s="17"/>
      <c r="J97" s="19" t="s">
        <v>133</v>
      </c>
      <c r="K97" s="19" t="s">
        <v>202</v>
      </c>
      <c r="L97" s="19" t="s">
        <v>67</v>
      </c>
    </row>
    <row r="98" spans="1:17" s="1" customFormat="1">
      <c r="A98" s="15"/>
      <c r="B98" s="11" t="s">
        <v>848</v>
      </c>
      <c r="C98" s="11" t="s">
        <v>45</v>
      </c>
      <c r="D98" s="9" t="s">
        <v>850</v>
      </c>
      <c r="E98" s="16" t="s">
        <v>128</v>
      </c>
      <c r="F98" s="17"/>
      <c r="G98" s="17" t="s">
        <v>1104</v>
      </c>
      <c r="H98" s="93"/>
      <c r="I98" s="17"/>
      <c r="J98" s="19" t="s">
        <v>133</v>
      </c>
      <c r="K98" s="19" t="s">
        <v>903</v>
      </c>
      <c r="L98" s="19" t="s">
        <v>67</v>
      </c>
    </row>
    <row r="99" spans="1:17" s="1" customFormat="1">
      <c r="A99" s="15"/>
      <c r="B99" s="11" t="s">
        <v>849</v>
      </c>
      <c r="C99" s="11" t="s">
        <v>45</v>
      </c>
      <c r="D99" s="9" t="s">
        <v>116</v>
      </c>
      <c r="E99" s="16" t="s">
        <v>128</v>
      </c>
      <c r="F99" s="17"/>
      <c r="G99" s="17" t="s">
        <v>1105</v>
      </c>
      <c r="H99" s="93"/>
      <c r="I99" s="17"/>
      <c r="J99" s="19" t="s">
        <v>133</v>
      </c>
      <c r="K99" s="19" t="s">
        <v>903</v>
      </c>
      <c r="L99" s="19" t="s">
        <v>67</v>
      </c>
    </row>
    <row r="100" spans="1:17" s="1" customFormat="1">
      <c r="A100" s="15"/>
      <c r="B100" s="91" t="s">
        <v>1423</v>
      </c>
      <c r="C100" s="11" t="s">
        <v>1202</v>
      </c>
      <c r="D100" s="9" t="s">
        <v>502</v>
      </c>
      <c r="E100" s="16" t="s">
        <v>128</v>
      </c>
      <c r="F100" s="17"/>
      <c r="G100" s="94" t="s">
        <v>1424</v>
      </c>
      <c r="H100" s="93"/>
      <c r="I100" s="17"/>
      <c r="J100" s="19" t="s">
        <v>133</v>
      </c>
      <c r="K100" s="19" t="s">
        <v>202</v>
      </c>
      <c r="L100" s="19" t="s">
        <v>67</v>
      </c>
    </row>
    <row r="101" spans="1:17" s="1" customFormat="1">
      <c r="A101" s="15"/>
      <c r="B101" s="11" t="s">
        <v>856</v>
      </c>
      <c r="C101" s="11" t="s">
        <v>45</v>
      </c>
      <c r="D101" s="9" t="s">
        <v>857</v>
      </c>
      <c r="E101" s="16" t="s">
        <v>128</v>
      </c>
      <c r="F101" s="17"/>
      <c r="G101" s="17" t="s">
        <v>1106</v>
      </c>
      <c r="H101" s="93"/>
      <c r="I101" s="17"/>
      <c r="J101" s="19" t="s">
        <v>133</v>
      </c>
      <c r="K101" s="19" t="s">
        <v>903</v>
      </c>
      <c r="L101" s="19" t="s">
        <v>67</v>
      </c>
    </row>
    <row r="102" spans="1:17" s="3" customFormat="1">
      <c r="B102" s="23" t="s">
        <v>47</v>
      </c>
      <c r="C102" s="24" t="s">
        <v>46</v>
      </c>
      <c r="D102" s="21" t="s">
        <v>48</v>
      </c>
      <c r="E102" s="44"/>
      <c r="F102" s="44"/>
      <c r="G102" s="44" t="s">
        <v>282</v>
      </c>
      <c r="H102" s="23" t="s">
        <v>282</v>
      </c>
      <c r="I102" s="23" t="s">
        <v>282</v>
      </c>
      <c r="J102" s="23"/>
      <c r="K102" s="23"/>
      <c r="L102" s="23"/>
      <c r="M102" s="23"/>
      <c r="N102" s="23"/>
      <c r="O102" s="23"/>
      <c r="P102" s="23"/>
      <c r="Q102" s="23"/>
    </row>
    <row r="103" spans="1:17" s="3" customFormat="1">
      <c r="B103" s="23" t="s">
        <v>49</v>
      </c>
      <c r="C103" s="24" t="s">
        <v>43</v>
      </c>
      <c r="D103" s="21" t="s">
        <v>50</v>
      </c>
      <c r="E103" s="44"/>
      <c r="F103" s="44"/>
      <c r="G103" s="44" t="s">
        <v>282</v>
      </c>
      <c r="H103" s="23" t="s">
        <v>282</v>
      </c>
      <c r="I103" s="23" t="s">
        <v>282</v>
      </c>
      <c r="J103" s="23"/>
      <c r="K103" s="23"/>
      <c r="L103" s="23"/>
      <c r="M103" s="23"/>
      <c r="N103" s="23"/>
      <c r="O103" s="23"/>
      <c r="P103" s="23"/>
      <c r="Q103" s="23"/>
    </row>
  </sheetData>
  <autoFilter ref="A13:Q103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3CB9-3891-4A1D-A044-C8F0066664CE}">
  <sheetPr codeName="Sheet20"/>
  <dimension ref="A1:Q109"/>
  <sheetViews>
    <sheetView zoomScale="85" zoomScaleNormal="85" workbookViewId="0">
      <pane ySplit="5" topLeftCell="A6" activePane="bottomLeft" state="frozen"/>
      <selection activeCell="G45" sqref="G45"/>
      <selection pane="bottomLeft" activeCell="C8" sqref="C8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1363</v>
      </c>
      <c r="D5" s="10" t="s">
        <v>1364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1312</v>
      </c>
      <c r="D9" s="10" t="s">
        <v>1313</v>
      </c>
      <c r="E9" s="11" t="s">
        <v>55</v>
      </c>
      <c r="F9" s="17"/>
      <c r="G9" s="17" t="s">
        <v>1362</v>
      </c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2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1068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61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62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64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65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66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95</v>
      </c>
      <c r="C23" s="11" t="s">
        <v>93</v>
      </c>
      <c r="D23" s="9" t="s">
        <v>114</v>
      </c>
      <c r="E23" s="16" t="s">
        <v>128</v>
      </c>
      <c r="F23" s="9" t="s">
        <v>1069</v>
      </c>
      <c r="G23" s="17" t="s">
        <v>129</v>
      </c>
      <c r="H23" s="18"/>
      <c r="I23" s="35"/>
      <c r="J23" s="19" t="s">
        <v>131</v>
      </c>
      <c r="K23" s="19" t="s">
        <v>132</v>
      </c>
      <c r="L23" s="19" t="s">
        <v>44</v>
      </c>
    </row>
    <row r="24" spans="1:12" s="1" customFormat="1">
      <c r="B24" s="22" t="s">
        <v>85</v>
      </c>
      <c r="C24" s="11" t="s">
        <v>43</v>
      </c>
      <c r="D24" s="9" t="s">
        <v>107</v>
      </c>
      <c r="E24" s="16" t="s">
        <v>128</v>
      </c>
      <c r="F24" s="17" t="s">
        <v>85</v>
      </c>
      <c r="G24" s="17" t="s">
        <v>129</v>
      </c>
      <c r="H24" s="18"/>
      <c r="I24" s="19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1072</v>
      </c>
      <c r="C25" s="11" t="s">
        <v>45</v>
      </c>
      <c r="D25" s="9" t="s">
        <v>146</v>
      </c>
      <c r="E25" s="16" t="s">
        <v>128</v>
      </c>
      <c r="F25" s="17"/>
      <c r="G25" s="17" t="s">
        <v>1073</v>
      </c>
      <c r="H25" s="18"/>
      <c r="I25" s="17"/>
      <c r="J25" s="19" t="s">
        <v>133</v>
      </c>
      <c r="K25" s="19" t="s">
        <v>132</v>
      </c>
      <c r="L25" s="19" t="s">
        <v>134</v>
      </c>
    </row>
    <row r="26" spans="1:12" s="1" customFormat="1">
      <c r="A26" s="15"/>
      <c r="B26" s="11" t="s">
        <v>189</v>
      </c>
      <c r="C26" s="11" t="s">
        <v>45</v>
      </c>
      <c r="D26" s="9" t="s">
        <v>190</v>
      </c>
      <c r="E26" s="16" t="s">
        <v>128</v>
      </c>
      <c r="F26" s="17"/>
      <c r="G26" s="17" t="s">
        <v>1259</v>
      </c>
      <c r="H26" s="18"/>
      <c r="I26" s="17"/>
      <c r="J26" s="19" t="s">
        <v>133</v>
      </c>
      <c r="K26" s="19" t="s">
        <v>132</v>
      </c>
      <c r="L26" s="19" t="s">
        <v>134</v>
      </c>
    </row>
    <row r="27" spans="1:12" s="1" customFormat="1">
      <c r="A27" s="15"/>
      <c r="B27" s="11" t="s">
        <v>192</v>
      </c>
      <c r="C27" s="11" t="s">
        <v>45</v>
      </c>
      <c r="D27" s="9" t="s">
        <v>193</v>
      </c>
      <c r="E27" s="16" t="s">
        <v>128</v>
      </c>
      <c r="F27" s="17"/>
      <c r="G27" s="17" t="s">
        <v>1074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2" s="1" customFormat="1">
      <c r="A28" s="15"/>
      <c r="B28" s="22" t="s">
        <v>255</v>
      </c>
      <c r="C28" s="22" t="s">
        <v>45</v>
      </c>
      <c r="D28" s="9" t="s">
        <v>348</v>
      </c>
      <c r="E28" s="16" t="s">
        <v>128</v>
      </c>
      <c r="F28" s="17"/>
      <c r="G28" s="17" t="s">
        <v>257</v>
      </c>
      <c r="H28" s="18"/>
      <c r="I28" s="17"/>
      <c r="J28" s="19" t="s">
        <v>133</v>
      </c>
      <c r="K28" s="19" t="s">
        <v>203</v>
      </c>
      <c r="L28" s="19" t="s">
        <v>134</v>
      </c>
    </row>
    <row r="29" spans="1:12" s="1" customFormat="1">
      <c r="A29" s="15"/>
      <c r="B29" s="11" t="s">
        <v>207</v>
      </c>
      <c r="C29" s="11" t="s">
        <v>45</v>
      </c>
      <c r="D29" s="9" t="s">
        <v>759</v>
      </c>
      <c r="E29" s="16" t="s">
        <v>128</v>
      </c>
      <c r="F29" s="72"/>
      <c r="G29" s="17" t="s">
        <v>320</v>
      </c>
      <c r="H29" s="18"/>
      <c r="I29" s="17"/>
      <c r="J29" s="19" t="s">
        <v>133</v>
      </c>
      <c r="K29" s="19" t="s">
        <v>204</v>
      </c>
      <c r="L29" s="19" t="s">
        <v>134</v>
      </c>
    </row>
    <row r="30" spans="1:12" s="1" customFormat="1">
      <c r="A30" s="15"/>
      <c r="B30" s="11" t="s">
        <v>208</v>
      </c>
      <c r="C30" s="11" t="s">
        <v>45</v>
      </c>
      <c r="D30" s="9" t="s">
        <v>160</v>
      </c>
      <c r="E30" s="16" t="s">
        <v>128</v>
      </c>
      <c r="F30" s="72"/>
      <c r="G30" s="17" t="s">
        <v>319</v>
      </c>
      <c r="H30" s="18"/>
      <c r="I30" s="17"/>
      <c r="J30" s="19" t="s">
        <v>133</v>
      </c>
      <c r="K30" s="19" t="s">
        <v>204</v>
      </c>
      <c r="L30" s="19" t="s">
        <v>134</v>
      </c>
    </row>
    <row r="31" spans="1:12" s="1" customFormat="1">
      <c r="A31" s="15"/>
      <c r="B31" s="11" t="s">
        <v>763</v>
      </c>
      <c r="C31" s="11" t="s">
        <v>45</v>
      </c>
      <c r="D31" s="9" t="s">
        <v>181</v>
      </c>
      <c r="E31" s="16" t="s">
        <v>128</v>
      </c>
      <c r="F31" s="72"/>
      <c r="G31" s="9" t="s">
        <v>1076</v>
      </c>
      <c r="H31" s="18"/>
      <c r="I31" s="17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11" t="s">
        <v>805</v>
      </c>
      <c r="C32" s="11" t="s">
        <v>45</v>
      </c>
      <c r="D32" s="9" t="s">
        <v>184</v>
      </c>
      <c r="E32" s="16" t="s">
        <v>128</v>
      </c>
      <c r="F32" s="72"/>
      <c r="G32" s="17" t="s">
        <v>1110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" t="s">
        <v>210</v>
      </c>
      <c r="C33" s="11" t="s">
        <v>45</v>
      </c>
      <c r="D33" s="9" t="s">
        <v>1056</v>
      </c>
      <c r="E33" s="16" t="s">
        <v>128</v>
      </c>
      <c r="F33" s="72"/>
      <c r="G33" s="17" t="s">
        <v>224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209</v>
      </c>
      <c r="C34" s="11" t="s">
        <v>45</v>
      </c>
      <c r="D34" s="9" t="s">
        <v>1055</v>
      </c>
      <c r="E34" s="16" t="s">
        <v>128</v>
      </c>
      <c r="F34" s="72"/>
      <c r="G34" s="17" t="s">
        <v>223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211</v>
      </c>
      <c r="C35" s="11" t="s">
        <v>45</v>
      </c>
      <c r="D35" s="9" t="s">
        <v>163</v>
      </c>
      <c r="E35" s="16" t="s">
        <v>128</v>
      </c>
      <c r="F35" s="72"/>
      <c r="G35" s="17" t="s">
        <v>225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212</v>
      </c>
      <c r="C36" s="11" t="s">
        <v>45</v>
      </c>
      <c r="D36" s="9" t="s">
        <v>164</v>
      </c>
      <c r="E36" s="16" t="s">
        <v>128</v>
      </c>
      <c r="F36" s="72"/>
      <c r="G36" s="17" t="s">
        <v>226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213</v>
      </c>
      <c r="C37" s="11" t="s">
        <v>45</v>
      </c>
      <c r="D37" s="9" t="s">
        <v>165</v>
      </c>
      <c r="E37" s="16" t="s">
        <v>128</v>
      </c>
      <c r="F37" s="72"/>
      <c r="G37" s="17" t="s">
        <v>1114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214</v>
      </c>
      <c r="C38" s="11" t="s">
        <v>45</v>
      </c>
      <c r="D38" s="9" t="s">
        <v>166</v>
      </c>
      <c r="E38" s="16" t="s">
        <v>128</v>
      </c>
      <c r="F38" s="72"/>
      <c r="G38" s="17" t="s">
        <v>1115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215</v>
      </c>
      <c r="C39" s="11" t="s">
        <v>45</v>
      </c>
      <c r="D39" s="9" t="s">
        <v>1260</v>
      </c>
      <c r="E39" s="16" t="s">
        <v>128</v>
      </c>
      <c r="F39" s="72"/>
      <c r="G39" s="17" t="s">
        <v>227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216</v>
      </c>
      <c r="C40" s="11" t="s">
        <v>45</v>
      </c>
      <c r="D40" s="9" t="s">
        <v>1261</v>
      </c>
      <c r="E40" s="16" t="s">
        <v>128</v>
      </c>
      <c r="F40" s="72"/>
      <c r="G40" s="17" t="s">
        <v>228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316</v>
      </c>
      <c r="C41" s="11" t="s">
        <v>45</v>
      </c>
      <c r="D41" s="9" t="s">
        <v>167</v>
      </c>
      <c r="E41" s="16" t="s">
        <v>128</v>
      </c>
      <c r="F41" s="72"/>
      <c r="G41" s="17" t="s">
        <v>772</v>
      </c>
      <c r="H41" s="18"/>
      <c r="I41" s="17"/>
      <c r="J41" s="19" t="s">
        <v>133</v>
      </c>
      <c r="K41" s="19" t="s">
        <v>202</v>
      </c>
      <c r="L41" s="19" t="s">
        <v>67</v>
      </c>
    </row>
    <row r="42" spans="1:12" s="1" customFormat="1">
      <c r="A42" s="15"/>
      <c r="B42" s="11" t="s">
        <v>809</v>
      </c>
      <c r="C42" s="11" t="s">
        <v>45</v>
      </c>
      <c r="D42" s="9" t="s">
        <v>175</v>
      </c>
      <c r="E42" s="16" t="s">
        <v>128</v>
      </c>
      <c r="F42" s="72"/>
      <c r="G42" s="17" t="s">
        <v>1120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317</v>
      </c>
      <c r="C43" s="11" t="s">
        <v>45</v>
      </c>
      <c r="D43" s="9" t="s">
        <v>168</v>
      </c>
      <c r="E43" s="16" t="s">
        <v>128</v>
      </c>
      <c r="F43" s="72"/>
      <c r="G43" s="17" t="s">
        <v>1489</v>
      </c>
      <c r="H43" s="18"/>
      <c r="I43" s="17"/>
      <c r="J43" s="19" t="s">
        <v>133</v>
      </c>
      <c r="K43" s="19" t="s">
        <v>202</v>
      </c>
      <c r="L43" s="19" t="s">
        <v>67</v>
      </c>
    </row>
    <row r="44" spans="1:12" s="1" customFormat="1">
      <c r="A44" s="15"/>
      <c r="B44" s="11" t="s">
        <v>810</v>
      </c>
      <c r="C44" s="11" t="s">
        <v>45</v>
      </c>
      <c r="D44" s="9" t="s">
        <v>176</v>
      </c>
      <c r="E44" s="16" t="s">
        <v>128</v>
      </c>
      <c r="F44" s="72"/>
      <c r="G44" s="17" t="s">
        <v>1121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1213</v>
      </c>
      <c r="C45" s="11" t="s">
        <v>45</v>
      </c>
      <c r="D45" s="9" t="s">
        <v>178</v>
      </c>
      <c r="E45" s="16" t="s">
        <v>128</v>
      </c>
      <c r="F45" s="72"/>
      <c r="G45" s="17" t="s">
        <v>1215</v>
      </c>
      <c r="H45" s="18"/>
      <c r="I45" s="17"/>
      <c r="J45" s="19" t="s">
        <v>133</v>
      </c>
      <c r="K45" s="19" t="s">
        <v>202</v>
      </c>
      <c r="L45" s="19" t="s">
        <v>67</v>
      </c>
    </row>
    <row r="46" spans="1:12" s="1" customFormat="1">
      <c r="A46" s="15"/>
      <c r="B46" s="11" t="s">
        <v>221</v>
      </c>
      <c r="C46" s="11" t="s">
        <v>45</v>
      </c>
      <c r="D46" s="9" t="s">
        <v>177</v>
      </c>
      <c r="E46" s="16" t="s">
        <v>128</v>
      </c>
      <c r="F46" s="72"/>
      <c r="G46" s="17" t="s">
        <v>1256</v>
      </c>
      <c r="H46" s="18"/>
      <c r="I46" s="17"/>
      <c r="J46" s="19" t="s">
        <v>133</v>
      </c>
      <c r="K46" s="19" t="s">
        <v>204</v>
      </c>
      <c r="L46" s="19" t="s">
        <v>67</v>
      </c>
    </row>
    <row r="47" spans="1:12" s="1" customFormat="1">
      <c r="A47" s="15"/>
      <c r="B47" s="11" t="s">
        <v>1212</v>
      </c>
      <c r="C47" s="11" t="s">
        <v>45</v>
      </c>
      <c r="D47" s="9" t="s">
        <v>180</v>
      </c>
      <c r="E47" s="16" t="s">
        <v>128</v>
      </c>
      <c r="F47" s="72"/>
      <c r="G47" s="17" t="s">
        <v>1214</v>
      </c>
      <c r="H47" s="18"/>
      <c r="I47" s="17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222</v>
      </c>
      <c r="C48" s="11" t="s">
        <v>45</v>
      </c>
      <c r="D48" s="9" t="s">
        <v>179</v>
      </c>
      <c r="E48" s="16" t="s">
        <v>128</v>
      </c>
      <c r="F48" s="72"/>
      <c r="G48" s="17" t="s">
        <v>1123</v>
      </c>
      <c r="H48" s="18"/>
      <c r="I48" s="17"/>
      <c r="J48" s="19" t="s">
        <v>133</v>
      </c>
      <c r="K48" s="19" t="s">
        <v>204</v>
      </c>
      <c r="L48" s="19" t="s">
        <v>67</v>
      </c>
    </row>
    <row r="49" spans="1:12" s="1" customFormat="1">
      <c r="A49" s="15"/>
      <c r="B49" s="11" t="s">
        <v>811</v>
      </c>
      <c r="C49" s="11" t="s">
        <v>45</v>
      </c>
      <c r="D49" s="9" t="s">
        <v>643</v>
      </c>
      <c r="E49" s="16" t="s">
        <v>128</v>
      </c>
      <c r="F49" s="72"/>
      <c r="G49" s="17" t="s">
        <v>768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812</v>
      </c>
      <c r="C50" s="11" t="s">
        <v>45</v>
      </c>
      <c r="D50" s="9" t="s">
        <v>813</v>
      </c>
      <c r="E50" s="16" t="s">
        <v>128</v>
      </c>
      <c r="F50" s="72"/>
      <c r="G50" s="17" t="s">
        <v>1124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814</v>
      </c>
      <c r="C51" s="11" t="s">
        <v>45</v>
      </c>
      <c r="D51" s="9" t="s">
        <v>500</v>
      </c>
      <c r="E51" s="16" t="s">
        <v>128</v>
      </c>
      <c r="F51" s="72"/>
      <c r="G51" s="17" t="s">
        <v>1125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205</v>
      </c>
      <c r="C52" s="11" t="s">
        <v>45</v>
      </c>
      <c r="D52" s="9" t="s">
        <v>147</v>
      </c>
      <c r="E52" s="16" t="s">
        <v>128</v>
      </c>
      <c r="F52" s="72"/>
      <c r="G52" s="17" t="s">
        <v>1126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206</v>
      </c>
      <c r="C53" s="11" t="s">
        <v>280</v>
      </c>
      <c r="D53" s="9" t="s">
        <v>820</v>
      </c>
      <c r="E53" s="16" t="s">
        <v>128</v>
      </c>
      <c r="F53" s="72"/>
      <c r="G53" s="17" t="s">
        <v>1081</v>
      </c>
      <c r="H53" s="18"/>
      <c r="I53" s="17"/>
      <c r="J53" s="19" t="s">
        <v>133</v>
      </c>
      <c r="K53" s="19" t="s">
        <v>202</v>
      </c>
      <c r="L53" s="19" t="s">
        <v>67</v>
      </c>
    </row>
    <row r="54" spans="1:12" s="1" customFormat="1">
      <c r="A54" s="15"/>
      <c r="B54" s="11" t="s">
        <v>1022</v>
      </c>
      <c r="C54" s="11" t="s">
        <v>45</v>
      </c>
      <c r="D54" s="9" t="s">
        <v>1018</v>
      </c>
      <c r="E54" s="16" t="s">
        <v>128</v>
      </c>
      <c r="F54" s="72"/>
      <c r="G54" s="17" t="s">
        <v>1127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1014</v>
      </c>
      <c r="C55" s="11" t="s">
        <v>45</v>
      </c>
      <c r="D55" s="9" t="s">
        <v>1019</v>
      </c>
      <c r="E55" s="16" t="s">
        <v>128</v>
      </c>
      <c r="F55" s="72"/>
      <c r="G55" s="17" t="s">
        <v>1128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1015</v>
      </c>
      <c r="C56" s="11" t="s">
        <v>45</v>
      </c>
      <c r="D56" s="9" t="s">
        <v>1020</v>
      </c>
      <c r="E56" s="16" t="s">
        <v>128</v>
      </c>
      <c r="F56" s="72"/>
      <c r="G56" s="17" t="s">
        <v>1129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1016</v>
      </c>
      <c r="C57" s="11" t="s">
        <v>45</v>
      </c>
      <c r="D57" s="9" t="s">
        <v>1021</v>
      </c>
      <c r="E57" s="16" t="s">
        <v>128</v>
      </c>
      <c r="F57" s="72"/>
      <c r="G57" s="17" t="s">
        <v>1130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1017</v>
      </c>
      <c r="C58" s="11" t="s">
        <v>45</v>
      </c>
      <c r="D58" s="9" t="s">
        <v>1042</v>
      </c>
      <c r="E58" s="16" t="s">
        <v>128</v>
      </c>
      <c r="F58" s="72"/>
      <c r="G58" s="17" t="s">
        <v>1131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1049</v>
      </c>
      <c r="C59" s="11" t="s">
        <v>45</v>
      </c>
      <c r="D59" s="9" t="s">
        <v>153</v>
      </c>
      <c r="E59" s="16" t="s">
        <v>128</v>
      </c>
      <c r="F59" s="72"/>
      <c r="G59" s="17" t="s">
        <v>1262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823</v>
      </c>
      <c r="C60" s="11" t="s">
        <v>280</v>
      </c>
      <c r="D60" s="9" t="s">
        <v>1474</v>
      </c>
      <c r="E60" s="16" t="s">
        <v>128</v>
      </c>
      <c r="F60" s="72"/>
      <c r="G60" s="17" t="s">
        <v>1082</v>
      </c>
      <c r="H60" s="18"/>
      <c r="I60" s="17"/>
      <c r="J60" s="19" t="s">
        <v>133</v>
      </c>
      <c r="K60" s="19" t="s">
        <v>202</v>
      </c>
      <c r="L60" s="19" t="s">
        <v>67</v>
      </c>
    </row>
    <row r="61" spans="1:12" s="1" customFormat="1">
      <c r="A61" s="15"/>
      <c r="B61" s="11" t="s">
        <v>1030</v>
      </c>
      <c r="C61" s="11" t="s">
        <v>45</v>
      </c>
      <c r="D61" s="9" t="s">
        <v>1026</v>
      </c>
      <c r="E61" s="16" t="s">
        <v>128</v>
      </c>
      <c r="F61" s="72"/>
      <c r="G61" s="17" t="s">
        <v>1133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1023</v>
      </c>
      <c r="C62" s="11" t="s">
        <v>45</v>
      </c>
      <c r="D62" s="9" t="s">
        <v>1027</v>
      </c>
      <c r="E62" s="16" t="s">
        <v>128</v>
      </c>
      <c r="F62" s="72"/>
      <c r="G62" s="17" t="s">
        <v>1134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1024</v>
      </c>
      <c r="C63" s="11" t="s">
        <v>45</v>
      </c>
      <c r="D63" s="9" t="s">
        <v>1028</v>
      </c>
      <c r="E63" s="16" t="s">
        <v>128</v>
      </c>
      <c r="F63" s="72"/>
      <c r="G63" s="17" t="s">
        <v>1135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1032</v>
      </c>
      <c r="C64" s="11" t="s">
        <v>45</v>
      </c>
      <c r="D64" s="9" t="s">
        <v>1029</v>
      </c>
      <c r="E64" s="16" t="s">
        <v>128</v>
      </c>
      <c r="F64" s="72"/>
      <c r="G64" s="17" t="s">
        <v>1136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1025</v>
      </c>
      <c r="C65" s="11" t="s">
        <v>45</v>
      </c>
      <c r="D65" s="9" t="s">
        <v>1043</v>
      </c>
      <c r="E65" s="16" t="s">
        <v>128</v>
      </c>
      <c r="F65" s="72"/>
      <c r="G65" s="17" t="s">
        <v>1137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1084</v>
      </c>
      <c r="C66" s="11" t="s">
        <v>280</v>
      </c>
      <c r="D66" s="9" t="s">
        <v>1086</v>
      </c>
      <c r="E66" s="16" t="s">
        <v>128</v>
      </c>
      <c r="F66" s="72"/>
      <c r="G66" s="17" t="s">
        <v>1087</v>
      </c>
      <c r="H66" s="18"/>
      <c r="I66" s="17"/>
      <c r="J66" s="19" t="s">
        <v>133</v>
      </c>
      <c r="K66" s="19" t="s">
        <v>202</v>
      </c>
      <c r="L66" s="19" t="s">
        <v>67</v>
      </c>
    </row>
    <row r="67" spans="1:12" s="1" customFormat="1">
      <c r="A67" s="15"/>
      <c r="B67" s="11" t="s">
        <v>1083</v>
      </c>
      <c r="C67" s="11" t="s">
        <v>280</v>
      </c>
      <c r="D67" s="9" t="s">
        <v>841</v>
      </c>
      <c r="E67" s="16" t="s">
        <v>128</v>
      </c>
      <c r="F67" s="72"/>
      <c r="G67" s="17" t="s">
        <v>1866</v>
      </c>
      <c r="H67" s="18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" t="s">
        <v>1033</v>
      </c>
      <c r="C68" s="11" t="s">
        <v>45</v>
      </c>
      <c r="D68" s="9" t="s">
        <v>1038</v>
      </c>
      <c r="E68" s="16" t="s">
        <v>128</v>
      </c>
      <c r="F68" s="72"/>
      <c r="G68" s="17" t="s">
        <v>1138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1034</v>
      </c>
      <c r="C69" s="11" t="s">
        <v>45</v>
      </c>
      <c r="D69" s="9" t="s">
        <v>1039</v>
      </c>
      <c r="E69" s="16" t="s">
        <v>128</v>
      </c>
      <c r="F69" s="72"/>
      <c r="G69" s="17" t="s">
        <v>1139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1035</v>
      </c>
      <c r="C70" s="11" t="s">
        <v>45</v>
      </c>
      <c r="D70" s="9" t="s">
        <v>1040</v>
      </c>
      <c r="E70" s="16" t="s">
        <v>128</v>
      </c>
      <c r="F70" s="72"/>
      <c r="G70" s="17" t="s">
        <v>1140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1036</v>
      </c>
      <c r="C71" s="11" t="s">
        <v>45</v>
      </c>
      <c r="D71" s="9" t="s">
        <v>1041</v>
      </c>
      <c r="E71" s="16" t="s">
        <v>128</v>
      </c>
      <c r="F71" s="72"/>
      <c r="G71" s="17" t="s">
        <v>1141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1037</v>
      </c>
      <c r="C72" s="11" t="s">
        <v>45</v>
      </c>
      <c r="D72" s="9" t="s">
        <v>1044</v>
      </c>
      <c r="E72" s="16" t="s">
        <v>128</v>
      </c>
      <c r="F72" s="72"/>
      <c r="G72" s="17" t="s">
        <v>1142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816</v>
      </c>
      <c r="C73" s="11" t="s">
        <v>280</v>
      </c>
      <c r="D73" s="9" t="s">
        <v>839</v>
      </c>
      <c r="E73" s="16" t="s">
        <v>128</v>
      </c>
      <c r="F73" s="72"/>
      <c r="G73" s="17" t="s">
        <v>1088</v>
      </c>
      <c r="H73" s="18"/>
      <c r="I73" s="17"/>
      <c r="J73" s="19" t="s">
        <v>133</v>
      </c>
      <c r="K73" s="19" t="s">
        <v>202</v>
      </c>
      <c r="L73" s="19" t="s">
        <v>67</v>
      </c>
    </row>
    <row r="74" spans="1:12" s="1" customFormat="1">
      <c r="A74" s="15"/>
      <c r="B74" s="11" t="s">
        <v>817</v>
      </c>
      <c r="C74" s="11" t="s">
        <v>45</v>
      </c>
      <c r="D74" s="9" t="s">
        <v>658</v>
      </c>
      <c r="E74" s="16" t="s">
        <v>128</v>
      </c>
      <c r="F74" s="72"/>
      <c r="G74" s="17" t="s">
        <v>1090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818</v>
      </c>
      <c r="C75" s="11" t="s">
        <v>280</v>
      </c>
      <c r="D75" s="9" t="s">
        <v>842</v>
      </c>
      <c r="E75" s="16" t="s">
        <v>128</v>
      </c>
      <c r="F75" s="72"/>
      <c r="G75" s="17" t="s">
        <v>1091</v>
      </c>
      <c r="H75" s="18"/>
      <c r="I75" s="17"/>
      <c r="J75" s="19" t="s">
        <v>133</v>
      </c>
      <c r="K75" s="19" t="s">
        <v>202</v>
      </c>
      <c r="L75" s="19" t="s">
        <v>67</v>
      </c>
    </row>
    <row r="76" spans="1:12" s="1" customFormat="1">
      <c r="A76" s="15"/>
      <c r="B76" s="11" t="s">
        <v>819</v>
      </c>
      <c r="C76" s="11" t="s">
        <v>45</v>
      </c>
      <c r="D76" s="9" t="s">
        <v>660</v>
      </c>
      <c r="E76" s="16" t="s">
        <v>128</v>
      </c>
      <c r="F76" s="72"/>
      <c r="G76" s="17" t="s">
        <v>1093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829</v>
      </c>
      <c r="C77" s="11" t="s">
        <v>280</v>
      </c>
      <c r="D77" s="9" t="s">
        <v>505</v>
      </c>
      <c r="E77" s="16" t="s">
        <v>128</v>
      </c>
      <c r="F77" s="72"/>
      <c r="G77" s="17" t="s">
        <v>1094</v>
      </c>
      <c r="H77" s="18"/>
      <c r="I77" s="17"/>
      <c r="J77" s="19" t="s">
        <v>133</v>
      </c>
      <c r="K77" s="19" t="s">
        <v>203</v>
      </c>
      <c r="L77" s="19" t="s">
        <v>67</v>
      </c>
    </row>
    <row r="78" spans="1:12" s="1" customFormat="1">
      <c r="A78" s="15"/>
      <c r="B78" s="11" t="s">
        <v>1570</v>
      </c>
      <c r="C78" s="11" t="s">
        <v>45</v>
      </c>
      <c r="D78" s="9" t="s">
        <v>1526</v>
      </c>
      <c r="E78" s="16" t="s">
        <v>128</v>
      </c>
      <c r="F78" s="72"/>
      <c r="G78" s="17" t="s">
        <v>1571</v>
      </c>
      <c r="H78" s="18"/>
      <c r="I78" s="17"/>
      <c r="J78" s="19" t="s">
        <v>133</v>
      </c>
      <c r="K78" s="19" t="s">
        <v>903</v>
      </c>
      <c r="L78" s="19" t="s">
        <v>67</v>
      </c>
    </row>
    <row r="79" spans="1:12" s="1" customFormat="1">
      <c r="A79" s="15"/>
      <c r="B79" s="11" t="s">
        <v>1527</v>
      </c>
      <c r="C79" s="11" t="s">
        <v>45</v>
      </c>
      <c r="D79" s="9" t="s">
        <v>1528</v>
      </c>
      <c r="E79" s="16" t="s">
        <v>128</v>
      </c>
      <c r="F79" s="72"/>
      <c r="G79" s="17" t="s">
        <v>1572</v>
      </c>
      <c r="H79" s="18"/>
      <c r="I79" s="17"/>
      <c r="J79" s="19" t="s">
        <v>133</v>
      </c>
      <c r="K79" s="19" t="s">
        <v>903</v>
      </c>
      <c r="L79" s="19" t="s">
        <v>67</v>
      </c>
    </row>
    <row r="80" spans="1:12" s="1" customFormat="1">
      <c r="A80" s="15"/>
      <c r="B80" s="11" t="s">
        <v>1529</v>
      </c>
      <c r="C80" s="11" t="s">
        <v>45</v>
      </c>
      <c r="D80" s="9" t="s">
        <v>1530</v>
      </c>
      <c r="E80" s="16" t="s">
        <v>128</v>
      </c>
      <c r="F80" s="72"/>
      <c r="G80" s="17" t="s">
        <v>1573</v>
      </c>
      <c r="H80" s="18"/>
      <c r="I80" s="17"/>
      <c r="J80" s="19" t="s">
        <v>133</v>
      </c>
      <c r="K80" s="19" t="s">
        <v>903</v>
      </c>
      <c r="L80" s="19" t="s">
        <v>67</v>
      </c>
    </row>
    <row r="81" spans="1:12" s="1" customFormat="1">
      <c r="A81" s="15"/>
      <c r="B81" s="11" t="s">
        <v>1531</v>
      </c>
      <c r="C81" s="11" t="s">
        <v>45</v>
      </c>
      <c r="D81" s="9" t="s">
        <v>1532</v>
      </c>
      <c r="E81" s="16" t="s">
        <v>128</v>
      </c>
      <c r="F81" s="72"/>
      <c r="G81" s="17" t="s">
        <v>1574</v>
      </c>
      <c r="H81" s="18"/>
      <c r="I81" s="17"/>
      <c r="J81" s="19" t="s">
        <v>133</v>
      </c>
      <c r="K81" s="19" t="s">
        <v>903</v>
      </c>
      <c r="L81" s="19" t="s">
        <v>67</v>
      </c>
    </row>
    <row r="82" spans="1:12" s="1" customFormat="1">
      <c r="A82" s="15"/>
      <c r="B82" s="11" t="s">
        <v>1533</v>
      </c>
      <c r="C82" s="11" t="s">
        <v>45</v>
      </c>
      <c r="D82" s="9" t="s">
        <v>1534</v>
      </c>
      <c r="E82" s="16" t="s">
        <v>128</v>
      </c>
      <c r="F82" s="72"/>
      <c r="G82" s="17" t="s">
        <v>1575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799</v>
      </c>
      <c r="C83" s="11" t="s">
        <v>280</v>
      </c>
      <c r="D83" s="9" t="s">
        <v>506</v>
      </c>
      <c r="E83" s="16" t="s">
        <v>128</v>
      </c>
      <c r="F83" s="72"/>
      <c r="G83" s="17" t="s">
        <v>1095</v>
      </c>
      <c r="H83" s="18"/>
      <c r="I83" s="17"/>
      <c r="J83" s="19" t="s">
        <v>133</v>
      </c>
      <c r="K83" s="19" t="s">
        <v>203</v>
      </c>
      <c r="L83" s="19" t="s">
        <v>67</v>
      </c>
    </row>
    <row r="84" spans="1:12" s="1" customFormat="1">
      <c r="A84" s="15"/>
      <c r="B84" s="11" t="s">
        <v>1549</v>
      </c>
      <c r="C84" s="11" t="s">
        <v>45</v>
      </c>
      <c r="D84" s="9" t="s">
        <v>1540</v>
      </c>
      <c r="E84" s="16" t="s">
        <v>128</v>
      </c>
      <c r="F84" s="72"/>
      <c r="G84" s="17" t="s">
        <v>1576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1541</v>
      </c>
      <c r="C85" s="11" t="s">
        <v>45</v>
      </c>
      <c r="D85" s="9" t="s">
        <v>1542</v>
      </c>
      <c r="E85" s="16" t="s">
        <v>128</v>
      </c>
      <c r="F85" s="72"/>
      <c r="G85" s="17" t="s">
        <v>1577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1543</v>
      </c>
      <c r="C86" s="11" t="s">
        <v>45</v>
      </c>
      <c r="D86" s="9" t="s">
        <v>1544</v>
      </c>
      <c r="E86" s="16" t="s">
        <v>128</v>
      </c>
      <c r="F86" s="72"/>
      <c r="G86" s="17" t="s">
        <v>1578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1545</v>
      </c>
      <c r="C87" s="11" t="s">
        <v>45</v>
      </c>
      <c r="D87" s="9" t="s">
        <v>1546</v>
      </c>
      <c r="E87" s="16" t="s">
        <v>128</v>
      </c>
      <c r="F87" s="72"/>
      <c r="G87" s="17" t="s">
        <v>1579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1547</v>
      </c>
      <c r="C88" s="11" t="s">
        <v>45</v>
      </c>
      <c r="D88" s="9" t="s">
        <v>1548</v>
      </c>
      <c r="E88" s="16" t="s">
        <v>128</v>
      </c>
      <c r="F88" s="72"/>
      <c r="G88" s="17" t="s">
        <v>1580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830</v>
      </c>
      <c r="C89" s="11" t="s">
        <v>45</v>
      </c>
      <c r="D89" s="9" t="s">
        <v>837</v>
      </c>
      <c r="E89" s="16" t="s">
        <v>128</v>
      </c>
      <c r="F89" s="72"/>
      <c r="G89" s="17" t="s">
        <v>1097</v>
      </c>
      <c r="H89" s="18"/>
      <c r="I89" s="17"/>
      <c r="J89" s="19" t="s">
        <v>133</v>
      </c>
      <c r="K89" s="19" t="s">
        <v>44</v>
      </c>
      <c r="L89" s="19" t="s">
        <v>67</v>
      </c>
    </row>
    <row r="90" spans="1:12" s="1" customFormat="1">
      <c r="A90" s="15"/>
      <c r="B90" s="11" t="s">
        <v>623</v>
      </c>
      <c r="C90" s="11" t="s">
        <v>280</v>
      </c>
      <c r="D90" s="9" t="s">
        <v>836</v>
      </c>
      <c r="E90" s="16" t="s">
        <v>128</v>
      </c>
      <c r="F90" s="72"/>
      <c r="G90" s="17" t="s">
        <v>1099</v>
      </c>
      <c r="H90" s="18"/>
      <c r="I90" s="17"/>
      <c r="J90" s="19" t="s">
        <v>133</v>
      </c>
      <c r="K90" s="19" t="s">
        <v>202</v>
      </c>
      <c r="L90" s="19" t="s">
        <v>67</v>
      </c>
    </row>
    <row r="91" spans="1:12" s="1" customFormat="1">
      <c r="A91" s="15"/>
      <c r="B91" s="95" t="s">
        <v>1564</v>
      </c>
      <c r="C91" s="95" t="s">
        <v>45</v>
      </c>
      <c r="D91" s="96" t="s">
        <v>1555</v>
      </c>
      <c r="E91" s="16" t="s">
        <v>128</v>
      </c>
      <c r="F91" s="72"/>
      <c r="G91" s="17" t="s">
        <v>1581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95" t="s">
        <v>1556</v>
      </c>
      <c r="C92" s="95" t="s">
        <v>45</v>
      </c>
      <c r="D92" s="96" t="s">
        <v>1557</v>
      </c>
      <c r="E92" s="16" t="s">
        <v>128</v>
      </c>
      <c r="F92" s="72"/>
      <c r="G92" s="17" t="s">
        <v>1582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95" t="s">
        <v>1558</v>
      </c>
      <c r="C93" s="95" t="s">
        <v>45</v>
      </c>
      <c r="D93" s="96" t="s">
        <v>1559</v>
      </c>
      <c r="E93" s="16" t="s">
        <v>128</v>
      </c>
      <c r="F93" s="72"/>
      <c r="G93" s="17" t="s">
        <v>1583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95" t="s">
        <v>1560</v>
      </c>
      <c r="C94" s="95" t="s">
        <v>45</v>
      </c>
      <c r="D94" s="96" t="s">
        <v>1561</v>
      </c>
      <c r="E94" s="16" t="s">
        <v>128</v>
      </c>
      <c r="F94" s="72"/>
      <c r="G94" s="17" t="s">
        <v>1584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95" t="s">
        <v>1562</v>
      </c>
      <c r="C95" s="95" t="s">
        <v>45</v>
      </c>
      <c r="D95" s="96" t="s">
        <v>1563</v>
      </c>
      <c r="E95" s="16" t="s">
        <v>128</v>
      </c>
      <c r="F95" s="72"/>
      <c r="G95" s="17" t="s">
        <v>1585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831</v>
      </c>
      <c r="C96" s="11" t="s">
        <v>45</v>
      </c>
      <c r="D96" s="9" t="s">
        <v>825</v>
      </c>
      <c r="E96" s="16" t="s">
        <v>128</v>
      </c>
      <c r="F96" s="72"/>
      <c r="G96" s="17" t="s">
        <v>1100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7" s="1" customFormat="1">
      <c r="A97" s="15"/>
      <c r="B97" s="11" t="s">
        <v>1098</v>
      </c>
      <c r="C97" s="11" t="s">
        <v>280</v>
      </c>
      <c r="D97" s="9" t="s">
        <v>826</v>
      </c>
      <c r="E97" s="16" t="s">
        <v>128</v>
      </c>
      <c r="F97" s="72"/>
      <c r="G97" s="17" t="s">
        <v>1101</v>
      </c>
      <c r="H97" s="18"/>
      <c r="I97" s="17"/>
      <c r="J97" s="19" t="s">
        <v>133</v>
      </c>
      <c r="K97" s="19" t="s">
        <v>202</v>
      </c>
      <c r="L97" s="19" t="s">
        <v>67</v>
      </c>
    </row>
    <row r="98" spans="1:17" s="1" customFormat="1">
      <c r="A98" s="15"/>
      <c r="B98" s="11" t="s">
        <v>834</v>
      </c>
      <c r="C98" s="11" t="s">
        <v>280</v>
      </c>
      <c r="D98" s="9" t="s">
        <v>833</v>
      </c>
      <c r="E98" s="16" t="s">
        <v>128</v>
      </c>
      <c r="F98" s="72"/>
      <c r="G98" s="17" t="s">
        <v>1102</v>
      </c>
      <c r="H98" s="18"/>
      <c r="I98" s="17"/>
      <c r="J98" s="19" t="s">
        <v>133</v>
      </c>
      <c r="K98" s="19" t="s">
        <v>202</v>
      </c>
      <c r="L98" s="19" t="s">
        <v>67</v>
      </c>
    </row>
    <row r="99" spans="1:17" s="1" customFormat="1">
      <c r="A99" s="15"/>
      <c r="B99" s="11" t="s">
        <v>535</v>
      </c>
      <c r="C99" s="11" t="s">
        <v>280</v>
      </c>
      <c r="D99" s="9" t="s">
        <v>534</v>
      </c>
      <c r="E99" s="16" t="s">
        <v>128</v>
      </c>
      <c r="F99" s="72"/>
      <c r="G99" s="17" t="s">
        <v>1103</v>
      </c>
      <c r="H99" s="18"/>
      <c r="I99" s="17"/>
      <c r="J99" s="19" t="s">
        <v>133</v>
      </c>
      <c r="K99" s="19" t="s">
        <v>202</v>
      </c>
      <c r="L99" s="19" t="s">
        <v>67</v>
      </c>
    </row>
    <row r="100" spans="1:17" s="1" customFormat="1">
      <c r="A100" s="15"/>
      <c r="B100" s="11" t="s">
        <v>848</v>
      </c>
      <c r="C100" s="11" t="s">
        <v>45</v>
      </c>
      <c r="D100" s="9" t="s">
        <v>850</v>
      </c>
      <c r="E100" s="16" t="s">
        <v>128</v>
      </c>
      <c r="F100" s="72"/>
      <c r="G100" s="17" t="s">
        <v>1104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7" s="1" customFormat="1">
      <c r="A101" s="15"/>
      <c r="B101" s="11" t="s">
        <v>849</v>
      </c>
      <c r="C101" s="11" t="s">
        <v>45</v>
      </c>
      <c r="D101" s="9" t="s">
        <v>116</v>
      </c>
      <c r="E101" s="16" t="s">
        <v>128</v>
      </c>
      <c r="F101" s="72"/>
      <c r="G101" s="17" t="s">
        <v>1105</v>
      </c>
      <c r="H101" s="18"/>
      <c r="I101" s="17"/>
      <c r="J101" s="19" t="s">
        <v>133</v>
      </c>
      <c r="K101" s="19" t="s">
        <v>903</v>
      </c>
      <c r="L101" s="19" t="s">
        <v>67</v>
      </c>
    </row>
    <row r="102" spans="1:17" s="1" customFormat="1">
      <c r="A102" s="15"/>
      <c r="B102" s="11" t="s">
        <v>854</v>
      </c>
      <c r="C102" s="11" t="s">
        <v>1202</v>
      </c>
      <c r="D102" s="9" t="s">
        <v>502</v>
      </c>
      <c r="E102" s="16" t="s">
        <v>128</v>
      </c>
      <c r="F102" s="72"/>
      <c r="G102" s="17" t="s">
        <v>1107</v>
      </c>
      <c r="H102" s="18"/>
      <c r="I102" s="17"/>
      <c r="J102" s="19" t="s">
        <v>133</v>
      </c>
      <c r="K102" s="19" t="s">
        <v>202</v>
      </c>
      <c r="L102" s="19" t="s">
        <v>67</v>
      </c>
    </row>
    <row r="103" spans="1:17" s="1" customFormat="1">
      <c r="A103" s="15"/>
      <c r="B103" s="11" t="s">
        <v>856</v>
      </c>
      <c r="C103" s="11" t="s">
        <v>45</v>
      </c>
      <c r="D103" s="9" t="s">
        <v>857</v>
      </c>
      <c r="E103" s="16" t="s">
        <v>128</v>
      </c>
      <c r="F103" s="72"/>
      <c r="G103" s="17" t="s">
        <v>1106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7" s="1" customFormat="1">
      <c r="A104" s="15"/>
      <c r="B104" s="11" t="s">
        <v>877</v>
      </c>
      <c r="C104" s="11" t="s">
        <v>45</v>
      </c>
      <c r="D104" s="9" t="s">
        <v>865</v>
      </c>
      <c r="E104" s="16" t="s">
        <v>128</v>
      </c>
      <c r="F104" s="72"/>
      <c r="G104" s="17" t="s">
        <v>1155</v>
      </c>
      <c r="H104" s="18"/>
      <c r="I104" s="17"/>
      <c r="J104" s="19" t="s">
        <v>133</v>
      </c>
      <c r="K104" s="19" t="s">
        <v>44</v>
      </c>
      <c r="L104" s="19" t="s">
        <v>67</v>
      </c>
    </row>
    <row r="105" spans="1:17" s="1" customFormat="1">
      <c r="A105" s="15"/>
      <c r="B105" s="11" t="s">
        <v>878</v>
      </c>
      <c r="C105" s="11" t="s">
        <v>45</v>
      </c>
      <c r="D105" s="9" t="s">
        <v>866</v>
      </c>
      <c r="E105" s="16" t="s">
        <v>128</v>
      </c>
      <c r="F105" s="72"/>
      <c r="G105" s="17" t="s">
        <v>1156</v>
      </c>
      <c r="H105" s="18"/>
      <c r="I105" s="17"/>
      <c r="J105" s="19" t="s">
        <v>133</v>
      </c>
      <c r="K105" s="19" t="s">
        <v>44</v>
      </c>
      <c r="L105" s="19" t="s">
        <v>67</v>
      </c>
    </row>
    <row r="106" spans="1:17" s="1" customFormat="1">
      <c r="A106" s="15"/>
      <c r="B106" s="11" t="s">
        <v>879</v>
      </c>
      <c r="C106" s="11" t="s">
        <v>45</v>
      </c>
      <c r="D106" s="9" t="s">
        <v>867</v>
      </c>
      <c r="E106" s="16" t="s">
        <v>128</v>
      </c>
      <c r="F106" s="72"/>
      <c r="G106" s="17" t="s">
        <v>1157</v>
      </c>
      <c r="H106" s="18"/>
      <c r="I106" s="17"/>
      <c r="J106" s="19" t="s">
        <v>133</v>
      </c>
      <c r="K106" s="19" t="s">
        <v>44</v>
      </c>
      <c r="L106" s="19" t="s">
        <v>67</v>
      </c>
    </row>
    <row r="107" spans="1:17" s="3" customFormat="1">
      <c r="B107" s="23" t="s">
        <v>47</v>
      </c>
      <c r="C107" s="24" t="s">
        <v>46</v>
      </c>
      <c r="D107" s="21" t="s">
        <v>48</v>
      </c>
      <c r="E107" s="44"/>
      <c r="F107" s="44"/>
      <c r="G107" s="44" t="s">
        <v>282</v>
      </c>
      <c r="H107" s="23" t="s">
        <v>282</v>
      </c>
      <c r="I107" s="23"/>
      <c r="J107" s="23"/>
      <c r="K107" s="23"/>
      <c r="L107" s="23"/>
      <c r="M107" s="23"/>
      <c r="N107" s="23"/>
      <c r="O107" s="23"/>
      <c r="P107" s="23"/>
      <c r="Q107" s="23"/>
    </row>
    <row r="108" spans="1:17" s="3" customFormat="1">
      <c r="B108" s="23" t="s">
        <v>49</v>
      </c>
      <c r="C108" s="24" t="s">
        <v>43</v>
      </c>
      <c r="D108" s="21" t="s">
        <v>50</v>
      </c>
      <c r="E108" s="44"/>
      <c r="F108" s="44"/>
      <c r="G108" s="44" t="s">
        <v>282</v>
      </c>
      <c r="H108" s="23" t="s">
        <v>282</v>
      </c>
      <c r="I108" s="23"/>
      <c r="J108" s="23"/>
      <c r="K108" s="23"/>
      <c r="L108" s="23"/>
      <c r="M108" s="23"/>
      <c r="N108" s="23"/>
      <c r="O108" s="23"/>
      <c r="P108" s="23"/>
      <c r="Q108" s="23"/>
    </row>
    <row r="109" spans="1:17" s="3" customFormat="1">
      <c r="B109" s="23" t="s">
        <v>51</v>
      </c>
      <c r="C109" s="24" t="s">
        <v>46</v>
      </c>
      <c r="D109" s="21" t="s">
        <v>52</v>
      </c>
      <c r="E109" s="44"/>
      <c r="F109" s="44"/>
      <c r="G109" s="44" t="s">
        <v>282</v>
      </c>
      <c r="H109" s="23" t="s">
        <v>282</v>
      </c>
      <c r="I109" s="23"/>
      <c r="J109" s="23"/>
      <c r="K109" s="23"/>
      <c r="L109" s="23"/>
      <c r="M109" s="23"/>
      <c r="N109" s="23"/>
      <c r="O109" s="23"/>
      <c r="P109" s="23"/>
      <c r="Q109" s="23"/>
    </row>
  </sheetData>
  <autoFilter ref="A13:Q109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F194-FE24-4BC5-B6C4-A5FDE72FAA34}">
  <sheetPr codeName="Sheet21"/>
  <dimension ref="A1:Q107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1366</v>
      </c>
      <c r="D5" s="10" t="s">
        <v>1367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1363</v>
      </c>
      <c r="D9" s="10" t="s">
        <v>1364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2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2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95</v>
      </c>
      <c r="C22" s="11" t="s">
        <v>93</v>
      </c>
      <c r="D22" s="9" t="s">
        <v>114</v>
      </c>
      <c r="E22" s="16" t="s">
        <v>128</v>
      </c>
      <c r="F22" s="9" t="s">
        <v>1069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44</v>
      </c>
    </row>
    <row r="23" spans="1:12" s="1" customFormat="1">
      <c r="B23" s="22" t="s">
        <v>1496</v>
      </c>
      <c r="C23" s="11" t="s">
        <v>43</v>
      </c>
      <c r="D23" s="9" t="s">
        <v>107</v>
      </c>
      <c r="E23" s="16" t="s">
        <v>128</v>
      </c>
      <c r="F23" s="17" t="s">
        <v>85</v>
      </c>
      <c r="G23" s="17" t="s">
        <v>129</v>
      </c>
      <c r="H23" s="18"/>
      <c r="I23" s="19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1072</v>
      </c>
      <c r="C24" s="11" t="s">
        <v>45</v>
      </c>
      <c r="D24" s="9" t="s">
        <v>146</v>
      </c>
      <c r="E24" s="16" t="s">
        <v>128</v>
      </c>
      <c r="F24" s="17"/>
      <c r="G24" s="17" t="s">
        <v>1073</v>
      </c>
      <c r="H24" s="18"/>
      <c r="I24" s="17"/>
      <c r="J24" s="19" t="s">
        <v>133</v>
      </c>
      <c r="K24" s="19" t="s">
        <v>132</v>
      </c>
      <c r="L24" s="19" t="s">
        <v>134</v>
      </c>
    </row>
    <row r="25" spans="1:12" s="1" customFormat="1">
      <c r="A25" s="15"/>
      <c r="B25" s="11" t="s">
        <v>189</v>
      </c>
      <c r="C25" s="11" t="s">
        <v>45</v>
      </c>
      <c r="D25" s="9" t="s">
        <v>190</v>
      </c>
      <c r="E25" s="16" t="s">
        <v>128</v>
      </c>
      <c r="F25" s="17"/>
      <c r="G25" s="17" t="s">
        <v>1259</v>
      </c>
      <c r="H25" s="18"/>
      <c r="I25" s="17"/>
      <c r="J25" s="19" t="s">
        <v>133</v>
      </c>
      <c r="K25" s="19" t="s">
        <v>132</v>
      </c>
      <c r="L25" s="19" t="s">
        <v>134</v>
      </c>
    </row>
    <row r="26" spans="1:12" s="1" customFormat="1">
      <c r="A26" s="15"/>
      <c r="B26" s="11" t="s">
        <v>192</v>
      </c>
      <c r="C26" s="11" t="s">
        <v>45</v>
      </c>
      <c r="D26" s="9" t="s">
        <v>193</v>
      </c>
      <c r="E26" s="16" t="s">
        <v>128</v>
      </c>
      <c r="F26" s="17"/>
      <c r="G26" s="17" t="s">
        <v>1074</v>
      </c>
      <c r="H26" s="18"/>
      <c r="I26" s="17"/>
      <c r="J26" s="19" t="s">
        <v>133</v>
      </c>
      <c r="K26" s="19" t="s">
        <v>132</v>
      </c>
      <c r="L26" s="19" t="s">
        <v>134</v>
      </c>
    </row>
    <row r="27" spans="1:12" s="1" customFormat="1">
      <c r="A27" s="15"/>
      <c r="B27" s="89" t="s">
        <v>1475</v>
      </c>
      <c r="C27" s="22" t="s">
        <v>45</v>
      </c>
      <c r="D27" s="9" t="s">
        <v>348</v>
      </c>
      <c r="E27" s="16" t="s">
        <v>128</v>
      </c>
      <c r="F27" s="17"/>
      <c r="G27" s="17" t="s">
        <v>257</v>
      </c>
      <c r="H27" s="18"/>
      <c r="I27" s="17"/>
      <c r="J27" s="19" t="s">
        <v>133</v>
      </c>
      <c r="K27" s="19" t="s">
        <v>203</v>
      </c>
      <c r="L27" s="19" t="s">
        <v>134</v>
      </c>
    </row>
    <row r="28" spans="1:12" s="1" customFormat="1">
      <c r="A28" s="15"/>
      <c r="B28" s="89" t="s">
        <v>1476</v>
      </c>
      <c r="C28" s="11" t="s">
        <v>45</v>
      </c>
      <c r="D28" s="9" t="s">
        <v>759</v>
      </c>
      <c r="E28" s="16" t="s">
        <v>128</v>
      </c>
      <c r="F28" s="72"/>
      <c r="G28" s="17" t="s">
        <v>320</v>
      </c>
      <c r="H28" s="18"/>
      <c r="I28" s="17"/>
      <c r="J28" s="19" t="s">
        <v>133</v>
      </c>
      <c r="K28" s="19" t="s">
        <v>204</v>
      </c>
      <c r="L28" s="19" t="s">
        <v>134</v>
      </c>
    </row>
    <row r="29" spans="1:12" s="1" customFormat="1">
      <c r="A29" s="15"/>
      <c r="B29" s="89" t="s">
        <v>1477</v>
      </c>
      <c r="C29" s="11" t="s">
        <v>45</v>
      </c>
      <c r="D29" s="9" t="s">
        <v>160</v>
      </c>
      <c r="E29" s="16" t="s">
        <v>128</v>
      </c>
      <c r="F29" s="72"/>
      <c r="G29" s="17" t="s">
        <v>319</v>
      </c>
      <c r="H29" s="18"/>
      <c r="I29" s="17"/>
      <c r="J29" s="19" t="s">
        <v>133</v>
      </c>
      <c r="K29" s="19" t="s">
        <v>204</v>
      </c>
      <c r="L29" s="19" t="s">
        <v>134</v>
      </c>
    </row>
    <row r="30" spans="1:12" s="1" customFormat="1">
      <c r="A30" s="15"/>
      <c r="B30" s="11" t="s">
        <v>763</v>
      </c>
      <c r="C30" s="11" t="s">
        <v>45</v>
      </c>
      <c r="D30" s="9" t="s">
        <v>181</v>
      </c>
      <c r="E30" s="16" t="s">
        <v>128</v>
      </c>
      <c r="F30" s="72"/>
      <c r="G30" s="9" t="s">
        <v>1076</v>
      </c>
      <c r="H30" s="18"/>
      <c r="I30" s="17"/>
      <c r="J30" s="19" t="s">
        <v>133</v>
      </c>
      <c r="K30" s="19" t="s">
        <v>44</v>
      </c>
      <c r="L30" s="19" t="s">
        <v>67</v>
      </c>
    </row>
    <row r="31" spans="1:12" s="1" customFormat="1">
      <c r="A31" s="15"/>
      <c r="B31" s="11" t="s">
        <v>805</v>
      </c>
      <c r="C31" s="11" t="s">
        <v>45</v>
      </c>
      <c r="D31" s="9" t="s">
        <v>184</v>
      </c>
      <c r="E31" s="16" t="s">
        <v>128</v>
      </c>
      <c r="F31" s="72"/>
      <c r="G31" s="17" t="s">
        <v>1110</v>
      </c>
      <c r="H31" s="18"/>
      <c r="I31" s="17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89" t="s">
        <v>1462</v>
      </c>
      <c r="C32" s="11" t="s">
        <v>45</v>
      </c>
      <c r="D32" s="9" t="s">
        <v>1056</v>
      </c>
      <c r="E32" s="16" t="s">
        <v>128</v>
      </c>
      <c r="F32" s="72"/>
      <c r="G32" s="17" t="s">
        <v>224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89" t="s">
        <v>1463</v>
      </c>
      <c r="C33" s="11" t="s">
        <v>45</v>
      </c>
      <c r="D33" s="9" t="s">
        <v>1055</v>
      </c>
      <c r="E33" s="16" t="s">
        <v>128</v>
      </c>
      <c r="F33" s="72"/>
      <c r="G33" s="17" t="s">
        <v>223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89" t="s">
        <v>1464</v>
      </c>
      <c r="C34" s="11" t="s">
        <v>45</v>
      </c>
      <c r="D34" s="9" t="s">
        <v>163</v>
      </c>
      <c r="E34" s="16" t="s">
        <v>128</v>
      </c>
      <c r="F34" s="72"/>
      <c r="G34" s="17" t="s">
        <v>225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89" t="s">
        <v>1465</v>
      </c>
      <c r="C35" s="11" t="s">
        <v>45</v>
      </c>
      <c r="D35" s="9" t="s">
        <v>164</v>
      </c>
      <c r="E35" s="16" t="s">
        <v>128</v>
      </c>
      <c r="F35" s="72"/>
      <c r="G35" s="17" t="s">
        <v>226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89" t="s">
        <v>1466</v>
      </c>
      <c r="C36" s="11" t="s">
        <v>45</v>
      </c>
      <c r="D36" s="9" t="s">
        <v>165</v>
      </c>
      <c r="E36" s="16" t="s">
        <v>128</v>
      </c>
      <c r="F36" s="72"/>
      <c r="G36" s="17" t="s">
        <v>1114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89" t="s">
        <v>1467</v>
      </c>
      <c r="C37" s="11" t="s">
        <v>45</v>
      </c>
      <c r="D37" s="9" t="s">
        <v>166</v>
      </c>
      <c r="E37" s="16" t="s">
        <v>128</v>
      </c>
      <c r="F37" s="72"/>
      <c r="G37" s="17" t="s">
        <v>1115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89" t="s">
        <v>1478</v>
      </c>
      <c r="C38" s="11" t="s">
        <v>45</v>
      </c>
      <c r="D38" s="9" t="s">
        <v>1260</v>
      </c>
      <c r="E38" s="16" t="s">
        <v>128</v>
      </c>
      <c r="F38" s="72"/>
      <c r="G38" s="17" t="s">
        <v>227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89" t="s">
        <v>1479</v>
      </c>
      <c r="C39" s="11" t="s">
        <v>45</v>
      </c>
      <c r="D39" s="9" t="s">
        <v>1261</v>
      </c>
      <c r="E39" s="16" t="s">
        <v>128</v>
      </c>
      <c r="F39" s="72"/>
      <c r="G39" s="17" t="s">
        <v>228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89" t="s">
        <v>1480</v>
      </c>
      <c r="C40" s="11" t="s">
        <v>45</v>
      </c>
      <c r="D40" s="9" t="s">
        <v>167</v>
      </c>
      <c r="E40" s="16" t="s">
        <v>128</v>
      </c>
      <c r="F40" s="72"/>
      <c r="G40" s="17" t="s">
        <v>772</v>
      </c>
      <c r="H40" s="18"/>
      <c r="I40" s="17"/>
      <c r="J40" s="19" t="s">
        <v>133</v>
      </c>
      <c r="K40" s="19" t="s">
        <v>202</v>
      </c>
      <c r="L40" s="19" t="s">
        <v>67</v>
      </c>
    </row>
    <row r="41" spans="1:12" s="1" customFormat="1">
      <c r="A41" s="15"/>
      <c r="B41" s="11" t="s">
        <v>809</v>
      </c>
      <c r="C41" s="11" t="s">
        <v>45</v>
      </c>
      <c r="D41" s="9" t="s">
        <v>175</v>
      </c>
      <c r="E41" s="16" t="s">
        <v>128</v>
      </c>
      <c r="F41" s="72"/>
      <c r="G41" s="17" t="s">
        <v>1120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89" t="s">
        <v>1492</v>
      </c>
      <c r="C42" s="11" t="s">
        <v>45</v>
      </c>
      <c r="D42" s="9" t="s">
        <v>168</v>
      </c>
      <c r="E42" s="16" t="s">
        <v>128</v>
      </c>
      <c r="F42" s="72"/>
      <c r="G42" s="17" t="s">
        <v>1489</v>
      </c>
      <c r="H42" s="18"/>
      <c r="I42" s="17"/>
      <c r="J42" s="19" t="s">
        <v>133</v>
      </c>
      <c r="K42" s="19" t="s">
        <v>202</v>
      </c>
      <c r="L42" s="19" t="s">
        <v>67</v>
      </c>
    </row>
    <row r="43" spans="1:12" s="1" customFormat="1">
      <c r="A43" s="15"/>
      <c r="B43" s="11" t="s">
        <v>810</v>
      </c>
      <c r="C43" s="11" t="s">
        <v>45</v>
      </c>
      <c r="D43" s="9" t="s">
        <v>176</v>
      </c>
      <c r="E43" s="16" t="s">
        <v>128</v>
      </c>
      <c r="F43" s="72"/>
      <c r="G43" s="17" t="s">
        <v>1121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1213</v>
      </c>
      <c r="C44" s="11" t="s">
        <v>45</v>
      </c>
      <c r="D44" s="9" t="s">
        <v>178</v>
      </c>
      <c r="E44" s="16" t="s">
        <v>128</v>
      </c>
      <c r="F44" s="72"/>
      <c r="G44" s="17" t="s">
        <v>1215</v>
      </c>
      <c r="H44" s="18"/>
      <c r="I44" s="17"/>
      <c r="J44" s="19" t="s">
        <v>133</v>
      </c>
      <c r="K44" s="19" t="s">
        <v>202</v>
      </c>
      <c r="L44" s="19" t="s">
        <v>67</v>
      </c>
    </row>
    <row r="45" spans="1:12" s="1" customFormat="1">
      <c r="A45" s="15"/>
      <c r="B45" s="11" t="s">
        <v>221</v>
      </c>
      <c r="C45" s="11" t="s">
        <v>45</v>
      </c>
      <c r="D45" s="9" t="s">
        <v>177</v>
      </c>
      <c r="E45" s="16" t="s">
        <v>128</v>
      </c>
      <c r="F45" s="72"/>
      <c r="G45" s="17" t="s">
        <v>1256</v>
      </c>
      <c r="H45" s="18"/>
      <c r="I45" s="17"/>
      <c r="J45" s="19" t="s">
        <v>133</v>
      </c>
      <c r="K45" s="19" t="s">
        <v>204</v>
      </c>
      <c r="L45" s="19" t="s">
        <v>67</v>
      </c>
    </row>
    <row r="46" spans="1:12" s="1" customFormat="1">
      <c r="A46" s="15"/>
      <c r="B46" s="11" t="s">
        <v>1212</v>
      </c>
      <c r="C46" s="11" t="s">
        <v>45</v>
      </c>
      <c r="D46" s="9" t="s">
        <v>180</v>
      </c>
      <c r="E46" s="16" t="s">
        <v>128</v>
      </c>
      <c r="F46" s="72"/>
      <c r="G46" s="17" t="s">
        <v>1214</v>
      </c>
      <c r="H46" s="18"/>
      <c r="I46" s="17"/>
      <c r="J46" s="19" t="s">
        <v>133</v>
      </c>
      <c r="K46" s="19" t="s">
        <v>202</v>
      </c>
      <c r="L46" s="19" t="s">
        <v>67</v>
      </c>
    </row>
    <row r="47" spans="1:12" s="1" customFormat="1">
      <c r="A47" s="15"/>
      <c r="B47" s="11" t="s">
        <v>222</v>
      </c>
      <c r="C47" s="11" t="s">
        <v>45</v>
      </c>
      <c r="D47" s="9" t="s">
        <v>179</v>
      </c>
      <c r="E47" s="16" t="s">
        <v>128</v>
      </c>
      <c r="F47" s="72"/>
      <c r="G47" s="17" t="s">
        <v>1123</v>
      </c>
      <c r="H47" s="18"/>
      <c r="I47" s="17"/>
      <c r="J47" s="19" t="s">
        <v>133</v>
      </c>
      <c r="K47" s="19" t="s">
        <v>204</v>
      </c>
      <c r="L47" s="19" t="s">
        <v>67</v>
      </c>
    </row>
    <row r="48" spans="1:12" s="1" customFormat="1">
      <c r="A48" s="15"/>
      <c r="B48" s="89" t="s">
        <v>1384</v>
      </c>
      <c r="C48" s="11" t="s">
        <v>45</v>
      </c>
      <c r="D48" s="9" t="s">
        <v>643</v>
      </c>
      <c r="E48" s="16" t="s">
        <v>128</v>
      </c>
      <c r="F48" s="72"/>
      <c r="G48" s="17" t="s">
        <v>768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89" t="s">
        <v>1385</v>
      </c>
      <c r="C49" s="11" t="s">
        <v>45</v>
      </c>
      <c r="D49" s="9" t="s">
        <v>813</v>
      </c>
      <c r="E49" s="16" t="s">
        <v>128</v>
      </c>
      <c r="F49" s="72"/>
      <c r="G49" s="17" t="s">
        <v>1124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89" t="s">
        <v>1386</v>
      </c>
      <c r="C50" s="11" t="s">
        <v>45</v>
      </c>
      <c r="D50" s="9" t="s">
        <v>500</v>
      </c>
      <c r="E50" s="16" t="s">
        <v>128</v>
      </c>
      <c r="F50" s="72"/>
      <c r="G50" s="17" t="s">
        <v>1125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205</v>
      </c>
      <c r="C51" s="11" t="s">
        <v>45</v>
      </c>
      <c r="D51" s="9" t="s">
        <v>147</v>
      </c>
      <c r="E51" s="16" t="s">
        <v>128</v>
      </c>
      <c r="F51" s="72"/>
      <c r="G51" s="17" t="s">
        <v>1126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206</v>
      </c>
      <c r="C52" s="11" t="s">
        <v>280</v>
      </c>
      <c r="D52" s="9" t="s">
        <v>820</v>
      </c>
      <c r="E52" s="16" t="s">
        <v>128</v>
      </c>
      <c r="F52" s="72"/>
      <c r="G52" s="17" t="s">
        <v>1081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89" t="s">
        <v>1387</v>
      </c>
      <c r="C53" s="11" t="s">
        <v>45</v>
      </c>
      <c r="D53" s="9" t="s">
        <v>1018</v>
      </c>
      <c r="E53" s="16" t="s">
        <v>128</v>
      </c>
      <c r="F53" s="72"/>
      <c r="G53" s="17" t="s">
        <v>1127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89" t="s">
        <v>1388</v>
      </c>
      <c r="C54" s="11" t="s">
        <v>45</v>
      </c>
      <c r="D54" s="9" t="s">
        <v>1019</v>
      </c>
      <c r="E54" s="16" t="s">
        <v>128</v>
      </c>
      <c r="F54" s="72"/>
      <c r="G54" s="17" t="s">
        <v>1128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89" t="s">
        <v>1389</v>
      </c>
      <c r="C55" s="11" t="s">
        <v>45</v>
      </c>
      <c r="D55" s="9" t="s">
        <v>1020</v>
      </c>
      <c r="E55" s="16" t="s">
        <v>128</v>
      </c>
      <c r="F55" s="72"/>
      <c r="G55" s="17" t="s">
        <v>1129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89" t="s">
        <v>1390</v>
      </c>
      <c r="C56" s="11" t="s">
        <v>45</v>
      </c>
      <c r="D56" s="9" t="s">
        <v>1021</v>
      </c>
      <c r="E56" s="16" t="s">
        <v>128</v>
      </c>
      <c r="F56" s="72"/>
      <c r="G56" s="17" t="s">
        <v>1130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89" t="s">
        <v>1391</v>
      </c>
      <c r="C57" s="11" t="s">
        <v>45</v>
      </c>
      <c r="D57" s="9" t="s">
        <v>1042</v>
      </c>
      <c r="E57" s="16" t="s">
        <v>128</v>
      </c>
      <c r="F57" s="72"/>
      <c r="G57" s="17" t="s">
        <v>1131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1049</v>
      </c>
      <c r="C58" s="11" t="s">
        <v>45</v>
      </c>
      <c r="D58" s="9" t="s">
        <v>153</v>
      </c>
      <c r="E58" s="16" t="s">
        <v>128</v>
      </c>
      <c r="F58" s="72"/>
      <c r="G58" s="17" t="s">
        <v>1262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823</v>
      </c>
      <c r="C59" s="11" t="s">
        <v>280</v>
      </c>
      <c r="D59" s="9" t="s">
        <v>1474</v>
      </c>
      <c r="E59" s="16" t="s">
        <v>128</v>
      </c>
      <c r="F59" s="72"/>
      <c r="G59" s="17" t="s">
        <v>1082</v>
      </c>
      <c r="H59" s="18"/>
      <c r="I59" s="17"/>
      <c r="J59" s="19" t="s">
        <v>133</v>
      </c>
      <c r="K59" s="19" t="s">
        <v>202</v>
      </c>
      <c r="L59" s="19" t="s">
        <v>67</v>
      </c>
    </row>
    <row r="60" spans="1:12" s="1" customFormat="1">
      <c r="A60" s="15"/>
      <c r="B60" s="89" t="s">
        <v>1392</v>
      </c>
      <c r="C60" s="11" t="s">
        <v>45</v>
      </c>
      <c r="D60" s="9" t="s">
        <v>1026</v>
      </c>
      <c r="E60" s="16" t="s">
        <v>128</v>
      </c>
      <c r="F60" s="72"/>
      <c r="G60" s="17" t="s">
        <v>1133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89" t="s">
        <v>1393</v>
      </c>
      <c r="C61" s="11" t="s">
        <v>45</v>
      </c>
      <c r="D61" s="9" t="s">
        <v>1027</v>
      </c>
      <c r="E61" s="16" t="s">
        <v>128</v>
      </c>
      <c r="F61" s="72"/>
      <c r="G61" s="17" t="s">
        <v>1134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89" t="s">
        <v>1394</v>
      </c>
      <c r="C62" s="11" t="s">
        <v>45</v>
      </c>
      <c r="D62" s="9" t="s">
        <v>1028</v>
      </c>
      <c r="E62" s="16" t="s">
        <v>128</v>
      </c>
      <c r="F62" s="72"/>
      <c r="G62" s="17" t="s">
        <v>1135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89" t="s">
        <v>1395</v>
      </c>
      <c r="C63" s="11" t="s">
        <v>45</v>
      </c>
      <c r="D63" s="9" t="s">
        <v>1029</v>
      </c>
      <c r="E63" s="16" t="s">
        <v>128</v>
      </c>
      <c r="F63" s="72"/>
      <c r="G63" s="17" t="s">
        <v>1136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89" t="s">
        <v>1396</v>
      </c>
      <c r="C64" s="11" t="s">
        <v>45</v>
      </c>
      <c r="D64" s="9" t="s">
        <v>1043</v>
      </c>
      <c r="E64" s="16" t="s">
        <v>128</v>
      </c>
      <c r="F64" s="72"/>
      <c r="G64" s="17" t="s">
        <v>1137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1084</v>
      </c>
      <c r="C65" s="11" t="s">
        <v>280</v>
      </c>
      <c r="D65" s="9" t="s">
        <v>1086</v>
      </c>
      <c r="E65" s="16" t="s">
        <v>128</v>
      </c>
      <c r="F65" s="72"/>
      <c r="G65" s="17" t="s">
        <v>1087</v>
      </c>
      <c r="H65" s="18"/>
      <c r="I65" s="17"/>
      <c r="J65" s="19" t="s">
        <v>133</v>
      </c>
      <c r="K65" s="19" t="s">
        <v>202</v>
      </c>
      <c r="L65" s="19" t="s">
        <v>67</v>
      </c>
    </row>
    <row r="66" spans="1:12" s="1" customFormat="1">
      <c r="A66" s="15"/>
      <c r="B66" s="11" t="s">
        <v>1083</v>
      </c>
      <c r="C66" s="11" t="s">
        <v>280</v>
      </c>
      <c r="D66" s="9" t="s">
        <v>841</v>
      </c>
      <c r="E66" s="16" t="s">
        <v>128</v>
      </c>
      <c r="F66" s="72"/>
      <c r="G66" s="17" t="s">
        <v>1866</v>
      </c>
      <c r="H66" s="18"/>
      <c r="I66" s="17"/>
      <c r="J66" s="19" t="s">
        <v>133</v>
      </c>
      <c r="K66" s="19" t="s">
        <v>202</v>
      </c>
      <c r="L66" s="19" t="s">
        <v>67</v>
      </c>
    </row>
    <row r="67" spans="1:12" s="1" customFormat="1">
      <c r="A67" s="15"/>
      <c r="B67" s="89" t="s">
        <v>1397</v>
      </c>
      <c r="C67" s="11" t="s">
        <v>45</v>
      </c>
      <c r="D67" s="9" t="s">
        <v>1038</v>
      </c>
      <c r="E67" s="16" t="s">
        <v>128</v>
      </c>
      <c r="F67" s="72"/>
      <c r="G67" s="17" t="s">
        <v>1138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89" t="s">
        <v>1398</v>
      </c>
      <c r="C68" s="11" t="s">
        <v>45</v>
      </c>
      <c r="D68" s="9" t="s">
        <v>1039</v>
      </c>
      <c r="E68" s="16" t="s">
        <v>128</v>
      </c>
      <c r="F68" s="72"/>
      <c r="G68" s="17" t="s">
        <v>1139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89" t="s">
        <v>1399</v>
      </c>
      <c r="C69" s="11" t="s">
        <v>45</v>
      </c>
      <c r="D69" s="9" t="s">
        <v>1040</v>
      </c>
      <c r="E69" s="16" t="s">
        <v>128</v>
      </c>
      <c r="F69" s="72"/>
      <c r="G69" s="17" t="s">
        <v>1140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89" t="s">
        <v>1400</v>
      </c>
      <c r="C70" s="11" t="s">
        <v>45</v>
      </c>
      <c r="D70" s="9" t="s">
        <v>1041</v>
      </c>
      <c r="E70" s="16" t="s">
        <v>128</v>
      </c>
      <c r="F70" s="72"/>
      <c r="G70" s="17" t="s">
        <v>1141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89" t="s">
        <v>1401</v>
      </c>
      <c r="C71" s="11" t="s">
        <v>45</v>
      </c>
      <c r="D71" s="9" t="s">
        <v>1044</v>
      </c>
      <c r="E71" s="16" t="s">
        <v>128</v>
      </c>
      <c r="F71" s="72"/>
      <c r="G71" s="17" t="s">
        <v>1142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816</v>
      </c>
      <c r="C72" s="11" t="s">
        <v>280</v>
      </c>
      <c r="D72" s="9" t="s">
        <v>839</v>
      </c>
      <c r="E72" s="16" t="s">
        <v>128</v>
      </c>
      <c r="F72" s="72"/>
      <c r="G72" s="17" t="s">
        <v>1088</v>
      </c>
      <c r="H72" s="18"/>
      <c r="I72" s="17"/>
      <c r="J72" s="19" t="s">
        <v>133</v>
      </c>
      <c r="K72" s="19" t="s">
        <v>202</v>
      </c>
      <c r="L72" s="19" t="s">
        <v>67</v>
      </c>
    </row>
    <row r="73" spans="1:12" s="1" customFormat="1">
      <c r="A73" s="15"/>
      <c r="B73" s="11" t="s">
        <v>817</v>
      </c>
      <c r="C73" s="11" t="s">
        <v>45</v>
      </c>
      <c r="D73" s="9" t="s">
        <v>658</v>
      </c>
      <c r="E73" s="16" t="s">
        <v>128</v>
      </c>
      <c r="F73" s="72"/>
      <c r="G73" s="17" t="s">
        <v>1090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818</v>
      </c>
      <c r="C74" s="11" t="s">
        <v>280</v>
      </c>
      <c r="D74" s="9" t="s">
        <v>842</v>
      </c>
      <c r="E74" s="16" t="s">
        <v>128</v>
      </c>
      <c r="F74" s="72"/>
      <c r="G74" s="17" t="s">
        <v>1091</v>
      </c>
      <c r="H74" s="18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819</v>
      </c>
      <c r="C75" s="11" t="s">
        <v>45</v>
      </c>
      <c r="D75" s="9" t="s">
        <v>660</v>
      </c>
      <c r="E75" s="16" t="s">
        <v>128</v>
      </c>
      <c r="F75" s="72"/>
      <c r="G75" s="17" t="s">
        <v>1093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89" t="s">
        <v>1403</v>
      </c>
      <c r="C76" s="11" t="s">
        <v>280</v>
      </c>
      <c r="D76" s="9" t="s">
        <v>505</v>
      </c>
      <c r="E76" s="16" t="s">
        <v>128</v>
      </c>
      <c r="F76" s="72"/>
      <c r="G76" s="17" t="s">
        <v>1094</v>
      </c>
      <c r="H76" s="18"/>
      <c r="I76" s="17"/>
      <c r="J76" s="19" t="s">
        <v>133</v>
      </c>
      <c r="K76" s="19" t="s">
        <v>203</v>
      </c>
      <c r="L76" s="19" t="s">
        <v>67</v>
      </c>
    </row>
    <row r="77" spans="1:12" s="1" customFormat="1">
      <c r="A77" s="15"/>
      <c r="B77" s="11" t="s">
        <v>1570</v>
      </c>
      <c r="C77" s="11" t="s">
        <v>45</v>
      </c>
      <c r="D77" s="9" t="s">
        <v>1526</v>
      </c>
      <c r="E77" s="16" t="s">
        <v>128</v>
      </c>
      <c r="F77" s="72"/>
      <c r="G77" s="17" t="s">
        <v>1571</v>
      </c>
      <c r="H77" s="18"/>
      <c r="I77" s="17"/>
      <c r="J77" s="19" t="s">
        <v>133</v>
      </c>
      <c r="K77" s="19" t="s">
        <v>903</v>
      </c>
      <c r="L77" s="19" t="s">
        <v>67</v>
      </c>
    </row>
    <row r="78" spans="1:12" s="1" customFormat="1">
      <c r="A78" s="15"/>
      <c r="B78" s="11" t="s">
        <v>1527</v>
      </c>
      <c r="C78" s="11" t="s">
        <v>45</v>
      </c>
      <c r="D78" s="9" t="s">
        <v>1528</v>
      </c>
      <c r="E78" s="16" t="s">
        <v>128</v>
      </c>
      <c r="F78" s="72"/>
      <c r="G78" s="17" t="s">
        <v>1572</v>
      </c>
      <c r="H78" s="18"/>
      <c r="I78" s="17"/>
      <c r="J78" s="19" t="s">
        <v>133</v>
      </c>
      <c r="K78" s="19" t="s">
        <v>903</v>
      </c>
      <c r="L78" s="19" t="s">
        <v>67</v>
      </c>
    </row>
    <row r="79" spans="1:12" s="1" customFormat="1">
      <c r="A79" s="15"/>
      <c r="B79" s="11" t="s">
        <v>1529</v>
      </c>
      <c r="C79" s="11" t="s">
        <v>45</v>
      </c>
      <c r="D79" s="9" t="s">
        <v>1530</v>
      </c>
      <c r="E79" s="16" t="s">
        <v>128</v>
      </c>
      <c r="F79" s="72"/>
      <c r="G79" s="17" t="s">
        <v>1573</v>
      </c>
      <c r="H79" s="18"/>
      <c r="I79" s="17"/>
      <c r="J79" s="19" t="s">
        <v>133</v>
      </c>
      <c r="K79" s="19" t="s">
        <v>903</v>
      </c>
      <c r="L79" s="19" t="s">
        <v>67</v>
      </c>
    </row>
    <row r="80" spans="1:12" s="1" customFormat="1">
      <c r="A80" s="15"/>
      <c r="B80" s="11" t="s">
        <v>1531</v>
      </c>
      <c r="C80" s="11" t="s">
        <v>45</v>
      </c>
      <c r="D80" s="9" t="s">
        <v>1532</v>
      </c>
      <c r="E80" s="16" t="s">
        <v>128</v>
      </c>
      <c r="F80" s="72"/>
      <c r="G80" s="17" t="s">
        <v>1574</v>
      </c>
      <c r="H80" s="18"/>
      <c r="I80" s="17"/>
      <c r="J80" s="19" t="s">
        <v>133</v>
      </c>
      <c r="K80" s="19" t="s">
        <v>903</v>
      </c>
      <c r="L80" s="19" t="s">
        <v>67</v>
      </c>
    </row>
    <row r="81" spans="1:12" s="1" customFormat="1">
      <c r="A81" s="15"/>
      <c r="B81" s="11" t="s">
        <v>1533</v>
      </c>
      <c r="C81" s="11" t="s">
        <v>45</v>
      </c>
      <c r="D81" s="9" t="s">
        <v>1534</v>
      </c>
      <c r="E81" s="16" t="s">
        <v>128</v>
      </c>
      <c r="F81" s="72"/>
      <c r="G81" s="17" t="s">
        <v>1575</v>
      </c>
      <c r="H81" s="18"/>
      <c r="I81" s="17"/>
      <c r="J81" s="19" t="s">
        <v>133</v>
      </c>
      <c r="K81" s="19" t="s">
        <v>903</v>
      </c>
      <c r="L81" s="19" t="s">
        <v>67</v>
      </c>
    </row>
    <row r="82" spans="1:12" s="1" customFormat="1">
      <c r="A82" s="15"/>
      <c r="B82" s="89" t="s">
        <v>1404</v>
      </c>
      <c r="C82" s="11" t="s">
        <v>280</v>
      </c>
      <c r="D82" s="9" t="s">
        <v>506</v>
      </c>
      <c r="E82" s="16" t="s">
        <v>128</v>
      </c>
      <c r="F82" s="72"/>
      <c r="G82" s="17" t="s">
        <v>1095</v>
      </c>
      <c r="H82" s="18"/>
      <c r="I82" s="17"/>
      <c r="J82" s="19" t="s">
        <v>133</v>
      </c>
      <c r="K82" s="19" t="s">
        <v>203</v>
      </c>
      <c r="L82" s="19" t="s">
        <v>67</v>
      </c>
    </row>
    <row r="83" spans="1:12" s="1" customFormat="1">
      <c r="A83" s="15"/>
      <c r="B83" s="11" t="s">
        <v>1549</v>
      </c>
      <c r="C83" s="11" t="s">
        <v>45</v>
      </c>
      <c r="D83" s="9" t="s">
        <v>1540</v>
      </c>
      <c r="E83" s="16" t="s">
        <v>128</v>
      </c>
      <c r="F83" s="72"/>
      <c r="G83" s="17" t="s">
        <v>1576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11" t="s">
        <v>1541</v>
      </c>
      <c r="C84" s="11" t="s">
        <v>45</v>
      </c>
      <c r="D84" s="9" t="s">
        <v>1542</v>
      </c>
      <c r="E84" s="16" t="s">
        <v>128</v>
      </c>
      <c r="F84" s="72"/>
      <c r="G84" s="17" t="s">
        <v>1577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1543</v>
      </c>
      <c r="C85" s="11" t="s">
        <v>45</v>
      </c>
      <c r="D85" s="9" t="s">
        <v>1544</v>
      </c>
      <c r="E85" s="16" t="s">
        <v>128</v>
      </c>
      <c r="F85" s="72"/>
      <c r="G85" s="17" t="s">
        <v>1578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1545</v>
      </c>
      <c r="C86" s="11" t="s">
        <v>45</v>
      </c>
      <c r="D86" s="9" t="s">
        <v>1546</v>
      </c>
      <c r="E86" s="16" t="s">
        <v>128</v>
      </c>
      <c r="F86" s="72"/>
      <c r="G86" s="17" t="s">
        <v>1579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1547</v>
      </c>
      <c r="C87" s="11" t="s">
        <v>45</v>
      </c>
      <c r="D87" s="9" t="s">
        <v>1548</v>
      </c>
      <c r="E87" s="16" t="s">
        <v>128</v>
      </c>
      <c r="F87" s="72"/>
      <c r="G87" s="17" t="s">
        <v>1580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830</v>
      </c>
      <c r="C88" s="11" t="s">
        <v>45</v>
      </c>
      <c r="D88" s="9" t="s">
        <v>837</v>
      </c>
      <c r="E88" s="16" t="s">
        <v>128</v>
      </c>
      <c r="F88" s="72"/>
      <c r="G88" s="17" t="s">
        <v>1097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89" t="s">
        <v>1405</v>
      </c>
      <c r="C89" s="11" t="s">
        <v>280</v>
      </c>
      <c r="D89" s="9" t="s">
        <v>836</v>
      </c>
      <c r="E89" s="16" t="s">
        <v>128</v>
      </c>
      <c r="F89" s="72"/>
      <c r="G89" s="17" t="s">
        <v>1099</v>
      </c>
      <c r="H89" s="18"/>
      <c r="I89" s="17"/>
      <c r="J89" s="19" t="s">
        <v>133</v>
      </c>
      <c r="K89" s="19" t="s">
        <v>202</v>
      </c>
      <c r="L89" s="19" t="s">
        <v>67</v>
      </c>
    </row>
    <row r="90" spans="1:12" s="1" customFormat="1">
      <c r="A90" s="15"/>
      <c r="B90" s="95" t="s">
        <v>1564</v>
      </c>
      <c r="C90" s="95" t="s">
        <v>45</v>
      </c>
      <c r="D90" s="96" t="s">
        <v>1555</v>
      </c>
      <c r="E90" s="16" t="s">
        <v>128</v>
      </c>
      <c r="F90" s="72"/>
      <c r="G90" s="17" t="s">
        <v>1581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95" t="s">
        <v>1556</v>
      </c>
      <c r="C91" s="95" t="s">
        <v>45</v>
      </c>
      <c r="D91" s="96" t="s">
        <v>1557</v>
      </c>
      <c r="E91" s="16" t="s">
        <v>128</v>
      </c>
      <c r="F91" s="72"/>
      <c r="G91" s="17" t="s">
        <v>1582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95" t="s">
        <v>1558</v>
      </c>
      <c r="C92" s="95" t="s">
        <v>45</v>
      </c>
      <c r="D92" s="96" t="s">
        <v>1559</v>
      </c>
      <c r="E92" s="16" t="s">
        <v>128</v>
      </c>
      <c r="F92" s="72"/>
      <c r="G92" s="17" t="s">
        <v>1583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95" t="s">
        <v>1560</v>
      </c>
      <c r="C93" s="95" t="s">
        <v>45</v>
      </c>
      <c r="D93" s="96" t="s">
        <v>1561</v>
      </c>
      <c r="E93" s="16" t="s">
        <v>128</v>
      </c>
      <c r="F93" s="72"/>
      <c r="G93" s="17" t="s">
        <v>1584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95" t="s">
        <v>1562</v>
      </c>
      <c r="C94" s="95" t="s">
        <v>45</v>
      </c>
      <c r="D94" s="96" t="s">
        <v>1563</v>
      </c>
      <c r="E94" s="16" t="s">
        <v>128</v>
      </c>
      <c r="F94" s="72"/>
      <c r="G94" s="17" t="s">
        <v>1585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11" t="s">
        <v>831</v>
      </c>
      <c r="C95" s="11" t="s">
        <v>45</v>
      </c>
      <c r="D95" s="9" t="s">
        <v>825</v>
      </c>
      <c r="E95" s="16" t="s">
        <v>128</v>
      </c>
      <c r="F95" s="72"/>
      <c r="G95" s="17" t="s">
        <v>1100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1098</v>
      </c>
      <c r="C96" s="11" t="s">
        <v>280</v>
      </c>
      <c r="D96" s="9" t="s">
        <v>826</v>
      </c>
      <c r="E96" s="16" t="s">
        <v>128</v>
      </c>
      <c r="F96" s="72"/>
      <c r="G96" s="17" t="s">
        <v>1101</v>
      </c>
      <c r="H96" s="18"/>
      <c r="I96" s="17"/>
      <c r="J96" s="19" t="s">
        <v>133</v>
      </c>
      <c r="K96" s="19" t="s">
        <v>202</v>
      </c>
      <c r="L96" s="19" t="s">
        <v>67</v>
      </c>
    </row>
    <row r="97" spans="1:17" s="1" customFormat="1">
      <c r="A97" s="15"/>
      <c r="B97" s="89" t="s">
        <v>1406</v>
      </c>
      <c r="C97" s="11" t="s">
        <v>280</v>
      </c>
      <c r="D97" s="9" t="s">
        <v>833</v>
      </c>
      <c r="E97" s="16" t="s">
        <v>128</v>
      </c>
      <c r="F97" s="72"/>
      <c r="G97" s="17" t="s">
        <v>1102</v>
      </c>
      <c r="H97" s="18"/>
      <c r="I97" s="17"/>
      <c r="J97" s="19" t="s">
        <v>133</v>
      </c>
      <c r="K97" s="19" t="s">
        <v>202</v>
      </c>
      <c r="L97" s="19" t="s">
        <v>67</v>
      </c>
    </row>
    <row r="98" spans="1:17" s="1" customFormat="1">
      <c r="A98" s="15"/>
      <c r="B98" s="89" t="s">
        <v>1402</v>
      </c>
      <c r="C98" s="11" t="s">
        <v>280</v>
      </c>
      <c r="D98" s="9" t="s">
        <v>534</v>
      </c>
      <c r="E98" s="16" t="s">
        <v>128</v>
      </c>
      <c r="F98" s="72"/>
      <c r="G98" s="17" t="s">
        <v>1103</v>
      </c>
      <c r="H98" s="18"/>
      <c r="I98" s="17"/>
      <c r="J98" s="19" t="s">
        <v>133</v>
      </c>
      <c r="K98" s="19" t="s">
        <v>202</v>
      </c>
      <c r="L98" s="19" t="s">
        <v>67</v>
      </c>
    </row>
    <row r="99" spans="1:17" s="1" customFormat="1">
      <c r="A99" s="15"/>
      <c r="B99" s="11" t="s">
        <v>848</v>
      </c>
      <c r="C99" s="11" t="s">
        <v>45</v>
      </c>
      <c r="D99" s="9" t="s">
        <v>850</v>
      </c>
      <c r="E99" s="16" t="s">
        <v>128</v>
      </c>
      <c r="F99" s="72"/>
      <c r="G99" s="17" t="s">
        <v>1104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7" s="1" customFormat="1">
      <c r="A100" s="15"/>
      <c r="B100" s="11" t="s">
        <v>849</v>
      </c>
      <c r="C100" s="11" t="s">
        <v>45</v>
      </c>
      <c r="D100" s="9" t="s">
        <v>116</v>
      </c>
      <c r="E100" s="16" t="s">
        <v>128</v>
      </c>
      <c r="F100" s="72"/>
      <c r="G100" s="17" t="s">
        <v>1105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7" s="1" customFormat="1">
      <c r="A101" s="15"/>
      <c r="B101" s="89" t="s">
        <v>1407</v>
      </c>
      <c r="C101" s="11" t="s">
        <v>1202</v>
      </c>
      <c r="D101" s="9" t="s">
        <v>502</v>
      </c>
      <c r="E101" s="16" t="s">
        <v>128</v>
      </c>
      <c r="F101" s="72"/>
      <c r="G101" s="17" t="s">
        <v>1107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7" s="1" customFormat="1">
      <c r="A102" s="15"/>
      <c r="B102" s="11" t="s">
        <v>856</v>
      </c>
      <c r="C102" s="11" t="s">
        <v>45</v>
      </c>
      <c r="D102" s="9" t="s">
        <v>857</v>
      </c>
      <c r="E102" s="16" t="s">
        <v>128</v>
      </c>
      <c r="F102" s="72"/>
      <c r="G102" s="17" t="s">
        <v>1106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7" s="1" customFormat="1">
      <c r="A103" s="15"/>
      <c r="B103" s="89" t="s">
        <v>1481</v>
      </c>
      <c r="C103" s="11" t="s">
        <v>45</v>
      </c>
      <c r="D103" s="9" t="s">
        <v>865</v>
      </c>
      <c r="E103" s="16" t="s">
        <v>128</v>
      </c>
      <c r="F103" s="72"/>
      <c r="G103" s="17" t="s">
        <v>1155</v>
      </c>
      <c r="H103" s="18"/>
      <c r="I103" s="17"/>
      <c r="J103" s="19" t="s">
        <v>133</v>
      </c>
      <c r="K103" s="19" t="s">
        <v>44</v>
      </c>
      <c r="L103" s="19" t="s">
        <v>67</v>
      </c>
    </row>
    <row r="104" spans="1:17" s="1" customFormat="1">
      <c r="A104" s="15"/>
      <c r="B104" s="89" t="s">
        <v>1482</v>
      </c>
      <c r="C104" s="11" t="s">
        <v>45</v>
      </c>
      <c r="D104" s="9" t="s">
        <v>866</v>
      </c>
      <c r="E104" s="16" t="s">
        <v>128</v>
      </c>
      <c r="F104" s="72"/>
      <c r="G104" s="17" t="s">
        <v>1156</v>
      </c>
      <c r="H104" s="18"/>
      <c r="I104" s="17"/>
      <c r="J104" s="19" t="s">
        <v>133</v>
      </c>
      <c r="K104" s="19" t="s">
        <v>44</v>
      </c>
      <c r="L104" s="19" t="s">
        <v>67</v>
      </c>
    </row>
    <row r="105" spans="1:17" s="1" customFormat="1">
      <c r="A105" s="15"/>
      <c r="B105" s="89" t="s">
        <v>1483</v>
      </c>
      <c r="C105" s="11" t="s">
        <v>45</v>
      </c>
      <c r="D105" s="9" t="s">
        <v>867</v>
      </c>
      <c r="E105" s="16" t="s">
        <v>128</v>
      </c>
      <c r="F105" s="72"/>
      <c r="G105" s="17" t="s">
        <v>1157</v>
      </c>
      <c r="H105" s="18"/>
      <c r="I105" s="17"/>
      <c r="J105" s="19" t="s">
        <v>133</v>
      </c>
      <c r="K105" s="19" t="s">
        <v>44</v>
      </c>
      <c r="L105" s="19" t="s">
        <v>67</v>
      </c>
    </row>
    <row r="106" spans="1:17" s="3" customFormat="1">
      <c r="B106" s="23" t="s">
        <v>47</v>
      </c>
      <c r="C106" s="24" t="s">
        <v>46</v>
      </c>
      <c r="D106" s="21" t="s">
        <v>48</v>
      </c>
      <c r="E106" s="44"/>
      <c r="F106" s="44"/>
      <c r="G106" s="44" t="s">
        <v>282</v>
      </c>
      <c r="H106" s="23" t="s">
        <v>282</v>
      </c>
      <c r="I106" s="23"/>
      <c r="J106" s="23"/>
      <c r="K106" s="23"/>
      <c r="L106" s="23"/>
      <c r="M106" s="23"/>
      <c r="N106" s="23"/>
      <c r="O106" s="23"/>
      <c r="P106" s="23"/>
      <c r="Q106" s="23"/>
    </row>
    <row r="107" spans="1:17" s="3" customFormat="1">
      <c r="B107" s="23" t="s">
        <v>49</v>
      </c>
      <c r="C107" s="24" t="s">
        <v>43</v>
      </c>
      <c r="D107" s="21" t="s">
        <v>50</v>
      </c>
      <c r="E107" s="44"/>
      <c r="F107" s="44"/>
      <c r="G107" s="44" t="s">
        <v>282</v>
      </c>
      <c r="H107" s="23" t="s">
        <v>282</v>
      </c>
      <c r="I107" s="23"/>
      <c r="J107" s="23"/>
      <c r="K107" s="23"/>
      <c r="L107" s="23"/>
      <c r="M107" s="23"/>
      <c r="N107" s="23"/>
      <c r="O107" s="23"/>
      <c r="P107" s="23"/>
      <c r="Q107" s="23"/>
    </row>
  </sheetData>
  <autoFilter ref="A13:Q107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1A61-EEF6-4F7D-BBFD-AAC39F2212CD}">
  <sheetPr codeName="Sheet22"/>
  <dimension ref="A1:Q106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2.33203125" style="4" customWidth="1"/>
    <col min="7" max="7" width="50.77734375" style="4" customWidth="1"/>
    <col min="8" max="9" width="12.664062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1368</v>
      </c>
      <c r="D5" s="10" t="s">
        <v>1369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1366</v>
      </c>
      <c r="D9" s="10" t="s">
        <v>1367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2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2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95</v>
      </c>
      <c r="C22" s="11" t="s">
        <v>93</v>
      </c>
      <c r="D22" s="9" t="s">
        <v>114</v>
      </c>
      <c r="E22" s="16" t="s">
        <v>128</v>
      </c>
      <c r="F22" s="9" t="s">
        <v>1069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1072</v>
      </c>
      <c r="C23" s="11" t="s">
        <v>45</v>
      </c>
      <c r="D23" s="9" t="s">
        <v>146</v>
      </c>
      <c r="E23" s="16" t="s">
        <v>128</v>
      </c>
      <c r="F23" s="17"/>
      <c r="G23" s="17" t="s">
        <v>1073</v>
      </c>
      <c r="H23" s="18"/>
      <c r="I23" s="17"/>
      <c r="J23" s="19" t="s">
        <v>133</v>
      </c>
      <c r="K23" s="19" t="s">
        <v>132</v>
      </c>
      <c r="L23" s="19" t="s">
        <v>134</v>
      </c>
    </row>
    <row r="24" spans="1:12" s="1" customFormat="1">
      <c r="A24" s="15"/>
      <c r="B24" s="11" t="s">
        <v>189</v>
      </c>
      <c r="C24" s="11" t="s">
        <v>45</v>
      </c>
      <c r="D24" s="9" t="s">
        <v>190</v>
      </c>
      <c r="E24" s="16" t="s">
        <v>128</v>
      </c>
      <c r="F24" s="17"/>
      <c r="G24" s="17" t="s">
        <v>1259</v>
      </c>
      <c r="H24" s="18"/>
      <c r="I24" s="17"/>
      <c r="J24" s="19" t="s">
        <v>133</v>
      </c>
      <c r="K24" s="19" t="s">
        <v>132</v>
      </c>
      <c r="L24" s="19" t="s">
        <v>134</v>
      </c>
    </row>
    <row r="25" spans="1:12" s="1" customFormat="1">
      <c r="A25" s="15"/>
      <c r="B25" s="11" t="s">
        <v>192</v>
      </c>
      <c r="C25" s="11" t="s">
        <v>45</v>
      </c>
      <c r="D25" s="9" t="s">
        <v>193</v>
      </c>
      <c r="E25" s="16" t="s">
        <v>128</v>
      </c>
      <c r="F25" s="17"/>
      <c r="G25" s="17" t="s">
        <v>1074</v>
      </c>
      <c r="H25" s="18"/>
      <c r="I25" s="17"/>
      <c r="J25" s="19" t="s">
        <v>133</v>
      </c>
      <c r="K25" s="19" t="s">
        <v>132</v>
      </c>
      <c r="L25" s="19" t="s">
        <v>134</v>
      </c>
    </row>
    <row r="26" spans="1:12" s="1" customFormat="1">
      <c r="A26" s="15"/>
      <c r="B26" s="91" t="s">
        <v>1383</v>
      </c>
      <c r="C26" s="22" t="s">
        <v>45</v>
      </c>
      <c r="D26" s="9" t="s">
        <v>348</v>
      </c>
      <c r="E26" s="16" t="s">
        <v>128</v>
      </c>
      <c r="F26" s="17"/>
      <c r="G26" s="92" t="s">
        <v>1426</v>
      </c>
      <c r="H26" s="18"/>
      <c r="I26" s="17"/>
      <c r="J26" s="19" t="s">
        <v>133</v>
      </c>
      <c r="K26" s="19" t="s">
        <v>203</v>
      </c>
      <c r="L26" s="19" t="s">
        <v>134</v>
      </c>
    </row>
    <row r="27" spans="1:12" s="1" customFormat="1">
      <c r="A27" s="15"/>
      <c r="B27" s="91" t="s">
        <v>296</v>
      </c>
      <c r="C27" s="11" t="s">
        <v>45</v>
      </c>
      <c r="D27" s="9" t="s">
        <v>759</v>
      </c>
      <c r="E27" s="16" t="s">
        <v>128</v>
      </c>
      <c r="F27" s="17"/>
      <c r="G27" s="92" t="s">
        <v>1427</v>
      </c>
      <c r="H27" s="18"/>
      <c r="I27" s="17"/>
      <c r="J27" s="19" t="s">
        <v>133</v>
      </c>
      <c r="K27" s="19" t="s">
        <v>204</v>
      </c>
      <c r="L27" s="19" t="s">
        <v>134</v>
      </c>
    </row>
    <row r="28" spans="1:12" s="1" customFormat="1">
      <c r="A28" s="15"/>
      <c r="B28" s="91" t="s">
        <v>297</v>
      </c>
      <c r="C28" s="11" t="s">
        <v>45</v>
      </c>
      <c r="D28" s="9" t="s">
        <v>160</v>
      </c>
      <c r="E28" s="16" t="s">
        <v>128</v>
      </c>
      <c r="F28" s="17"/>
      <c r="G28" s="92" t="s">
        <v>1428</v>
      </c>
      <c r="H28" s="18"/>
      <c r="I28" s="17"/>
      <c r="J28" s="19" t="s">
        <v>133</v>
      </c>
      <c r="K28" s="19" t="s">
        <v>204</v>
      </c>
      <c r="L28" s="19" t="s">
        <v>134</v>
      </c>
    </row>
    <row r="29" spans="1:12" s="1" customFormat="1">
      <c r="A29" s="15"/>
      <c r="B29" s="11" t="s">
        <v>763</v>
      </c>
      <c r="C29" s="11" t="s">
        <v>45</v>
      </c>
      <c r="D29" s="9" t="s">
        <v>181</v>
      </c>
      <c r="E29" s="16" t="s">
        <v>128</v>
      </c>
      <c r="F29" s="17"/>
      <c r="G29" s="9" t="s">
        <v>1076</v>
      </c>
      <c r="H29" s="18"/>
      <c r="I29" s="17"/>
      <c r="J29" s="19" t="s">
        <v>133</v>
      </c>
      <c r="K29" s="19" t="s">
        <v>44</v>
      </c>
      <c r="L29" s="19" t="s">
        <v>67</v>
      </c>
    </row>
    <row r="30" spans="1:12" s="1" customFormat="1">
      <c r="A30" s="15"/>
      <c r="B30" s="11" t="s">
        <v>805</v>
      </c>
      <c r="C30" s="11" t="s">
        <v>45</v>
      </c>
      <c r="D30" s="9" t="s">
        <v>184</v>
      </c>
      <c r="E30" s="16" t="s">
        <v>128</v>
      </c>
      <c r="F30" s="17"/>
      <c r="G30" s="17" t="s">
        <v>1110</v>
      </c>
      <c r="H30" s="18"/>
      <c r="I30" s="17"/>
      <c r="J30" s="19" t="s">
        <v>133</v>
      </c>
      <c r="K30" s="19" t="s">
        <v>44</v>
      </c>
      <c r="L30" s="19" t="s">
        <v>67</v>
      </c>
    </row>
    <row r="31" spans="1:12" s="1" customFormat="1">
      <c r="A31" s="15"/>
      <c r="B31" s="91" t="s">
        <v>299</v>
      </c>
      <c r="C31" s="11" t="s">
        <v>45</v>
      </c>
      <c r="D31" s="9" t="s">
        <v>1056</v>
      </c>
      <c r="E31" s="16" t="s">
        <v>128</v>
      </c>
      <c r="F31" s="17"/>
      <c r="G31" s="92" t="s">
        <v>1429</v>
      </c>
      <c r="H31" s="18"/>
      <c r="I31" s="17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91" t="s">
        <v>298</v>
      </c>
      <c r="C32" s="11" t="s">
        <v>45</v>
      </c>
      <c r="D32" s="9" t="s">
        <v>1055</v>
      </c>
      <c r="E32" s="16" t="s">
        <v>128</v>
      </c>
      <c r="F32" s="17"/>
      <c r="G32" s="92" t="s">
        <v>1430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91" t="s">
        <v>300</v>
      </c>
      <c r="C33" s="11" t="s">
        <v>45</v>
      </c>
      <c r="D33" s="9" t="s">
        <v>163</v>
      </c>
      <c r="E33" s="16" t="s">
        <v>128</v>
      </c>
      <c r="F33" s="17"/>
      <c r="G33" s="92" t="s">
        <v>1431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91" t="s">
        <v>301</v>
      </c>
      <c r="C34" s="11" t="s">
        <v>45</v>
      </c>
      <c r="D34" s="9" t="s">
        <v>164</v>
      </c>
      <c r="E34" s="16" t="s">
        <v>128</v>
      </c>
      <c r="F34" s="17"/>
      <c r="G34" s="92" t="s">
        <v>1432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91" t="s">
        <v>302</v>
      </c>
      <c r="C35" s="11" t="s">
        <v>45</v>
      </c>
      <c r="D35" s="9" t="s">
        <v>165</v>
      </c>
      <c r="E35" s="16" t="s">
        <v>128</v>
      </c>
      <c r="F35" s="17"/>
      <c r="G35" s="92" t="s">
        <v>1433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91" t="s">
        <v>303</v>
      </c>
      <c r="C36" s="11" t="s">
        <v>45</v>
      </c>
      <c r="D36" s="9" t="s">
        <v>166</v>
      </c>
      <c r="E36" s="16" t="s">
        <v>128</v>
      </c>
      <c r="F36" s="17"/>
      <c r="G36" s="92" t="s">
        <v>1434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91" t="s">
        <v>304</v>
      </c>
      <c r="C37" s="11" t="s">
        <v>45</v>
      </c>
      <c r="D37" s="9" t="s">
        <v>1260</v>
      </c>
      <c r="E37" s="16" t="s">
        <v>128</v>
      </c>
      <c r="F37" s="17"/>
      <c r="G37" s="92" t="s">
        <v>1435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91" t="s">
        <v>305</v>
      </c>
      <c r="C38" s="11" t="s">
        <v>45</v>
      </c>
      <c r="D38" s="9" t="s">
        <v>1261</v>
      </c>
      <c r="E38" s="16" t="s">
        <v>128</v>
      </c>
      <c r="F38" s="17"/>
      <c r="G38" s="92" t="s">
        <v>1436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91" t="s">
        <v>306</v>
      </c>
      <c r="C39" s="11" t="s">
        <v>45</v>
      </c>
      <c r="D39" s="9" t="s">
        <v>167</v>
      </c>
      <c r="E39" s="16" t="s">
        <v>128</v>
      </c>
      <c r="F39" s="17"/>
      <c r="G39" s="92" t="s">
        <v>1437</v>
      </c>
      <c r="H39" s="18"/>
      <c r="I39" s="17"/>
      <c r="J39" s="19" t="s">
        <v>133</v>
      </c>
      <c r="K39" s="19" t="s">
        <v>202</v>
      </c>
      <c r="L39" s="19" t="s">
        <v>67</v>
      </c>
    </row>
    <row r="40" spans="1:12" s="1" customFormat="1">
      <c r="A40" s="15"/>
      <c r="B40" s="11" t="s">
        <v>809</v>
      </c>
      <c r="C40" s="11" t="s">
        <v>45</v>
      </c>
      <c r="D40" s="9" t="s">
        <v>175</v>
      </c>
      <c r="E40" s="16" t="s">
        <v>128</v>
      </c>
      <c r="F40" s="17"/>
      <c r="G40" s="17" t="s">
        <v>1120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91" t="s">
        <v>1490</v>
      </c>
      <c r="C41" s="11" t="s">
        <v>45</v>
      </c>
      <c r="D41" s="9" t="s">
        <v>168</v>
      </c>
      <c r="E41" s="16" t="s">
        <v>128</v>
      </c>
      <c r="F41" s="17"/>
      <c r="G41" s="92" t="s">
        <v>1491</v>
      </c>
      <c r="H41" s="18"/>
      <c r="I41" s="17"/>
      <c r="J41" s="19" t="s">
        <v>133</v>
      </c>
      <c r="K41" s="19" t="s">
        <v>202</v>
      </c>
      <c r="L41" s="19" t="s">
        <v>67</v>
      </c>
    </row>
    <row r="42" spans="1:12" s="1" customFormat="1">
      <c r="A42" s="15"/>
      <c r="B42" s="11" t="s">
        <v>810</v>
      </c>
      <c r="C42" s="11" t="s">
        <v>45</v>
      </c>
      <c r="D42" s="9" t="s">
        <v>176</v>
      </c>
      <c r="E42" s="16" t="s">
        <v>128</v>
      </c>
      <c r="F42" s="17"/>
      <c r="G42" s="17" t="s">
        <v>1121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1213</v>
      </c>
      <c r="C43" s="11" t="s">
        <v>45</v>
      </c>
      <c r="D43" s="9" t="s">
        <v>178</v>
      </c>
      <c r="E43" s="16" t="s">
        <v>128</v>
      </c>
      <c r="F43" s="17"/>
      <c r="G43" s="17" t="s">
        <v>1215</v>
      </c>
      <c r="H43" s="18"/>
      <c r="I43" s="17"/>
      <c r="J43" s="19" t="s">
        <v>133</v>
      </c>
      <c r="K43" s="19" t="s">
        <v>202</v>
      </c>
      <c r="L43" s="19" t="s">
        <v>67</v>
      </c>
    </row>
    <row r="44" spans="1:12" s="1" customFormat="1">
      <c r="A44" s="15"/>
      <c r="B44" s="11" t="s">
        <v>221</v>
      </c>
      <c r="C44" s="11" t="s">
        <v>45</v>
      </c>
      <c r="D44" s="9" t="s">
        <v>177</v>
      </c>
      <c r="E44" s="16" t="s">
        <v>128</v>
      </c>
      <c r="F44" s="17"/>
      <c r="G44" s="17" t="s">
        <v>1256</v>
      </c>
      <c r="H44" s="18"/>
      <c r="I44" s="17"/>
      <c r="J44" s="19" t="s">
        <v>133</v>
      </c>
      <c r="K44" s="19" t="s">
        <v>204</v>
      </c>
      <c r="L44" s="19" t="s">
        <v>67</v>
      </c>
    </row>
    <row r="45" spans="1:12" s="1" customFormat="1">
      <c r="A45" s="15"/>
      <c r="B45" s="11" t="s">
        <v>1212</v>
      </c>
      <c r="C45" s="11" t="s">
        <v>45</v>
      </c>
      <c r="D45" s="9" t="s">
        <v>180</v>
      </c>
      <c r="E45" s="16" t="s">
        <v>128</v>
      </c>
      <c r="F45" s="17"/>
      <c r="G45" s="17" t="s">
        <v>1214</v>
      </c>
      <c r="H45" s="18"/>
      <c r="I45" s="17"/>
      <c r="J45" s="19" t="s">
        <v>133</v>
      </c>
      <c r="K45" s="19" t="s">
        <v>202</v>
      </c>
      <c r="L45" s="19" t="s">
        <v>67</v>
      </c>
    </row>
    <row r="46" spans="1:12" s="1" customFormat="1">
      <c r="A46" s="15"/>
      <c r="B46" s="11" t="s">
        <v>222</v>
      </c>
      <c r="C46" s="11" t="s">
        <v>45</v>
      </c>
      <c r="D46" s="9" t="s">
        <v>179</v>
      </c>
      <c r="E46" s="16" t="s">
        <v>128</v>
      </c>
      <c r="F46" s="17"/>
      <c r="G46" s="17" t="s">
        <v>1123</v>
      </c>
      <c r="H46" s="18"/>
      <c r="I46" s="17"/>
      <c r="J46" s="19" t="s">
        <v>133</v>
      </c>
      <c r="K46" s="19" t="s">
        <v>204</v>
      </c>
      <c r="L46" s="19" t="s">
        <v>67</v>
      </c>
    </row>
    <row r="47" spans="1:12" s="1" customFormat="1">
      <c r="A47" s="15"/>
      <c r="B47" s="91" t="s">
        <v>642</v>
      </c>
      <c r="C47" s="11" t="s">
        <v>45</v>
      </c>
      <c r="D47" s="9" t="s">
        <v>643</v>
      </c>
      <c r="E47" s="16" t="s">
        <v>128</v>
      </c>
      <c r="F47" s="17"/>
      <c r="G47" s="92" t="s">
        <v>1438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91" t="s">
        <v>644</v>
      </c>
      <c r="C48" s="11" t="s">
        <v>45</v>
      </c>
      <c r="D48" s="9" t="s">
        <v>813</v>
      </c>
      <c r="E48" s="16" t="s">
        <v>128</v>
      </c>
      <c r="F48" s="17"/>
      <c r="G48" s="92" t="s">
        <v>1439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91" t="s">
        <v>1468</v>
      </c>
      <c r="C49" s="11" t="s">
        <v>45</v>
      </c>
      <c r="D49" s="9" t="s">
        <v>500</v>
      </c>
      <c r="E49" s="16" t="s">
        <v>128</v>
      </c>
      <c r="F49" s="17"/>
      <c r="G49" s="92" t="s">
        <v>1440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205</v>
      </c>
      <c r="C50" s="11" t="s">
        <v>45</v>
      </c>
      <c r="D50" s="9" t="s">
        <v>147</v>
      </c>
      <c r="E50" s="16" t="s">
        <v>128</v>
      </c>
      <c r="F50" s="17"/>
      <c r="G50" s="17" t="s">
        <v>1126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206</v>
      </c>
      <c r="C51" s="11" t="s">
        <v>280</v>
      </c>
      <c r="D51" s="9" t="s">
        <v>820</v>
      </c>
      <c r="E51" s="16" t="s">
        <v>128</v>
      </c>
      <c r="F51" s="17"/>
      <c r="G51" s="17" t="s">
        <v>1081</v>
      </c>
      <c r="H51" s="18"/>
      <c r="I51" s="17"/>
      <c r="J51" s="19" t="s">
        <v>133</v>
      </c>
      <c r="K51" s="19" t="s">
        <v>202</v>
      </c>
      <c r="L51" s="19" t="s">
        <v>67</v>
      </c>
    </row>
    <row r="52" spans="1:12" s="1" customFormat="1">
      <c r="A52" s="15"/>
      <c r="B52" s="91" t="s">
        <v>286</v>
      </c>
      <c r="C52" s="11" t="s">
        <v>45</v>
      </c>
      <c r="D52" s="9" t="s">
        <v>1018</v>
      </c>
      <c r="E52" s="16" t="s">
        <v>128</v>
      </c>
      <c r="F52" s="17"/>
      <c r="G52" s="92" t="s">
        <v>1441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91" t="s">
        <v>287</v>
      </c>
      <c r="C53" s="11" t="s">
        <v>45</v>
      </c>
      <c r="D53" s="9" t="s">
        <v>1019</v>
      </c>
      <c r="E53" s="16" t="s">
        <v>128</v>
      </c>
      <c r="F53" s="17"/>
      <c r="G53" s="92" t="s">
        <v>1442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91" t="s">
        <v>288</v>
      </c>
      <c r="C54" s="11" t="s">
        <v>45</v>
      </c>
      <c r="D54" s="9" t="s">
        <v>1020</v>
      </c>
      <c r="E54" s="16" t="s">
        <v>128</v>
      </c>
      <c r="F54" s="17"/>
      <c r="G54" s="92" t="s">
        <v>1443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91" t="s">
        <v>289</v>
      </c>
      <c r="C55" s="11" t="s">
        <v>45</v>
      </c>
      <c r="D55" s="9" t="s">
        <v>1021</v>
      </c>
      <c r="E55" s="16" t="s">
        <v>128</v>
      </c>
      <c r="F55" s="17"/>
      <c r="G55" s="92" t="s">
        <v>1444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91" t="s">
        <v>290</v>
      </c>
      <c r="C56" s="11" t="s">
        <v>45</v>
      </c>
      <c r="D56" s="9" t="s">
        <v>1042</v>
      </c>
      <c r="E56" s="16" t="s">
        <v>128</v>
      </c>
      <c r="F56" s="17"/>
      <c r="G56" s="92" t="s">
        <v>1445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1049</v>
      </c>
      <c r="C57" s="11" t="s">
        <v>45</v>
      </c>
      <c r="D57" s="9" t="s">
        <v>153</v>
      </c>
      <c r="E57" s="16" t="s">
        <v>128</v>
      </c>
      <c r="F57" s="17"/>
      <c r="G57" s="17" t="s">
        <v>1262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823</v>
      </c>
      <c r="C58" s="11" t="s">
        <v>280</v>
      </c>
      <c r="D58" s="9" t="s">
        <v>1474</v>
      </c>
      <c r="E58" s="16" t="s">
        <v>128</v>
      </c>
      <c r="F58" s="17"/>
      <c r="G58" s="17" t="s">
        <v>1082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91" t="s">
        <v>291</v>
      </c>
      <c r="C59" s="11" t="s">
        <v>45</v>
      </c>
      <c r="D59" s="9" t="s">
        <v>1026</v>
      </c>
      <c r="E59" s="16" t="s">
        <v>128</v>
      </c>
      <c r="F59" s="17"/>
      <c r="G59" s="92" t="s">
        <v>1446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91" t="s">
        <v>292</v>
      </c>
      <c r="C60" s="11" t="s">
        <v>45</v>
      </c>
      <c r="D60" s="9" t="s">
        <v>1027</v>
      </c>
      <c r="E60" s="16" t="s">
        <v>128</v>
      </c>
      <c r="F60" s="17"/>
      <c r="G60" s="92" t="s">
        <v>1447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91" t="s">
        <v>293</v>
      </c>
      <c r="C61" s="11" t="s">
        <v>45</v>
      </c>
      <c r="D61" s="9" t="s">
        <v>1028</v>
      </c>
      <c r="E61" s="16" t="s">
        <v>128</v>
      </c>
      <c r="F61" s="17"/>
      <c r="G61" s="92" t="s">
        <v>1448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91" t="s">
        <v>294</v>
      </c>
      <c r="C62" s="11" t="s">
        <v>45</v>
      </c>
      <c r="D62" s="9" t="s">
        <v>1029</v>
      </c>
      <c r="E62" s="16" t="s">
        <v>128</v>
      </c>
      <c r="F62" s="17"/>
      <c r="G62" s="92" t="s">
        <v>1449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91" t="s">
        <v>295</v>
      </c>
      <c r="C63" s="11" t="s">
        <v>45</v>
      </c>
      <c r="D63" s="9" t="s">
        <v>1043</v>
      </c>
      <c r="E63" s="16" t="s">
        <v>128</v>
      </c>
      <c r="F63" s="17"/>
      <c r="G63" s="92" t="s">
        <v>1450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1084</v>
      </c>
      <c r="C64" s="11" t="s">
        <v>280</v>
      </c>
      <c r="D64" s="9" t="s">
        <v>1086</v>
      </c>
      <c r="E64" s="16" t="s">
        <v>128</v>
      </c>
      <c r="F64" s="17"/>
      <c r="G64" s="17" t="s">
        <v>1087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1083</v>
      </c>
      <c r="C65" s="11" t="s">
        <v>280</v>
      </c>
      <c r="D65" s="9" t="s">
        <v>841</v>
      </c>
      <c r="E65" s="16" t="s">
        <v>128</v>
      </c>
      <c r="F65" s="17"/>
      <c r="G65" s="17" t="s">
        <v>1866</v>
      </c>
      <c r="H65" s="18"/>
      <c r="I65" s="17"/>
      <c r="J65" s="19" t="s">
        <v>133</v>
      </c>
      <c r="K65" s="19" t="s">
        <v>202</v>
      </c>
      <c r="L65" s="19" t="s">
        <v>67</v>
      </c>
    </row>
    <row r="66" spans="1:12" s="1" customFormat="1">
      <c r="A66" s="15"/>
      <c r="B66" s="17" t="s">
        <v>1469</v>
      </c>
      <c r="C66" s="11" t="s">
        <v>45</v>
      </c>
      <c r="D66" s="9" t="s">
        <v>1038</v>
      </c>
      <c r="E66" s="16" t="s">
        <v>128</v>
      </c>
      <c r="F66" s="17"/>
      <c r="G66" s="92" t="s">
        <v>1451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7" t="s">
        <v>1470</v>
      </c>
      <c r="C67" s="11" t="s">
        <v>45</v>
      </c>
      <c r="D67" s="9" t="s">
        <v>1039</v>
      </c>
      <c r="E67" s="16" t="s">
        <v>128</v>
      </c>
      <c r="F67" s="17"/>
      <c r="G67" s="92" t="s">
        <v>1452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7" t="s">
        <v>1471</v>
      </c>
      <c r="C68" s="11" t="s">
        <v>45</v>
      </c>
      <c r="D68" s="9" t="s">
        <v>1040</v>
      </c>
      <c r="E68" s="16" t="s">
        <v>128</v>
      </c>
      <c r="F68" s="17"/>
      <c r="G68" s="92" t="s">
        <v>1453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7" t="s">
        <v>1472</v>
      </c>
      <c r="C69" s="11" t="s">
        <v>45</v>
      </c>
      <c r="D69" s="9" t="s">
        <v>1041</v>
      </c>
      <c r="E69" s="16" t="s">
        <v>128</v>
      </c>
      <c r="F69" s="17"/>
      <c r="G69" s="92" t="s">
        <v>1454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7" t="s">
        <v>1473</v>
      </c>
      <c r="C70" s="11" t="s">
        <v>45</v>
      </c>
      <c r="D70" s="9" t="s">
        <v>1044</v>
      </c>
      <c r="E70" s="16" t="s">
        <v>128</v>
      </c>
      <c r="F70" s="17"/>
      <c r="G70" s="92" t="s">
        <v>1455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816</v>
      </c>
      <c r="C71" s="11" t="s">
        <v>280</v>
      </c>
      <c r="D71" s="9" t="s">
        <v>839</v>
      </c>
      <c r="E71" s="16" t="s">
        <v>128</v>
      </c>
      <c r="F71" s="17"/>
      <c r="G71" s="17" t="s">
        <v>1088</v>
      </c>
      <c r="H71" s="18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817</v>
      </c>
      <c r="C72" s="11" t="s">
        <v>45</v>
      </c>
      <c r="D72" s="9" t="s">
        <v>658</v>
      </c>
      <c r="E72" s="16" t="s">
        <v>128</v>
      </c>
      <c r="F72" s="17"/>
      <c r="G72" s="17" t="s">
        <v>1090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818</v>
      </c>
      <c r="C73" s="11" t="s">
        <v>280</v>
      </c>
      <c r="D73" s="9" t="s">
        <v>842</v>
      </c>
      <c r="E73" s="16" t="s">
        <v>128</v>
      </c>
      <c r="F73" s="17"/>
      <c r="G73" s="17" t="s">
        <v>1091</v>
      </c>
      <c r="H73" s="18"/>
      <c r="I73" s="17"/>
      <c r="J73" s="19" t="s">
        <v>133</v>
      </c>
      <c r="K73" s="19" t="s">
        <v>202</v>
      </c>
      <c r="L73" s="19" t="s">
        <v>67</v>
      </c>
    </row>
    <row r="74" spans="1:12" s="1" customFormat="1">
      <c r="A74" s="15"/>
      <c r="B74" s="11" t="s">
        <v>819</v>
      </c>
      <c r="C74" s="11" t="s">
        <v>45</v>
      </c>
      <c r="D74" s="9" t="s">
        <v>660</v>
      </c>
      <c r="E74" s="16" t="s">
        <v>128</v>
      </c>
      <c r="F74" s="17"/>
      <c r="G74" s="17" t="s">
        <v>1093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89" t="s">
        <v>1403</v>
      </c>
      <c r="C75" s="11" t="s">
        <v>280</v>
      </c>
      <c r="D75" s="9" t="s">
        <v>505</v>
      </c>
      <c r="E75" s="16" t="s">
        <v>128</v>
      </c>
      <c r="F75" s="17"/>
      <c r="G75" s="91" t="s">
        <v>1414</v>
      </c>
      <c r="H75" s="18"/>
      <c r="I75" s="17"/>
      <c r="J75" s="19" t="s">
        <v>133</v>
      </c>
      <c r="K75" s="19" t="s">
        <v>203</v>
      </c>
      <c r="L75" s="19" t="s">
        <v>67</v>
      </c>
    </row>
    <row r="76" spans="1:12" s="1" customFormat="1">
      <c r="A76" s="15"/>
      <c r="B76" s="11" t="s">
        <v>1570</v>
      </c>
      <c r="C76" s="11" t="s">
        <v>45</v>
      </c>
      <c r="D76" s="9" t="s">
        <v>1526</v>
      </c>
      <c r="E76" s="16" t="s">
        <v>128</v>
      </c>
      <c r="F76" s="72"/>
      <c r="G76" s="17" t="s">
        <v>1571</v>
      </c>
      <c r="H76" s="18"/>
      <c r="I76" s="17"/>
      <c r="J76" s="19" t="s">
        <v>133</v>
      </c>
      <c r="K76" s="19" t="s">
        <v>903</v>
      </c>
      <c r="L76" s="19" t="s">
        <v>67</v>
      </c>
    </row>
    <row r="77" spans="1:12" s="1" customFormat="1">
      <c r="A77" s="15"/>
      <c r="B77" s="11" t="s">
        <v>1527</v>
      </c>
      <c r="C77" s="11" t="s">
        <v>45</v>
      </c>
      <c r="D77" s="9" t="s">
        <v>1528</v>
      </c>
      <c r="E77" s="16" t="s">
        <v>128</v>
      </c>
      <c r="F77" s="72"/>
      <c r="G77" s="17" t="s">
        <v>1572</v>
      </c>
      <c r="H77" s="18"/>
      <c r="I77" s="17"/>
      <c r="J77" s="19" t="s">
        <v>133</v>
      </c>
      <c r="K77" s="19" t="s">
        <v>903</v>
      </c>
      <c r="L77" s="19" t="s">
        <v>67</v>
      </c>
    </row>
    <row r="78" spans="1:12" s="1" customFormat="1">
      <c r="A78" s="15"/>
      <c r="B78" s="11" t="s">
        <v>1529</v>
      </c>
      <c r="C78" s="11" t="s">
        <v>45</v>
      </c>
      <c r="D78" s="9" t="s">
        <v>1530</v>
      </c>
      <c r="E78" s="16" t="s">
        <v>128</v>
      </c>
      <c r="F78" s="72"/>
      <c r="G78" s="17" t="s">
        <v>1573</v>
      </c>
      <c r="H78" s="18"/>
      <c r="I78" s="17"/>
      <c r="J78" s="19" t="s">
        <v>133</v>
      </c>
      <c r="K78" s="19" t="s">
        <v>903</v>
      </c>
      <c r="L78" s="19" t="s">
        <v>67</v>
      </c>
    </row>
    <row r="79" spans="1:12" s="1" customFormat="1">
      <c r="A79" s="15"/>
      <c r="B79" s="11" t="s">
        <v>1531</v>
      </c>
      <c r="C79" s="11" t="s">
        <v>45</v>
      </c>
      <c r="D79" s="9" t="s">
        <v>1532</v>
      </c>
      <c r="E79" s="16" t="s">
        <v>128</v>
      </c>
      <c r="F79" s="72"/>
      <c r="G79" s="17" t="s">
        <v>1574</v>
      </c>
      <c r="H79" s="18"/>
      <c r="I79" s="17"/>
      <c r="J79" s="19" t="s">
        <v>133</v>
      </c>
      <c r="K79" s="19" t="s">
        <v>903</v>
      </c>
      <c r="L79" s="19" t="s">
        <v>67</v>
      </c>
    </row>
    <row r="80" spans="1:12" s="1" customFormat="1">
      <c r="A80" s="15"/>
      <c r="B80" s="11" t="s">
        <v>1533</v>
      </c>
      <c r="C80" s="11" t="s">
        <v>45</v>
      </c>
      <c r="D80" s="9" t="s">
        <v>1534</v>
      </c>
      <c r="E80" s="16" t="s">
        <v>128</v>
      </c>
      <c r="F80" s="72"/>
      <c r="G80" s="17" t="s">
        <v>1575</v>
      </c>
      <c r="H80" s="18"/>
      <c r="I80" s="17"/>
      <c r="J80" s="19" t="s">
        <v>133</v>
      </c>
      <c r="K80" s="19" t="s">
        <v>903</v>
      </c>
      <c r="L80" s="19" t="s">
        <v>67</v>
      </c>
    </row>
    <row r="81" spans="1:12" s="1" customFormat="1">
      <c r="A81" s="15"/>
      <c r="B81" s="89" t="s">
        <v>1404</v>
      </c>
      <c r="C81" s="11" t="s">
        <v>280</v>
      </c>
      <c r="D81" s="9" t="s">
        <v>506</v>
      </c>
      <c r="E81" s="16" t="s">
        <v>128</v>
      </c>
      <c r="F81" s="17"/>
      <c r="G81" s="91" t="s">
        <v>1415</v>
      </c>
      <c r="H81" s="18"/>
      <c r="I81" s="17"/>
      <c r="J81" s="19" t="s">
        <v>133</v>
      </c>
      <c r="K81" s="19" t="s">
        <v>203</v>
      </c>
      <c r="L81" s="19" t="s">
        <v>67</v>
      </c>
    </row>
    <row r="82" spans="1:12" s="1" customFormat="1">
      <c r="A82" s="15"/>
      <c r="B82" s="11" t="s">
        <v>1549</v>
      </c>
      <c r="C82" s="11" t="s">
        <v>45</v>
      </c>
      <c r="D82" s="9" t="s">
        <v>1540</v>
      </c>
      <c r="E82" s="16" t="s">
        <v>128</v>
      </c>
      <c r="F82" s="72"/>
      <c r="G82" s="17" t="s">
        <v>1576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1541</v>
      </c>
      <c r="C83" s="11" t="s">
        <v>45</v>
      </c>
      <c r="D83" s="9" t="s">
        <v>1542</v>
      </c>
      <c r="E83" s="16" t="s">
        <v>128</v>
      </c>
      <c r="F83" s="72"/>
      <c r="G83" s="17" t="s">
        <v>1577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11" t="s">
        <v>1543</v>
      </c>
      <c r="C84" s="11" t="s">
        <v>45</v>
      </c>
      <c r="D84" s="9" t="s">
        <v>1544</v>
      </c>
      <c r="E84" s="16" t="s">
        <v>128</v>
      </c>
      <c r="F84" s="72"/>
      <c r="G84" s="17" t="s">
        <v>1578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1545</v>
      </c>
      <c r="C85" s="11" t="s">
        <v>45</v>
      </c>
      <c r="D85" s="9" t="s">
        <v>1546</v>
      </c>
      <c r="E85" s="16" t="s">
        <v>128</v>
      </c>
      <c r="F85" s="72"/>
      <c r="G85" s="17" t="s">
        <v>1579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1547</v>
      </c>
      <c r="C86" s="11" t="s">
        <v>45</v>
      </c>
      <c r="D86" s="9" t="s">
        <v>1548</v>
      </c>
      <c r="E86" s="16" t="s">
        <v>128</v>
      </c>
      <c r="F86" s="72"/>
      <c r="G86" s="17" t="s">
        <v>1580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830</v>
      </c>
      <c r="C87" s="11" t="s">
        <v>45</v>
      </c>
      <c r="D87" s="9" t="s">
        <v>837</v>
      </c>
      <c r="E87" s="16" t="s">
        <v>128</v>
      </c>
      <c r="F87" s="17"/>
      <c r="G87" s="17" t="s">
        <v>1097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89" t="s">
        <v>1405</v>
      </c>
      <c r="C88" s="11" t="s">
        <v>280</v>
      </c>
      <c r="D88" s="9" t="s">
        <v>836</v>
      </c>
      <c r="E88" s="16" t="s">
        <v>128</v>
      </c>
      <c r="F88" s="17"/>
      <c r="G88" s="91" t="s">
        <v>1416</v>
      </c>
      <c r="H88" s="18"/>
      <c r="I88" s="17"/>
      <c r="J88" s="19" t="s">
        <v>133</v>
      </c>
      <c r="K88" s="19" t="s">
        <v>202</v>
      </c>
      <c r="L88" s="19" t="s">
        <v>67</v>
      </c>
    </row>
    <row r="89" spans="1:12" s="1" customFormat="1">
      <c r="A89" s="15"/>
      <c r="B89" s="95" t="s">
        <v>1564</v>
      </c>
      <c r="C89" s="95" t="s">
        <v>45</v>
      </c>
      <c r="D89" s="96" t="s">
        <v>1555</v>
      </c>
      <c r="E89" s="16" t="s">
        <v>128</v>
      </c>
      <c r="F89" s="72"/>
      <c r="G89" s="17" t="s">
        <v>1581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95" t="s">
        <v>1556</v>
      </c>
      <c r="C90" s="95" t="s">
        <v>45</v>
      </c>
      <c r="D90" s="96" t="s">
        <v>1557</v>
      </c>
      <c r="E90" s="16" t="s">
        <v>128</v>
      </c>
      <c r="F90" s="72"/>
      <c r="G90" s="17" t="s">
        <v>1582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95" t="s">
        <v>1558</v>
      </c>
      <c r="C91" s="95" t="s">
        <v>45</v>
      </c>
      <c r="D91" s="96" t="s">
        <v>1559</v>
      </c>
      <c r="E91" s="16" t="s">
        <v>128</v>
      </c>
      <c r="F91" s="72"/>
      <c r="G91" s="17" t="s">
        <v>1583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95" t="s">
        <v>1560</v>
      </c>
      <c r="C92" s="95" t="s">
        <v>45</v>
      </c>
      <c r="D92" s="96" t="s">
        <v>1561</v>
      </c>
      <c r="E92" s="16" t="s">
        <v>128</v>
      </c>
      <c r="F92" s="72"/>
      <c r="G92" s="17" t="s">
        <v>1584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95" t="s">
        <v>1562</v>
      </c>
      <c r="C93" s="95" t="s">
        <v>45</v>
      </c>
      <c r="D93" s="96" t="s">
        <v>1563</v>
      </c>
      <c r="E93" s="16" t="s">
        <v>128</v>
      </c>
      <c r="F93" s="72"/>
      <c r="G93" s="17" t="s">
        <v>1585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831</v>
      </c>
      <c r="C94" s="11" t="s">
        <v>45</v>
      </c>
      <c r="D94" s="9" t="s">
        <v>825</v>
      </c>
      <c r="E94" s="16" t="s">
        <v>128</v>
      </c>
      <c r="F94" s="17"/>
      <c r="G94" s="17" t="s">
        <v>1100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11" t="s">
        <v>1098</v>
      </c>
      <c r="C95" s="11" t="s">
        <v>280</v>
      </c>
      <c r="D95" s="9" t="s">
        <v>826</v>
      </c>
      <c r="E95" s="16" t="s">
        <v>128</v>
      </c>
      <c r="F95" s="17"/>
      <c r="G95" s="17" t="s">
        <v>1101</v>
      </c>
      <c r="H95" s="18"/>
      <c r="I95" s="17"/>
      <c r="J95" s="19" t="s">
        <v>133</v>
      </c>
      <c r="K95" s="19" t="s">
        <v>202</v>
      </c>
      <c r="L95" s="19" t="s">
        <v>67</v>
      </c>
    </row>
    <row r="96" spans="1:12" s="1" customFormat="1" ht="26.4">
      <c r="A96" s="15"/>
      <c r="B96" s="91" t="s">
        <v>1417</v>
      </c>
      <c r="C96" s="11" t="s">
        <v>280</v>
      </c>
      <c r="D96" s="9" t="s">
        <v>833</v>
      </c>
      <c r="E96" s="16" t="s">
        <v>128</v>
      </c>
      <c r="F96" s="17"/>
      <c r="G96" s="92" t="s">
        <v>1418</v>
      </c>
      <c r="H96" s="18"/>
      <c r="I96" s="17"/>
      <c r="J96" s="19" t="s">
        <v>133</v>
      </c>
      <c r="K96" s="19" t="s">
        <v>202</v>
      </c>
      <c r="L96" s="19" t="s">
        <v>67</v>
      </c>
    </row>
    <row r="97" spans="1:17" s="1" customFormat="1" ht="26.4">
      <c r="A97" s="15"/>
      <c r="B97" s="91" t="s">
        <v>1420</v>
      </c>
      <c r="C97" s="11" t="s">
        <v>280</v>
      </c>
      <c r="D97" s="9" t="s">
        <v>534</v>
      </c>
      <c r="E97" s="16" t="s">
        <v>128</v>
      </c>
      <c r="F97" s="17"/>
      <c r="G97" s="92" t="s">
        <v>1421</v>
      </c>
      <c r="H97" s="18"/>
      <c r="I97" s="17"/>
      <c r="J97" s="19" t="s">
        <v>133</v>
      </c>
      <c r="K97" s="19" t="s">
        <v>202</v>
      </c>
      <c r="L97" s="19" t="s">
        <v>67</v>
      </c>
    </row>
    <row r="98" spans="1:17" s="1" customFormat="1">
      <c r="A98" s="15"/>
      <c r="B98" s="11" t="s">
        <v>848</v>
      </c>
      <c r="C98" s="11" t="s">
        <v>45</v>
      </c>
      <c r="D98" s="9" t="s">
        <v>850</v>
      </c>
      <c r="E98" s="16" t="s">
        <v>128</v>
      </c>
      <c r="F98" s="17"/>
      <c r="G98" s="17" t="s">
        <v>1104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7" s="1" customFormat="1">
      <c r="A99" s="15"/>
      <c r="B99" s="11" t="s">
        <v>849</v>
      </c>
      <c r="C99" s="11" t="s">
        <v>45</v>
      </c>
      <c r="D99" s="9" t="s">
        <v>116</v>
      </c>
      <c r="E99" s="16" t="s">
        <v>128</v>
      </c>
      <c r="F99" s="17"/>
      <c r="G99" s="17" t="s">
        <v>1105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7" s="1" customFormat="1" ht="26.4">
      <c r="A100" s="15"/>
      <c r="B100" s="91" t="s">
        <v>1423</v>
      </c>
      <c r="C100" s="11" t="s">
        <v>1202</v>
      </c>
      <c r="D100" s="9" t="s">
        <v>502</v>
      </c>
      <c r="E100" s="16" t="s">
        <v>128</v>
      </c>
      <c r="F100" s="17"/>
      <c r="G100" s="92" t="s">
        <v>1424</v>
      </c>
      <c r="H100" s="18"/>
      <c r="I100" s="17"/>
      <c r="J100" s="19" t="s">
        <v>133</v>
      </c>
      <c r="K100" s="19" t="s">
        <v>202</v>
      </c>
      <c r="L100" s="19" t="s">
        <v>67</v>
      </c>
    </row>
    <row r="101" spans="1:17" s="1" customFormat="1">
      <c r="A101" s="15"/>
      <c r="B101" s="11" t="s">
        <v>856</v>
      </c>
      <c r="C101" s="11" t="s">
        <v>45</v>
      </c>
      <c r="D101" s="9" t="s">
        <v>857</v>
      </c>
      <c r="E101" s="16" t="s">
        <v>128</v>
      </c>
      <c r="F101" s="17"/>
      <c r="G101" s="17" t="s">
        <v>1106</v>
      </c>
      <c r="H101" s="18"/>
      <c r="I101" s="17"/>
      <c r="J101" s="19" t="s">
        <v>133</v>
      </c>
      <c r="K101" s="19" t="s">
        <v>903</v>
      </c>
      <c r="L101" s="19" t="s">
        <v>67</v>
      </c>
    </row>
    <row r="102" spans="1:17" s="1" customFormat="1">
      <c r="A102" s="15"/>
      <c r="B102" s="89" t="s">
        <v>1481</v>
      </c>
      <c r="C102" s="11" t="s">
        <v>45</v>
      </c>
      <c r="D102" s="9" t="s">
        <v>865</v>
      </c>
      <c r="E102" s="16" t="s">
        <v>128</v>
      </c>
      <c r="F102" s="17"/>
      <c r="G102" s="91" t="s">
        <v>1484</v>
      </c>
      <c r="H102" s="18"/>
      <c r="I102" s="17"/>
      <c r="J102" s="19" t="s">
        <v>133</v>
      </c>
      <c r="K102" s="19" t="s">
        <v>44</v>
      </c>
      <c r="L102" s="19" t="s">
        <v>67</v>
      </c>
    </row>
    <row r="103" spans="1:17" s="1" customFormat="1">
      <c r="A103" s="15"/>
      <c r="B103" s="89" t="s">
        <v>1482</v>
      </c>
      <c r="C103" s="11" t="s">
        <v>45</v>
      </c>
      <c r="D103" s="9" t="s">
        <v>866</v>
      </c>
      <c r="E103" s="16" t="s">
        <v>128</v>
      </c>
      <c r="F103" s="17"/>
      <c r="G103" s="91" t="s">
        <v>1485</v>
      </c>
      <c r="H103" s="18"/>
      <c r="I103" s="17"/>
      <c r="J103" s="19" t="s">
        <v>133</v>
      </c>
      <c r="K103" s="19" t="s">
        <v>44</v>
      </c>
      <c r="L103" s="19" t="s">
        <v>67</v>
      </c>
    </row>
    <row r="104" spans="1:17" s="1" customFormat="1">
      <c r="A104" s="15"/>
      <c r="B104" s="89" t="s">
        <v>1483</v>
      </c>
      <c r="C104" s="11" t="s">
        <v>45</v>
      </c>
      <c r="D104" s="9" t="s">
        <v>867</v>
      </c>
      <c r="E104" s="16" t="s">
        <v>128</v>
      </c>
      <c r="F104" s="17"/>
      <c r="G104" s="91" t="s">
        <v>1486</v>
      </c>
      <c r="H104" s="18"/>
      <c r="I104" s="17"/>
      <c r="J104" s="19" t="s">
        <v>133</v>
      </c>
      <c r="K104" s="19" t="s">
        <v>44</v>
      </c>
      <c r="L104" s="19" t="s">
        <v>67</v>
      </c>
    </row>
    <row r="105" spans="1:17" s="3" customFormat="1">
      <c r="B105" s="23" t="s">
        <v>47</v>
      </c>
      <c r="C105" s="24" t="s">
        <v>46</v>
      </c>
      <c r="D105" s="21" t="s">
        <v>48</v>
      </c>
      <c r="E105" s="44"/>
      <c r="F105" s="44" t="s">
        <v>282</v>
      </c>
      <c r="G105" s="44" t="s">
        <v>282</v>
      </c>
      <c r="H105" s="23" t="s">
        <v>282</v>
      </c>
      <c r="I105" s="23" t="s">
        <v>282</v>
      </c>
      <c r="J105" s="23"/>
      <c r="K105" s="23"/>
      <c r="L105" s="23"/>
      <c r="M105" s="23"/>
      <c r="N105" s="23"/>
      <c r="O105" s="23"/>
      <c r="P105" s="23"/>
      <c r="Q105" s="23"/>
    </row>
    <row r="106" spans="1:17" s="3" customFormat="1">
      <c r="B106" s="23" t="s">
        <v>49</v>
      </c>
      <c r="C106" s="24" t="s">
        <v>43</v>
      </c>
      <c r="D106" s="21" t="s">
        <v>50</v>
      </c>
      <c r="E106" s="44"/>
      <c r="F106" s="44" t="s">
        <v>282</v>
      </c>
      <c r="G106" s="44" t="s">
        <v>282</v>
      </c>
      <c r="H106" s="23" t="s">
        <v>282</v>
      </c>
      <c r="I106" s="23" t="s">
        <v>282</v>
      </c>
      <c r="J106" s="23"/>
      <c r="K106" s="23"/>
      <c r="L106" s="23"/>
      <c r="M106" s="23"/>
      <c r="N106" s="23"/>
      <c r="O106" s="23"/>
      <c r="P106" s="23"/>
      <c r="Q106" s="23"/>
    </row>
  </sheetData>
  <autoFilter ref="A13:Q106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86D6-F9D7-4C0F-BCFB-ABD3FCC202AF}">
  <sheetPr codeName="Sheet23"/>
  <dimension ref="A1:Q132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2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1370</v>
      </c>
      <c r="D5" s="10" t="s">
        <v>1979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1251</v>
      </c>
      <c r="D9" s="10" t="s">
        <v>1253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3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1068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3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61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62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64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3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65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66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95</v>
      </c>
      <c r="C23" s="11" t="s">
        <v>93</v>
      </c>
      <c r="D23" s="9" t="s">
        <v>114</v>
      </c>
      <c r="E23" s="16" t="s">
        <v>128</v>
      </c>
      <c r="F23" s="9" t="s">
        <v>1069</v>
      </c>
      <c r="G23" s="17" t="s">
        <v>129</v>
      </c>
      <c r="H23" s="18"/>
      <c r="I23" s="35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78</v>
      </c>
      <c r="C24" s="11" t="s">
        <v>93</v>
      </c>
      <c r="D24" s="9" t="s">
        <v>103</v>
      </c>
      <c r="E24" s="16" t="s">
        <v>128</v>
      </c>
      <c r="F24" s="17" t="s">
        <v>78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3" s="1" customFormat="1">
      <c r="B25" s="22" t="s">
        <v>86</v>
      </c>
      <c r="C25" s="11" t="s">
        <v>43</v>
      </c>
      <c r="D25" s="9" t="s">
        <v>108</v>
      </c>
      <c r="E25" s="16" t="s">
        <v>128</v>
      </c>
      <c r="F25" s="17" t="s">
        <v>86</v>
      </c>
      <c r="G25" s="17" t="s">
        <v>129</v>
      </c>
      <c r="H25" s="18"/>
      <c r="I25" s="19"/>
      <c r="J25" s="19" t="s">
        <v>131</v>
      </c>
      <c r="K25" s="19" t="s">
        <v>132</v>
      </c>
      <c r="L25" s="19" t="s">
        <v>44</v>
      </c>
    </row>
    <row r="26" spans="1:13" s="1" customFormat="1">
      <c r="A26" s="15"/>
      <c r="B26" s="11" t="s">
        <v>81</v>
      </c>
      <c r="C26" s="11" t="s">
        <v>43</v>
      </c>
      <c r="D26" s="9" t="s">
        <v>57</v>
      </c>
      <c r="E26" s="16" t="s">
        <v>128</v>
      </c>
      <c r="F26" s="17" t="s">
        <v>81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58</v>
      </c>
      <c r="C27" s="11" t="s">
        <v>43</v>
      </c>
      <c r="D27" s="9" t="s">
        <v>59</v>
      </c>
      <c r="E27" s="16" t="s">
        <v>128</v>
      </c>
      <c r="F27" s="9" t="s">
        <v>58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A28" s="15"/>
      <c r="B28" s="11" t="s">
        <v>82</v>
      </c>
      <c r="C28" s="11" t="s">
        <v>43</v>
      </c>
      <c r="D28" s="9" t="s">
        <v>105</v>
      </c>
      <c r="E28" s="16" t="s">
        <v>128</v>
      </c>
      <c r="F28" s="17" t="s">
        <v>82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3" s="1" customFormat="1">
      <c r="B29" s="22" t="s">
        <v>906</v>
      </c>
      <c r="C29" s="62" t="s">
        <v>43</v>
      </c>
      <c r="D29" s="9" t="s">
        <v>626</v>
      </c>
      <c r="E29" s="16" t="s">
        <v>128</v>
      </c>
      <c r="F29" s="9" t="s">
        <v>507</v>
      </c>
      <c r="G29" s="17" t="s">
        <v>129</v>
      </c>
      <c r="H29" s="18"/>
      <c r="I29" s="19"/>
      <c r="J29" s="19" t="s">
        <v>131</v>
      </c>
      <c r="K29" s="19" t="s">
        <v>132</v>
      </c>
      <c r="L29" s="19" t="s">
        <v>1976</v>
      </c>
    </row>
    <row r="30" spans="1:13" s="1" customFormat="1">
      <c r="B30" s="22" t="s">
        <v>1493</v>
      </c>
      <c r="C30" s="62" t="s">
        <v>1494</v>
      </c>
      <c r="D30" s="9" t="s">
        <v>1495</v>
      </c>
      <c r="E30" s="16" t="s">
        <v>128</v>
      </c>
      <c r="F30" s="9"/>
      <c r="G30" s="17" t="s">
        <v>1497</v>
      </c>
      <c r="H30" s="18"/>
      <c r="I30" s="19"/>
      <c r="J30" s="19" t="s">
        <v>131</v>
      </c>
      <c r="K30" s="19" t="s">
        <v>132</v>
      </c>
      <c r="L30" s="19" t="s">
        <v>1498</v>
      </c>
    </row>
    <row r="31" spans="1:13" s="15" customFormat="1">
      <c r="B31" s="22" t="s">
        <v>87</v>
      </c>
      <c r="C31" s="11" t="s">
        <v>43</v>
      </c>
      <c r="D31" s="9" t="s">
        <v>109</v>
      </c>
      <c r="E31" s="16" t="s">
        <v>128</v>
      </c>
      <c r="F31" s="17" t="s">
        <v>87</v>
      </c>
      <c r="G31" s="17" t="s">
        <v>129</v>
      </c>
      <c r="H31" s="18"/>
      <c r="I31" s="20"/>
      <c r="J31" s="19" t="s">
        <v>131</v>
      </c>
      <c r="K31" s="19" t="s">
        <v>132</v>
      </c>
      <c r="L31" s="19" t="s">
        <v>679</v>
      </c>
      <c r="M31" s="1"/>
    </row>
    <row r="32" spans="1:13" s="1" customFormat="1">
      <c r="A32" s="15"/>
      <c r="B32" s="11" t="s">
        <v>1072</v>
      </c>
      <c r="C32" s="11" t="s">
        <v>45</v>
      </c>
      <c r="D32" s="9" t="s">
        <v>146</v>
      </c>
      <c r="E32" s="16" t="s">
        <v>128</v>
      </c>
      <c r="F32" s="17"/>
      <c r="G32" s="17" t="s">
        <v>1073</v>
      </c>
      <c r="H32" s="18"/>
      <c r="I32" s="17"/>
      <c r="J32" s="19" t="s">
        <v>133</v>
      </c>
      <c r="K32" s="19" t="s">
        <v>132</v>
      </c>
      <c r="L32" s="19" t="s">
        <v>134</v>
      </c>
    </row>
    <row r="33" spans="1:12" s="1" customFormat="1">
      <c r="A33" s="15"/>
      <c r="B33" s="11" t="s">
        <v>189</v>
      </c>
      <c r="C33" s="11" t="s">
        <v>45</v>
      </c>
      <c r="D33" s="9" t="s">
        <v>190</v>
      </c>
      <c r="E33" s="16" t="s">
        <v>128</v>
      </c>
      <c r="F33" s="17"/>
      <c r="G33" s="17" t="s">
        <v>1259</v>
      </c>
      <c r="H33" s="18"/>
      <c r="I33" s="17"/>
      <c r="J33" s="19" t="s">
        <v>133</v>
      </c>
      <c r="K33" s="19" t="s">
        <v>132</v>
      </c>
      <c r="L33" s="19" t="s">
        <v>134</v>
      </c>
    </row>
    <row r="34" spans="1:12" s="1" customFormat="1">
      <c r="A34" s="15"/>
      <c r="B34" s="11" t="s">
        <v>192</v>
      </c>
      <c r="C34" s="11" t="s">
        <v>45</v>
      </c>
      <c r="D34" s="9" t="s">
        <v>193</v>
      </c>
      <c r="E34" s="16" t="s">
        <v>128</v>
      </c>
      <c r="F34" s="17"/>
      <c r="G34" s="17" t="s">
        <v>1074</v>
      </c>
      <c r="H34" s="18"/>
      <c r="I34" s="17"/>
      <c r="J34" s="19" t="s">
        <v>133</v>
      </c>
      <c r="K34" s="19" t="s">
        <v>132</v>
      </c>
      <c r="L34" s="19" t="s">
        <v>134</v>
      </c>
    </row>
    <row r="35" spans="1:12" s="1" customFormat="1">
      <c r="A35" s="15"/>
      <c r="B35" s="22" t="s">
        <v>255</v>
      </c>
      <c r="C35" s="22" t="s">
        <v>45</v>
      </c>
      <c r="D35" s="9" t="s">
        <v>348</v>
      </c>
      <c r="E35" s="16" t="s">
        <v>128</v>
      </c>
      <c r="F35" s="17"/>
      <c r="G35" s="17" t="s">
        <v>257</v>
      </c>
      <c r="H35" s="18"/>
      <c r="I35" s="17"/>
      <c r="J35" s="19" t="s">
        <v>133</v>
      </c>
      <c r="K35" s="19" t="s">
        <v>203</v>
      </c>
      <c r="L35" s="19" t="s">
        <v>134</v>
      </c>
    </row>
    <row r="36" spans="1:12" s="1" customFormat="1">
      <c r="A36" s="15"/>
      <c r="B36" s="11" t="s">
        <v>207</v>
      </c>
      <c r="C36" s="11" t="s">
        <v>45</v>
      </c>
      <c r="D36" s="9" t="s">
        <v>759</v>
      </c>
      <c r="E36" s="16" t="s">
        <v>128</v>
      </c>
      <c r="F36" s="72"/>
      <c r="G36" s="17" t="s">
        <v>320</v>
      </c>
      <c r="H36" s="18"/>
      <c r="I36" s="17"/>
      <c r="J36" s="19" t="s">
        <v>133</v>
      </c>
      <c r="K36" s="19" t="s">
        <v>204</v>
      </c>
      <c r="L36" s="19" t="s">
        <v>134</v>
      </c>
    </row>
    <row r="37" spans="1:12" s="1" customFormat="1">
      <c r="A37" s="15"/>
      <c r="B37" s="11" t="s">
        <v>208</v>
      </c>
      <c r="C37" s="11" t="s">
        <v>45</v>
      </c>
      <c r="D37" s="9" t="s">
        <v>160</v>
      </c>
      <c r="E37" s="16" t="s">
        <v>128</v>
      </c>
      <c r="F37" s="72"/>
      <c r="G37" s="17" t="s">
        <v>319</v>
      </c>
      <c r="H37" s="18"/>
      <c r="I37" s="17"/>
      <c r="J37" s="19" t="s">
        <v>133</v>
      </c>
      <c r="K37" s="19" t="s">
        <v>204</v>
      </c>
      <c r="L37" s="19" t="s">
        <v>134</v>
      </c>
    </row>
    <row r="38" spans="1:12" s="1" customFormat="1">
      <c r="A38" s="15"/>
      <c r="B38" s="11" t="s">
        <v>763</v>
      </c>
      <c r="C38" s="11" t="s">
        <v>45</v>
      </c>
      <c r="D38" s="9" t="s">
        <v>181</v>
      </c>
      <c r="E38" s="16" t="s">
        <v>128</v>
      </c>
      <c r="F38" s="72"/>
      <c r="G38" s="9" t="s">
        <v>1076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805</v>
      </c>
      <c r="C39" s="11" t="s">
        <v>45</v>
      </c>
      <c r="D39" s="9" t="s">
        <v>184</v>
      </c>
      <c r="E39" s="16" t="s">
        <v>128</v>
      </c>
      <c r="F39" s="72"/>
      <c r="G39" s="17" t="s">
        <v>1110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210</v>
      </c>
      <c r="C40" s="11" t="s">
        <v>45</v>
      </c>
      <c r="D40" s="9" t="s">
        <v>1056</v>
      </c>
      <c r="E40" s="16" t="s">
        <v>128</v>
      </c>
      <c r="F40" s="72"/>
      <c r="G40" s="17" t="s">
        <v>224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209</v>
      </c>
      <c r="C41" s="11" t="s">
        <v>45</v>
      </c>
      <c r="D41" s="9" t="s">
        <v>1055</v>
      </c>
      <c r="E41" s="16" t="s">
        <v>128</v>
      </c>
      <c r="F41" s="72"/>
      <c r="G41" s="17" t="s">
        <v>223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211</v>
      </c>
      <c r="C42" s="11" t="s">
        <v>45</v>
      </c>
      <c r="D42" s="9" t="s">
        <v>163</v>
      </c>
      <c r="E42" s="16" t="s">
        <v>128</v>
      </c>
      <c r="F42" s="72"/>
      <c r="G42" s="17" t="s">
        <v>225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212</v>
      </c>
      <c r="C43" s="11" t="s">
        <v>45</v>
      </c>
      <c r="D43" s="9" t="s">
        <v>164</v>
      </c>
      <c r="E43" s="16" t="s">
        <v>128</v>
      </c>
      <c r="F43" s="72"/>
      <c r="G43" s="17" t="s">
        <v>226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213</v>
      </c>
      <c r="C44" s="11" t="s">
        <v>45</v>
      </c>
      <c r="D44" s="9" t="s">
        <v>165</v>
      </c>
      <c r="E44" s="16" t="s">
        <v>128</v>
      </c>
      <c r="F44" s="72"/>
      <c r="G44" s="17" t="s">
        <v>1114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214</v>
      </c>
      <c r="C45" s="11" t="s">
        <v>45</v>
      </c>
      <c r="D45" s="9" t="s">
        <v>166</v>
      </c>
      <c r="E45" s="16" t="s">
        <v>128</v>
      </c>
      <c r="F45" s="72"/>
      <c r="G45" s="17" t="s">
        <v>1115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217</v>
      </c>
      <c r="C46" s="11" t="s">
        <v>45</v>
      </c>
      <c r="D46" s="9" t="s">
        <v>171</v>
      </c>
      <c r="E46" s="16" t="s">
        <v>128</v>
      </c>
      <c r="F46" s="72"/>
      <c r="G46" s="17" t="s">
        <v>1116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218</v>
      </c>
      <c r="C47" s="11" t="s">
        <v>45</v>
      </c>
      <c r="D47" s="9" t="s">
        <v>172</v>
      </c>
      <c r="E47" s="16" t="s">
        <v>128</v>
      </c>
      <c r="F47" s="72"/>
      <c r="G47" s="17" t="s">
        <v>1117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219</v>
      </c>
      <c r="C48" s="11" t="s">
        <v>45</v>
      </c>
      <c r="D48" s="9" t="s">
        <v>173</v>
      </c>
      <c r="E48" s="16" t="s">
        <v>128</v>
      </c>
      <c r="F48" s="72"/>
      <c r="G48" s="17" t="s">
        <v>1118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220</v>
      </c>
      <c r="C49" s="11" t="s">
        <v>45</v>
      </c>
      <c r="D49" s="9" t="s">
        <v>174</v>
      </c>
      <c r="E49" s="16" t="s">
        <v>128</v>
      </c>
      <c r="F49" s="72"/>
      <c r="G49" s="17" t="s">
        <v>1119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215</v>
      </c>
      <c r="C50" s="11" t="s">
        <v>45</v>
      </c>
      <c r="D50" s="9" t="s">
        <v>1260</v>
      </c>
      <c r="E50" s="16" t="s">
        <v>128</v>
      </c>
      <c r="F50" s="72"/>
      <c r="G50" s="17" t="s">
        <v>227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216</v>
      </c>
      <c r="C51" s="11" t="s">
        <v>45</v>
      </c>
      <c r="D51" s="9" t="s">
        <v>1261</v>
      </c>
      <c r="E51" s="16" t="s">
        <v>128</v>
      </c>
      <c r="F51" s="72"/>
      <c r="G51" s="17" t="s">
        <v>228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316</v>
      </c>
      <c r="C52" s="11" t="s">
        <v>45</v>
      </c>
      <c r="D52" s="9" t="s">
        <v>167</v>
      </c>
      <c r="E52" s="16" t="s">
        <v>128</v>
      </c>
      <c r="F52" s="72"/>
      <c r="G52" s="17" t="s">
        <v>772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809</v>
      </c>
      <c r="C53" s="11" t="s">
        <v>45</v>
      </c>
      <c r="D53" s="9" t="s">
        <v>175</v>
      </c>
      <c r="E53" s="16" t="s">
        <v>128</v>
      </c>
      <c r="F53" s="72"/>
      <c r="G53" s="17" t="s">
        <v>1120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317</v>
      </c>
      <c r="C54" s="11" t="s">
        <v>45</v>
      </c>
      <c r="D54" s="9" t="s">
        <v>168</v>
      </c>
      <c r="E54" s="16" t="s">
        <v>128</v>
      </c>
      <c r="F54" s="72"/>
      <c r="G54" s="17" t="s">
        <v>1489</v>
      </c>
      <c r="H54" s="18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11" t="s">
        <v>810</v>
      </c>
      <c r="C55" s="11" t="s">
        <v>45</v>
      </c>
      <c r="D55" s="9" t="s">
        <v>176</v>
      </c>
      <c r="E55" s="16" t="s">
        <v>128</v>
      </c>
      <c r="F55" s="72"/>
      <c r="G55" s="17" t="s">
        <v>1121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1213</v>
      </c>
      <c r="C56" s="11" t="s">
        <v>45</v>
      </c>
      <c r="D56" s="9" t="s">
        <v>178</v>
      </c>
      <c r="E56" s="16" t="s">
        <v>128</v>
      </c>
      <c r="F56" s="72"/>
      <c r="G56" s="17" t="s">
        <v>1215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221</v>
      </c>
      <c r="C57" s="11" t="s">
        <v>45</v>
      </c>
      <c r="D57" s="9" t="s">
        <v>177</v>
      </c>
      <c r="E57" s="16" t="s">
        <v>128</v>
      </c>
      <c r="F57" s="72"/>
      <c r="G57" s="17" t="s">
        <v>1256</v>
      </c>
      <c r="H57" s="18"/>
      <c r="I57" s="17"/>
      <c r="J57" s="19" t="s">
        <v>133</v>
      </c>
      <c r="K57" s="19" t="s">
        <v>204</v>
      </c>
      <c r="L57" s="19" t="s">
        <v>67</v>
      </c>
    </row>
    <row r="58" spans="1:12" s="1" customFormat="1">
      <c r="A58" s="15"/>
      <c r="B58" s="11" t="s">
        <v>1212</v>
      </c>
      <c r="C58" s="11" t="s">
        <v>45</v>
      </c>
      <c r="D58" s="9" t="s">
        <v>180</v>
      </c>
      <c r="E58" s="16" t="s">
        <v>128</v>
      </c>
      <c r="F58" s="72"/>
      <c r="G58" s="17" t="s">
        <v>1214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222</v>
      </c>
      <c r="C59" s="11" t="s">
        <v>45</v>
      </c>
      <c r="D59" s="9" t="s">
        <v>179</v>
      </c>
      <c r="E59" s="16" t="s">
        <v>128</v>
      </c>
      <c r="F59" s="72"/>
      <c r="G59" s="17" t="s">
        <v>1123</v>
      </c>
      <c r="H59" s="18"/>
      <c r="I59" s="17"/>
      <c r="J59" s="19" t="s">
        <v>133</v>
      </c>
      <c r="K59" s="19" t="s">
        <v>204</v>
      </c>
      <c r="L59" s="19" t="s">
        <v>67</v>
      </c>
    </row>
    <row r="60" spans="1:12" s="1" customFormat="1">
      <c r="A60" s="15"/>
      <c r="B60" s="11" t="s">
        <v>811</v>
      </c>
      <c r="C60" s="11" t="s">
        <v>45</v>
      </c>
      <c r="D60" s="9" t="s">
        <v>643</v>
      </c>
      <c r="E60" s="16" t="s">
        <v>128</v>
      </c>
      <c r="F60" s="72"/>
      <c r="G60" s="17" t="s">
        <v>768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812</v>
      </c>
      <c r="C61" s="11" t="s">
        <v>45</v>
      </c>
      <c r="D61" s="9" t="s">
        <v>813</v>
      </c>
      <c r="E61" s="16" t="s">
        <v>128</v>
      </c>
      <c r="F61" s="72"/>
      <c r="G61" s="17" t="s">
        <v>1124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814</v>
      </c>
      <c r="C62" s="11" t="s">
        <v>45</v>
      </c>
      <c r="D62" s="9" t="s">
        <v>500</v>
      </c>
      <c r="E62" s="16" t="s">
        <v>128</v>
      </c>
      <c r="F62" s="72"/>
      <c r="G62" s="17" t="s">
        <v>1125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205</v>
      </c>
      <c r="C63" s="11" t="s">
        <v>45</v>
      </c>
      <c r="D63" s="9" t="s">
        <v>147</v>
      </c>
      <c r="E63" s="16" t="s">
        <v>128</v>
      </c>
      <c r="F63" s="72"/>
      <c r="G63" s="17" t="s">
        <v>1126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206</v>
      </c>
      <c r="C64" s="11" t="s">
        <v>280</v>
      </c>
      <c r="D64" s="9" t="s">
        <v>820</v>
      </c>
      <c r="E64" s="16" t="s">
        <v>128</v>
      </c>
      <c r="F64" s="72"/>
      <c r="G64" s="17" t="s">
        <v>1081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1022</v>
      </c>
      <c r="C65" s="11" t="s">
        <v>45</v>
      </c>
      <c r="D65" s="9" t="s">
        <v>1018</v>
      </c>
      <c r="E65" s="16" t="s">
        <v>128</v>
      </c>
      <c r="F65" s="72"/>
      <c r="G65" s="17" t="s">
        <v>1127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1014</v>
      </c>
      <c r="C66" s="11" t="s">
        <v>45</v>
      </c>
      <c r="D66" s="9" t="s">
        <v>1019</v>
      </c>
      <c r="E66" s="16" t="s">
        <v>128</v>
      </c>
      <c r="F66" s="72"/>
      <c r="G66" s="17" t="s">
        <v>1128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1015</v>
      </c>
      <c r="C67" s="11" t="s">
        <v>45</v>
      </c>
      <c r="D67" s="9" t="s">
        <v>1020</v>
      </c>
      <c r="E67" s="16" t="s">
        <v>128</v>
      </c>
      <c r="F67" s="72"/>
      <c r="G67" s="17" t="s">
        <v>1129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1016</v>
      </c>
      <c r="C68" s="11" t="s">
        <v>45</v>
      </c>
      <c r="D68" s="9" t="s">
        <v>1021</v>
      </c>
      <c r="E68" s="16" t="s">
        <v>128</v>
      </c>
      <c r="F68" s="72"/>
      <c r="G68" s="17" t="s">
        <v>1130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1017</v>
      </c>
      <c r="C69" s="11" t="s">
        <v>45</v>
      </c>
      <c r="D69" s="9" t="s">
        <v>1042</v>
      </c>
      <c r="E69" s="16" t="s">
        <v>128</v>
      </c>
      <c r="F69" s="72"/>
      <c r="G69" s="17" t="s">
        <v>1131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1049</v>
      </c>
      <c r="C70" s="11" t="s">
        <v>45</v>
      </c>
      <c r="D70" s="9" t="s">
        <v>153</v>
      </c>
      <c r="E70" s="16" t="s">
        <v>128</v>
      </c>
      <c r="F70" s="72"/>
      <c r="G70" s="17" t="s">
        <v>1262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823</v>
      </c>
      <c r="C71" s="11" t="s">
        <v>280</v>
      </c>
      <c r="D71" s="9" t="s">
        <v>1474</v>
      </c>
      <c r="E71" s="16" t="s">
        <v>128</v>
      </c>
      <c r="F71" s="72"/>
      <c r="G71" s="17" t="s">
        <v>1082</v>
      </c>
      <c r="H71" s="18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1030</v>
      </c>
      <c r="C72" s="11" t="s">
        <v>45</v>
      </c>
      <c r="D72" s="9" t="s">
        <v>1026</v>
      </c>
      <c r="E72" s="16" t="s">
        <v>128</v>
      </c>
      <c r="F72" s="72"/>
      <c r="G72" s="17" t="s">
        <v>1133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1023</v>
      </c>
      <c r="C73" s="11" t="s">
        <v>45</v>
      </c>
      <c r="D73" s="9" t="s">
        <v>1027</v>
      </c>
      <c r="E73" s="16" t="s">
        <v>128</v>
      </c>
      <c r="F73" s="72"/>
      <c r="G73" s="17" t="s">
        <v>1134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1024</v>
      </c>
      <c r="C74" s="11" t="s">
        <v>45</v>
      </c>
      <c r="D74" s="9" t="s">
        <v>1028</v>
      </c>
      <c r="E74" s="16" t="s">
        <v>128</v>
      </c>
      <c r="F74" s="72"/>
      <c r="G74" s="17" t="s">
        <v>1135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1032</v>
      </c>
      <c r="C75" s="11" t="s">
        <v>45</v>
      </c>
      <c r="D75" s="9" t="s">
        <v>1029</v>
      </c>
      <c r="E75" s="16" t="s">
        <v>128</v>
      </c>
      <c r="F75" s="72"/>
      <c r="G75" s="17" t="s">
        <v>1136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1025</v>
      </c>
      <c r="C76" s="11" t="s">
        <v>45</v>
      </c>
      <c r="D76" s="9" t="s">
        <v>1043</v>
      </c>
      <c r="E76" s="16" t="s">
        <v>128</v>
      </c>
      <c r="F76" s="72"/>
      <c r="G76" s="17" t="s">
        <v>1137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1084</v>
      </c>
      <c r="C77" s="11" t="s">
        <v>280</v>
      </c>
      <c r="D77" s="9" t="s">
        <v>1086</v>
      </c>
      <c r="E77" s="16" t="s">
        <v>128</v>
      </c>
      <c r="F77" s="72"/>
      <c r="G77" s="17" t="s">
        <v>1087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1083</v>
      </c>
      <c r="C78" s="11" t="s">
        <v>280</v>
      </c>
      <c r="D78" s="9" t="s">
        <v>841</v>
      </c>
      <c r="E78" s="16" t="s">
        <v>128</v>
      </c>
      <c r="F78" s="72"/>
      <c r="G78" s="17" t="s">
        <v>1866</v>
      </c>
      <c r="H78" s="18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1033</v>
      </c>
      <c r="C79" s="11" t="s">
        <v>45</v>
      </c>
      <c r="D79" s="9" t="s">
        <v>1038</v>
      </c>
      <c r="E79" s="16" t="s">
        <v>128</v>
      </c>
      <c r="F79" s="72"/>
      <c r="G79" s="17" t="s">
        <v>1138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1034</v>
      </c>
      <c r="C80" s="11" t="s">
        <v>45</v>
      </c>
      <c r="D80" s="9" t="s">
        <v>1039</v>
      </c>
      <c r="E80" s="16" t="s">
        <v>128</v>
      </c>
      <c r="F80" s="72"/>
      <c r="G80" s="17" t="s">
        <v>1139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1035</v>
      </c>
      <c r="C81" s="11" t="s">
        <v>45</v>
      </c>
      <c r="D81" s="9" t="s">
        <v>1040</v>
      </c>
      <c r="E81" s="16" t="s">
        <v>128</v>
      </c>
      <c r="F81" s="72"/>
      <c r="G81" s="17" t="s">
        <v>1140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1036</v>
      </c>
      <c r="C82" s="11" t="s">
        <v>45</v>
      </c>
      <c r="D82" s="9" t="s">
        <v>1041</v>
      </c>
      <c r="E82" s="16" t="s">
        <v>128</v>
      </c>
      <c r="F82" s="72"/>
      <c r="G82" s="17" t="s">
        <v>1141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1037</v>
      </c>
      <c r="C83" s="11" t="s">
        <v>45</v>
      </c>
      <c r="D83" s="9" t="s">
        <v>1044</v>
      </c>
      <c r="E83" s="16" t="s">
        <v>128</v>
      </c>
      <c r="F83" s="72"/>
      <c r="G83" s="17" t="s">
        <v>1142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816</v>
      </c>
      <c r="C84" s="11" t="s">
        <v>280</v>
      </c>
      <c r="D84" s="9" t="s">
        <v>839</v>
      </c>
      <c r="E84" s="16" t="s">
        <v>128</v>
      </c>
      <c r="F84" s="72"/>
      <c r="G84" s="17" t="s">
        <v>1088</v>
      </c>
      <c r="H84" s="18"/>
      <c r="I84" s="17"/>
      <c r="J84" s="19" t="s">
        <v>133</v>
      </c>
      <c r="K84" s="19" t="s">
        <v>202</v>
      </c>
      <c r="L84" s="19" t="s">
        <v>67</v>
      </c>
    </row>
    <row r="85" spans="1:12" s="1" customFormat="1">
      <c r="A85" s="15"/>
      <c r="B85" s="11" t="s">
        <v>817</v>
      </c>
      <c r="C85" s="11" t="s">
        <v>45</v>
      </c>
      <c r="D85" s="9" t="s">
        <v>658</v>
      </c>
      <c r="E85" s="16" t="s">
        <v>128</v>
      </c>
      <c r="F85" s="72"/>
      <c r="G85" s="17" t="s">
        <v>1090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818</v>
      </c>
      <c r="C86" s="11" t="s">
        <v>280</v>
      </c>
      <c r="D86" s="9" t="s">
        <v>842</v>
      </c>
      <c r="E86" s="16" t="s">
        <v>128</v>
      </c>
      <c r="F86" s="72"/>
      <c r="G86" s="17" t="s">
        <v>1091</v>
      </c>
      <c r="H86" s="18"/>
      <c r="I86" s="17"/>
      <c r="J86" s="19" t="s">
        <v>133</v>
      </c>
      <c r="K86" s="19" t="s">
        <v>202</v>
      </c>
      <c r="L86" s="19" t="s">
        <v>67</v>
      </c>
    </row>
    <row r="87" spans="1:12" s="1" customFormat="1">
      <c r="A87" s="15"/>
      <c r="B87" s="11" t="s">
        <v>819</v>
      </c>
      <c r="C87" s="11" t="s">
        <v>45</v>
      </c>
      <c r="D87" s="9" t="s">
        <v>660</v>
      </c>
      <c r="E87" s="16" t="s">
        <v>128</v>
      </c>
      <c r="F87" s="72"/>
      <c r="G87" s="17" t="s">
        <v>1093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829</v>
      </c>
      <c r="C88" s="11" t="s">
        <v>280</v>
      </c>
      <c r="D88" s="9" t="s">
        <v>505</v>
      </c>
      <c r="E88" s="16" t="s">
        <v>128</v>
      </c>
      <c r="F88" s="72"/>
      <c r="G88" s="17" t="s">
        <v>1094</v>
      </c>
      <c r="H88" s="18"/>
      <c r="I88" s="17"/>
      <c r="J88" s="19" t="s">
        <v>133</v>
      </c>
      <c r="K88" s="19" t="s">
        <v>203</v>
      </c>
      <c r="L88" s="19" t="s">
        <v>67</v>
      </c>
    </row>
    <row r="89" spans="1:12" s="1" customFormat="1">
      <c r="A89" s="15"/>
      <c r="B89" s="11" t="s">
        <v>1570</v>
      </c>
      <c r="C89" s="11" t="s">
        <v>45</v>
      </c>
      <c r="D89" s="9" t="s">
        <v>1526</v>
      </c>
      <c r="E89" s="16" t="s">
        <v>128</v>
      </c>
      <c r="F89" s="72"/>
      <c r="G89" s="17" t="s">
        <v>1571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1527</v>
      </c>
      <c r="C90" s="11" t="s">
        <v>45</v>
      </c>
      <c r="D90" s="9" t="s">
        <v>1528</v>
      </c>
      <c r="E90" s="16" t="s">
        <v>128</v>
      </c>
      <c r="F90" s="72"/>
      <c r="G90" s="17" t="s">
        <v>1572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1529</v>
      </c>
      <c r="C91" s="11" t="s">
        <v>45</v>
      </c>
      <c r="D91" s="9" t="s">
        <v>1530</v>
      </c>
      <c r="E91" s="16" t="s">
        <v>128</v>
      </c>
      <c r="F91" s="72"/>
      <c r="G91" s="17" t="s">
        <v>1573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1531</v>
      </c>
      <c r="C92" s="11" t="s">
        <v>45</v>
      </c>
      <c r="D92" s="9" t="s">
        <v>1532</v>
      </c>
      <c r="E92" s="16" t="s">
        <v>128</v>
      </c>
      <c r="F92" s="72"/>
      <c r="G92" s="17" t="s">
        <v>1574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1533</v>
      </c>
      <c r="C93" s="11" t="s">
        <v>45</v>
      </c>
      <c r="D93" s="9" t="s">
        <v>1534</v>
      </c>
      <c r="E93" s="16" t="s">
        <v>128</v>
      </c>
      <c r="F93" s="72"/>
      <c r="G93" s="17" t="s">
        <v>1575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799</v>
      </c>
      <c r="C94" s="11" t="s">
        <v>280</v>
      </c>
      <c r="D94" s="9" t="s">
        <v>506</v>
      </c>
      <c r="E94" s="16" t="s">
        <v>128</v>
      </c>
      <c r="F94" s="72"/>
      <c r="G94" s="17" t="s">
        <v>1095</v>
      </c>
      <c r="H94" s="18"/>
      <c r="I94" s="17"/>
      <c r="J94" s="19" t="s">
        <v>133</v>
      </c>
      <c r="K94" s="19" t="s">
        <v>203</v>
      </c>
      <c r="L94" s="19" t="s">
        <v>67</v>
      </c>
    </row>
    <row r="95" spans="1:12" s="1" customFormat="1">
      <c r="A95" s="15"/>
      <c r="B95" s="11" t="s">
        <v>1549</v>
      </c>
      <c r="C95" s="11" t="s">
        <v>45</v>
      </c>
      <c r="D95" s="9" t="s">
        <v>1540</v>
      </c>
      <c r="E95" s="16" t="s">
        <v>128</v>
      </c>
      <c r="F95" s="72"/>
      <c r="G95" s="17" t="s">
        <v>1576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1541</v>
      </c>
      <c r="C96" s="11" t="s">
        <v>45</v>
      </c>
      <c r="D96" s="9" t="s">
        <v>1542</v>
      </c>
      <c r="E96" s="16" t="s">
        <v>128</v>
      </c>
      <c r="F96" s="72"/>
      <c r="G96" s="17" t="s">
        <v>1577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11" t="s">
        <v>1543</v>
      </c>
      <c r="C97" s="11" t="s">
        <v>45</v>
      </c>
      <c r="D97" s="9" t="s">
        <v>1544</v>
      </c>
      <c r="E97" s="16" t="s">
        <v>128</v>
      </c>
      <c r="F97" s="72"/>
      <c r="G97" s="17" t="s">
        <v>1578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11" t="s">
        <v>1545</v>
      </c>
      <c r="C98" s="11" t="s">
        <v>45</v>
      </c>
      <c r="D98" s="9" t="s">
        <v>1546</v>
      </c>
      <c r="E98" s="16" t="s">
        <v>128</v>
      </c>
      <c r="F98" s="72"/>
      <c r="G98" s="17" t="s">
        <v>1579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11" t="s">
        <v>1547</v>
      </c>
      <c r="C99" s="11" t="s">
        <v>45</v>
      </c>
      <c r="D99" s="9" t="s">
        <v>1548</v>
      </c>
      <c r="E99" s="16" t="s">
        <v>128</v>
      </c>
      <c r="F99" s="72"/>
      <c r="G99" s="17" t="s">
        <v>1580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11" t="s">
        <v>830</v>
      </c>
      <c r="C100" s="11" t="s">
        <v>45</v>
      </c>
      <c r="D100" s="9" t="s">
        <v>837</v>
      </c>
      <c r="E100" s="16" t="s">
        <v>128</v>
      </c>
      <c r="F100" s="72"/>
      <c r="G100" s="17" t="s">
        <v>1097</v>
      </c>
      <c r="H100" s="18"/>
      <c r="I100" s="17"/>
      <c r="J100" s="19" t="s">
        <v>133</v>
      </c>
      <c r="K100" s="19" t="s">
        <v>44</v>
      </c>
      <c r="L100" s="19" t="s">
        <v>67</v>
      </c>
    </row>
    <row r="101" spans="1:12" s="1" customFormat="1">
      <c r="A101" s="15"/>
      <c r="B101" s="11" t="s">
        <v>623</v>
      </c>
      <c r="C101" s="11" t="s">
        <v>280</v>
      </c>
      <c r="D101" s="9" t="s">
        <v>836</v>
      </c>
      <c r="E101" s="16" t="s">
        <v>128</v>
      </c>
      <c r="F101" s="72"/>
      <c r="G101" s="17" t="s">
        <v>1099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2" s="1" customFormat="1">
      <c r="A102" s="15"/>
      <c r="B102" s="95" t="s">
        <v>1564</v>
      </c>
      <c r="C102" s="95" t="s">
        <v>45</v>
      </c>
      <c r="D102" s="96" t="s">
        <v>1555</v>
      </c>
      <c r="E102" s="16" t="s">
        <v>128</v>
      </c>
      <c r="F102" s="72"/>
      <c r="G102" s="17" t="s">
        <v>1581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A103" s="15"/>
      <c r="B103" s="95" t="s">
        <v>1556</v>
      </c>
      <c r="C103" s="95" t="s">
        <v>45</v>
      </c>
      <c r="D103" s="96" t="s">
        <v>1557</v>
      </c>
      <c r="E103" s="16" t="s">
        <v>128</v>
      </c>
      <c r="F103" s="72"/>
      <c r="G103" s="17" t="s">
        <v>1582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A104" s="15"/>
      <c r="B104" s="95" t="s">
        <v>1558</v>
      </c>
      <c r="C104" s="95" t="s">
        <v>45</v>
      </c>
      <c r="D104" s="96" t="s">
        <v>1559</v>
      </c>
      <c r="E104" s="16" t="s">
        <v>128</v>
      </c>
      <c r="F104" s="72"/>
      <c r="G104" s="17" t="s">
        <v>1583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A105" s="15"/>
      <c r="B105" s="95" t="s">
        <v>1560</v>
      </c>
      <c r="C105" s="95" t="s">
        <v>45</v>
      </c>
      <c r="D105" s="96" t="s">
        <v>1561</v>
      </c>
      <c r="E105" s="16" t="s">
        <v>128</v>
      </c>
      <c r="F105" s="72"/>
      <c r="G105" s="17" t="s">
        <v>1584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A106" s="15"/>
      <c r="B106" s="95" t="s">
        <v>1562</v>
      </c>
      <c r="C106" s="95" t="s">
        <v>45</v>
      </c>
      <c r="D106" s="96" t="s">
        <v>1563</v>
      </c>
      <c r="E106" s="16" t="s">
        <v>128</v>
      </c>
      <c r="F106" s="72"/>
      <c r="G106" s="17" t="s">
        <v>1585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11" t="s">
        <v>831</v>
      </c>
      <c r="C107" s="11" t="s">
        <v>45</v>
      </c>
      <c r="D107" s="9" t="s">
        <v>825</v>
      </c>
      <c r="E107" s="16" t="s">
        <v>128</v>
      </c>
      <c r="F107" s="72"/>
      <c r="G107" s="17" t="s">
        <v>1100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1098</v>
      </c>
      <c r="C108" s="11" t="s">
        <v>280</v>
      </c>
      <c r="D108" s="9" t="s">
        <v>826</v>
      </c>
      <c r="E108" s="16" t="s">
        <v>128</v>
      </c>
      <c r="F108" s="72"/>
      <c r="G108" s="17" t="s">
        <v>1101</v>
      </c>
      <c r="H108" s="18"/>
      <c r="I108" s="17"/>
      <c r="J108" s="19" t="s">
        <v>133</v>
      </c>
      <c r="K108" s="19" t="s">
        <v>202</v>
      </c>
      <c r="L108" s="19" t="s">
        <v>67</v>
      </c>
    </row>
    <row r="109" spans="1:12" s="1" customFormat="1">
      <c r="A109" s="15"/>
      <c r="B109" s="11" t="s">
        <v>834</v>
      </c>
      <c r="C109" s="11" t="s">
        <v>280</v>
      </c>
      <c r="D109" s="9" t="s">
        <v>833</v>
      </c>
      <c r="E109" s="16" t="s">
        <v>128</v>
      </c>
      <c r="F109" s="72"/>
      <c r="G109" s="17" t="s">
        <v>1102</v>
      </c>
      <c r="H109" s="18"/>
      <c r="I109" s="17"/>
      <c r="J109" s="19" t="s">
        <v>133</v>
      </c>
      <c r="K109" s="19" t="s">
        <v>202</v>
      </c>
      <c r="L109" s="19" t="s">
        <v>67</v>
      </c>
    </row>
    <row r="110" spans="1:12" s="1" customFormat="1">
      <c r="A110" s="15"/>
      <c r="B110" s="11" t="s">
        <v>535</v>
      </c>
      <c r="C110" s="11" t="s">
        <v>280</v>
      </c>
      <c r="D110" s="9" t="s">
        <v>534</v>
      </c>
      <c r="E110" s="16" t="s">
        <v>128</v>
      </c>
      <c r="F110" s="72"/>
      <c r="G110" s="17" t="s">
        <v>1103</v>
      </c>
      <c r="H110" s="18"/>
      <c r="I110" s="17"/>
      <c r="J110" s="19" t="s">
        <v>133</v>
      </c>
      <c r="K110" s="19" t="s">
        <v>202</v>
      </c>
      <c r="L110" s="19" t="s">
        <v>67</v>
      </c>
    </row>
    <row r="111" spans="1:12" s="1" customFormat="1">
      <c r="A111" s="15"/>
      <c r="B111" s="11" t="s">
        <v>848</v>
      </c>
      <c r="C111" s="11" t="s">
        <v>45</v>
      </c>
      <c r="D111" s="9" t="s">
        <v>850</v>
      </c>
      <c r="E111" s="16" t="s">
        <v>128</v>
      </c>
      <c r="F111" s="72"/>
      <c r="G111" s="17" t="s">
        <v>1104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11" t="s">
        <v>849</v>
      </c>
      <c r="C112" s="11" t="s">
        <v>45</v>
      </c>
      <c r="D112" s="9" t="s">
        <v>116</v>
      </c>
      <c r="E112" s="16" t="s">
        <v>128</v>
      </c>
      <c r="F112" s="72"/>
      <c r="G112" s="17" t="s">
        <v>1105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11" t="s">
        <v>854</v>
      </c>
      <c r="C113" s="11" t="s">
        <v>1202</v>
      </c>
      <c r="D113" s="9" t="s">
        <v>502</v>
      </c>
      <c r="E113" s="16" t="s">
        <v>128</v>
      </c>
      <c r="F113" s="72"/>
      <c r="G113" s="17" t="s">
        <v>1107</v>
      </c>
      <c r="H113" s="18"/>
      <c r="I113" s="17"/>
      <c r="J113" s="19" t="s">
        <v>133</v>
      </c>
      <c r="K113" s="19" t="s">
        <v>202</v>
      </c>
      <c r="L113" s="19" t="s">
        <v>67</v>
      </c>
    </row>
    <row r="114" spans="1:12" s="1" customFormat="1">
      <c r="A114" s="15"/>
      <c r="B114" s="11" t="s">
        <v>856</v>
      </c>
      <c r="C114" s="11" t="s">
        <v>45</v>
      </c>
      <c r="D114" s="9" t="s">
        <v>857</v>
      </c>
      <c r="E114" s="16" t="s">
        <v>128</v>
      </c>
      <c r="F114" s="72"/>
      <c r="G114" s="17" t="s">
        <v>1106</v>
      </c>
      <c r="H114" s="18"/>
      <c r="I114" s="17"/>
      <c r="J114" s="19" t="s">
        <v>133</v>
      </c>
      <c r="K114" s="19" t="s">
        <v>903</v>
      </c>
      <c r="L114" s="19" t="s">
        <v>67</v>
      </c>
    </row>
    <row r="115" spans="1:12" s="1" customFormat="1">
      <c r="A115" s="15"/>
      <c r="B115" s="11" t="s">
        <v>315</v>
      </c>
      <c r="C115" s="11" t="s">
        <v>45</v>
      </c>
      <c r="D115" s="9" t="s">
        <v>112</v>
      </c>
      <c r="E115" s="16" t="s">
        <v>128</v>
      </c>
      <c r="F115" s="72"/>
      <c r="G115" s="17" t="s">
        <v>1145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2" s="1" customFormat="1">
      <c r="A116" s="15"/>
      <c r="B116" s="11" t="s">
        <v>868</v>
      </c>
      <c r="C116" s="11" t="s">
        <v>45</v>
      </c>
      <c r="D116" s="9" t="s">
        <v>859</v>
      </c>
      <c r="E116" s="16" t="s">
        <v>128</v>
      </c>
      <c r="F116" s="72"/>
      <c r="G116" s="17" t="s">
        <v>1146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2" s="1" customFormat="1">
      <c r="A117" s="15"/>
      <c r="B117" s="11" t="s">
        <v>869</v>
      </c>
      <c r="C117" s="11" t="s">
        <v>45</v>
      </c>
      <c r="D117" s="9" t="s">
        <v>860</v>
      </c>
      <c r="E117" s="16" t="s">
        <v>128</v>
      </c>
      <c r="F117" s="72"/>
      <c r="G117" s="17" t="s">
        <v>1147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2" s="1" customFormat="1">
      <c r="A118" s="15"/>
      <c r="B118" s="11" t="s">
        <v>870</v>
      </c>
      <c r="C118" s="11" t="s">
        <v>45</v>
      </c>
      <c r="D118" s="9" t="s">
        <v>861</v>
      </c>
      <c r="E118" s="16" t="s">
        <v>128</v>
      </c>
      <c r="F118" s="72"/>
      <c r="G118" s="17" t="s">
        <v>1148</v>
      </c>
      <c r="H118" s="18"/>
      <c r="I118" s="17"/>
      <c r="J118" s="19" t="s">
        <v>133</v>
      </c>
      <c r="K118" s="19" t="s">
        <v>44</v>
      </c>
      <c r="L118" s="19" t="s">
        <v>67</v>
      </c>
    </row>
    <row r="119" spans="1:12" s="1" customFormat="1">
      <c r="A119" s="15"/>
      <c r="B119" s="11" t="s">
        <v>871</v>
      </c>
      <c r="C119" s="11" t="s">
        <v>45</v>
      </c>
      <c r="D119" s="9" t="s">
        <v>880</v>
      </c>
      <c r="E119" s="16" t="s">
        <v>128</v>
      </c>
      <c r="F119" s="72"/>
      <c r="G119" s="17" t="s">
        <v>1149</v>
      </c>
      <c r="H119" s="18"/>
      <c r="I119" s="17"/>
      <c r="J119" s="19" t="s">
        <v>133</v>
      </c>
      <c r="K119" s="19" t="s">
        <v>44</v>
      </c>
      <c r="L119" s="19" t="s">
        <v>67</v>
      </c>
    </row>
    <row r="120" spans="1:12" s="1" customFormat="1">
      <c r="A120" s="15"/>
      <c r="B120" s="11" t="s">
        <v>872</v>
      </c>
      <c r="C120" s="11" t="s">
        <v>45</v>
      </c>
      <c r="D120" s="9" t="s">
        <v>881</v>
      </c>
      <c r="E120" s="16" t="s">
        <v>128</v>
      </c>
      <c r="F120" s="72"/>
      <c r="G120" s="17" t="s">
        <v>1150</v>
      </c>
      <c r="H120" s="18"/>
      <c r="I120" s="17"/>
      <c r="J120" s="19" t="s">
        <v>133</v>
      </c>
      <c r="K120" s="19" t="s">
        <v>44</v>
      </c>
      <c r="L120" s="19" t="s">
        <v>67</v>
      </c>
    </row>
    <row r="121" spans="1:12" s="1" customFormat="1">
      <c r="A121" s="15"/>
      <c r="B121" s="11" t="s">
        <v>873</v>
      </c>
      <c r="C121" s="11" t="s">
        <v>45</v>
      </c>
      <c r="D121" s="9" t="s">
        <v>882</v>
      </c>
      <c r="E121" s="16" t="s">
        <v>128</v>
      </c>
      <c r="F121" s="72"/>
      <c r="G121" s="17" t="s">
        <v>1151</v>
      </c>
      <c r="H121" s="18"/>
      <c r="I121" s="17"/>
      <c r="J121" s="19" t="s">
        <v>133</v>
      </c>
      <c r="K121" s="19" t="s">
        <v>44</v>
      </c>
      <c r="L121" s="19" t="s">
        <v>67</v>
      </c>
    </row>
    <row r="122" spans="1:12" s="1" customFormat="1">
      <c r="A122" s="15"/>
      <c r="B122" s="11" t="s">
        <v>874</v>
      </c>
      <c r="C122" s="11" t="s">
        <v>45</v>
      </c>
      <c r="D122" s="9" t="s">
        <v>862</v>
      </c>
      <c r="E122" s="16" t="s">
        <v>128</v>
      </c>
      <c r="F122" s="72"/>
      <c r="G122" s="17" t="s">
        <v>1152</v>
      </c>
      <c r="H122" s="18"/>
      <c r="I122" s="17"/>
      <c r="J122" s="19" t="s">
        <v>133</v>
      </c>
      <c r="K122" s="19" t="s">
        <v>44</v>
      </c>
      <c r="L122" s="19" t="s">
        <v>67</v>
      </c>
    </row>
    <row r="123" spans="1:12" s="1" customFormat="1">
      <c r="A123" s="15"/>
      <c r="B123" s="11" t="s">
        <v>875</v>
      </c>
      <c r="C123" s="11" t="s">
        <v>45</v>
      </c>
      <c r="D123" s="9" t="s">
        <v>863</v>
      </c>
      <c r="E123" s="16" t="s">
        <v>128</v>
      </c>
      <c r="F123" s="72"/>
      <c r="G123" s="17" t="s">
        <v>1153</v>
      </c>
      <c r="H123" s="18"/>
      <c r="I123" s="17"/>
      <c r="J123" s="19" t="s">
        <v>133</v>
      </c>
      <c r="K123" s="19" t="s">
        <v>44</v>
      </c>
      <c r="L123" s="19" t="s">
        <v>67</v>
      </c>
    </row>
    <row r="124" spans="1:12" s="1" customFormat="1">
      <c r="A124" s="15"/>
      <c r="B124" s="11" t="s">
        <v>876</v>
      </c>
      <c r="C124" s="11" t="s">
        <v>45</v>
      </c>
      <c r="D124" s="9" t="s">
        <v>864</v>
      </c>
      <c r="E124" s="16" t="s">
        <v>128</v>
      </c>
      <c r="F124" s="72"/>
      <c r="G124" s="17" t="s">
        <v>1154</v>
      </c>
      <c r="H124" s="18"/>
      <c r="I124" s="17"/>
      <c r="J124" s="19" t="s">
        <v>133</v>
      </c>
      <c r="K124" s="19" t="s">
        <v>44</v>
      </c>
      <c r="L124" s="19" t="s">
        <v>67</v>
      </c>
    </row>
    <row r="125" spans="1:12" s="1" customFormat="1">
      <c r="A125" s="15"/>
      <c r="B125" s="11" t="s">
        <v>877</v>
      </c>
      <c r="C125" s="11" t="s">
        <v>45</v>
      </c>
      <c r="D125" s="9" t="s">
        <v>865</v>
      </c>
      <c r="E125" s="16" t="s">
        <v>128</v>
      </c>
      <c r="F125" s="72"/>
      <c r="G125" s="17" t="s">
        <v>1155</v>
      </c>
      <c r="H125" s="18"/>
      <c r="I125" s="17"/>
      <c r="J125" s="19" t="s">
        <v>133</v>
      </c>
      <c r="K125" s="19" t="s">
        <v>44</v>
      </c>
      <c r="L125" s="19" t="s">
        <v>67</v>
      </c>
    </row>
    <row r="126" spans="1:12" s="1" customFormat="1">
      <c r="A126" s="15"/>
      <c r="B126" s="11" t="s">
        <v>878</v>
      </c>
      <c r="C126" s="11" t="s">
        <v>45</v>
      </c>
      <c r="D126" s="9" t="s">
        <v>866</v>
      </c>
      <c r="E126" s="16" t="s">
        <v>128</v>
      </c>
      <c r="F126" s="72"/>
      <c r="G126" s="17" t="s">
        <v>1156</v>
      </c>
      <c r="H126" s="18"/>
      <c r="I126" s="17"/>
      <c r="J126" s="19" t="s">
        <v>133</v>
      </c>
      <c r="K126" s="19" t="s">
        <v>44</v>
      </c>
      <c r="L126" s="19" t="s">
        <v>67</v>
      </c>
    </row>
    <row r="127" spans="1:12" s="1" customFormat="1">
      <c r="A127" s="15"/>
      <c r="B127" s="11" t="s">
        <v>879</v>
      </c>
      <c r="C127" s="11" t="s">
        <v>45</v>
      </c>
      <c r="D127" s="9" t="s">
        <v>867</v>
      </c>
      <c r="E127" s="16" t="s">
        <v>128</v>
      </c>
      <c r="F127" s="72"/>
      <c r="G127" s="17" t="s">
        <v>1157</v>
      </c>
      <c r="H127" s="18"/>
      <c r="I127" s="17"/>
      <c r="J127" s="19" t="s">
        <v>133</v>
      </c>
      <c r="K127" s="19" t="s">
        <v>44</v>
      </c>
      <c r="L127" s="19" t="s">
        <v>67</v>
      </c>
    </row>
    <row r="128" spans="1:12" s="1" customFormat="1">
      <c r="A128" s="15"/>
      <c r="B128" s="11" t="s">
        <v>1280</v>
      </c>
      <c r="C128" s="11" t="s">
        <v>43</v>
      </c>
      <c r="D128" s="9" t="s">
        <v>1281</v>
      </c>
      <c r="E128" s="16" t="s">
        <v>128</v>
      </c>
      <c r="F128" s="72"/>
      <c r="G128" s="17" t="s">
        <v>1282</v>
      </c>
      <c r="H128" s="18"/>
      <c r="I128" s="87">
        <v>20250415101139</v>
      </c>
      <c r="J128" s="19" t="s">
        <v>133</v>
      </c>
      <c r="K128" s="19" t="s">
        <v>44</v>
      </c>
      <c r="L128" s="19" t="s">
        <v>1306</v>
      </c>
    </row>
    <row r="129" spans="1:17" s="1" customFormat="1">
      <c r="A129" s="15"/>
      <c r="B129" s="11" t="s">
        <v>1283</v>
      </c>
      <c r="C129" s="11" t="s">
        <v>43</v>
      </c>
      <c r="D129" s="9" t="s">
        <v>1284</v>
      </c>
      <c r="E129" s="16" t="s">
        <v>128</v>
      </c>
      <c r="F129" s="72"/>
      <c r="G129" s="17" t="s">
        <v>1285</v>
      </c>
      <c r="H129" s="18"/>
      <c r="I129" s="87">
        <v>20250415101024</v>
      </c>
      <c r="J129" s="19" t="s">
        <v>133</v>
      </c>
      <c r="K129" s="19" t="s">
        <v>44</v>
      </c>
      <c r="L129" s="19" t="s">
        <v>1306</v>
      </c>
    </row>
    <row r="130" spans="1:17" s="3" customFormat="1">
      <c r="B130" s="23" t="s">
        <v>47</v>
      </c>
      <c r="C130" s="24" t="s">
        <v>46</v>
      </c>
      <c r="D130" s="21" t="s">
        <v>48</v>
      </c>
      <c r="E130" s="44"/>
      <c r="F130" s="44"/>
      <c r="G130" s="44" t="s">
        <v>282</v>
      </c>
      <c r="H130" s="23" t="s">
        <v>282</v>
      </c>
      <c r="I130" s="23"/>
      <c r="J130" s="23"/>
      <c r="K130" s="23"/>
      <c r="L130" s="23"/>
      <c r="M130" s="23"/>
      <c r="N130" s="23"/>
      <c r="O130" s="23"/>
      <c r="P130" s="23"/>
      <c r="Q130" s="23"/>
    </row>
    <row r="131" spans="1:17" s="3" customFormat="1">
      <c r="B131" s="23" t="s">
        <v>49</v>
      </c>
      <c r="C131" s="24" t="s">
        <v>43</v>
      </c>
      <c r="D131" s="21" t="s">
        <v>50</v>
      </c>
      <c r="E131" s="44"/>
      <c r="F131" s="44"/>
      <c r="G131" s="44" t="s">
        <v>282</v>
      </c>
      <c r="H131" s="23" t="s">
        <v>282</v>
      </c>
      <c r="I131" s="23"/>
      <c r="J131" s="23"/>
      <c r="K131" s="23"/>
      <c r="L131" s="23"/>
      <c r="M131" s="23"/>
      <c r="N131" s="23"/>
      <c r="O131" s="23"/>
      <c r="P131" s="23"/>
      <c r="Q131" s="23"/>
    </row>
    <row r="132" spans="1:17" s="3" customFormat="1">
      <c r="B132" s="23" t="s">
        <v>51</v>
      </c>
      <c r="C132" s="24" t="s">
        <v>46</v>
      </c>
      <c r="D132" s="21" t="s">
        <v>52</v>
      </c>
      <c r="E132" s="44"/>
      <c r="F132" s="44"/>
      <c r="G132" s="44" t="s">
        <v>282</v>
      </c>
      <c r="H132" s="23" t="s">
        <v>282</v>
      </c>
      <c r="I132" s="23"/>
      <c r="J132" s="23"/>
      <c r="K132" s="23"/>
      <c r="L132" s="23"/>
      <c r="M132" s="23"/>
      <c r="N132" s="23"/>
      <c r="O132" s="23"/>
      <c r="P132" s="23"/>
      <c r="Q132" s="23"/>
    </row>
  </sheetData>
  <autoFilter ref="A13:Q132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48BB-91FB-4042-ACE5-CF7CA0478EC4}">
  <sheetPr codeName="Sheet24"/>
  <dimension ref="A1:Q121"/>
  <sheetViews>
    <sheetView zoomScale="85" zoomScaleNormal="85" workbookViewId="0">
      <pane ySplit="5" topLeftCell="A6" activePane="bottomLeft" state="frozen"/>
      <selection activeCell="H83" sqref="H83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2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1374</v>
      </c>
      <c r="D5" s="10" t="s">
        <v>1375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1370</v>
      </c>
      <c r="D9" s="10" t="s">
        <v>1371</v>
      </c>
      <c r="E9" s="11" t="s">
        <v>55</v>
      </c>
      <c r="F9" s="17"/>
      <c r="G9" s="17" t="s">
        <v>1343</v>
      </c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3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3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3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3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95</v>
      </c>
      <c r="C22" s="11" t="s">
        <v>93</v>
      </c>
      <c r="D22" s="9" t="s">
        <v>114</v>
      </c>
      <c r="E22" s="16" t="s">
        <v>128</v>
      </c>
      <c r="F22" s="9" t="s">
        <v>1069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81</v>
      </c>
      <c r="C23" s="11" t="s">
        <v>43</v>
      </c>
      <c r="D23" s="9" t="s">
        <v>57</v>
      </c>
      <c r="E23" s="16" t="s">
        <v>128</v>
      </c>
      <c r="F23" s="17" t="s">
        <v>81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58</v>
      </c>
      <c r="C24" s="11" t="s">
        <v>43</v>
      </c>
      <c r="D24" s="9" t="s">
        <v>59</v>
      </c>
      <c r="E24" s="16" t="s">
        <v>128</v>
      </c>
      <c r="F24" s="9" t="s">
        <v>58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82</v>
      </c>
      <c r="C25" s="11" t="s">
        <v>43</v>
      </c>
      <c r="D25" s="9" t="s">
        <v>105</v>
      </c>
      <c r="E25" s="16" t="s">
        <v>128</v>
      </c>
      <c r="F25" s="17" t="s">
        <v>82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3" s="15" customFormat="1">
      <c r="B26" s="22" t="s">
        <v>87</v>
      </c>
      <c r="C26" s="11" t="s">
        <v>43</v>
      </c>
      <c r="D26" s="9" t="s">
        <v>109</v>
      </c>
      <c r="E26" s="16" t="s">
        <v>128</v>
      </c>
      <c r="F26" s="17" t="s">
        <v>87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679</v>
      </c>
      <c r="M26" s="1"/>
    </row>
    <row r="27" spans="1:13" s="1" customFormat="1">
      <c r="A27" s="15"/>
      <c r="B27" s="11" t="s">
        <v>1072</v>
      </c>
      <c r="C27" s="11" t="s">
        <v>45</v>
      </c>
      <c r="D27" s="9" t="s">
        <v>146</v>
      </c>
      <c r="E27" s="16" t="s">
        <v>128</v>
      </c>
      <c r="F27" s="17"/>
      <c r="G27" s="17" t="s">
        <v>1073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3" s="1" customFormat="1">
      <c r="A28" s="15"/>
      <c r="B28" s="11" t="s">
        <v>189</v>
      </c>
      <c r="C28" s="11" t="s">
        <v>45</v>
      </c>
      <c r="D28" s="9" t="s">
        <v>190</v>
      </c>
      <c r="E28" s="16" t="s">
        <v>128</v>
      </c>
      <c r="F28" s="17"/>
      <c r="G28" s="17" t="s">
        <v>1259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3" s="1" customFormat="1">
      <c r="A29" s="15"/>
      <c r="B29" s="11" t="s">
        <v>192</v>
      </c>
      <c r="C29" s="11" t="s">
        <v>45</v>
      </c>
      <c r="D29" s="9" t="s">
        <v>193</v>
      </c>
      <c r="E29" s="16" t="s">
        <v>128</v>
      </c>
      <c r="F29" s="17"/>
      <c r="G29" s="17" t="s">
        <v>1074</v>
      </c>
      <c r="H29" s="18"/>
      <c r="I29" s="17"/>
      <c r="J29" s="19" t="s">
        <v>133</v>
      </c>
      <c r="K29" s="19" t="s">
        <v>132</v>
      </c>
      <c r="L29" s="19" t="s">
        <v>134</v>
      </c>
    </row>
    <row r="30" spans="1:13" s="1" customFormat="1">
      <c r="A30" s="15"/>
      <c r="B30" s="90" t="s">
        <v>3185</v>
      </c>
      <c r="C30" s="22" t="s">
        <v>45</v>
      </c>
      <c r="D30" s="9" t="s">
        <v>348</v>
      </c>
      <c r="E30" s="16" t="s">
        <v>128</v>
      </c>
      <c r="F30" s="17"/>
      <c r="G30" s="17" t="s">
        <v>257</v>
      </c>
      <c r="H30" s="18"/>
      <c r="I30" s="17"/>
      <c r="J30" s="19" t="s">
        <v>133</v>
      </c>
      <c r="K30" s="19" t="s">
        <v>203</v>
      </c>
      <c r="L30" s="19" t="s">
        <v>134</v>
      </c>
    </row>
    <row r="31" spans="1:13" s="1" customFormat="1">
      <c r="A31" s="15"/>
      <c r="B31" s="89" t="s">
        <v>1476</v>
      </c>
      <c r="C31" s="11" t="s">
        <v>45</v>
      </c>
      <c r="D31" s="9" t="s">
        <v>759</v>
      </c>
      <c r="E31" s="16" t="s">
        <v>128</v>
      </c>
      <c r="F31" s="72"/>
      <c r="G31" s="17" t="s">
        <v>320</v>
      </c>
      <c r="H31" s="18"/>
      <c r="I31" s="17"/>
      <c r="J31" s="19" t="s">
        <v>133</v>
      </c>
      <c r="K31" s="19" t="s">
        <v>204</v>
      </c>
      <c r="L31" s="19" t="s">
        <v>134</v>
      </c>
    </row>
    <row r="32" spans="1:13" s="1" customFormat="1">
      <c r="A32" s="15"/>
      <c r="B32" s="89" t="s">
        <v>1477</v>
      </c>
      <c r="C32" s="11" t="s">
        <v>45</v>
      </c>
      <c r="D32" s="9" t="s">
        <v>160</v>
      </c>
      <c r="E32" s="16" t="s">
        <v>128</v>
      </c>
      <c r="F32" s="72"/>
      <c r="G32" s="17" t="s">
        <v>319</v>
      </c>
      <c r="H32" s="18"/>
      <c r="I32" s="17"/>
      <c r="J32" s="19" t="s">
        <v>133</v>
      </c>
      <c r="K32" s="19" t="s">
        <v>204</v>
      </c>
      <c r="L32" s="19" t="s">
        <v>134</v>
      </c>
    </row>
    <row r="33" spans="1:12" s="1" customFormat="1">
      <c r="A33" s="15"/>
      <c r="B33" s="11" t="s">
        <v>763</v>
      </c>
      <c r="C33" s="11" t="s">
        <v>45</v>
      </c>
      <c r="D33" s="9" t="s">
        <v>181</v>
      </c>
      <c r="E33" s="16" t="s">
        <v>128</v>
      </c>
      <c r="F33" s="72"/>
      <c r="G33" s="9" t="s">
        <v>1076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805</v>
      </c>
      <c r="C34" s="11" t="s">
        <v>45</v>
      </c>
      <c r="D34" s="9" t="s">
        <v>184</v>
      </c>
      <c r="E34" s="16" t="s">
        <v>128</v>
      </c>
      <c r="F34" s="72"/>
      <c r="G34" s="17" t="s">
        <v>1110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89" t="s">
        <v>3190</v>
      </c>
      <c r="C35" s="11" t="s">
        <v>45</v>
      </c>
      <c r="D35" s="9" t="s">
        <v>1056</v>
      </c>
      <c r="E35" s="16" t="s">
        <v>128</v>
      </c>
      <c r="F35" s="72"/>
      <c r="G35" s="17" t="s">
        <v>224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89" t="s">
        <v>3191</v>
      </c>
      <c r="C36" s="11" t="s">
        <v>45</v>
      </c>
      <c r="D36" s="9" t="s">
        <v>1055</v>
      </c>
      <c r="E36" s="16" t="s">
        <v>128</v>
      </c>
      <c r="F36" s="72"/>
      <c r="G36" s="17" t="s">
        <v>223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89" t="s">
        <v>3186</v>
      </c>
      <c r="C37" s="11" t="s">
        <v>45</v>
      </c>
      <c r="D37" s="9" t="s">
        <v>163</v>
      </c>
      <c r="E37" s="16" t="s">
        <v>128</v>
      </c>
      <c r="F37" s="72"/>
      <c r="G37" s="17" t="s">
        <v>225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89" t="s">
        <v>3187</v>
      </c>
      <c r="C38" s="11" t="s">
        <v>45</v>
      </c>
      <c r="D38" s="9" t="s">
        <v>164</v>
      </c>
      <c r="E38" s="16" t="s">
        <v>128</v>
      </c>
      <c r="F38" s="72"/>
      <c r="G38" s="17" t="s">
        <v>226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89" t="s">
        <v>3188</v>
      </c>
      <c r="C39" s="11" t="s">
        <v>45</v>
      </c>
      <c r="D39" s="9" t="s">
        <v>165</v>
      </c>
      <c r="E39" s="16" t="s">
        <v>128</v>
      </c>
      <c r="F39" s="72"/>
      <c r="G39" s="17" t="s">
        <v>1114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89" t="s">
        <v>3189</v>
      </c>
      <c r="C40" s="11" t="s">
        <v>45</v>
      </c>
      <c r="D40" s="9" t="s">
        <v>166</v>
      </c>
      <c r="E40" s="16" t="s">
        <v>128</v>
      </c>
      <c r="F40" s="72"/>
      <c r="G40" s="17" t="s">
        <v>1115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217</v>
      </c>
      <c r="C41" s="11" t="s">
        <v>45</v>
      </c>
      <c r="D41" s="9" t="s">
        <v>171</v>
      </c>
      <c r="E41" s="16" t="s">
        <v>128</v>
      </c>
      <c r="F41" s="72"/>
      <c r="G41" s="17" t="s">
        <v>1116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218</v>
      </c>
      <c r="C42" s="11" t="s">
        <v>45</v>
      </c>
      <c r="D42" s="9" t="s">
        <v>172</v>
      </c>
      <c r="E42" s="16" t="s">
        <v>128</v>
      </c>
      <c r="F42" s="72"/>
      <c r="G42" s="17" t="s">
        <v>1117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219</v>
      </c>
      <c r="C43" s="11" t="s">
        <v>45</v>
      </c>
      <c r="D43" s="9" t="s">
        <v>173</v>
      </c>
      <c r="E43" s="16" t="s">
        <v>128</v>
      </c>
      <c r="F43" s="72"/>
      <c r="G43" s="17" t="s">
        <v>1118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220</v>
      </c>
      <c r="C44" s="11" t="s">
        <v>45</v>
      </c>
      <c r="D44" s="9" t="s">
        <v>174</v>
      </c>
      <c r="E44" s="16" t="s">
        <v>128</v>
      </c>
      <c r="F44" s="72"/>
      <c r="G44" s="17" t="s">
        <v>1119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89" t="s">
        <v>304</v>
      </c>
      <c r="C45" s="11" t="s">
        <v>45</v>
      </c>
      <c r="D45" s="9" t="s">
        <v>1260</v>
      </c>
      <c r="E45" s="16" t="s">
        <v>128</v>
      </c>
      <c r="F45" s="72"/>
      <c r="G45" s="17" t="s">
        <v>227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89" t="s">
        <v>305</v>
      </c>
      <c r="C46" s="11" t="s">
        <v>45</v>
      </c>
      <c r="D46" s="9" t="s">
        <v>1261</v>
      </c>
      <c r="E46" s="16" t="s">
        <v>128</v>
      </c>
      <c r="F46" s="72"/>
      <c r="G46" s="17" t="s">
        <v>228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89" t="s">
        <v>306</v>
      </c>
      <c r="C47" s="11" t="s">
        <v>45</v>
      </c>
      <c r="D47" s="9" t="s">
        <v>167</v>
      </c>
      <c r="E47" s="16" t="s">
        <v>128</v>
      </c>
      <c r="F47" s="72"/>
      <c r="G47" s="17" t="s">
        <v>772</v>
      </c>
      <c r="H47" s="18"/>
      <c r="I47" s="17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809</v>
      </c>
      <c r="C48" s="11" t="s">
        <v>45</v>
      </c>
      <c r="D48" s="9" t="s">
        <v>175</v>
      </c>
      <c r="E48" s="16" t="s">
        <v>128</v>
      </c>
      <c r="F48" s="72"/>
      <c r="G48" s="17" t="s">
        <v>1120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89" t="s">
        <v>1490</v>
      </c>
      <c r="C49" s="11" t="s">
        <v>45</v>
      </c>
      <c r="D49" s="9" t="s">
        <v>168</v>
      </c>
      <c r="E49" s="16" t="s">
        <v>128</v>
      </c>
      <c r="F49" s="72"/>
      <c r="G49" s="17" t="s">
        <v>1489</v>
      </c>
      <c r="H49" s="18"/>
      <c r="I49" s="17"/>
      <c r="J49" s="19" t="s">
        <v>133</v>
      </c>
      <c r="K49" s="19" t="s">
        <v>202</v>
      </c>
      <c r="L49" s="19" t="s">
        <v>67</v>
      </c>
    </row>
    <row r="50" spans="1:12" s="1" customFormat="1">
      <c r="A50" s="15"/>
      <c r="B50" s="11" t="s">
        <v>810</v>
      </c>
      <c r="C50" s="11" t="s">
        <v>45</v>
      </c>
      <c r="D50" s="9" t="s">
        <v>176</v>
      </c>
      <c r="E50" s="16" t="s">
        <v>128</v>
      </c>
      <c r="F50" s="72"/>
      <c r="G50" s="17" t="s">
        <v>1121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1213</v>
      </c>
      <c r="C51" s="11" t="s">
        <v>45</v>
      </c>
      <c r="D51" s="9" t="s">
        <v>178</v>
      </c>
      <c r="E51" s="16" t="s">
        <v>128</v>
      </c>
      <c r="F51" s="72"/>
      <c r="G51" s="17" t="s">
        <v>1215</v>
      </c>
      <c r="H51" s="18"/>
      <c r="I51" s="17"/>
      <c r="J51" s="19" t="s">
        <v>133</v>
      </c>
      <c r="K51" s="19" t="s">
        <v>202</v>
      </c>
      <c r="L51" s="19" t="s">
        <v>67</v>
      </c>
    </row>
    <row r="52" spans="1:12" s="1" customFormat="1">
      <c r="A52" s="15"/>
      <c r="B52" s="11" t="s">
        <v>221</v>
      </c>
      <c r="C52" s="11" t="s">
        <v>45</v>
      </c>
      <c r="D52" s="9" t="s">
        <v>177</v>
      </c>
      <c r="E52" s="16" t="s">
        <v>128</v>
      </c>
      <c r="F52" s="72"/>
      <c r="G52" s="17" t="s">
        <v>1256</v>
      </c>
      <c r="H52" s="18"/>
      <c r="I52" s="17"/>
      <c r="J52" s="19" t="s">
        <v>133</v>
      </c>
      <c r="K52" s="19" t="s">
        <v>204</v>
      </c>
      <c r="L52" s="19" t="s">
        <v>67</v>
      </c>
    </row>
    <row r="53" spans="1:12" s="1" customFormat="1">
      <c r="A53" s="15"/>
      <c r="B53" s="11" t="s">
        <v>1212</v>
      </c>
      <c r="C53" s="11" t="s">
        <v>45</v>
      </c>
      <c r="D53" s="9" t="s">
        <v>180</v>
      </c>
      <c r="E53" s="16" t="s">
        <v>128</v>
      </c>
      <c r="F53" s="72"/>
      <c r="G53" s="17" t="s">
        <v>1214</v>
      </c>
      <c r="H53" s="18"/>
      <c r="I53" s="17"/>
      <c r="J53" s="19" t="s">
        <v>133</v>
      </c>
      <c r="K53" s="19" t="s">
        <v>202</v>
      </c>
      <c r="L53" s="19" t="s">
        <v>67</v>
      </c>
    </row>
    <row r="54" spans="1:12" s="1" customFormat="1">
      <c r="A54" s="15"/>
      <c r="B54" s="11" t="s">
        <v>222</v>
      </c>
      <c r="C54" s="11" t="s">
        <v>45</v>
      </c>
      <c r="D54" s="9" t="s">
        <v>179</v>
      </c>
      <c r="E54" s="16" t="s">
        <v>128</v>
      </c>
      <c r="F54" s="72"/>
      <c r="G54" s="17" t="s">
        <v>1123</v>
      </c>
      <c r="H54" s="18"/>
      <c r="I54" s="17"/>
      <c r="J54" s="19" t="s">
        <v>133</v>
      </c>
      <c r="K54" s="19" t="s">
        <v>204</v>
      </c>
      <c r="L54" s="19" t="s">
        <v>67</v>
      </c>
    </row>
    <row r="55" spans="1:12" s="1" customFormat="1">
      <c r="A55" s="15"/>
      <c r="B55" s="89" t="s">
        <v>1384</v>
      </c>
      <c r="C55" s="11" t="s">
        <v>45</v>
      </c>
      <c r="D55" s="9" t="s">
        <v>643</v>
      </c>
      <c r="E55" s="16" t="s">
        <v>128</v>
      </c>
      <c r="F55" s="72"/>
      <c r="G55" s="17" t="s">
        <v>768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89" t="s">
        <v>1385</v>
      </c>
      <c r="C56" s="11" t="s">
        <v>45</v>
      </c>
      <c r="D56" s="9" t="s">
        <v>813</v>
      </c>
      <c r="E56" s="16" t="s">
        <v>128</v>
      </c>
      <c r="F56" s="72"/>
      <c r="G56" s="17" t="s">
        <v>1124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89" t="s">
        <v>1386</v>
      </c>
      <c r="C57" s="11" t="s">
        <v>45</v>
      </c>
      <c r="D57" s="9" t="s">
        <v>500</v>
      </c>
      <c r="E57" s="16" t="s">
        <v>128</v>
      </c>
      <c r="F57" s="72"/>
      <c r="G57" s="17" t="s">
        <v>1125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205</v>
      </c>
      <c r="C58" s="11" t="s">
        <v>45</v>
      </c>
      <c r="D58" s="9" t="s">
        <v>147</v>
      </c>
      <c r="E58" s="16" t="s">
        <v>128</v>
      </c>
      <c r="F58" s="72"/>
      <c r="G58" s="17" t="s">
        <v>1126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206</v>
      </c>
      <c r="C59" s="11" t="s">
        <v>280</v>
      </c>
      <c r="D59" s="9" t="s">
        <v>820</v>
      </c>
      <c r="E59" s="16" t="s">
        <v>128</v>
      </c>
      <c r="F59" s="72"/>
      <c r="G59" s="17" t="s">
        <v>1081</v>
      </c>
      <c r="H59" s="18"/>
      <c r="I59" s="17"/>
      <c r="J59" s="19" t="s">
        <v>133</v>
      </c>
      <c r="K59" s="19" t="s">
        <v>202</v>
      </c>
      <c r="L59" s="19" t="s">
        <v>67</v>
      </c>
    </row>
    <row r="60" spans="1:12" s="1" customFormat="1">
      <c r="A60" s="15"/>
      <c r="B60" s="89" t="s">
        <v>1387</v>
      </c>
      <c r="C60" s="11" t="s">
        <v>45</v>
      </c>
      <c r="D60" s="9" t="s">
        <v>1018</v>
      </c>
      <c r="E60" s="16" t="s">
        <v>128</v>
      </c>
      <c r="F60" s="72"/>
      <c r="G60" s="17" t="s">
        <v>1127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89" t="s">
        <v>1388</v>
      </c>
      <c r="C61" s="11" t="s">
        <v>45</v>
      </c>
      <c r="D61" s="9" t="s">
        <v>1019</v>
      </c>
      <c r="E61" s="16" t="s">
        <v>128</v>
      </c>
      <c r="F61" s="72"/>
      <c r="G61" s="17" t="s">
        <v>1128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89" t="s">
        <v>1389</v>
      </c>
      <c r="C62" s="11" t="s">
        <v>45</v>
      </c>
      <c r="D62" s="9" t="s">
        <v>1020</v>
      </c>
      <c r="E62" s="16" t="s">
        <v>128</v>
      </c>
      <c r="F62" s="72"/>
      <c r="G62" s="17" t="s">
        <v>1129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89" t="s">
        <v>1390</v>
      </c>
      <c r="C63" s="11" t="s">
        <v>45</v>
      </c>
      <c r="D63" s="9" t="s">
        <v>1021</v>
      </c>
      <c r="E63" s="16" t="s">
        <v>128</v>
      </c>
      <c r="F63" s="72"/>
      <c r="G63" s="17" t="s">
        <v>1130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89" t="s">
        <v>1391</v>
      </c>
      <c r="C64" s="11" t="s">
        <v>45</v>
      </c>
      <c r="D64" s="9" t="s">
        <v>1042</v>
      </c>
      <c r="E64" s="16" t="s">
        <v>128</v>
      </c>
      <c r="F64" s="72"/>
      <c r="G64" s="17" t="s">
        <v>1131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1049</v>
      </c>
      <c r="C65" s="11" t="s">
        <v>45</v>
      </c>
      <c r="D65" s="9" t="s">
        <v>153</v>
      </c>
      <c r="E65" s="16" t="s">
        <v>128</v>
      </c>
      <c r="F65" s="72"/>
      <c r="G65" s="17" t="s">
        <v>1262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823</v>
      </c>
      <c r="C66" s="11" t="s">
        <v>280</v>
      </c>
      <c r="D66" s="9" t="s">
        <v>1474</v>
      </c>
      <c r="E66" s="16" t="s">
        <v>128</v>
      </c>
      <c r="F66" s="72"/>
      <c r="G66" s="17" t="s">
        <v>1082</v>
      </c>
      <c r="H66" s="18"/>
      <c r="I66" s="17"/>
      <c r="J66" s="19" t="s">
        <v>133</v>
      </c>
      <c r="K66" s="19" t="s">
        <v>202</v>
      </c>
      <c r="L66" s="19" t="s">
        <v>67</v>
      </c>
    </row>
    <row r="67" spans="1:12" s="1" customFormat="1">
      <c r="A67" s="15"/>
      <c r="B67" s="89" t="s">
        <v>1392</v>
      </c>
      <c r="C67" s="11" t="s">
        <v>45</v>
      </c>
      <c r="D67" s="9" t="s">
        <v>1026</v>
      </c>
      <c r="E67" s="16" t="s">
        <v>128</v>
      </c>
      <c r="F67" s="72"/>
      <c r="G67" s="17" t="s">
        <v>1133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89" t="s">
        <v>1393</v>
      </c>
      <c r="C68" s="11" t="s">
        <v>45</v>
      </c>
      <c r="D68" s="9" t="s">
        <v>1027</v>
      </c>
      <c r="E68" s="16" t="s">
        <v>128</v>
      </c>
      <c r="F68" s="72"/>
      <c r="G68" s="17" t="s">
        <v>1134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89" t="s">
        <v>1394</v>
      </c>
      <c r="C69" s="11" t="s">
        <v>45</v>
      </c>
      <c r="D69" s="9" t="s">
        <v>1028</v>
      </c>
      <c r="E69" s="16" t="s">
        <v>128</v>
      </c>
      <c r="F69" s="72"/>
      <c r="G69" s="17" t="s">
        <v>1135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89" t="s">
        <v>1395</v>
      </c>
      <c r="C70" s="11" t="s">
        <v>45</v>
      </c>
      <c r="D70" s="9" t="s">
        <v>1029</v>
      </c>
      <c r="E70" s="16" t="s">
        <v>128</v>
      </c>
      <c r="F70" s="72"/>
      <c r="G70" s="17" t="s">
        <v>1136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89" t="s">
        <v>1396</v>
      </c>
      <c r="C71" s="11" t="s">
        <v>45</v>
      </c>
      <c r="D71" s="9" t="s">
        <v>1043</v>
      </c>
      <c r="E71" s="16" t="s">
        <v>128</v>
      </c>
      <c r="F71" s="72"/>
      <c r="G71" s="17" t="s">
        <v>1137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1084</v>
      </c>
      <c r="C72" s="11" t="s">
        <v>280</v>
      </c>
      <c r="D72" s="9" t="s">
        <v>1086</v>
      </c>
      <c r="E72" s="16" t="s">
        <v>128</v>
      </c>
      <c r="F72" s="72"/>
      <c r="G72" s="17" t="s">
        <v>1087</v>
      </c>
      <c r="H72" s="18"/>
      <c r="I72" s="17"/>
      <c r="J72" s="19" t="s">
        <v>133</v>
      </c>
      <c r="K72" s="19" t="s">
        <v>202</v>
      </c>
      <c r="L72" s="19" t="s">
        <v>67</v>
      </c>
    </row>
    <row r="73" spans="1:12" s="1" customFormat="1">
      <c r="A73" s="15"/>
      <c r="B73" s="11" t="s">
        <v>1083</v>
      </c>
      <c r="C73" s="11" t="s">
        <v>280</v>
      </c>
      <c r="D73" s="9" t="s">
        <v>841</v>
      </c>
      <c r="E73" s="16" t="s">
        <v>128</v>
      </c>
      <c r="F73" s="72"/>
      <c r="G73" s="17" t="s">
        <v>1866</v>
      </c>
      <c r="H73" s="18"/>
      <c r="I73" s="17"/>
      <c r="J73" s="19" t="s">
        <v>133</v>
      </c>
      <c r="K73" s="19" t="s">
        <v>202</v>
      </c>
      <c r="L73" s="19" t="s">
        <v>67</v>
      </c>
    </row>
    <row r="74" spans="1:12" s="1" customFormat="1">
      <c r="A74" s="15"/>
      <c r="B74" s="89" t="s">
        <v>1397</v>
      </c>
      <c r="C74" s="11" t="s">
        <v>45</v>
      </c>
      <c r="D74" s="9" t="s">
        <v>1038</v>
      </c>
      <c r="E74" s="16" t="s">
        <v>128</v>
      </c>
      <c r="F74" s="72"/>
      <c r="G74" s="17" t="s">
        <v>1138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89" t="s">
        <v>1398</v>
      </c>
      <c r="C75" s="11" t="s">
        <v>45</v>
      </c>
      <c r="D75" s="9" t="s">
        <v>1039</v>
      </c>
      <c r="E75" s="16" t="s">
        <v>128</v>
      </c>
      <c r="F75" s="72"/>
      <c r="G75" s="17" t="s">
        <v>1139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89" t="s">
        <v>1399</v>
      </c>
      <c r="C76" s="11" t="s">
        <v>45</v>
      </c>
      <c r="D76" s="9" t="s">
        <v>1040</v>
      </c>
      <c r="E76" s="16" t="s">
        <v>128</v>
      </c>
      <c r="F76" s="72"/>
      <c r="G76" s="17" t="s">
        <v>1140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89" t="s">
        <v>1400</v>
      </c>
      <c r="C77" s="11" t="s">
        <v>45</v>
      </c>
      <c r="D77" s="9" t="s">
        <v>1041</v>
      </c>
      <c r="E77" s="16" t="s">
        <v>128</v>
      </c>
      <c r="F77" s="72"/>
      <c r="G77" s="17" t="s">
        <v>1141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89" t="s">
        <v>1401</v>
      </c>
      <c r="C78" s="11" t="s">
        <v>45</v>
      </c>
      <c r="D78" s="9" t="s">
        <v>1044</v>
      </c>
      <c r="E78" s="16" t="s">
        <v>128</v>
      </c>
      <c r="F78" s="72"/>
      <c r="G78" s="17" t="s">
        <v>1142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816</v>
      </c>
      <c r="C79" s="11" t="s">
        <v>280</v>
      </c>
      <c r="D79" s="9" t="s">
        <v>839</v>
      </c>
      <c r="E79" s="16" t="s">
        <v>128</v>
      </c>
      <c r="F79" s="72"/>
      <c r="G79" s="17" t="s">
        <v>1088</v>
      </c>
      <c r="H79" s="18"/>
      <c r="I79" s="17"/>
      <c r="J79" s="19" t="s">
        <v>133</v>
      </c>
      <c r="K79" s="19" t="s">
        <v>202</v>
      </c>
      <c r="L79" s="19" t="s">
        <v>67</v>
      </c>
    </row>
    <row r="80" spans="1:12" s="1" customFormat="1">
      <c r="A80" s="15"/>
      <c r="B80" s="11" t="s">
        <v>817</v>
      </c>
      <c r="C80" s="11" t="s">
        <v>45</v>
      </c>
      <c r="D80" s="9" t="s">
        <v>658</v>
      </c>
      <c r="E80" s="16" t="s">
        <v>128</v>
      </c>
      <c r="F80" s="72"/>
      <c r="G80" s="17" t="s">
        <v>1090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818</v>
      </c>
      <c r="C81" s="11" t="s">
        <v>280</v>
      </c>
      <c r="D81" s="9" t="s">
        <v>842</v>
      </c>
      <c r="E81" s="16" t="s">
        <v>128</v>
      </c>
      <c r="F81" s="72"/>
      <c r="G81" s="17" t="s">
        <v>1091</v>
      </c>
      <c r="H81" s="18"/>
      <c r="I81" s="17"/>
      <c r="J81" s="19" t="s">
        <v>133</v>
      </c>
      <c r="K81" s="19" t="s">
        <v>202</v>
      </c>
      <c r="L81" s="19" t="s">
        <v>67</v>
      </c>
    </row>
    <row r="82" spans="1:12" s="1" customFormat="1">
      <c r="A82" s="15"/>
      <c r="B82" s="11" t="s">
        <v>819</v>
      </c>
      <c r="C82" s="11" t="s">
        <v>45</v>
      </c>
      <c r="D82" s="9" t="s">
        <v>660</v>
      </c>
      <c r="E82" s="16" t="s">
        <v>128</v>
      </c>
      <c r="F82" s="72"/>
      <c r="G82" s="17" t="s">
        <v>1093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89" t="s">
        <v>1403</v>
      </c>
      <c r="C83" s="11" t="s">
        <v>280</v>
      </c>
      <c r="D83" s="9" t="s">
        <v>505</v>
      </c>
      <c r="E83" s="16" t="s">
        <v>128</v>
      </c>
      <c r="F83" s="72"/>
      <c r="G83" s="17" t="s">
        <v>1094</v>
      </c>
      <c r="H83" s="18"/>
      <c r="I83" s="17"/>
      <c r="J83" s="19" t="s">
        <v>133</v>
      </c>
      <c r="K83" s="19" t="s">
        <v>203</v>
      </c>
      <c r="L83" s="19" t="s">
        <v>67</v>
      </c>
    </row>
    <row r="84" spans="1:12" s="1" customFormat="1">
      <c r="A84" s="15"/>
      <c r="B84" s="11" t="s">
        <v>1570</v>
      </c>
      <c r="C84" s="11" t="s">
        <v>45</v>
      </c>
      <c r="D84" s="9" t="s">
        <v>1526</v>
      </c>
      <c r="E84" s="16" t="s">
        <v>128</v>
      </c>
      <c r="F84" s="72"/>
      <c r="G84" s="17" t="s">
        <v>1571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1527</v>
      </c>
      <c r="C85" s="11" t="s">
        <v>45</v>
      </c>
      <c r="D85" s="9" t="s">
        <v>1528</v>
      </c>
      <c r="E85" s="16" t="s">
        <v>128</v>
      </c>
      <c r="F85" s="72"/>
      <c r="G85" s="17" t="s">
        <v>1572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1529</v>
      </c>
      <c r="C86" s="11" t="s">
        <v>45</v>
      </c>
      <c r="D86" s="9" t="s">
        <v>1530</v>
      </c>
      <c r="E86" s="16" t="s">
        <v>128</v>
      </c>
      <c r="F86" s="72"/>
      <c r="G86" s="17" t="s">
        <v>1573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1531</v>
      </c>
      <c r="C87" s="11" t="s">
        <v>45</v>
      </c>
      <c r="D87" s="9" t="s">
        <v>1532</v>
      </c>
      <c r="E87" s="16" t="s">
        <v>128</v>
      </c>
      <c r="F87" s="72"/>
      <c r="G87" s="17" t="s">
        <v>1574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1533</v>
      </c>
      <c r="C88" s="11" t="s">
        <v>45</v>
      </c>
      <c r="D88" s="9" t="s">
        <v>1534</v>
      </c>
      <c r="E88" s="16" t="s">
        <v>128</v>
      </c>
      <c r="F88" s="72"/>
      <c r="G88" s="17" t="s">
        <v>1575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89" t="s">
        <v>1404</v>
      </c>
      <c r="C89" s="11" t="s">
        <v>280</v>
      </c>
      <c r="D89" s="9" t="s">
        <v>506</v>
      </c>
      <c r="E89" s="16" t="s">
        <v>128</v>
      </c>
      <c r="F89" s="72"/>
      <c r="G89" s="17" t="s">
        <v>1095</v>
      </c>
      <c r="H89" s="18"/>
      <c r="I89" s="17"/>
      <c r="J89" s="19" t="s">
        <v>133</v>
      </c>
      <c r="K89" s="19" t="s">
        <v>203</v>
      </c>
      <c r="L89" s="19" t="s">
        <v>67</v>
      </c>
    </row>
    <row r="90" spans="1:12" s="1" customFormat="1">
      <c r="A90" s="15"/>
      <c r="B90" s="11" t="s">
        <v>1549</v>
      </c>
      <c r="C90" s="11" t="s">
        <v>45</v>
      </c>
      <c r="D90" s="9" t="s">
        <v>1540</v>
      </c>
      <c r="E90" s="16" t="s">
        <v>128</v>
      </c>
      <c r="F90" s="72"/>
      <c r="G90" s="17" t="s">
        <v>1576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1541</v>
      </c>
      <c r="C91" s="11" t="s">
        <v>45</v>
      </c>
      <c r="D91" s="9" t="s">
        <v>1542</v>
      </c>
      <c r="E91" s="16" t="s">
        <v>128</v>
      </c>
      <c r="F91" s="72"/>
      <c r="G91" s="17" t="s">
        <v>1577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1543</v>
      </c>
      <c r="C92" s="11" t="s">
        <v>45</v>
      </c>
      <c r="D92" s="9" t="s">
        <v>1544</v>
      </c>
      <c r="E92" s="16" t="s">
        <v>128</v>
      </c>
      <c r="F92" s="72"/>
      <c r="G92" s="17" t="s">
        <v>1578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1545</v>
      </c>
      <c r="C93" s="11" t="s">
        <v>45</v>
      </c>
      <c r="D93" s="9" t="s">
        <v>1546</v>
      </c>
      <c r="E93" s="16" t="s">
        <v>128</v>
      </c>
      <c r="F93" s="72"/>
      <c r="G93" s="17" t="s">
        <v>1579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1547</v>
      </c>
      <c r="C94" s="11" t="s">
        <v>45</v>
      </c>
      <c r="D94" s="9" t="s">
        <v>1548</v>
      </c>
      <c r="E94" s="16" t="s">
        <v>128</v>
      </c>
      <c r="F94" s="72"/>
      <c r="G94" s="17" t="s">
        <v>1580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11" t="s">
        <v>830</v>
      </c>
      <c r="C95" s="11" t="s">
        <v>45</v>
      </c>
      <c r="D95" s="9" t="s">
        <v>837</v>
      </c>
      <c r="E95" s="16" t="s">
        <v>128</v>
      </c>
      <c r="F95" s="72"/>
      <c r="G95" s="17" t="s">
        <v>1097</v>
      </c>
      <c r="H95" s="18"/>
      <c r="I95" s="17"/>
      <c r="J95" s="19" t="s">
        <v>133</v>
      </c>
      <c r="K95" s="19" t="s">
        <v>44</v>
      </c>
      <c r="L95" s="19" t="s">
        <v>67</v>
      </c>
    </row>
    <row r="96" spans="1:12" s="1" customFormat="1">
      <c r="A96" s="15"/>
      <c r="B96" s="89" t="s">
        <v>1405</v>
      </c>
      <c r="C96" s="11" t="s">
        <v>280</v>
      </c>
      <c r="D96" s="9" t="s">
        <v>836</v>
      </c>
      <c r="E96" s="16" t="s">
        <v>128</v>
      </c>
      <c r="F96" s="72"/>
      <c r="G96" s="17" t="s">
        <v>1099</v>
      </c>
      <c r="H96" s="18"/>
      <c r="I96" s="17"/>
      <c r="J96" s="19" t="s">
        <v>133</v>
      </c>
      <c r="K96" s="19" t="s">
        <v>202</v>
      </c>
      <c r="L96" s="19" t="s">
        <v>67</v>
      </c>
    </row>
    <row r="97" spans="1:12" s="1" customFormat="1">
      <c r="A97" s="15"/>
      <c r="B97" s="95" t="s">
        <v>1564</v>
      </c>
      <c r="C97" s="95" t="s">
        <v>45</v>
      </c>
      <c r="D97" s="96" t="s">
        <v>1555</v>
      </c>
      <c r="E97" s="16" t="s">
        <v>128</v>
      </c>
      <c r="F97" s="72"/>
      <c r="G97" s="17" t="s">
        <v>1581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95" t="s">
        <v>1556</v>
      </c>
      <c r="C98" s="95" t="s">
        <v>45</v>
      </c>
      <c r="D98" s="96" t="s">
        <v>1557</v>
      </c>
      <c r="E98" s="16" t="s">
        <v>128</v>
      </c>
      <c r="F98" s="72"/>
      <c r="G98" s="17" t="s">
        <v>1582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95" t="s">
        <v>1558</v>
      </c>
      <c r="C99" s="95" t="s">
        <v>45</v>
      </c>
      <c r="D99" s="96" t="s">
        <v>1559</v>
      </c>
      <c r="E99" s="16" t="s">
        <v>128</v>
      </c>
      <c r="F99" s="72"/>
      <c r="G99" s="17" t="s">
        <v>1583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95" t="s">
        <v>1560</v>
      </c>
      <c r="C100" s="95" t="s">
        <v>45</v>
      </c>
      <c r="D100" s="96" t="s">
        <v>1561</v>
      </c>
      <c r="E100" s="16" t="s">
        <v>128</v>
      </c>
      <c r="F100" s="72"/>
      <c r="G100" s="17" t="s">
        <v>1584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2" s="1" customFormat="1">
      <c r="A101" s="15"/>
      <c r="B101" s="95" t="s">
        <v>1562</v>
      </c>
      <c r="C101" s="95" t="s">
        <v>45</v>
      </c>
      <c r="D101" s="96" t="s">
        <v>1563</v>
      </c>
      <c r="E101" s="16" t="s">
        <v>128</v>
      </c>
      <c r="F101" s="72"/>
      <c r="G101" s="17" t="s">
        <v>1585</v>
      </c>
      <c r="H101" s="18"/>
      <c r="I101" s="17"/>
      <c r="J101" s="19" t="s">
        <v>133</v>
      </c>
      <c r="K101" s="19" t="s">
        <v>903</v>
      </c>
      <c r="L101" s="19" t="s">
        <v>67</v>
      </c>
    </row>
    <row r="102" spans="1:12" s="1" customFormat="1">
      <c r="A102" s="15"/>
      <c r="B102" s="11" t="s">
        <v>831</v>
      </c>
      <c r="C102" s="11" t="s">
        <v>45</v>
      </c>
      <c r="D102" s="9" t="s">
        <v>825</v>
      </c>
      <c r="E102" s="16" t="s">
        <v>128</v>
      </c>
      <c r="F102" s="72"/>
      <c r="G102" s="17" t="s">
        <v>1100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A103" s="15"/>
      <c r="B103" s="11" t="s">
        <v>1098</v>
      </c>
      <c r="C103" s="11" t="s">
        <v>280</v>
      </c>
      <c r="D103" s="9" t="s">
        <v>826</v>
      </c>
      <c r="E103" s="16" t="s">
        <v>128</v>
      </c>
      <c r="F103" s="72"/>
      <c r="G103" s="17" t="s">
        <v>1101</v>
      </c>
      <c r="H103" s="18"/>
      <c r="I103" s="17"/>
      <c r="J103" s="19" t="s">
        <v>133</v>
      </c>
      <c r="K103" s="19" t="s">
        <v>202</v>
      </c>
      <c r="L103" s="19" t="s">
        <v>67</v>
      </c>
    </row>
    <row r="104" spans="1:12" s="1" customFormat="1">
      <c r="A104" s="15"/>
      <c r="B104" s="89" t="s">
        <v>1406</v>
      </c>
      <c r="C104" s="11" t="s">
        <v>280</v>
      </c>
      <c r="D104" s="9" t="s">
        <v>833</v>
      </c>
      <c r="E104" s="16" t="s">
        <v>128</v>
      </c>
      <c r="F104" s="72"/>
      <c r="G104" s="17" t="s">
        <v>1102</v>
      </c>
      <c r="H104" s="18"/>
      <c r="I104" s="17"/>
      <c r="J104" s="19" t="s">
        <v>133</v>
      </c>
      <c r="K104" s="19" t="s">
        <v>202</v>
      </c>
      <c r="L104" s="19" t="s">
        <v>67</v>
      </c>
    </row>
    <row r="105" spans="1:12" s="1" customFormat="1">
      <c r="A105" s="15"/>
      <c r="B105" s="89" t="s">
        <v>1402</v>
      </c>
      <c r="C105" s="11" t="s">
        <v>280</v>
      </c>
      <c r="D105" s="9" t="s">
        <v>534</v>
      </c>
      <c r="E105" s="16" t="s">
        <v>128</v>
      </c>
      <c r="F105" s="72"/>
      <c r="G105" s="17" t="s">
        <v>1103</v>
      </c>
      <c r="H105" s="18"/>
      <c r="I105" s="17"/>
      <c r="J105" s="19" t="s">
        <v>133</v>
      </c>
      <c r="K105" s="19" t="s">
        <v>202</v>
      </c>
      <c r="L105" s="19" t="s">
        <v>67</v>
      </c>
    </row>
    <row r="106" spans="1:12" s="1" customFormat="1">
      <c r="A106" s="15"/>
      <c r="B106" s="11" t="s">
        <v>848</v>
      </c>
      <c r="C106" s="11" t="s">
        <v>45</v>
      </c>
      <c r="D106" s="9" t="s">
        <v>850</v>
      </c>
      <c r="E106" s="16" t="s">
        <v>128</v>
      </c>
      <c r="F106" s="72"/>
      <c r="G106" s="17" t="s">
        <v>1104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11" t="s">
        <v>849</v>
      </c>
      <c r="C107" s="11" t="s">
        <v>45</v>
      </c>
      <c r="D107" s="9" t="s">
        <v>116</v>
      </c>
      <c r="E107" s="16" t="s">
        <v>128</v>
      </c>
      <c r="F107" s="72"/>
      <c r="G107" s="17" t="s">
        <v>1105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89" t="s">
        <v>1407</v>
      </c>
      <c r="C108" s="11" t="s">
        <v>280</v>
      </c>
      <c r="D108" s="9" t="s">
        <v>502</v>
      </c>
      <c r="E108" s="16" t="s">
        <v>128</v>
      </c>
      <c r="F108" s="72"/>
      <c r="G108" s="17" t="s">
        <v>1107</v>
      </c>
      <c r="H108" s="18"/>
      <c r="I108" s="17"/>
      <c r="J108" s="19" t="s">
        <v>133</v>
      </c>
      <c r="K108" s="19" t="s">
        <v>202</v>
      </c>
      <c r="L108" s="19" t="s">
        <v>67</v>
      </c>
    </row>
    <row r="109" spans="1:12" s="1" customFormat="1">
      <c r="A109" s="15"/>
      <c r="B109" s="11" t="s">
        <v>856</v>
      </c>
      <c r="C109" s="11" t="s">
        <v>45</v>
      </c>
      <c r="D109" s="9" t="s">
        <v>857</v>
      </c>
      <c r="E109" s="16" t="s">
        <v>128</v>
      </c>
      <c r="F109" s="72"/>
      <c r="G109" s="17" t="s">
        <v>1106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11" t="s">
        <v>315</v>
      </c>
      <c r="C110" s="11" t="s">
        <v>45</v>
      </c>
      <c r="D110" s="9" t="s">
        <v>112</v>
      </c>
      <c r="E110" s="16" t="s">
        <v>128</v>
      </c>
      <c r="F110" s="72"/>
      <c r="G110" s="17" t="s">
        <v>1145</v>
      </c>
      <c r="H110" s="18"/>
      <c r="I110" s="17"/>
      <c r="J110" s="19" t="s">
        <v>133</v>
      </c>
      <c r="K110" s="19" t="s">
        <v>44</v>
      </c>
      <c r="L110" s="19" t="s">
        <v>67</v>
      </c>
    </row>
    <row r="111" spans="1:12" s="1" customFormat="1">
      <c r="A111" s="15"/>
      <c r="B111" s="89" t="s">
        <v>1408</v>
      </c>
      <c r="C111" s="11" t="s">
        <v>45</v>
      </c>
      <c r="D111" s="9" t="s">
        <v>859</v>
      </c>
      <c r="E111" s="16" t="s">
        <v>128</v>
      </c>
      <c r="F111" s="72"/>
      <c r="G111" s="17" t="s">
        <v>1146</v>
      </c>
      <c r="H111" s="18"/>
      <c r="I111" s="17"/>
      <c r="J111" s="19" t="s">
        <v>133</v>
      </c>
      <c r="K111" s="19" t="s">
        <v>44</v>
      </c>
      <c r="L111" s="19" t="s">
        <v>67</v>
      </c>
    </row>
    <row r="112" spans="1:12" s="1" customFormat="1">
      <c r="A112" s="15"/>
      <c r="B112" s="89" t="s">
        <v>1409</v>
      </c>
      <c r="C112" s="11" t="s">
        <v>45</v>
      </c>
      <c r="D112" s="9" t="s">
        <v>860</v>
      </c>
      <c r="E112" s="16" t="s">
        <v>128</v>
      </c>
      <c r="F112" s="72"/>
      <c r="G112" s="17" t="s">
        <v>1147</v>
      </c>
      <c r="H112" s="18"/>
      <c r="I112" s="17"/>
      <c r="J112" s="19" t="s">
        <v>133</v>
      </c>
      <c r="K112" s="19" t="s">
        <v>44</v>
      </c>
      <c r="L112" s="19" t="s">
        <v>67</v>
      </c>
    </row>
    <row r="113" spans="1:17" s="1" customFormat="1">
      <c r="A113" s="15"/>
      <c r="B113" s="89" t="s">
        <v>1410</v>
      </c>
      <c r="C113" s="11" t="s">
        <v>45</v>
      </c>
      <c r="D113" s="9" t="s">
        <v>861</v>
      </c>
      <c r="E113" s="16" t="s">
        <v>128</v>
      </c>
      <c r="F113" s="72"/>
      <c r="G113" s="17" t="s">
        <v>1148</v>
      </c>
      <c r="H113" s="18"/>
      <c r="I113" s="17"/>
      <c r="J113" s="19" t="s">
        <v>133</v>
      </c>
      <c r="K113" s="19" t="s">
        <v>44</v>
      </c>
      <c r="L113" s="19" t="s">
        <v>67</v>
      </c>
    </row>
    <row r="114" spans="1:17" s="1" customFormat="1">
      <c r="A114" s="15"/>
      <c r="B114" s="11" t="s">
        <v>871</v>
      </c>
      <c r="C114" s="11" t="s">
        <v>45</v>
      </c>
      <c r="D114" s="9" t="s">
        <v>880</v>
      </c>
      <c r="E114" s="16" t="s">
        <v>128</v>
      </c>
      <c r="F114" s="72"/>
      <c r="G114" s="17" t="s">
        <v>1149</v>
      </c>
      <c r="H114" s="18"/>
      <c r="I114" s="17"/>
      <c r="J114" s="19" t="s">
        <v>133</v>
      </c>
      <c r="K114" s="19" t="s">
        <v>44</v>
      </c>
      <c r="L114" s="19" t="s">
        <v>67</v>
      </c>
    </row>
    <row r="115" spans="1:17" s="1" customFormat="1">
      <c r="A115" s="15"/>
      <c r="B115" s="11" t="s">
        <v>872</v>
      </c>
      <c r="C115" s="11" t="s">
        <v>45</v>
      </c>
      <c r="D115" s="9" t="s">
        <v>881</v>
      </c>
      <c r="E115" s="16" t="s">
        <v>128</v>
      </c>
      <c r="F115" s="72"/>
      <c r="G115" s="17" t="s">
        <v>1150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873</v>
      </c>
      <c r="C116" s="11" t="s">
        <v>45</v>
      </c>
      <c r="D116" s="9" t="s">
        <v>882</v>
      </c>
      <c r="E116" s="16" t="s">
        <v>128</v>
      </c>
      <c r="F116" s="72"/>
      <c r="G116" s="17" t="s">
        <v>1151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1" customFormat="1">
      <c r="A117" s="15"/>
      <c r="B117" s="89" t="s">
        <v>1411</v>
      </c>
      <c r="C117" s="11" t="s">
        <v>45</v>
      </c>
      <c r="D117" s="9" t="s">
        <v>862</v>
      </c>
      <c r="E117" s="16" t="s">
        <v>128</v>
      </c>
      <c r="F117" s="72"/>
      <c r="G117" s="17" t="s">
        <v>1152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7" s="1" customFormat="1">
      <c r="A118" s="15"/>
      <c r="B118" s="89" t="s">
        <v>1412</v>
      </c>
      <c r="C118" s="11" t="s">
        <v>45</v>
      </c>
      <c r="D118" s="9" t="s">
        <v>863</v>
      </c>
      <c r="E118" s="16" t="s">
        <v>128</v>
      </c>
      <c r="F118" s="72"/>
      <c r="G118" s="17" t="s">
        <v>1153</v>
      </c>
      <c r="H118" s="18"/>
      <c r="I118" s="17"/>
      <c r="J118" s="19" t="s">
        <v>133</v>
      </c>
      <c r="K118" s="19" t="s">
        <v>44</v>
      </c>
      <c r="L118" s="19" t="s">
        <v>67</v>
      </c>
    </row>
    <row r="119" spans="1:17" s="1" customFormat="1">
      <c r="A119" s="15"/>
      <c r="B119" s="89" t="s">
        <v>1413</v>
      </c>
      <c r="C119" s="11" t="s">
        <v>45</v>
      </c>
      <c r="D119" s="9" t="s">
        <v>864</v>
      </c>
      <c r="E119" s="16" t="s">
        <v>128</v>
      </c>
      <c r="F119" s="72"/>
      <c r="G119" s="17" t="s">
        <v>1154</v>
      </c>
      <c r="H119" s="18"/>
      <c r="I119" s="17"/>
      <c r="J119" s="19" t="s">
        <v>133</v>
      </c>
      <c r="K119" s="19" t="s">
        <v>44</v>
      </c>
      <c r="L119" s="19" t="s">
        <v>67</v>
      </c>
    </row>
    <row r="120" spans="1:17" s="3" customFormat="1">
      <c r="B120" s="23" t="s">
        <v>47</v>
      </c>
      <c r="C120" s="24" t="s">
        <v>46</v>
      </c>
      <c r="D120" s="21" t="s">
        <v>48</v>
      </c>
      <c r="E120" s="44"/>
      <c r="F120" s="44"/>
      <c r="G120" s="44" t="s">
        <v>282</v>
      </c>
      <c r="H120" s="23" t="s">
        <v>282</v>
      </c>
      <c r="I120" s="23"/>
      <c r="J120" s="23"/>
      <c r="K120" s="23"/>
      <c r="L120" s="23"/>
      <c r="M120" s="23"/>
      <c r="N120" s="23"/>
      <c r="O120" s="23"/>
      <c r="P120" s="23"/>
      <c r="Q120" s="23"/>
    </row>
    <row r="121" spans="1:17" s="3" customFormat="1">
      <c r="B121" s="23" t="s">
        <v>49</v>
      </c>
      <c r="C121" s="24" t="s">
        <v>43</v>
      </c>
      <c r="D121" s="21" t="s">
        <v>50</v>
      </c>
      <c r="E121" s="44"/>
      <c r="F121" s="44"/>
      <c r="G121" s="44" t="s">
        <v>282</v>
      </c>
      <c r="H121" s="23" t="s">
        <v>282</v>
      </c>
      <c r="I121" s="23"/>
      <c r="J121" s="23"/>
      <c r="K121" s="23"/>
      <c r="L121" s="23"/>
      <c r="M121" s="23"/>
      <c r="N121" s="23"/>
      <c r="O121" s="23"/>
      <c r="P121" s="23"/>
      <c r="Q121" s="23"/>
    </row>
  </sheetData>
  <autoFilter ref="A13:Q121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3909-098D-4F95-9AF0-D5AFA9B15FDB}">
  <sheetPr codeName="Sheet25"/>
  <dimension ref="A1:Q121"/>
  <sheetViews>
    <sheetView zoomScale="85" zoomScaleNormal="85" workbookViewId="0">
      <pane ySplit="5" topLeftCell="A6" activePane="bottomLeft" state="frozen"/>
      <selection activeCell="A26" sqref="A14:XFD26"/>
      <selection pane="bottomLeft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4.109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1502</v>
      </c>
      <c r="D5" s="10" t="s">
        <v>1499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1374</v>
      </c>
      <c r="D9" s="10" t="s">
        <v>1375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3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3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3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3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95</v>
      </c>
      <c r="C22" s="11" t="s">
        <v>93</v>
      </c>
      <c r="D22" s="9" t="s">
        <v>114</v>
      </c>
      <c r="E22" s="16" t="s">
        <v>128</v>
      </c>
      <c r="F22" s="9" t="s">
        <v>1069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81</v>
      </c>
      <c r="C23" s="11" t="s">
        <v>43</v>
      </c>
      <c r="D23" s="9" t="s">
        <v>57</v>
      </c>
      <c r="E23" s="16" t="s">
        <v>128</v>
      </c>
      <c r="F23" s="17" t="s">
        <v>81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58</v>
      </c>
      <c r="C24" s="11" t="s">
        <v>43</v>
      </c>
      <c r="D24" s="9" t="s">
        <v>59</v>
      </c>
      <c r="E24" s="16" t="s">
        <v>128</v>
      </c>
      <c r="F24" s="9" t="s">
        <v>58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1503</v>
      </c>
      <c r="C25" s="11" t="s">
        <v>43</v>
      </c>
      <c r="D25" s="9" t="s">
        <v>105</v>
      </c>
      <c r="E25" s="16" t="s">
        <v>128</v>
      </c>
      <c r="F25" s="17" t="s">
        <v>82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3" s="15" customFormat="1">
      <c r="B26" s="22" t="s">
        <v>87</v>
      </c>
      <c r="C26" s="11" t="s">
        <v>43</v>
      </c>
      <c r="D26" s="9" t="s">
        <v>109</v>
      </c>
      <c r="E26" s="16" t="s">
        <v>128</v>
      </c>
      <c r="F26" s="17" t="s">
        <v>87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679</v>
      </c>
      <c r="M26" s="1"/>
    </row>
    <row r="27" spans="1:13" s="1" customFormat="1">
      <c r="A27" s="15"/>
      <c r="B27" s="11" t="s">
        <v>1072</v>
      </c>
      <c r="C27" s="11" t="s">
        <v>45</v>
      </c>
      <c r="D27" s="9" t="s">
        <v>146</v>
      </c>
      <c r="E27" s="16" t="s">
        <v>128</v>
      </c>
      <c r="F27" s="17" t="str">
        <f>VLOOKUP(B27,'12'!B:L,1,0)</f>
        <v>abnormal_cnt</v>
      </c>
      <c r="G27" s="17" t="s">
        <v>1073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3" s="1" customFormat="1">
      <c r="A28" s="15"/>
      <c r="B28" s="11" t="s">
        <v>189</v>
      </c>
      <c r="C28" s="11" t="s">
        <v>45</v>
      </c>
      <c r="D28" s="9" t="s">
        <v>190</v>
      </c>
      <c r="E28" s="16" t="s">
        <v>128</v>
      </c>
      <c r="F28" s="17" t="str">
        <f>VLOOKUP(B28,'12'!B:L,1,0)</f>
        <v>record_cnt</v>
      </c>
      <c r="G28" s="17" t="s">
        <v>1259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3" s="1" customFormat="1">
      <c r="A29" s="15"/>
      <c r="B29" s="11" t="s">
        <v>192</v>
      </c>
      <c r="C29" s="11" t="s">
        <v>45</v>
      </c>
      <c r="D29" s="9" t="s">
        <v>193</v>
      </c>
      <c r="E29" s="16" t="s">
        <v>128</v>
      </c>
      <c r="F29" s="17" t="str">
        <f>VLOOKUP(B29,'12'!B:L,1,0)</f>
        <v>speedlimit_cnt</v>
      </c>
      <c r="G29" s="17" t="s">
        <v>1074</v>
      </c>
      <c r="H29" s="18"/>
      <c r="I29" s="17"/>
      <c r="J29" s="19" t="s">
        <v>133</v>
      </c>
      <c r="K29" s="19" t="s">
        <v>132</v>
      </c>
      <c r="L29" s="19" t="s">
        <v>134</v>
      </c>
    </row>
    <row r="30" spans="1:13" s="1" customFormat="1">
      <c r="A30" s="15"/>
      <c r="B30" s="90" t="s">
        <v>3070</v>
      </c>
      <c r="C30" s="22" t="s">
        <v>45</v>
      </c>
      <c r="D30" s="9" t="s">
        <v>348</v>
      </c>
      <c r="E30" s="16" t="s">
        <v>128</v>
      </c>
      <c r="F30" s="17"/>
      <c r="G30" s="91" t="s">
        <v>1426</v>
      </c>
      <c r="H30" s="92"/>
      <c r="I30" s="91"/>
      <c r="J30" s="19" t="s">
        <v>133</v>
      </c>
      <c r="K30" s="19" t="s">
        <v>203</v>
      </c>
      <c r="L30" s="19" t="s">
        <v>134</v>
      </c>
    </row>
    <row r="31" spans="1:13" s="1" customFormat="1">
      <c r="A31" s="15"/>
      <c r="B31" s="89" t="s">
        <v>3071</v>
      </c>
      <c r="C31" s="11" t="s">
        <v>45</v>
      </c>
      <c r="D31" s="9" t="s">
        <v>759</v>
      </c>
      <c r="E31" s="16" t="s">
        <v>128</v>
      </c>
      <c r="F31" s="17"/>
      <c r="G31" s="91" t="s">
        <v>1427</v>
      </c>
      <c r="H31" s="92"/>
      <c r="I31" s="91"/>
      <c r="J31" s="19" t="s">
        <v>133</v>
      </c>
      <c r="K31" s="19" t="s">
        <v>204</v>
      </c>
      <c r="L31" s="19" t="s">
        <v>134</v>
      </c>
    </row>
    <row r="32" spans="1:13" s="1" customFormat="1">
      <c r="A32" s="15"/>
      <c r="B32" s="89" t="s">
        <v>3072</v>
      </c>
      <c r="C32" s="11" t="s">
        <v>45</v>
      </c>
      <c r="D32" s="9" t="s">
        <v>160</v>
      </c>
      <c r="E32" s="16" t="s">
        <v>128</v>
      </c>
      <c r="F32" s="17"/>
      <c r="G32" s="91" t="s">
        <v>1428</v>
      </c>
      <c r="H32" s="92"/>
      <c r="I32" s="91"/>
      <c r="J32" s="19" t="s">
        <v>133</v>
      </c>
      <c r="K32" s="19" t="s">
        <v>204</v>
      </c>
      <c r="L32" s="19" t="s">
        <v>134</v>
      </c>
    </row>
    <row r="33" spans="1:12" s="1" customFormat="1">
      <c r="A33" s="15"/>
      <c r="B33" s="11" t="s">
        <v>763</v>
      </c>
      <c r="C33" s="11" t="s">
        <v>45</v>
      </c>
      <c r="D33" s="9" t="s">
        <v>181</v>
      </c>
      <c r="E33" s="16" t="s">
        <v>128</v>
      </c>
      <c r="F33" s="17"/>
      <c r="G33" s="9" t="s">
        <v>1076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805</v>
      </c>
      <c r="C34" s="11" t="s">
        <v>45</v>
      </c>
      <c r="D34" s="9" t="s">
        <v>184</v>
      </c>
      <c r="E34" s="16" t="s">
        <v>128</v>
      </c>
      <c r="F34" s="17"/>
      <c r="G34" s="17" t="s">
        <v>1110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89" t="s">
        <v>3074</v>
      </c>
      <c r="C35" s="11" t="s">
        <v>45</v>
      </c>
      <c r="D35" s="9" t="s">
        <v>1056</v>
      </c>
      <c r="E35" s="16" t="s">
        <v>128</v>
      </c>
      <c r="F35" s="17"/>
      <c r="G35" s="91" t="s">
        <v>1429</v>
      </c>
      <c r="H35" s="92"/>
      <c r="I35" s="91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89" t="s">
        <v>3073</v>
      </c>
      <c r="C36" s="11" t="s">
        <v>45</v>
      </c>
      <c r="D36" s="9" t="s">
        <v>1055</v>
      </c>
      <c r="E36" s="16" t="s">
        <v>128</v>
      </c>
      <c r="F36" s="17"/>
      <c r="G36" s="91" t="s">
        <v>1430</v>
      </c>
      <c r="H36" s="92"/>
      <c r="I36" s="91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89" t="s">
        <v>300</v>
      </c>
      <c r="C37" s="11" t="s">
        <v>45</v>
      </c>
      <c r="D37" s="9" t="s">
        <v>163</v>
      </c>
      <c r="E37" s="16" t="s">
        <v>128</v>
      </c>
      <c r="F37" s="17"/>
      <c r="G37" s="91" t="s">
        <v>1431</v>
      </c>
      <c r="H37" s="92"/>
      <c r="I37" s="91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89" t="s">
        <v>301</v>
      </c>
      <c r="C38" s="11" t="s">
        <v>45</v>
      </c>
      <c r="D38" s="9" t="s">
        <v>164</v>
      </c>
      <c r="E38" s="16" t="s">
        <v>128</v>
      </c>
      <c r="F38" s="17"/>
      <c r="G38" s="91" t="s">
        <v>1432</v>
      </c>
      <c r="H38" s="92"/>
      <c r="I38" s="91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89" t="s">
        <v>302</v>
      </c>
      <c r="C39" s="11" t="s">
        <v>45</v>
      </c>
      <c r="D39" s="9" t="s">
        <v>165</v>
      </c>
      <c r="E39" s="16" t="s">
        <v>128</v>
      </c>
      <c r="F39" s="17"/>
      <c r="G39" s="91" t="s">
        <v>1433</v>
      </c>
      <c r="H39" s="92"/>
      <c r="I39" s="91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89" t="s">
        <v>303</v>
      </c>
      <c r="C40" s="11" t="s">
        <v>45</v>
      </c>
      <c r="D40" s="9" t="s">
        <v>166</v>
      </c>
      <c r="E40" s="16" t="s">
        <v>128</v>
      </c>
      <c r="F40" s="17"/>
      <c r="G40" s="91" t="s">
        <v>1434</v>
      </c>
      <c r="H40" s="92"/>
      <c r="I40" s="91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217</v>
      </c>
      <c r="C41" s="11" t="s">
        <v>45</v>
      </c>
      <c r="D41" s="9" t="s">
        <v>171</v>
      </c>
      <c r="E41" s="16" t="s">
        <v>128</v>
      </c>
      <c r="F41" s="17"/>
      <c r="G41" s="17" t="s">
        <v>1116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218</v>
      </c>
      <c r="C42" s="11" t="s">
        <v>45</v>
      </c>
      <c r="D42" s="9" t="s">
        <v>172</v>
      </c>
      <c r="E42" s="16" t="s">
        <v>128</v>
      </c>
      <c r="F42" s="17"/>
      <c r="G42" s="17" t="s">
        <v>1117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219</v>
      </c>
      <c r="C43" s="11" t="s">
        <v>45</v>
      </c>
      <c r="D43" s="9" t="s">
        <v>173</v>
      </c>
      <c r="E43" s="16" t="s">
        <v>128</v>
      </c>
      <c r="F43" s="17"/>
      <c r="G43" s="17" t="s">
        <v>1118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220</v>
      </c>
      <c r="C44" s="11" t="s">
        <v>45</v>
      </c>
      <c r="D44" s="9" t="s">
        <v>174</v>
      </c>
      <c r="E44" s="16" t="s">
        <v>128</v>
      </c>
      <c r="F44" s="17"/>
      <c r="G44" s="17" t="s">
        <v>1119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89" t="s">
        <v>304</v>
      </c>
      <c r="C45" s="11" t="s">
        <v>45</v>
      </c>
      <c r="D45" s="9" t="s">
        <v>1260</v>
      </c>
      <c r="E45" s="16" t="s">
        <v>128</v>
      </c>
      <c r="F45" s="17"/>
      <c r="G45" s="91" t="s">
        <v>1435</v>
      </c>
      <c r="H45" s="92"/>
      <c r="I45" s="91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89" t="s">
        <v>305</v>
      </c>
      <c r="C46" s="11" t="s">
        <v>45</v>
      </c>
      <c r="D46" s="9" t="s">
        <v>1261</v>
      </c>
      <c r="E46" s="16" t="s">
        <v>128</v>
      </c>
      <c r="F46" s="17"/>
      <c r="G46" s="91" t="s">
        <v>1436</v>
      </c>
      <c r="H46" s="92"/>
      <c r="I46" s="91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89" t="s">
        <v>306</v>
      </c>
      <c r="C47" s="11" t="s">
        <v>45</v>
      </c>
      <c r="D47" s="9" t="s">
        <v>167</v>
      </c>
      <c r="E47" s="16" t="s">
        <v>128</v>
      </c>
      <c r="F47" s="17"/>
      <c r="G47" s="91" t="s">
        <v>1437</v>
      </c>
      <c r="H47" s="92"/>
      <c r="I47" s="91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809</v>
      </c>
      <c r="C48" s="11" t="s">
        <v>45</v>
      </c>
      <c r="D48" s="9" t="s">
        <v>175</v>
      </c>
      <c r="E48" s="16" t="s">
        <v>128</v>
      </c>
      <c r="F48" s="17"/>
      <c r="G48" s="17" t="s">
        <v>1120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89" t="s">
        <v>1490</v>
      </c>
      <c r="C49" s="11" t="s">
        <v>45</v>
      </c>
      <c r="D49" s="9" t="s">
        <v>168</v>
      </c>
      <c r="E49" s="16" t="s">
        <v>128</v>
      </c>
      <c r="F49" s="17"/>
      <c r="G49" s="91" t="s">
        <v>1491</v>
      </c>
      <c r="H49" s="92"/>
      <c r="I49" s="91"/>
      <c r="J49" s="19" t="s">
        <v>133</v>
      </c>
      <c r="K49" s="19" t="s">
        <v>202</v>
      </c>
      <c r="L49" s="19" t="s">
        <v>67</v>
      </c>
    </row>
    <row r="50" spans="1:12" s="1" customFormat="1">
      <c r="A50" s="15"/>
      <c r="B50" s="11" t="s">
        <v>810</v>
      </c>
      <c r="C50" s="11" t="s">
        <v>45</v>
      </c>
      <c r="D50" s="9" t="s">
        <v>176</v>
      </c>
      <c r="E50" s="16" t="s">
        <v>128</v>
      </c>
      <c r="F50" s="17"/>
      <c r="G50" s="17" t="s">
        <v>1121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1213</v>
      </c>
      <c r="C51" s="11" t="s">
        <v>45</v>
      </c>
      <c r="D51" s="9" t="s">
        <v>178</v>
      </c>
      <c r="E51" s="16" t="s">
        <v>128</v>
      </c>
      <c r="F51" s="17"/>
      <c r="G51" s="17" t="s">
        <v>1215</v>
      </c>
      <c r="H51" s="18"/>
      <c r="I51" s="17"/>
      <c r="J51" s="19" t="s">
        <v>133</v>
      </c>
      <c r="K51" s="19" t="s">
        <v>202</v>
      </c>
      <c r="L51" s="19" t="s">
        <v>67</v>
      </c>
    </row>
    <row r="52" spans="1:12" s="1" customFormat="1">
      <c r="A52" s="15"/>
      <c r="B52" s="11" t="s">
        <v>221</v>
      </c>
      <c r="C52" s="11" t="s">
        <v>45</v>
      </c>
      <c r="D52" s="9" t="s">
        <v>177</v>
      </c>
      <c r="E52" s="16" t="s">
        <v>128</v>
      </c>
      <c r="F52" s="17"/>
      <c r="G52" s="17" t="s">
        <v>1256</v>
      </c>
      <c r="H52" s="18"/>
      <c r="I52" s="17"/>
      <c r="J52" s="19" t="s">
        <v>133</v>
      </c>
      <c r="K52" s="19" t="s">
        <v>204</v>
      </c>
      <c r="L52" s="19" t="s">
        <v>67</v>
      </c>
    </row>
    <row r="53" spans="1:12" s="1" customFormat="1">
      <c r="A53" s="15"/>
      <c r="B53" s="11" t="s">
        <v>1212</v>
      </c>
      <c r="C53" s="11" t="s">
        <v>45</v>
      </c>
      <c r="D53" s="9" t="s">
        <v>180</v>
      </c>
      <c r="E53" s="16" t="s">
        <v>128</v>
      </c>
      <c r="F53" s="17"/>
      <c r="G53" s="17" t="s">
        <v>1214</v>
      </c>
      <c r="H53" s="18"/>
      <c r="I53" s="17"/>
      <c r="J53" s="19" t="s">
        <v>133</v>
      </c>
      <c r="K53" s="19" t="s">
        <v>202</v>
      </c>
      <c r="L53" s="19" t="s">
        <v>67</v>
      </c>
    </row>
    <row r="54" spans="1:12" s="1" customFormat="1">
      <c r="A54" s="15"/>
      <c r="B54" s="11" t="s">
        <v>222</v>
      </c>
      <c r="C54" s="11" t="s">
        <v>45</v>
      </c>
      <c r="D54" s="9" t="s">
        <v>179</v>
      </c>
      <c r="E54" s="16" t="s">
        <v>128</v>
      </c>
      <c r="F54" s="17"/>
      <c r="G54" s="17" t="s">
        <v>1123</v>
      </c>
      <c r="H54" s="18"/>
      <c r="I54" s="17"/>
      <c r="J54" s="19" t="s">
        <v>133</v>
      </c>
      <c r="K54" s="19" t="s">
        <v>204</v>
      </c>
      <c r="L54" s="19" t="s">
        <v>67</v>
      </c>
    </row>
    <row r="55" spans="1:12" s="1" customFormat="1">
      <c r="A55" s="15"/>
      <c r="B55" s="89" t="s">
        <v>1384</v>
      </c>
      <c r="C55" s="11" t="s">
        <v>45</v>
      </c>
      <c r="D55" s="9" t="s">
        <v>643</v>
      </c>
      <c r="E55" s="16" t="s">
        <v>128</v>
      </c>
      <c r="F55" s="17"/>
      <c r="G55" s="91" t="s">
        <v>1438</v>
      </c>
      <c r="H55" s="92"/>
      <c r="I55" s="91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89" t="s">
        <v>1385</v>
      </c>
      <c r="C56" s="11" t="s">
        <v>45</v>
      </c>
      <c r="D56" s="9" t="s">
        <v>813</v>
      </c>
      <c r="E56" s="16" t="s">
        <v>128</v>
      </c>
      <c r="F56" s="17"/>
      <c r="G56" s="91" t="s">
        <v>1439</v>
      </c>
      <c r="H56" s="92"/>
      <c r="I56" s="91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89" t="s">
        <v>1386</v>
      </c>
      <c r="C57" s="11" t="s">
        <v>45</v>
      </c>
      <c r="D57" s="9" t="s">
        <v>500</v>
      </c>
      <c r="E57" s="16" t="s">
        <v>128</v>
      </c>
      <c r="F57" s="17"/>
      <c r="G57" s="91" t="s">
        <v>1440</v>
      </c>
      <c r="H57" s="92"/>
      <c r="I57" s="91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205</v>
      </c>
      <c r="C58" s="11" t="s">
        <v>45</v>
      </c>
      <c r="D58" s="9" t="s">
        <v>147</v>
      </c>
      <c r="E58" s="16" t="s">
        <v>128</v>
      </c>
      <c r="F58" s="17"/>
      <c r="G58" s="17" t="s">
        <v>1126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206</v>
      </c>
      <c r="C59" s="11" t="s">
        <v>280</v>
      </c>
      <c r="D59" s="9" t="s">
        <v>820</v>
      </c>
      <c r="E59" s="16" t="s">
        <v>128</v>
      </c>
      <c r="F59" s="17"/>
      <c r="G59" s="17" t="s">
        <v>1081</v>
      </c>
      <c r="H59" s="18"/>
      <c r="I59" s="17"/>
      <c r="J59" s="19" t="s">
        <v>133</v>
      </c>
      <c r="K59" s="19" t="s">
        <v>202</v>
      </c>
      <c r="L59" s="19" t="s">
        <v>67</v>
      </c>
    </row>
    <row r="60" spans="1:12" s="1" customFormat="1">
      <c r="A60" s="15"/>
      <c r="B60" s="89" t="s">
        <v>1387</v>
      </c>
      <c r="C60" s="11" t="s">
        <v>45</v>
      </c>
      <c r="D60" s="9" t="s">
        <v>1018</v>
      </c>
      <c r="E60" s="16" t="s">
        <v>128</v>
      </c>
      <c r="F60" s="17"/>
      <c r="G60" s="91" t="s">
        <v>1441</v>
      </c>
      <c r="H60" s="92"/>
      <c r="I60" s="91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89" t="s">
        <v>1388</v>
      </c>
      <c r="C61" s="11" t="s">
        <v>45</v>
      </c>
      <c r="D61" s="9" t="s">
        <v>1019</v>
      </c>
      <c r="E61" s="16" t="s">
        <v>128</v>
      </c>
      <c r="F61" s="17"/>
      <c r="G61" s="91" t="s">
        <v>1442</v>
      </c>
      <c r="H61" s="92"/>
      <c r="I61" s="91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89" t="s">
        <v>1389</v>
      </c>
      <c r="C62" s="11" t="s">
        <v>45</v>
      </c>
      <c r="D62" s="9" t="s">
        <v>1020</v>
      </c>
      <c r="E62" s="16" t="s">
        <v>128</v>
      </c>
      <c r="F62" s="17"/>
      <c r="G62" s="91" t="s">
        <v>1443</v>
      </c>
      <c r="H62" s="92"/>
      <c r="I62" s="91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89" t="s">
        <v>1390</v>
      </c>
      <c r="C63" s="11" t="s">
        <v>45</v>
      </c>
      <c r="D63" s="9" t="s">
        <v>1021</v>
      </c>
      <c r="E63" s="16" t="s">
        <v>128</v>
      </c>
      <c r="F63" s="17"/>
      <c r="G63" s="91" t="s">
        <v>1444</v>
      </c>
      <c r="H63" s="92"/>
      <c r="I63" s="91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89" t="s">
        <v>1391</v>
      </c>
      <c r="C64" s="11" t="s">
        <v>45</v>
      </c>
      <c r="D64" s="9" t="s">
        <v>1042</v>
      </c>
      <c r="E64" s="16" t="s">
        <v>128</v>
      </c>
      <c r="F64" s="17"/>
      <c r="G64" s="91" t="s">
        <v>1445</v>
      </c>
      <c r="H64" s="92"/>
      <c r="I64" s="91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1049</v>
      </c>
      <c r="C65" s="11" t="s">
        <v>45</v>
      </c>
      <c r="D65" s="9" t="s">
        <v>153</v>
      </c>
      <c r="E65" s="16" t="s">
        <v>128</v>
      </c>
      <c r="F65" s="17"/>
      <c r="G65" s="17" t="s">
        <v>1262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823</v>
      </c>
      <c r="C66" s="11" t="s">
        <v>280</v>
      </c>
      <c r="D66" s="9" t="s">
        <v>1474</v>
      </c>
      <c r="E66" s="16" t="s">
        <v>128</v>
      </c>
      <c r="F66" s="17"/>
      <c r="G66" s="17" t="s">
        <v>1082</v>
      </c>
      <c r="H66" s="18"/>
      <c r="I66" s="17"/>
      <c r="J66" s="19" t="s">
        <v>133</v>
      </c>
      <c r="K66" s="19" t="s">
        <v>202</v>
      </c>
      <c r="L66" s="19" t="s">
        <v>67</v>
      </c>
    </row>
    <row r="67" spans="1:12" s="1" customFormat="1">
      <c r="A67" s="15"/>
      <c r="B67" s="89" t="s">
        <v>1392</v>
      </c>
      <c r="C67" s="11" t="s">
        <v>45</v>
      </c>
      <c r="D67" s="9" t="s">
        <v>1026</v>
      </c>
      <c r="E67" s="16" t="s">
        <v>128</v>
      </c>
      <c r="F67" s="17"/>
      <c r="G67" s="91" t="s">
        <v>1446</v>
      </c>
      <c r="H67" s="92"/>
      <c r="I67" s="91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89" t="s">
        <v>1393</v>
      </c>
      <c r="C68" s="11" t="s">
        <v>45</v>
      </c>
      <c r="D68" s="9" t="s">
        <v>1027</v>
      </c>
      <c r="E68" s="16" t="s">
        <v>128</v>
      </c>
      <c r="F68" s="17"/>
      <c r="G68" s="91" t="s">
        <v>1447</v>
      </c>
      <c r="H68" s="92"/>
      <c r="I68" s="91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89" t="s">
        <v>1394</v>
      </c>
      <c r="C69" s="11" t="s">
        <v>45</v>
      </c>
      <c r="D69" s="9" t="s">
        <v>1028</v>
      </c>
      <c r="E69" s="16" t="s">
        <v>128</v>
      </c>
      <c r="F69" s="17"/>
      <c r="G69" s="91" t="s">
        <v>1448</v>
      </c>
      <c r="H69" s="92"/>
      <c r="I69" s="91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89" t="s">
        <v>1395</v>
      </c>
      <c r="C70" s="11" t="s">
        <v>45</v>
      </c>
      <c r="D70" s="9" t="s">
        <v>1029</v>
      </c>
      <c r="E70" s="16" t="s">
        <v>128</v>
      </c>
      <c r="F70" s="17"/>
      <c r="G70" s="91" t="s">
        <v>1449</v>
      </c>
      <c r="H70" s="92"/>
      <c r="I70" s="91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89" t="s">
        <v>1396</v>
      </c>
      <c r="C71" s="11" t="s">
        <v>45</v>
      </c>
      <c r="D71" s="9" t="s">
        <v>1043</v>
      </c>
      <c r="E71" s="16" t="s">
        <v>128</v>
      </c>
      <c r="F71" s="17"/>
      <c r="G71" s="91" t="s">
        <v>1450</v>
      </c>
      <c r="H71" s="92"/>
      <c r="I71" s="91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1084</v>
      </c>
      <c r="C72" s="11" t="s">
        <v>280</v>
      </c>
      <c r="D72" s="9" t="s">
        <v>1086</v>
      </c>
      <c r="E72" s="16" t="s">
        <v>128</v>
      </c>
      <c r="F72" s="17"/>
      <c r="G72" s="17" t="s">
        <v>1087</v>
      </c>
      <c r="H72" s="18"/>
      <c r="I72" s="17"/>
      <c r="J72" s="19" t="s">
        <v>133</v>
      </c>
      <c r="K72" s="19" t="s">
        <v>202</v>
      </c>
      <c r="L72" s="19" t="s">
        <v>67</v>
      </c>
    </row>
    <row r="73" spans="1:12" s="1" customFormat="1">
      <c r="A73" s="15"/>
      <c r="B73" s="11" t="s">
        <v>1083</v>
      </c>
      <c r="C73" s="11" t="s">
        <v>280</v>
      </c>
      <c r="D73" s="9" t="s">
        <v>841</v>
      </c>
      <c r="E73" s="16" t="s">
        <v>128</v>
      </c>
      <c r="F73" s="17"/>
      <c r="G73" s="17" t="s">
        <v>1866</v>
      </c>
      <c r="H73" s="18"/>
      <c r="I73" s="17"/>
      <c r="J73" s="19" t="s">
        <v>133</v>
      </c>
      <c r="K73" s="19" t="s">
        <v>202</v>
      </c>
      <c r="L73" s="19" t="s">
        <v>67</v>
      </c>
    </row>
    <row r="74" spans="1:12" s="1" customFormat="1">
      <c r="A74" s="15"/>
      <c r="B74" s="89" t="s">
        <v>1397</v>
      </c>
      <c r="C74" s="11" t="s">
        <v>45</v>
      </c>
      <c r="D74" s="9" t="s">
        <v>1038</v>
      </c>
      <c r="E74" s="16" t="s">
        <v>128</v>
      </c>
      <c r="F74" s="17"/>
      <c r="G74" s="91" t="s">
        <v>1451</v>
      </c>
      <c r="H74" s="92"/>
      <c r="I74" s="91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89" t="s">
        <v>1398</v>
      </c>
      <c r="C75" s="11" t="s">
        <v>45</v>
      </c>
      <c r="D75" s="9" t="s">
        <v>1039</v>
      </c>
      <c r="E75" s="16" t="s">
        <v>128</v>
      </c>
      <c r="F75" s="17"/>
      <c r="G75" s="91" t="s">
        <v>1452</v>
      </c>
      <c r="H75" s="92"/>
      <c r="I75" s="91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89" t="s">
        <v>1399</v>
      </c>
      <c r="C76" s="11" t="s">
        <v>45</v>
      </c>
      <c r="D76" s="9" t="s">
        <v>1040</v>
      </c>
      <c r="E76" s="16" t="s">
        <v>128</v>
      </c>
      <c r="F76" s="17"/>
      <c r="G76" s="91" t="s">
        <v>1453</v>
      </c>
      <c r="H76" s="92"/>
      <c r="I76" s="91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89" t="s">
        <v>1400</v>
      </c>
      <c r="C77" s="11" t="s">
        <v>45</v>
      </c>
      <c r="D77" s="9" t="s">
        <v>1041</v>
      </c>
      <c r="E77" s="16" t="s">
        <v>128</v>
      </c>
      <c r="F77" s="17"/>
      <c r="G77" s="91" t="s">
        <v>1454</v>
      </c>
      <c r="H77" s="92"/>
      <c r="I77" s="91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89" t="s">
        <v>1401</v>
      </c>
      <c r="C78" s="11" t="s">
        <v>45</v>
      </c>
      <c r="D78" s="9" t="s">
        <v>1044</v>
      </c>
      <c r="E78" s="16" t="s">
        <v>128</v>
      </c>
      <c r="F78" s="17"/>
      <c r="G78" s="91" t="s">
        <v>1455</v>
      </c>
      <c r="H78" s="92"/>
      <c r="I78" s="91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816</v>
      </c>
      <c r="C79" s="11" t="s">
        <v>280</v>
      </c>
      <c r="D79" s="9" t="s">
        <v>839</v>
      </c>
      <c r="E79" s="16" t="s">
        <v>128</v>
      </c>
      <c r="F79" s="17"/>
      <c r="G79" s="17" t="s">
        <v>1088</v>
      </c>
      <c r="H79" s="18"/>
      <c r="I79" s="17"/>
      <c r="J79" s="19" t="s">
        <v>133</v>
      </c>
      <c r="K79" s="19" t="s">
        <v>202</v>
      </c>
      <c r="L79" s="19" t="s">
        <v>67</v>
      </c>
    </row>
    <row r="80" spans="1:12" s="1" customFormat="1">
      <c r="A80" s="15"/>
      <c r="B80" s="11" t="s">
        <v>817</v>
      </c>
      <c r="C80" s="11" t="s">
        <v>45</v>
      </c>
      <c r="D80" s="9" t="s">
        <v>658</v>
      </c>
      <c r="E80" s="16" t="s">
        <v>128</v>
      </c>
      <c r="F80" s="17"/>
      <c r="G80" s="17" t="s">
        <v>1090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818</v>
      </c>
      <c r="C81" s="11" t="s">
        <v>280</v>
      </c>
      <c r="D81" s="9" t="s">
        <v>842</v>
      </c>
      <c r="E81" s="16" t="s">
        <v>128</v>
      </c>
      <c r="F81" s="17"/>
      <c r="G81" s="17" t="s">
        <v>1091</v>
      </c>
      <c r="H81" s="18"/>
      <c r="I81" s="17"/>
      <c r="J81" s="19" t="s">
        <v>133</v>
      </c>
      <c r="K81" s="19" t="s">
        <v>202</v>
      </c>
      <c r="L81" s="19" t="s">
        <v>67</v>
      </c>
    </row>
    <row r="82" spans="1:12" s="1" customFormat="1">
      <c r="A82" s="15"/>
      <c r="B82" s="11" t="s">
        <v>819</v>
      </c>
      <c r="C82" s="11" t="s">
        <v>45</v>
      </c>
      <c r="D82" s="9" t="s">
        <v>660</v>
      </c>
      <c r="E82" s="16" t="s">
        <v>128</v>
      </c>
      <c r="F82" s="17"/>
      <c r="G82" s="17" t="s">
        <v>1093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89" t="s">
        <v>1403</v>
      </c>
      <c r="C83" s="11" t="s">
        <v>280</v>
      </c>
      <c r="D83" s="9" t="s">
        <v>505</v>
      </c>
      <c r="E83" s="16" t="s">
        <v>128</v>
      </c>
      <c r="F83" s="17"/>
      <c r="G83" s="91" t="s">
        <v>1414</v>
      </c>
      <c r="H83" s="18"/>
      <c r="I83" s="17"/>
      <c r="J83" s="19" t="s">
        <v>133</v>
      </c>
      <c r="K83" s="19" t="s">
        <v>203</v>
      </c>
      <c r="L83" s="19" t="s">
        <v>67</v>
      </c>
    </row>
    <row r="84" spans="1:12" s="1" customFormat="1">
      <c r="A84" s="15"/>
      <c r="B84" s="11" t="s">
        <v>1570</v>
      </c>
      <c r="C84" s="11" t="s">
        <v>45</v>
      </c>
      <c r="D84" s="9" t="s">
        <v>1526</v>
      </c>
      <c r="E84" s="16" t="s">
        <v>128</v>
      </c>
      <c r="F84" s="72"/>
      <c r="G84" s="17" t="s">
        <v>1571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1527</v>
      </c>
      <c r="C85" s="11" t="s">
        <v>45</v>
      </c>
      <c r="D85" s="9" t="s">
        <v>1528</v>
      </c>
      <c r="E85" s="16" t="s">
        <v>128</v>
      </c>
      <c r="F85" s="72"/>
      <c r="G85" s="17" t="s">
        <v>1572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1529</v>
      </c>
      <c r="C86" s="11" t="s">
        <v>45</v>
      </c>
      <c r="D86" s="9" t="s">
        <v>1530</v>
      </c>
      <c r="E86" s="16" t="s">
        <v>128</v>
      </c>
      <c r="F86" s="72"/>
      <c r="G86" s="17" t="s">
        <v>1573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1531</v>
      </c>
      <c r="C87" s="11" t="s">
        <v>45</v>
      </c>
      <c r="D87" s="9" t="s">
        <v>1532</v>
      </c>
      <c r="E87" s="16" t="s">
        <v>128</v>
      </c>
      <c r="F87" s="72"/>
      <c r="G87" s="17" t="s">
        <v>1574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1533</v>
      </c>
      <c r="C88" s="11" t="s">
        <v>45</v>
      </c>
      <c r="D88" s="9" t="s">
        <v>1534</v>
      </c>
      <c r="E88" s="16" t="s">
        <v>128</v>
      </c>
      <c r="F88" s="72"/>
      <c r="G88" s="17" t="s">
        <v>1575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89" t="s">
        <v>1404</v>
      </c>
      <c r="C89" s="11" t="s">
        <v>280</v>
      </c>
      <c r="D89" s="9" t="s">
        <v>506</v>
      </c>
      <c r="E89" s="16" t="s">
        <v>128</v>
      </c>
      <c r="F89" s="17"/>
      <c r="G89" s="91" t="s">
        <v>1415</v>
      </c>
      <c r="H89" s="18"/>
      <c r="I89" s="17"/>
      <c r="J89" s="19" t="s">
        <v>133</v>
      </c>
      <c r="K89" s="19" t="s">
        <v>203</v>
      </c>
      <c r="L89" s="19" t="s">
        <v>67</v>
      </c>
    </row>
    <row r="90" spans="1:12" s="1" customFormat="1">
      <c r="A90" s="15"/>
      <c r="B90" s="11" t="s">
        <v>1549</v>
      </c>
      <c r="C90" s="11" t="s">
        <v>45</v>
      </c>
      <c r="D90" s="9" t="s">
        <v>1540</v>
      </c>
      <c r="E90" s="16" t="s">
        <v>128</v>
      </c>
      <c r="F90" s="72"/>
      <c r="G90" s="17" t="s">
        <v>1576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1541</v>
      </c>
      <c r="C91" s="11" t="s">
        <v>45</v>
      </c>
      <c r="D91" s="9" t="s">
        <v>1542</v>
      </c>
      <c r="E91" s="16" t="s">
        <v>128</v>
      </c>
      <c r="F91" s="72"/>
      <c r="G91" s="17" t="s">
        <v>1577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1543</v>
      </c>
      <c r="C92" s="11" t="s">
        <v>45</v>
      </c>
      <c r="D92" s="9" t="s">
        <v>1544</v>
      </c>
      <c r="E92" s="16" t="s">
        <v>128</v>
      </c>
      <c r="F92" s="72"/>
      <c r="G92" s="17" t="s">
        <v>1578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1545</v>
      </c>
      <c r="C93" s="11" t="s">
        <v>45</v>
      </c>
      <c r="D93" s="9" t="s">
        <v>1546</v>
      </c>
      <c r="E93" s="16" t="s">
        <v>128</v>
      </c>
      <c r="F93" s="72"/>
      <c r="G93" s="17" t="s">
        <v>1579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1547</v>
      </c>
      <c r="C94" s="11" t="s">
        <v>45</v>
      </c>
      <c r="D94" s="9" t="s">
        <v>1548</v>
      </c>
      <c r="E94" s="16" t="s">
        <v>128</v>
      </c>
      <c r="F94" s="72"/>
      <c r="G94" s="17" t="s">
        <v>1580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11" t="s">
        <v>830</v>
      </c>
      <c r="C95" s="11" t="s">
        <v>45</v>
      </c>
      <c r="D95" s="9" t="s">
        <v>837</v>
      </c>
      <c r="E95" s="16" t="s">
        <v>128</v>
      </c>
      <c r="F95" s="17"/>
      <c r="G95" s="17" t="s">
        <v>1097</v>
      </c>
      <c r="H95" s="18"/>
      <c r="I95" s="17"/>
      <c r="J95" s="19" t="s">
        <v>133</v>
      </c>
      <c r="K95" s="19" t="s">
        <v>44</v>
      </c>
      <c r="L95" s="19" t="s">
        <v>67</v>
      </c>
    </row>
    <row r="96" spans="1:12" s="1" customFormat="1">
      <c r="A96" s="15"/>
      <c r="B96" s="89" t="s">
        <v>1405</v>
      </c>
      <c r="C96" s="11" t="s">
        <v>280</v>
      </c>
      <c r="D96" s="9" t="s">
        <v>836</v>
      </c>
      <c r="E96" s="16" t="s">
        <v>128</v>
      </c>
      <c r="F96" s="17"/>
      <c r="G96" s="91" t="s">
        <v>1416</v>
      </c>
      <c r="H96" s="18"/>
      <c r="I96" s="17"/>
      <c r="J96" s="19" t="s">
        <v>133</v>
      </c>
      <c r="K96" s="19" t="s">
        <v>202</v>
      </c>
      <c r="L96" s="19" t="s">
        <v>67</v>
      </c>
    </row>
    <row r="97" spans="1:12" s="1" customFormat="1">
      <c r="A97" s="15"/>
      <c r="B97" s="95" t="s">
        <v>1564</v>
      </c>
      <c r="C97" s="95" t="s">
        <v>45</v>
      </c>
      <c r="D97" s="96" t="s">
        <v>1555</v>
      </c>
      <c r="E97" s="16" t="s">
        <v>128</v>
      </c>
      <c r="F97" s="72"/>
      <c r="G97" s="17" t="s">
        <v>1581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95" t="s">
        <v>1556</v>
      </c>
      <c r="C98" s="95" t="s">
        <v>45</v>
      </c>
      <c r="D98" s="96" t="s">
        <v>1557</v>
      </c>
      <c r="E98" s="16" t="s">
        <v>128</v>
      </c>
      <c r="F98" s="72"/>
      <c r="G98" s="17" t="s">
        <v>1582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95" t="s">
        <v>1558</v>
      </c>
      <c r="C99" s="95" t="s">
        <v>45</v>
      </c>
      <c r="D99" s="96" t="s">
        <v>1559</v>
      </c>
      <c r="E99" s="16" t="s">
        <v>128</v>
      </c>
      <c r="F99" s="72"/>
      <c r="G99" s="17" t="s">
        <v>1583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95" t="s">
        <v>1560</v>
      </c>
      <c r="C100" s="95" t="s">
        <v>45</v>
      </c>
      <c r="D100" s="96" t="s">
        <v>1561</v>
      </c>
      <c r="E100" s="16" t="s">
        <v>128</v>
      </c>
      <c r="F100" s="72"/>
      <c r="G100" s="17" t="s">
        <v>1584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2" s="1" customFormat="1">
      <c r="A101" s="15"/>
      <c r="B101" s="95" t="s">
        <v>1562</v>
      </c>
      <c r="C101" s="95" t="s">
        <v>45</v>
      </c>
      <c r="D101" s="96" t="s">
        <v>1563</v>
      </c>
      <c r="E101" s="16" t="s">
        <v>128</v>
      </c>
      <c r="F101" s="72"/>
      <c r="G101" s="17" t="s">
        <v>1585</v>
      </c>
      <c r="H101" s="18"/>
      <c r="I101" s="17"/>
      <c r="J101" s="19" t="s">
        <v>133</v>
      </c>
      <c r="K101" s="19" t="s">
        <v>903</v>
      </c>
      <c r="L101" s="19" t="s">
        <v>67</v>
      </c>
    </row>
    <row r="102" spans="1:12" s="1" customFormat="1">
      <c r="A102" s="15"/>
      <c r="B102" s="11" t="s">
        <v>831</v>
      </c>
      <c r="C102" s="11" t="s">
        <v>45</v>
      </c>
      <c r="D102" s="9" t="s">
        <v>825</v>
      </c>
      <c r="E102" s="16" t="s">
        <v>128</v>
      </c>
      <c r="F102" s="17"/>
      <c r="G102" s="17" t="s">
        <v>1100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A103" s="15"/>
      <c r="B103" s="11" t="s">
        <v>1098</v>
      </c>
      <c r="C103" s="11" t="s">
        <v>280</v>
      </c>
      <c r="D103" s="9" t="s">
        <v>826</v>
      </c>
      <c r="E103" s="16" t="s">
        <v>128</v>
      </c>
      <c r="F103" s="17"/>
      <c r="G103" s="17" t="s">
        <v>1101</v>
      </c>
      <c r="H103" s="18"/>
      <c r="I103" s="17"/>
      <c r="J103" s="19" t="s">
        <v>133</v>
      </c>
      <c r="K103" s="19" t="s">
        <v>202</v>
      </c>
      <c r="L103" s="19" t="s">
        <v>67</v>
      </c>
    </row>
    <row r="104" spans="1:12" s="1" customFormat="1">
      <c r="A104" s="15"/>
      <c r="B104" s="89" t="s">
        <v>1406</v>
      </c>
      <c r="C104" s="11" t="s">
        <v>280</v>
      </c>
      <c r="D104" s="9" t="s">
        <v>833</v>
      </c>
      <c r="E104" s="16" t="s">
        <v>128</v>
      </c>
      <c r="F104" s="17"/>
      <c r="G104" s="91" t="s">
        <v>1419</v>
      </c>
      <c r="H104" s="18"/>
      <c r="I104" s="17"/>
      <c r="J104" s="19" t="s">
        <v>133</v>
      </c>
      <c r="K104" s="19" t="s">
        <v>202</v>
      </c>
      <c r="L104" s="19" t="s">
        <v>67</v>
      </c>
    </row>
    <row r="105" spans="1:12" s="1" customFormat="1">
      <c r="A105" s="15"/>
      <c r="B105" s="89" t="s">
        <v>1402</v>
      </c>
      <c r="C105" s="11" t="s">
        <v>280</v>
      </c>
      <c r="D105" s="9" t="s">
        <v>534</v>
      </c>
      <c r="E105" s="16" t="s">
        <v>128</v>
      </c>
      <c r="F105" s="17"/>
      <c r="G105" s="91" t="s">
        <v>1422</v>
      </c>
      <c r="H105" s="18"/>
      <c r="I105" s="17"/>
      <c r="J105" s="19" t="s">
        <v>133</v>
      </c>
      <c r="K105" s="19" t="s">
        <v>202</v>
      </c>
      <c r="L105" s="19" t="s">
        <v>67</v>
      </c>
    </row>
    <row r="106" spans="1:12" s="1" customFormat="1">
      <c r="A106" s="15"/>
      <c r="B106" s="11" t="s">
        <v>848</v>
      </c>
      <c r="C106" s="11" t="s">
        <v>45</v>
      </c>
      <c r="D106" s="9" t="s">
        <v>850</v>
      </c>
      <c r="E106" s="16" t="s">
        <v>128</v>
      </c>
      <c r="F106" s="17"/>
      <c r="G106" s="17" t="s">
        <v>1104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11" t="s">
        <v>849</v>
      </c>
      <c r="C107" s="11" t="s">
        <v>45</v>
      </c>
      <c r="D107" s="9" t="s">
        <v>116</v>
      </c>
      <c r="E107" s="16" t="s">
        <v>128</v>
      </c>
      <c r="F107" s="17"/>
      <c r="G107" s="17" t="s">
        <v>1105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89" t="s">
        <v>1407</v>
      </c>
      <c r="C108" s="11" t="s">
        <v>280</v>
      </c>
      <c r="D108" s="9" t="s">
        <v>502</v>
      </c>
      <c r="E108" s="16" t="s">
        <v>128</v>
      </c>
      <c r="F108" s="17"/>
      <c r="G108" s="91" t="s">
        <v>1425</v>
      </c>
      <c r="H108" s="18"/>
      <c r="I108" s="17"/>
      <c r="J108" s="19" t="s">
        <v>133</v>
      </c>
      <c r="K108" s="19" t="s">
        <v>202</v>
      </c>
      <c r="L108" s="19" t="s">
        <v>67</v>
      </c>
    </row>
    <row r="109" spans="1:12" s="1" customFormat="1">
      <c r="A109" s="15"/>
      <c r="B109" s="11" t="s">
        <v>856</v>
      </c>
      <c r="C109" s="11" t="s">
        <v>45</v>
      </c>
      <c r="D109" s="9" t="s">
        <v>857</v>
      </c>
      <c r="E109" s="16" t="s">
        <v>128</v>
      </c>
      <c r="F109" s="17"/>
      <c r="G109" s="17" t="s">
        <v>1106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11" t="s">
        <v>315</v>
      </c>
      <c r="C110" s="11" t="s">
        <v>45</v>
      </c>
      <c r="D110" s="9" t="s">
        <v>112</v>
      </c>
      <c r="E110" s="16" t="s">
        <v>128</v>
      </c>
      <c r="F110" s="17"/>
      <c r="G110" s="17" t="s">
        <v>1145</v>
      </c>
      <c r="H110" s="18"/>
      <c r="I110" s="17"/>
      <c r="J110" s="19" t="s">
        <v>133</v>
      </c>
      <c r="K110" s="19" t="s">
        <v>44</v>
      </c>
      <c r="L110" s="19" t="s">
        <v>67</v>
      </c>
    </row>
    <row r="111" spans="1:12" s="1" customFormat="1">
      <c r="A111" s="15"/>
      <c r="B111" s="89" t="s">
        <v>1408</v>
      </c>
      <c r="C111" s="11" t="s">
        <v>45</v>
      </c>
      <c r="D111" s="9" t="s">
        <v>859</v>
      </c>
      <c r="E111" s="16" t="s">
        <v>128</v>
      </c>
      <c r="F111" s="17"/>
      <c r="G111" s="91" t="s">
        <v>1456</v>
      </c>
      <c r="H111" s="92"/>
      <c r="I111" s="91"/>
      <c r="J111" s="19" t="s">
        <v>133</v>
      </c>
      <c r="K111" s="19" t="s">
        <v>44</v>
      </c>
      <c r="L111" s="19" t="s">
        <v>67</v>
      </c>
    </row>
    <row r="112" spans="1:12" s="1" customFormat="1">
      <c r="A112" s="15"/>
      <c r="B112" s="89" t="s">
        <v>1409</v>
      </c>
      <c r="C112" s="11" t="s">
        <v>45</v>
      </c>
      <c r="D112" s="9" t="s">
        <v>860</v>
      </c>
      <c r="E112" s="16" t="s">
        <v>128</v>
      </c>
      <c r="F112" s="17"/>
      <c r="G112" s="91" t="s">
        <v>1457</v>
      </c>
      <c r="H112" s="92"/>
      <c r="I112" s="91"/>
      <c r="J112" s="19" t="s">
        <v>133</v>
      </c>
      <c r="K112" s="19" t="s">
        <v>44</v>
      </c>
      <c r="L112" s="19" t="s">
        <v>67</v>
      </c>
    </row>
    <row r="113" spans="1:17" s="1" customFormat="1">
      <c r="A113" s="15"/>
      <c r="B113" s="89" t="s">
        <v>1410</v>
      </c>
      <c r="C113" s="11" t="s">
        <v>45</v>
      </c>
      <c r="D113" s="9" t="s">
        <v>861</v>
      </c>
      <c r="E113" s="16" t="s">
        <v>128</v>
      </c>
      <c r="F113" s="17"/>
      <c r="G113" s="91" t="s">
        <v>1458</v>
      </c>
      <c r="H113" s="92"/>
      <c r="I113" s="91"/>
      <c r="J113" s="19" t="s">
        <v>133</v>
      </c>
      <c r="K113" s="19" t="s">
        <v>44</v>
      </c>
      <c r="L113" s="19" t="s">
        <v>67</v>
      </c>
    </row>
    <row r="114" spans="1:17" s="1" customFormat="1">
      <c r="A114" s="15"/>
      <c r="B114" s="11" t="s">
        <v>871</v>
      </c>
      <c r="C114" s="11" t="s">
        <v>45</v>
      </c>
      <c r="D114" s="9" t="s">
        <v>880</v>
      </c>
      <c r="E114" s="16" t="s">
        <v>128</v>
      </c>
      <c r="F114" s="17"/>
      <c r="G114" s="17" t="s">
        <v>1149</v>
      </c>
      <c r="H114" s="18"/>
      <c r="I114" s="17"/>
      <c r="J114" s="19" t="s">
        <v>133</v>
      </c>
      <c r="K114" s="19" t="s">
        <v>44</v>
      </c>
      <c r="L114" s="19" t="s">
        <v>67</v>
      </c>
    </row>
    <row r="115" spans="1:17" s="1" customFormat="1">
      <c r="A115" s="15"/>
      <c r="B115" s="11" t="s">
        <v>872</v>
      </c>
      <c r="C115" s="11" t="s">
        <v>45</v>
      </c>
      <c r="D115" s="9" t="s">
        <v>881</v>
      </c>
      <c r="E115" s="16" t="s">
        <v>128</v>
      </c>
      <c r="F115" s="17"/>
      <c r="G115" s="17" t="s">
        <v>1150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873</v>
      </c>
      <c r="C116" s="11" t="s">
        <v>45</v>
      </c>
      <c r="D116" s="9" t="s">
        <v>882</v>
      </c>
      <c r="E116" s="16" t="s">
        <v>128</v>
      </c>
      <c r="F116" s="17"/>
      <c r="G116" s="17" t="s">
        <v>1151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1" customFormat="1">
      <c r="A117" s="15"/>
      <c r="B117" s="89" t="s">
        <v>1411</v>
      </c>
      <c r="C117" s="11" t="s">
        <v>45</v>
      </c>
      <c r="D117" s="9" t="s">
        <v>862</v>
      </c>
      <c r="E117" s="16" t="s">
        <v>128</v>
      </c>
      <c r="F117" s="17"/>
      <c r="G117" s="91" t="s">
        <v>1459</v>
      </c>
      <c r="H117" s="92"/>
      <c r="I117" s="91"/>
      <c r="J117" s="19" t="s">
        <v>133</v>
      </c>
      <c r="K117" s="19" t="s">
        <v>44</v>
      </c>
      <c r="L117" s="19" t="s">
        <v>67</v>
      </c>
    </row>
    <row r="118" spans="1:17" s="1" customFormat="1">
      <c r="A118" s="15"/>
      <c r="B118" s="89" t="s">
        <v>1412</v>
      </c>
      <c r="C118" s="11" t="s">
        <v>45</v>
      </c>
      <c r="D118" s="9" t="s">
        <v>863</v>
      </c>
      <c r="E118" s="16" t="s">
        <v>128</v>
      </c>
      <c r="F118" s="17"/>
      <c r="G118" s="91" t="s">
        <v>1460</v>
      </c>
      <c r="H118" s="92"/>
      <c r="I118" s="91"/>
      <c r="J118" s="19" t="s">
        <v>133</v>
      </c>
      <c r="K118" s="19" t="s">
        <v>44</v>
      </c>
      <c r="L118" s="19" t="s">
        <v>67</v>
      </c>
    </row>
    <row r="119" spans="1:17" s="1" customFormat="1">
      <c r="A119" s="15"/>
      <c r="B119" s="89" t="s">
        <v>1413</v>
      </c>
      <c r="C119" s="11" t="s">
        <v>45</v>
      </c>
      <c r="D119" s="9" t="s">
        <v>864</v>
      </c>
      <c r="E119" s="16" t="s">
        <v>128</v>
      </c>
      <c r="F119" s="17"/>
      <c r="G119" s="91" t="s">
        <v>1461</v>
      </c>
      <c r="H119" s="92"/>
      <c r="I119" s="91"/>
      <c r="J119" s="19" t="s">
        <v>133</v>
      </c>
      <c r="K119" s="19" t="s">
        <v>44</v>
      </c>
      <c r="L119" s="19" t="s">
        <v>67</v>
      </c>
    </row>
    <row r="120" spans="1:17" s="3" customFormat="1">
      <c r="B120" s="23" t="s">
        <v>47</v>
      </c>
      <c r="C120" s="24" t="s">
        <v>46</v>
      </c>
      <c r="D120" s="21" t="s">
        <v>48</v>
      </c>
      <c r="E120" s="44"/>
      <c r="F120" s="44"/>
      <c r="G120" s="44" t="s">
        <v>282</v>
      </c>
      <c r="H120" s="23" t="s">
        <v>282</v>
      </c>
      <c r="I120" s="23"/>
      <c r="J120" s="23"/>
      <c r="K120" s="23"/>
      <c r="L120" s="23"/>
      <c r="M120" s="23"/>
      <c r="N120" s="23"/>
      <c r="O120" s="23"/>
      <c r="P120" s="23"/>
      <c r="Q120" s="23"/>
    </row>
    <row r="121" spans="1:17" s="3" customFormat="1">
      <c r="B121" s="23" t="s">
        <v>49</v>
      </c>
      <c r="C121" s="24" t="s">
        <v>43</v>
      </c>
      <c r="D121" s="21" t="s">
        <v>50</v>
      </c>
      <c r="E121" s="44"/>
      <c r="F121" s="44"/>
      <c r="G121" s="44" t="s">
        <v>282</v>
      </c>
      <c r="H121" s="23" t="s">
        <v>282</v>
      </c>
      <c r="I121" s="23"/>
      <c r="J121" s="23"/>
      <c r="K121" s="23"/>
      <c r="L121" s="23"/>
      <c r="M121" s="23"/>
      <c r="N121" s="23"/>
      <c r="O121" s="23"/>
      <c r="P121" s="23"/>
      <c r="Q121" s="23"/>
    </row>
  </sheetData>
  <autoFilter ref="A13:Q121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8F3B-823C-4ABA-813A-3504C5698C1F}">
  <sheetPr codeName="Sheet26"/>
  <dimension ref="A1:Q108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2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1515</v>
      </c>
      <c r="D5" s="10" t="s">
        <v>1516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1370</v>
      </c>
      <c r="D9" s="10" t="s">
        <v>1371</v>
      </c>
      <c r="E9" s="11" t="s">
        <v>55</v>
      </c>
      <c r="F9" s="17"/>
      <c r="G9" s="17" t="s">
        <v>1517</v>
      </c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3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3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3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3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95</v>
      </c>
      <c r="C22" s="11" t="s">
        <v>93</v>
      </c>
      <c r="D22" s="9" t="s">
        <v>114</v>
      </c>
      <c r="E22" s="16" t="s">
        <v>128</v>
      </c>
      <c r="F22" s="9" t="s">
        <v>1069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81</v>
      </c>
      <c r="C23" s="11" t="s">
        <v>43</v>
      </c>
      <c r="D23" s="9" t="s">
        <v>57</v>
      </c>
      <c r="E23" s="16" t="s">
        <v>128</v>
      </c>
      <c r="F23" s="17" t="s">
        <v>81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58</v>
      </c>
      <c r="C24" s="11" t="s">
        <v>43</v>
      </c>
      <c r="D24" s="9" t="s">
        <v>59</v>
      </c>
      <c r="E24" s="16" t="s">
        <v>128</v>
      </c>
      <c r="F24" s="9" t="s">
        <v>58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82</v>
      </c>
      <c r="C25" s="11" t="s">
        <v>43</v>
      </c>
      <c r="D25" s="9" t="s">
        <v>105</v>
      </c>
      <c r="E25" s="16" t="s">
        <v>128</v>
      </c>
      <c r="F25" s="17" t="s">
        <v>82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B26" s="22" t="s">
        <v>1493</v>
      </c>
      <c r="C26" s="62" t="s">
        <v>1494</v>
      </c>
      <c r="D26" s="9" t="s">
        <v>1495</v>
      </c>
      <c r="E26" s="16" t="s">
        <v>128</v>
      </c>
      <c r="F26" s="9" t="s">
        <v>1493</v>
      </c>
      <c r="G26" s="17" t="s">
        <v>129</v>
      </c>
      <c r="H26" s="18"/>
      <c r="I26" s="19"/>
      <c r="J26" s="19" t="s">
        <v>131</v>
      </c>
      <c r="K26" s="19" t="s">
        <v>132</v>
      </c>
      <c r="L26" s="19" t="s">
        <v>1498</v>
      </c>
    </row>
    <row r="27" spans="1:13" s="15" customFormat="1">
      <c r="B27" s="22" t="s">
        <v>87</v>
      </c>
      <c r="C27" s="11" t="s">
        <v>43</v>
      </c>
      <c r="D27" s="9" t="s">
        <v>109</v>
      </c>
      <c r="E27" s="16" t="s">
        <v>128</v>
      </c>
      <c r="F27" s="17" t="s">
        <v>87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679</v>
      </c>
      <c r="M27" s="1"/>
    </row>
    <row r="28" spans="1:13" s="1" customFormat="1">
      <c r="A28" s="15"/>
      <c r="B28" s="11" t="s">
        <v>1072</v>
      </c>
      <c r="C28" s="11" t="s">
        <v>45</v>
      </c>
      <c r="D28" s="9" t="s">
        <v>146</v>
      </c>
      <c r="E28" s="16" t="s">
        <v>128</v>
      </c>
      <c r="F28" s="17"/>
      <c r="G28" s="17" t="s">
        <v>1073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3" s="1" customFormat="1">
      <c r="A29" s="15"/>
      <c r="B29" s="11" t="s">
        <v>189</v>
      </c>
      <c r="C29" s="11" t="s">
        <v>45</v>
      </c>
      <c r="D29" s="9" t="s">
        <v>190</v>
      </c>
      <c r="E29" s="16" t="s">
        <v>128</v>
      </c>
      <c r="F29" s="17"/>
      <c r="G29" s="17" t="s">
        <v>1259</v>
      </c>
      <c r="H29" s="18"/>
      <c r="I29" s="17"/>
      <c r="J29" s="19" t="s">
        <v>133</v>
      </c>
      <c r="K29" s="19" t="s">
        <v>132</v>
      </c>
      <c r="L29" s="19" t="s">
        <v>134</v>
      </c>
    </row>
    <row r="30" spans="1:13" s="1" customFormat="1">
      <c r="A30" s="15"/>
      <c r="B30" s="11" t="s">
        <v>192</v>
      </c>
      <c r="C30" s="11" t="s">
        <v>45</v>
      </c>
      <c r="D30" s="9" t="s">
        <v>193</v>
      </c>
      <c r="E30" s="16" t="s">
        <v>128</v>
      </c>
      <c r="F30" s="17"/>
      <c r="G30" s="17" t="s">
        <v>1074</v>
      </c>
      <c r="H30" s="18"/>
      <c r="I30" s="17"/>
      <c r="J30" s="19" t="s">
        <v>133</v>
      </c>
      <c r="K30" s="19" t="s">
        <v>132</v>
      </c>
      <c r="L30" s="19" t="s">
        <v>134</v>
      </c>
    </row>
    <row r="31" spans="1:13" s="1" customFormat="1">
      <c r="A31" s="15"/>
      <c r="B31" s="90" t="s">
        <v>1623</v>
      </c>
      <c r="C31" s="22" t="s">
        <v>45</v>
      </c>
      <c r="D31" s="9" t="s">
        <v>348</v>
      </c>
      <c r="E31" s="16" t="s">
        <v>128</v>
      </c>
      <c r="F31" s="17"/>
      <c r="G31" s="17" t="s">
        <v>257</v>
      </c>
      <c r="H31" s="18"/>
      <c r="I31" s="17"/>
      <c r="J31" s="19" t="s">
        <v>133</v>
      </c>
      <c r="K31" s="19" t="s">
        <v>203</v>
      </c>
      <c r="L31" s="19" t="s">
        <v>134</v>
      </c>
    </row>
    <row r="32" spans="1:13" s="1" customFormat="1">
      <c r="A32" s="15"/>
      <c r="B32" s="89" t="s">
        <v>1632</v>
      </c>
      <c r="C32" s="11" t="s">
        <v>45</v>
      </c>
      <c r="D32" s="9" t="s">
        <v>759</v>
      </c>
      <c r="E32" s="16" t="s">
        <v>128</v>
      </c>
      <c r="F32" s="72"/>
      <c r="G32" s="17" t="s">
        <v>320</v>
      </c>
      <c r="H32" s="18"/>
      <c r="I32" s="17"/>
      <c r="J32" s="19" t="s">
        <v>133</v>
      </c>
      <c r="K32" s="19" t="s">
        <v>204</v>
      </c>
      <c r="L32" s="19" t="s">
        <v>134</v>
      </c>
    </row>
    <row r="33" spans="1:12" s="1" customFormat="1">
      <c r="A33" s="15"/>
      <c r="B33" s="89" t="s">
        <v>1633</v>
      </c>
      <c r="C33" s="11" t="s">
        <v>45</v>
      </c>
      <c r="D33" s="9" t="s">
        <v>160</v>
      </c>
      <c r="E33" s="16" t="s">
        <v>128</v>
      </c>
      <c r="F33" s="72"/>
      <c r="G33" s="17" t="s">
        <v>319</v>
      </c>
      <c r="H33" s="18"/>
      <c r="I33" s="17"/>
      <c r="J33" s="19" t="s">
        <v>133</v>
      </c>
      <c r="K33" s="19" t="s">
        <v>204</v>
      </c>
      <c r="L33" s="19" t="s">
        <v>134</v>
      </c>
    </row>
    <row r="34" spans="1:12" s="1" customFormat="1">
      <c r="A34" s="15"/>
      <c r="B34" s="11" t="s">
        <v>763</v>
      </c>
      <c r="C34" s="11" t="s">
        <v>45</v>
      </c>
      <c r="D34" s="9" t="s">
        <v>181</v>
      </c>
      <c r="E34" s="16" t="s">
        <v>128</v>
      </c>
      <c r="F34" s="72"/>
      <c r="G34" s="9" t="s">
        <v>1076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805</v>
      </c>
      <c r="C35" s="11" t="s">
        <v>45</v>
      </c>
      <c r="D35" s="9" t="s">
        <v>184</v>
      </c>
      <c r="E35" s="16" t="s">
        <v>128</v>
      </c>
      <c r="F35" s="72"/>
      <c r="G35" s="17" t="s">
        <v>1110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90" t="s">
        <v>1462</v>
      </c>
      <c r="C36" s="11" t="s">
        <v>45</v>
      </c>
      <c r="D36" s="9" t="s">
        <v>1056</v>
      </c>
      <c r="E36" s="16" t="s">
        <v>128</v>
      </c>
      <c r="F36" s="72"/>
      <c r="G36" s="17" t="s">
        <v>224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90" t="s">
        <v>1463</v>
      </c>
      <c r="C37" s="11" t="s">
        <v>45</v>
      </c>
      <c r="D37" s="9" t="s">
        <v>1055</v>
      </c>
      <c r="E37" s="16" t="s">
        <v>128</v>
      </c>
      <c r="F37" s="72"/>
      <c r="G37" s="17" t="s">
        <v>223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90" t="s">
        <v>1464</v>
      </c>
      <c r="C38" s="11" t="s">
        <v>45</v>
      </c>
      <c r="D38" s="9" t="s">
        <v>163</v>
      </c>
      <c r="E38" s="16" t="s">
        <v>128</v>
      </c>
      <c r="F38" s="72"/>
      <c r="G38" s="17" t="s">
        <v>225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90" t="s">
        <v>1465</v>
      </c>
      <c r="C39" s="11" t="s">
        <v>45</v>
      </c>
      <c r="D39" s="9" t="s">
        <v>164</v>
      </c>
      <c r="E39" s="16" t="s">
        <v>128</v>
      </c>
      <c r="F39" s="72"/>
      <c r="G39" s="17" t="s">
        <v>226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90" t="s">
        <v>1466</v>
      </c>
      <c r="C40" s="11" t="s">
        <v>45</v>
      </c>
      <c r="D40" s="9" t="s">
        <v>165</v>
      </c>
      <c r="E40" s="16" t="s">
        <v>128</v>
      </c>
      <c r="F40" s="72"/>
      <c r="G40" s="17" t="s">
        <v>1114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90" t="s">
        <v>1467</v>
      </c>
      <c r="C41" s="11" t="s">
        <v>45</v>
      </c>
      <c r="D41" s="9" t="s">
        <v>166</v>
      </c>
      <c r="E41" s="16" t="s">
        <v>128</v>
      </c>
      <c r="F41" s="72"/>
      <c r="G41" s="17" t="s">
        <v>1115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89" t="s">
        <v>304</v>
      </c>
      <c r="C42" s="11" t="s">
        <v>45</v>
      </c>
      <c r="D42" s="9" t="s">
        <v>1260</v>
      </c>
      <c r="E42" s="16" t="s">
        <v>128</v>
      </c>
      <c r="F42" s="72"/>
      <c r="G42" s="17" t="s">
        <v>227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89" t="s">
        <v>305</v>
      </c>
      <c r="C43" s="11" t="s">
        <v>45</v>
      </c>
      <c r="D43" s="9" t="s">
        <v>1261</v>
      </c>
      <c r="E43" s="16" t="s">
        <v>128</v>
      </c>
      <c r="F43" s="72"/>
      <c r="G43" s="17" t="s">
        <v>228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89" t="s">
        <v>306</v>
      </c>
      <c r="C44" s="11" t="s">
        <v>45</v>
      </c>
      <c r="D44" s="9" t="s">
        <v>167</v>
      </c>
      <c r="E44" s="16" t="s">
        <v>128</v>
      </c>
      <c r="F44" s="72"/>
      <c r="G44" s="17" t="s">
        <v>772</v>
      </c>
      <c r="H44" s="18"/>
      <c r="I44" s="17"/>
      <c r="J44" s="19" t="s">
        <v>133</v>
      </c>
      <c r="K44" s="19" t="s">
        <v>202</v>
      </c>
      <c r="L44" s="19" t="s">
        <v>67</v>
      </c>
    </row>
    <row r="45" spans="1:12" s="1" customFormat="1">
      <c r="A45" s="15"/>
      <c r="B45" s="11" t="s">
        <v>809</v>
      </c>
      <c r="C45" s="11" t="s">
        <v>45</v>
      </c>
      <c r="D45" s="9" t="s">
        <v>175</v>
      </c>
      <c r="E45" s="16" t="s">
        <v>128</v>
      </c>
      <c r="F45" s="72"/>
      <c r="G45" s="17" t="s">
        <v>1120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89" t="s">
        <v>1490</v>
      </c>
      <c r="C46" s="11" t="s">
        <v>45</v>
      </c>
      <c r="D46" s="9" t="s">
        <v>168</v>
      </c>
      <c r="E46" s="16" t="s">
        <v>128</v>
      </c>
      <c r="F46" s="72"/>
      <c r="G46" s="17" t="s">
        <v>1489</v>
      </c>
      <c r="H46" s="18"/>
      <c r="I46" s="17"/>
      <c r="J46" s="19" t="s">
        <v>133</v>
      </c>
      <c r="K46" s="19" t="s">
        <v>202</v>
      </c>
      <c r="L46" s="19" t="s">
        <v>67</v>
      </c>
    </row>
    <row r="47" spans="1:12" s="1" customFormat="1">
      <c r="A47" s="15"/>
      <c r="B47" s="11" t="s">
        <v>810</v>
      </c>
      <c r="C47" s="11" t="s">
        <v>45</v>
      </c>
      <c r="D47" s="9" t="s">
        <v>176</v>
      </c>
      <c r="E47" s="16" t="s">
        <v>128</v>
      </c>
      <c r="F47" s="72"/>
      <c r="G47" s="17" t="s">
        <v>1121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1213</v>
      </c>
      <c r="C48" s="11" t="s">
        <v>45</v>
      </c>
      <c r="D48" s="9" t="s">
        <v>178</v>
      </c>
      <c r="E48" s="16" t="s">
        <v>128</v>
      </c>
      <c r="F48" s="72"/>
      <c r="G48" s="17" t="s">
        <v>1215</v>
      </c>
      <c r="H48" s="18"/>
      <c r="I48" s="17"/>
      <c r="J48" s="19" t="s">
        <v>133</v>
      </c>
      <c r="K48" s="19" t="s">
        <v>202</v>
      </c>
      <c r="L48" s="19" t="s">
        <v>67</v>
      </c>
    </row>
    <row r="49" spans="1:12" s="1" customFormat="1">
      <c r="A49" s="15"/>
      <c r="B49" s="11" t="s">
        <v>221</v>
      </c>
      <c r="C49" s="11" t="s">
        <v>45</v>
      </c>
      <c r="D49" s="9" t="s">
        <v>177</v>
      </c>
      <c r="E49" s="16" t="s">
        <v>128</v>
      </c>
      <c r="F49" s="72"/>
      <c r="G49" s="17" t="s">
        <v>1256</v>
      </c>
      <c r="H49" s="18"/>
      <c r="I49" s="17"/>
      <c r="J49" s="19" t="s">
        <v>133</v>
      </c>
      <c r="K49" s="19" t="s">
        <v>204</v>
      </c>
      <c r="L49" s="19" t="s">
        <v>67</v>
      </c>
    </row>
    <row r="50" spans="1:12" s="1" customFormat="1">
      <c r="A50" s="15"/>
      <c r="B50" s="11" t="s">
        <v>1212</v>
      </c>
      <c r="C50" s="11" t="s">
        <v>45</v>
      </c>
      <c r="D50" s="9" t="s">
        <v>180</v>
      </c>
      <c r="E50" s="16" t="s">
        <v>128</v>
      </c>
      <c r="F50" s="72"/>
      <c r="G50" s="17" t="s">
        <v>1214</v>
      </c>
      <c r="H50" s="18"/>
      <c r="I50" s="17"/>
      <c r="J50" s="19" t="s">
        <v>133</v>
      </c>
      <c r="K50" s="19" t="s">
        <v>202</v>
      </c>
      <c r="L50" s="19" t="s">
        <v>67</v>
      </c>
    </row>
    <row r="51" spans="1:12" s="1" customFormat="1">
      <c r="A51" s="15"/>
      <c r="B51" s="11" t="s">
        <v>222</v>
      </c>
      <c r="C51" s="11" t="s">
        <v>45</v>
      </c>
      <c r="D51" s="9" t="s">
        <v>179</v>
      </c>
      <c r="E51" s="16" t="s">
        <v>128</v>
      </c>
      <c r="F51" s="72"/>
      <c r="G51" s="17" t="s">
        <v>1123</v>
      </c>
      <c r="H51" s="18"/>
      <c r="I51" s="17"/>
      <c r="J51" s="19" t="s">
        <v>133</v>
      </c>
      <c r="K51" s="19" t="s">
        <v>204</v>
      </c>
      <c r="L51" s="19" t="s">
        <v>67</v>
      </c>
    </row>
    <row r="52" spans="1:12" s="1" customFormat="1">
      <c r="A52" s="15"/>
      <c r="B52" s="89" t="s">
        <v>1384</v>
      </c>
      <c r="C52" s="11" t="s">
        <v>45</v>
      </c>
      <c r="D52" s="9" t="s">
        <v>643</v>
      </c>
      <c r="E52" s="16" t="s">
        <v>128</v>
      </c>
      <c r="F52" s="72"/>
      <c r="G52" s="17" t="s">
        <v>768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89" t="s">
        <v>1385</v>
      </c>
      <c r="C53" s="11" t="s">
        <v>45</v>
      </c>
      <c r="D53" s="9" t="s">
        <v>813</v>
      </c>
      <c r="E53" s="16" t="s">
        <v>128</v>
      </c>
      <c r="F53" s="72"/>
      <c r="G53" s="17" t="s">
        <v>1124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89" t="s">
        <v>1386</v>
      </c>
      <c r="C54" s="11" t="s">
        <v>45</v>
      </c>
      <c r="D54" s="9" t="s">
        <v>500</v>
      </c>
      <c r="E54" s="16" t="s">
        <v>128</v>
      </c>
      <c r="F54" s="72"/>
      <c r="G54" s="17" t="s">
        <v>1125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205</v>
      </c>
      <c r="C55" s="11" t="s">
        <v>45</v>
      </c>
      <c r="D55" s="9" t="s">
        <v>147</v>
      </c>
      <c r="E55" s="16" t="s">
        <v>128</v>
      </c>
      <c r="F55" s="72"/>
      <c r="G55" s="17" t="s">
        <v>1126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206</v>
      </c>
      <c r="C56" s="11" t="s">
        <v>280</v>
      </c>
      <c r="D56" s="9" t="s">
        <v>820</v>
      </c>
      <c r="E56" s="16" t="s">
        <v>128</v>
      </c>
      <c r="F56" s="72"/>
      <c r="G56" s="17" t="s">
        <v>1081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89" t="s">
        <v>1387</v>
      </c>
      <c r="C57" s="11" t="s">
        <v>45</v>
      </c>
      <c r="D57" s="9" t="s">
        <v>1018</v>
      </c>
      <c r="E57" s="16" t="s">
        <v>128</v>
      </c>
      <c r="F57" s="72"/>
      <c r="G57" s="17" t="s">
        <v>1127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89" t="s">
        <v>1388</v>
      </c>
      <c r="C58" s="11" t="s">
        <v>45</v>
      </c>
      <c r="D58" s="9" t="s">
        <v>1019</v>
      </c>
      <c r="E58" s="16" t="s">
        <v>128</v>
      </c>
      <c r="F58" s="72"/>
      <c r="G58" s="17" t="s">
        <v>1128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89" t="s">
        <v>1389</v>
      </c>
      <c r="C59" s="11" t="s">
        <v>45</v>
      </c>
      <c r="D59" s="9" t="s">
        <v>1020</v>
      </c>
      <c r="E59" s="16" t="s">
        <v>128</v>
      </c>
      <c r="F59" s="72"/>
      <c r="G59" s="17" t="s">
        <v>1129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89" t="s">
        <v>1390</v>
      </c>
      <c r="C60" s="11" t="s">
        <v>45</v>
      </c>
      <c r="D60" s="9" t="s">
        <v>1021</v>
      </c>
      <c r="E60" s="16" t="s">
        <v>128</v>
      </c>
      <c r="F60" s="72"/>
      <c r="G60" s="17" t="s">
        <v>1130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89" t="s">
        <v>1391</v>
      </c>
      <c r="C61" s="11" t="s">
        <v>45</v>
      </c>
      <c r="D61" s="9" t="s">
        <v>1042</v>
      </c>
      <c r="E61" s="16" t="s">
        <v>128</v>
      </c>
      <c r="F61" s="72"/>
      <c r="G61" s="17" t="s">
        <v>1131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1049</v>
      </c>
      <c r="C62" s="11" t="s">
        <v>45</v>
      </c>
      <c r="D62" s="9" t="s">
        <v>153</v>
      </c>
      <c r="E62" s="16" t="s">
        <v>128</v>
      </c>
      <c r="F62" s="72"/>
      <c r="G62" s="17" t="s">
        <v>1262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823</v>
      </c>
      <c r="C63" s="11" t="s">
        <v>280</v>
      </c>
      <c r="D63" s="9" t="s">
        <v>1474</v>
      </c>
      <c r="E63" s="16" t="s">
        <v>128</v>
      </c>
      <c r="F63" s="72"/>
      <c r="G63" s="17" t="s">
        <v>1082</v>
      </c>
      <c r="H63" s="18"/>
      <c r="I63" s="17"/>
      <c r="J63" s="19" t="s">
        <v>133</v>
      </c>
      <c r="K63" s="19" t="s">
        <v>202</v>
      </c>
      <c r="L63" s="19" t="s">
        <v>67</v>
      </c>
    </row>
    <row r="64" spans="1:12" s="1" customFormat="1">
      <c r="A64" s="15"/>
      <c r="B64" s="89" t="s">
        <v>1392</v>
      </c>
      <c r="C64" s="11" t="s">
        <v>45</v>
      </c>
      <c r="D64" s="9" t="s">
        <v>1026</v>
      </c>
      <c r="E64" s="16" t="s">
        <v>128</v>
      </c>
      <c r="F64" s="72"/>
      <c r="G64" s="17" t="s">
        <v>1133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89" t="s">
        <v>1393</v>
      </c>
      <c r="C65" s="11" t="s">
        <v>45</v>
      </c>
      <c r="D65" s="9" t="s">
        <v>1027</v>
      </c>
      <c r="E65" s="16" t="s">
        <v>128</v>
      </c>
      <c r="F65" s="72"/>
      <c r="G65" s="17" t="s">
        <v>1134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89" t="s">
        <v>1394</v>
      </c>
      <c r="C66" s="11" t="s">
        <v>45</v>
      </c>
      <c r="D66" s="9" t="s">
        <v>1028</v>
      </c>
      <c r="E66" s="16" t="s">
        <v>128</v>
      </c>
      <c r="F66" s="72"/>
      <c r="G66" s="17" t="s">
        <v>1135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89" t="s">
        <v>1395</v>
      </c>
      <c r="C67" s="11" t="s">
        <v>45</v>
      </c>
      <c r="D67" s="9" t="s">
        <v>1029</v>
      </c>
      <c r="E67" s="16" t="s">
        <v>128</v>
      </c>
      <c r="F67" s="72"/>
      <c r="G67" s="17" t="s">
        <v>1136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89" t="s">
        <v>1396</v>
      </c>
      <c r="C68" s="11" t="s">
        <v>45</v>
      </c>
      <c r="D68" s="9" t="s">
        <v>1043</v>
      </c>
      <c r="E68" s="16" t="s">
        <v>128</v>
      </c>
      <c r="F68" s="72"/>
      <c r="G68" s="17" t="s">
        <v>1137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1084</v>
      </c>
      <c r="C69" s="11" t="s">
        <v>280</v>
      </c>
      <c r="D69" s="9" t="s">
        <v>1086</v>
      </c>
      <c r="E69" s="16" t="s">
        <v>128</v>
      </c>
      <c r="F69" s="72"/>
      <c r="G69" s="17" t="s">
        <v>1087</v>
      </c>
      <c r="H69" s="18"/>
      <c r="I69" s="17"/>
      <c r="J69" s="19" t="s">
        <v>133</v>
      </c>
      <c r="K69" s="19" t="s">
        <v>202</v>
      </c>
      <c r="L69" s="19" t="s">
        <v>67</v>
      </c>
    </row>
    <row r="70" spans="1:12" s="1" customFormat="1">
      <c r="A70" s="15"/>
      <c r="B70" s="11" t="s">
        <v>1083</v>
      </c>
      <c r="C70" s="11" t="s">
        <v>280</v>
      </c>
      <c r="D70" s="9" t="s">
        <v>841</v>
      </c>
      <c r="E70" s="16" t="s">
        <v>128</v>
      </c>
      <c r="F70" s="72"/>
      <c r="G70" s="17" t="s">
        <v>1866</v>
      </c>
      <c r="H70" s="18"/>
      <c r="I70" s="17"/>
      <c r="J70" s="19" t="s">
        <v>133</v>
      </c>
      <c r="K70" s="19" t="s">
        <v>202</v>
      </c>
      <c r="L70" s="19" t="s">
        <v>67</v>
      </c>
    </row>
    <row r="71" spans="1:12" s="1" customFormat="1">
      <c r="A71" s="15"/>
      <c r="B71" s="89" t="s">
        <v>1397</v>
      </c>
      <c r="C71" s="11" t="s">
        <v>45</v>
      </c>
      <c r="D71" s="9" t="s">
        <v>1038</v>
      </c>
      <c r="E71" s="16" t="s">
        <v>128</v>
      </c>
      <c r="F71" s="72"/>
      <c r="G71" s="17" t="s">
        <v>1138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89" t="s">
        <v>1398</v>
      </c>
      <c r="C72" s="11" t="s">
        <v>45</v>
      </c>
      <c r="D72" s="9" t="s">
        <v>1039</v>
      </c>
      <c r="E72" s="16" t="s">
        <v>128</v>
      </c>
      <c r="F72" s="72"/>
      <c r="G72" s="17" t="s">
        <v>1139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89" t="s">
        <v>1399</v>
      </c>
      <c r="C73" s="11" t="s">
        <v>45</v>
      </c>
      <c r="D73" s="9" t="s">
        <v>1040</v>
      </c>
      <c r="E73" s="16" t="s">
        <v>128</v>
      </c>
      <c r="F73" s="72"/>
      <c r="G73" s="17" t="s">
        <v>1140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89" t="s">
        <v>1400</v>
      </c>
      <c r="C74" s="11" t="s">
        <v>45</v>
      </c>
      <c r="D74" s="9" t="s">
        <v>1041</v>
      </c>
      <c r="E74" s="16" t="s">
        <v>128</v>
      </c>
      <c r="F74" s="72"/>
      <c r="G74" s="17" t="s">
        <v>1141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89" t="s">
        <v>1401</v>
      </c>
      <c r="C75" s="11" t="s">
        <v>45</v>
      </c>
      <c r="D75" s="9" t="s">
        <v>1044</v>
      </c>
      <c r="E75" s="16" t="s">
        <v>128</v>
      </c>
      <c r="F75" s="72"/>
      <c r="G75" s="17" t="s">
        <v>1142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816</v>
      </c>
      <c r="C76" s="11" t="s">
        <v>280</v>
      </c>
      <c r="D76" s="9" t="s">
        <v>839</v>
      </c>
      <c r="E76" s="16" t="s">
        <v>128</v>
      </c>
      <c r="F76" s="72"/>
      <c r="G76" s="17" t="s">
        <v>1088</v>
      </c>
      <c r="H76" s="18"/>
      <c r="I76" s="17"/>
      <c r="J76" s="19" t="s">
        <v>133</v>
      </c>
      <c r="K76" s="19" t="s">
        <v>202</v>
      </c>
      <c r="L76" s="19" t="s">
        <v>67</v>
      </c>
    </row>
    <row r="77" spans="1:12" s="1" customFormat="1">
      <c r="A77" s="15"/>
      <c r="B77" s="11" t="s">
        <v>817</v>
      </c>
      <c r="C77" s="11" t="s">
        <v>45</v>
      </c>
      <c r="D77" s="9" t="s">
        <v>658</v>
      </c>
      <c r="E77" s="16" t="s">
        <v>128</v>
      </c>
      <c r="F77" s="72"/>
      <c r="G77" s="17" t="s">
        <v>1090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818</v>
      </c>
      <c r="C78" s="11" t="s">
        <v>280</v>
      </c>
      <c r="D78" s="9" t="s">
        <v>842</v>
      </c>
      <c r="E78" s="16" t="s">
        <v>128</v>
      </c>
      <c r="F78" s="72"/>
      <c r="G78" s="17" t="s">
        <v>1091</v>
      </c>
      <c r="H78" s="18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819</v>
      </c>
      <c r="C79" s="11" t="s">
        <v>45</v>
      </c>
      <c r="D79" s="9" t="s">
        <v>660</v>
      </c>
      <c r="E79" s="16" t="s">
        <v>128</v>
      </c>
      <c r="F79" s="72"/>
      <c r="G79" s="17" t="s">
        <v>1093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89" t="s">
        <v>1403</v>
      </c>
      <c r="C80" s="11" t="s">
        <v>280</v>
      </c>
      <c r="D80" s="9" t="s">
        <v>505</v>
      </c>
      <c r="E80" s="16" t="s">
        <v>128</v>
      </c>
      <c r="F80" s="72"/>
      <c r="G80" s="17" t="s">
        <v>1094</v>
      </c>
      <c r="H80" s="18"/>
      <c r="I80" s="17"/>
      <c r="J80" s="19" t="s">
        <v>133</v>
      </c>
      <c r="K80" s="19" t="s">
        <v>203</v>
      </c>
      <c r="L80" s="19" t="s">
        <v>67</v>
      </c>
    </row>
    <row r="81" spans="1:12" s="1" customFormat="1">
      <c r="A81" s="15"/>
      <c r="B81" s="11" t="s">
        <v>1570</v>
      </c>
      <c r="C81" s="11" t="s">
        <v>45</v>
      </c>
      <c r="D81" s="9" t="s">
        <v>1526</v>
      </c>
      <c r="E81" s="16" t="s">
        <v>128</v>
      </c>
      <c r="F81" s="72"/>
      <c r="G81" s="17" t="s">
        <v>1571</v>
      </c>
      <c r="H81" s="18"/>
      <c r="I81" s="17"/>
      <c r="J81" s="19" t="s">
        <v>133</v>
      </c>
      <c r="K81" s="19" t="s">
        <v>903</v>
      </c>
      <c r="L81" s="19" t="s">
        <v>67</v>
      </c>
    </row>
    <row r="82" spans="1:12" s="1" customFormat="1">
      <c r="A82" s="15"/>
      <c r="B82" s="11" t="s">
        <v>1527</v>
      </c>
      <c r="C82" s="11" t="s">
        <v>45</v>
      </c>
      <c r="D82" s="9" t="s">
        <v>1528</v>
      </c>
      <c r="E82" s="16" t="s">
        <v>128</v>
      </c>
      <c r="F82" s="72"/>
      <c r="G82" s="17" t="s">
        <v>1572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1529</v>
      </c>
      <c r="C83" s="11" t="s">
        <v>45</v>
      </c>
      <c r="D83" s="9" t="s">
        <v>1530</v>
      </c>
      <c r="E83" s="16" t="s">
        <v>128</v>
      </c>
      <c r="F83" s="72"/>
      <c r="G83" s="17" t="s">
        <v>1573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11" t="s">
        <v>1531</v>
      </c>
      <c r="C84" s="11" t="s">
        <v>45</v>
      </c>
      <c r="D84" s="9" t="s">
        <v>1532</v>
      </c>
      <c r="E84" s="16" t="s">
        <v>128</v>
      </c>
      <c r="F84" s="72"/>
      <c r="G84" s="17" t="s">
        <v>1574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11" t="s">
        <v>1533</v>
      </c>
      <c r="C85" s="11" t="s">
        <v>45</v>
      </c>
      <c r="D85" s="9" t="s">
        <v>1534</v>
      </c>
      <c r="E85" s="16" t="s">
        <v>128</v>
      </c>
      <c r="F85" s="72"/>
      <c r="G85" s="17" t="s">
        <v>1575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89" t="s">
        <v>1404</v>
      </c>
      <c r="C86" s="11" t="s">
        <v>280</v>
      </c>
      <c r="D86" s="9" t="s">
        <v>506</v>
      </c>
      <c r="E86" s="16" t="s">
        <v>128</v>
      </c>
      <c r="F86" s="72"/>
      <c r="G86" s="17" t="s">
        <v>1095</v>
      </c>
      <c r="H86" s="18"/>
      <c r="I86" s="17"/>
      <c r="J86" s="19" t="s">
        <v>133</v>
      </c>
      <c r="K86" s="19" t="s">
        <v>203</v>
      </c>
      <c r="L86" s="19" t="s">
        <v>67</v>
      </c>
    </row>
    <row r="87" spans="1:12" s="1" customFormat="1">
      <c r="A87" s="15"/>
      <c r="B87" s="11" t="s">
        <v>1549</v>
      </c>
      <c r="C87" s="11" t="s">
        <v>45</v>
      </c>
      <c r="D87" s="9" t="s">
        <v>1540</v>
      </c>
      <c r="E87" s="16" t="s">
        <v>128</v>
      </c>
      <c r="F87" s="72"/>
      <c r="G87" s="17" t="s">
        <v>1576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1541</v>
      </c>
      <c r="C88" s="11" t="s">
        <v>45</v>
      </c>
      <c r="D88" s="9" t="s">
        <v>1542</v>
      </c>
      <c r="E88" s="16" t="s">
        <v>128</v>
      </c>
      <c r="F88" s="72"/>
      <c r="G88" s="17" t="s">
        <v>1577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1543</v>
      </c>
      <c r="C89" s="11" t="s">
        <v>45</v>
      </c>
      <c r="D89" s="9" t="s">
        <v>1544</v>
      </c>
      <c r="E89" s="16" t="s">
        <v>128</v>
      </c>
      <c r="F89" s="72"/>
      <c r="G89" s="17" t="s">
        <v>1578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1545</v>
      </c>
      <c r="C90" s="11" t="s">
        <v>45</v>
      </c>
      <c r="D90" s="9" t="s">
        <v>1546</v>
      </c>
      <c r="E90" s="16" t="s">
        <v>128</v>
      </c>
      <c r="F90" s="72"/>
      <c r="G90" s="17" t="s">
        <v>1579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1547</v>
      </c>
      <c r="C91" s="11" t="s">
        <v>45</v>
      </c>
      <c r="D91" s="9" t="s">
        <v>1548</v>
      </c>
      <c r="E91" s="16" t="s">
        <v>128</v>
      </c>
      <c r="F91" s="72"/>
      <c r="G91" s="17" t="s">
        <v>1580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830</v>
      </c>
      <c r="C92" s="11" t="s">
        <v>45</v>
      </c>
      <c r="D92" s="9" t="s">
        <v>837</v>
      </c>
      <c r="E92" s="16" t="s">
        <v>128</v>
      </c>
      <c r="F92" s="72"/>
      <c r="G92" s="17" t="s">
        <v>1097</v>
      </c>
      <c r="H92" s="18"/>
      <c r="I92" s="17"/>
      <c r="J92" s="19" t="s">
        <v>133</v>
      </c>
      <c r="K92" s="19" t="s">
        <v>44</v>
      </c>
      <c r="L92" s="19" t="s">
        <v>67</v>
      </c>
    </row>
    <row r="93" spans="1:12" s="1" customFormat="1">
      <c r="A93" s="15"/>
      <c r="B93" s="89" t="s">
        <v>1405</v>
      </c>
      <c r="C93" s="11" t="s">
        <v>280</v>
      </c>
      <c r="D93" s="9" t="s">
        <v>836</v>
      </c>
      <c r="E93" s="16" t="s">
        <v>128</v>
      </c>
      <c r="F93" s="72"/>
      <c r="G93" s="17" t="s">
        <v>1099</v>
      </c>
      <c r="H93" s="18"/>
      <c r="I93" s="17"/>
      <c r="J93" s="19" t="s">
        <v>133</v>
      </c>
      <c r="K93" s="19" t="s">
        <v>202</v>
      </c>
      <c r="L93" s="19" t="s">
        <v>67</v>
      </c>
    </row>
    <row r="94" spans="1:12" s="1" customFormat="1">
      <c r="A94" s="15"/>
      <c r="B94" s="95" t="s">
        <v>1564</v>
      </c>
      <c r="C94" s="95" t="s">
        <v>45</v>
      </c>
      <c r="D94" s="96" t="s">
        <v>1555</v>
      </c>
      <c r="E94" s="16" t="s">
        <v>128</v>
      </c>
      <c r="F94" s="72"/>
      <c r="G94" s="17" t="s">
        <v>1581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95" t="s">
        <v>1556</v>
      </c>
      <c r="C95" s="95" t="s">
        <v>45</v>
      </c>
      <c r="D95" s="96" t="s">
        <v>1557</v>
      </c>
      <c r="E95" s="16" t="s">
        <v>128</v>
      </c>
      <c r="F95" s="72"/>
      <c r="G95" s="17" t="s">
        <v>1582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95" t="s">
        <v>1558</v>
      </c>
      <c r="C96" s="95" t="s">
        <v>45</v>
      </c>
      <c r="D96" s="96" t="s">
        <v>1559</v>
      </c>
      <c r="E96" s="16" t="s">
        <v>128</v>
      </c>
      <c r="F96" s="72"/>
      <c r="G96" s="17" t="s">
        <v>1583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7" s="1" customFormat="1">
      <c r="A97" s="15"/>
      <c r="B97" s="95" t="s">
        <v>1560</v>
      </c>
      <c r="C97" s="95" t="s">
        <v>45</v>
      </c>
      <c r="D97" s="96" t="s">
        <v>1561</v>
      </c>
      <c r="E97" s="16" t="s">
        <v>128</v>
      </c>
      <c r="F97" s="72"/>
      <c r="G97" s="17" t="s">
        <v>1584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7" s="1" customFormat="1">
      <c r="A98" s="15"/>
      <c r="B98" s="95" t="s">
        <v>1562</v>
      </c>
      <c r="C98" s="95" t="s">
        <v>45</v>
      </c>
      <c r="D98" s="96" t="s">
        <v>1563</v>
      </c>
      <c r="E98" s="16" t="s">
        <v>128</v>
      </c>
      <c r="F98" s="72"/>
      <c r="G98" s="17" t="s">
        <v>1585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7" s="1" customFormat="1">
      <c r="A99" s="15"/>
      <c r="B99" s="11" t="s">
        <v>831</v>
      </c>
      <c r="C99" s="11" t="s">
        <v>45</v>
      </c>
      <c r="D99" s="9" t="s">
        <v>825</v>
      </c>
      <c r="E99" s="16" t="s">
        <v>128</v>
      </c>
      <c r="F99" s="72"/>
      <c r="G99" s="17" t="s">
        <v>1100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7" s="1" customFormat="1">
      <c r="A100" s="15"/>
      <c r="B100" s="11" t="s">
        <v>1098</v>
      </c>
      <c r="C100" s="11" t="s">
        <v>280</v>
      </c>
      <c r="D100" s="9" t="s">
        <v>826</v>
      </c>
      <c r="E100" s="16" t="s">
        <v>128</v>
      </c>
      <c r="F100" s="72"/>
      <c r="G100" s="17" t="s">
        <v>1101</v>
      </c>
      <c r="H100" s="18"/>
      <c r="I100" s="17"/>
      <c r="J100" s="19" t="s">
        <v>133</v>
      </c>
      <c r="K100" s="19" t="s">
        <v>202</v>
      </c>
      <c r="L100" s="19" t="s">
        <v>67</v>
      </c>
    </row>
    <row r="101" spans="1:17" s="1" customFormat="1">
      <c r="A101" s="15"/>
      <c r="B101" s="89" t="s">
        <v>1406</v>
      </c>
      <c r="C101" s="11" t="s">
        <v>280</v>
      </c>
      <c r="D101" s="9" t="s">
        <v>833</v>
      </c>
      <c r="E101" s="16" t="s">
        <v>128</v>
      </c>
      <c r="F101" s="72"/>
      <c r="G101" s="17" t="s">
        <v>1102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7" s="1" customFormat="1">
      <c r="A102" s="15"/>
      <c r="B102" s="89" t="s">
        <v>1402</v>
      </c>
      <c r="C102" s="11" t="s">
        <v>280</v>
      </c>
      <c r="D102" s="9" t="s">
        <v>534</v>
      </c>
      <c r="E102" s="16" t="s">
        <v>128</v>
      </c>
      <c r="F102" s="72"/>
      <c r="G102" s="17" t="s">
        <v>1103</v>
      </c>
      <c r="H102" s="18"/>
      <c r="I102" s="17"/>
      <c r="J102" s="19" t="s">
        <v>133</v>
      </c>
      <c r="K102" s="19" t="s">
        <v>202</v>
      </c>
      <c r="L102" s="19" t="s">
        <v>67</v>
      </c>
    </row>
    <row r="103" spans="1:17" s="1" customFormat="1">
      <c r="A103" s="15"/>
      <c r="B103" s="11" t="s">
        <v>848</v>
      </c>
      <c r="C103" s="11" t="s">
        <v>45</v>
      </c>
      <c r="D103" s="9" t="s">
        <v>850</v>
      </c>
      <c r="E103" s="16" t="s">
        <v>128</v>
      </c>
      <c r="F103" s="72"/>
      <c r="G103" s="17" t="s">
        <v>1104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7" s="1" customFormat="1">
      <c r="A104" s="15"/>
      <c r="B104" s="11" t="s">
        <v>849</v>
      </c>
      <c r="C104" s="11" t="s">
        <v>45</v>
      </c>
      <c r="D104" s="9" t="s">
        <v>116</v>
      </c>
      <c r="E104" s="16" t="s">
        <v>128</v>
      </c>
      <c r="F104" s="72"/>
      <c r="G104" s="17" t="s">
        <v>1105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7" s="1" customFormat="1">
      <c r="A105" s="15"/>
      <c r="B105" s="89" t="s">
        <v>1407</v>
      </c>
      <c r="C105" s="11" t="s">
        <v>280</v>
      </c>
      <c r="D105" s="9" t="s">
        <v>502</v>
      </c>
      <c r="E105" s="16" t="s">
        <v>128</v>
      </c>
      <c r="F105" s="72"/>
      <c r="G105" s="17" t="s">
        <v>1107</v>
      </c>
      <c r="H105" s="18"/>
      <c r="I105" s="17"/>
      <c r="J105" s="19" t="s">
        <v>133</v>
      </c>
      <c r="K105" s="19" t="s">
        <v>202</v>
      </c>
      <c r="L105" s="19" t="s">
        <v>67</v>
      </c>
    </row>
    <row r="106" spans="1:17" s="1" customFormat="1">
      <c r="A106" s="15"/>
      <c r="B106" s="11" t="s">
        <v>856</v>
      </c>
      <c r="C106" s="11" t="s">
        <v>45</v>
      </c>
      <c r="D106" s="9" t="s">
        <v>857</v>
      </c>
      <c r="E106" s="16" t="s">
        <v>128</v>
      </c>
      <c r="F106" s="72"/>
      <c r="G106" s="17" t="s">
        <v>1106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7" s="3" customFormat="1">
      <c r="B107" s="23" t="s">
        <v>47</v>
      </c>
      <c r="C107" s="24" t="s">
        <v>46</v>
      </c>
      <c r="D107" s="21" t="s">
        <v>48</v>
      </c>
      <c r="E107" s="44"/>
      <c r="F107" s="44"/>
      <c r="G107" s="44" t="s">
        <v>282</v>
      </c>
      <c r="H107" s="23" t="s">
        <v>282</v>
      </c>
      <c r="I107" s="23"/>
      <c r="J107" s="23"/>
      <c r="K107" s="23"/>
      <c r="L107" s="23"/>
      <c r="M107" s="23"/>
      <c r="N107" s="23"/>
      <c r="O107" s="23"/>
      <c r="P107" s="23"/>
      <c r="Q107" s="23"/>
    </row>
    <row r="108" spans="1:17" s="3" customFormat="1">
      <c r="B108" s="23" t="s">
        <v>49</v>
      </c>
      <c r="C108" s="24" t="s">
        <v>43</v>
      </c>
      <c r="D108" s="21" t="s">
        <v>50</v>
      </c>
      <c r="E108" s="44"/>
      <c r="F108" s="44"/>
      <c r="G108" s="44" t="s">
        <v>282</v>
      </c>
      <c r="H108" s="23" t="s">
        <v>282</v>
      </c>
      <c r="I108" s="23"/>
      <c r="J108" s="23"/>
      <c r="K108" s="23"/>
      <c r="L108" s="23"/>
      <c r="M108" s="23"/>
      <c r="N108" s="23"/>
      <c r="O108" s="23"/>
      <c r="P108" s="23"/>
      <c r="Q108" s="23"/>
    </row>
  </sheetData>
  <autoFilter ref="A13:Q108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FE47-6E55-47A7-A1A6-03F66FE02514}">
  <sheetPr codeName="Sheet27"/>
  <dimension ref="A1:Q106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2.5546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1522</v>
      </c>
      <c r="D5" s="10" t="s">
        <v>1523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1515</v>
      </c>
      <c r="D9" s="10" t="s">
        <v>1516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3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3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3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3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81</v>
      </c>
      <c r="C22" s="11" t="s">
        <v>43</v>
      </c>
      <c r="D22" s="9" t="s">
        <v>57</v>
      </c>
      <c r="E22" s="16" t="s">
        <v>128</v>
      </c>
      <c r="F22" s="17" t="s">
        <v>81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58</v>
      </c>
      <c r="C23" s="11" t="s">
        <v>43</v>
      </c>
      <c r="D23" s="9" t="s">
        <v>59</v>
      </c>
      <c r="E23" s="16" t="s">
        <v>128</v>
      </c>
      <c r="F23" s="9" t="s">
        <v>58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82</v>
      </c>
      <c r="C24" s="11" t="s">
        <v>43</v>
      </c>
      <c r="D24" s="9" t="s">
        <v>105</v>
      </c>
      <c r="E24" s="16" t="s">
        <v>128</v>
      </c>
      <c r="F24" s="17" t="s">
        <v>82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3" s="15" customFormat="1">
      <c r="B25" s="22" t="s">
        <v>87</v>
      </c>
      <c r="C25" s="11" t="s">
        <v>43</v>
      </c>
      <c r="D25" s="9" t="s">
        <v>109</v>
      </c>
      <c r="E25" s="16" t="s">
        <v>128</v>
      </c>
      <c r="F25" s="17" t="s">
        <v>87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679</v>
      </c>
      <c r="M25" s="1"/>
    </row>
    <row r="26" spans="1:13" s="1" customFormat="1">
      <c r="A26" s="15"/>
      <c r="B26" s="11" t="s">
        <v>1072</v>
      </c>
      <c r="C26" s="11" t="s">
        <v>45</v>
      </c>
      <c r="D26" s="9" t="s">
        <v>146</v>
      </c>
      <c r="E26" s="16" t="s">
        <v>128</v>
      </c>
      <c r="F26" s="17"/>
      <c r="G26" s="17" t="s">
        <v>1073</v>
      </c>
      <c r="H26" s="18"/>
      <c r="I26" s="17"/>
      <c r="J26" s="19" t="s">
        <v>133</v>
      </c>
      <c r="K26" s="19" t="s">
        <v>132</v>
      </c>
      <c r="L26" s="19" t="s">
        <v>134</v>
      </c>
    </row>
    <row r="27" spans="1:13" s="1" customFormat="1">
      <c r="A27" s="15"/>
      <c r="B27" s="11" t="s">
        <v>189</v>
      </c>
      <c r="C27" s="11" t="s">
        <v>45</v>
      </c>
      <c r="D27" s="9" t="s">
        <v>190</v>
      </c>
      <c r="E27" s="16" t="s">
        <v>128</v>
      </c>
      <c r="F27" s="17"/>
      <c r="G27" s="17" t="s">
        <v>1259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3" s="1" customFormat="1">
      <c r="A28" s="15"/>
      <c r="B28" s="11" t="s">
        <v>192</v>
      </c>
      <c r="C28" s="11" t="s">
        <v>45</v>
      </c>
      <c r="D28" s="9" t="s">
        <v>193</v>
      </c>
      <c r="E28" s="16" t="s">
        <v>128</v>
      </c>
      <c r="F28" s="17"/>
      <c r="G28" s="17" t="s">
        <v>1074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3" s="1" customFormat="1">
      <c r="A29" s="15"/>
      <c r="B29" s="90" t="s">
        <v>1383</v>
      </c>
      <c r="C29" s="22" t="s">
        <v>45</v>
      </c>
      <c r="D29" s="9" t="s">
        <v>348</v>
      </c>
      <c r="E29" s="16" t="s">
        <v>128</v>
      </c>
      <c r="F29" s="17"/>
      <c r="G29" s="91" t="s">
        <v>1426</v>
      </c>
      <c r="H29" s="93"/>
      <c r="I29" s="17"/>
      <c r="J29" s="19" t="s">
        <v>133</v>
      </c>
      <c r="K29" s="19" t="s">
        <v>203</v>
      </c>
      <c r="L29" s="19" t="s">
        <v>134</v>
      </c>
    </row>
    <row r="30" spans="1:13" s="1" customFormat="1">
      <c r="A30" s="15"/>
      <c r="B30" s="89" t="s">
        <v>296</v>
      </c>
      <c r="C30" s="11" t="s">
        <v>45</v>
      </c>
      <c r="D30" s="9" t="s">
        <v>759</v>
      </c>
      <c r="E30" s="16" t="s">
        <v>128</v>
      </c>
      <c r="F30" s="17"/>
      <c r="G30" s="91" t="s">
        <v>1427</v>
      </c>
      <c r="H30" s="93"/>
      <c r="I30" s="17"/>
      <c r="J30" s="19" t="s">
        <v>133</v>
      </c>
      <c r="K30" s="19" t="s">
        <v>204</v>
      </c>
      <c r="L30" s="19" t="s">
        <v>134</v>
      </c>
    </row>
    <row r="31" spans="1:13" s="1" customFormat="1">
      <c r="A31" s="15"/>
      <c r="B31" s="89" t="s">
        <v>297</v>
      </c>
      <c r="C31" s="11" t="s">
        <v>45</v>
      </c>
      <c r="D31" s="9" t="s">
        <v>160</v>
      </c>
      <c r="E31" s="16" t="s">
        <v>128</v>
      </c>
      <c r="F31" s="17"/>
      <c r="G31" s="91" t="s">
        <v>1428</v>
      </c>
      <c r="H31" s="93"/>
      <c r="I31" s="17"/>
      <c r="J31" s="19" t="s">
        <v>133</v>
      </c>
      <c r="K31" s="19" t="s">
        <v>204</v>
      </c>
      <c r="L31" s="19" t="s">
        <v>134</v>
      </c>
    </row>
    <row r="32" spans="1:13" s="1" customFormat="1">
      <c r="A32" s="15"/>
      <c r="B32" s="11" t="s">
        <v>763</v>
      </c>
      <c r="C32" s="11" t="s">
        <v>45</v>
      </c>
      <c r="D32" s="9" t="s">
        <v>181</v>
      </c>
      <c r="E32" s="16" t="s">
        <v>128</v>
      </c>
      <c r="F32" s="17"/>
      <c r="G32" s="9" t="s">
        <v>1076</v>
      </c>
      <c r="H32" s="93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" t="s">
        <v>805</v>
      </c>
      <c r="C33" s="11" t="s">
        <v>45</v>
      </c>
      <c r="D33" s="9" t="s">
        <v>184</v>
      </c>
      <c r="E33" s="16" t="s">
        <v>128</v>
      </c>
      <c r="F33" s="17"/>
      <c r="G33" s="17" t="s">
        <v>1110</v>
      </c>
      <c r="H33" s="93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91" t="s">
        <v>299</v>
      </c>
      <c r="C34" s="11" t="s">
        <v>45</v>
      </c>
      <c r="D34" s="9" t="s">
        <v>1056</v>
      </c>
      <c r="E34" s="16" t="s">
        <v>128</v>
      </c>
      <c r="F34" s="17"/>
      <c r="G34" s="91" t="s">
        <v>1429</v>
      </c>
      <c r="H34" s="93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91" t="s">
        <v>298</v>
      </c>
      <c r="C35" s="11" t="s">
        <v>45</v>
      </c>
      <c r="D35" s="9" t="s">
        <v>1055</v>
      </c>
      <c r="E35" s="16" t="s">
        <v>128</v>
      </c>
      <c r="F35" s="17"/>
      <c r="G35" s="91" t="s">
        <v>1430</v>
      </c>
      <c r="H35" s="93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91" t="s">
        <v>300</v>
      </c>
      <c r="C36" s="11" t="s">
        <v>45</v>
      </c>
      <c r="D36" s="9" t="s">
        <v>163</v>
      </c>
      <c r="E36" s="16" t="s">
        <v>128</v>
      </c>
      <c r="F36" s="17"/>
      <c r="G36" s="91" t="s">
        <v>1431</v>
      </c>
      <c r="H36" s="93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91" t="s">
        <v>301</v>
      </c>
      <c r="C37" s="11" t="s">
        <v>45</v>
      </c>
      <c r="D37" s="9" t="s">
        <v>164</v>
      </c>
      <c r="E37" s="16" t="s">
        <v>128</v>
      </c>
      <c r="F37" s="17"/>
      <c r="G37" s="91" t="s">
        <v>1432</v>
      </c>
      <c r="H37" s="93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91" t="s">
        <v>302</v>
      </c>
      <c r="C38" s="11" t="s">
        <v>45</v>
      </c>
      <c r="D38" s="9" t="s">
        <v>165</v>
      </c>
      <c r="E38" s="16" t="s">
        <v>128</v>
      </c>
      <c r="F38" s="17"/>
      <c r="G38" s="91" t="s">
        <v>1433</v>
      </c>
      <c r="H38" s="93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91" t="s">
        <v>303</v>
      </c>
      <c r="C39" s="11" t="s">
        <v>45</v>
      </c>
      <c r="D39" s="9" t="s">
        <v>166</v>
      </c>
      <c r="E39" s="16" t="s">
        <v>128</v>
      </c>
      <c r="F39" s="17"/>
      <c r="G39" s="91" t="s">
        <v>1434</v>
      </c>
      <c r="H39" s="93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91" t="s">
        <v>304</v>
      </c>
      <c r="C40" s="11" t="s">
        <v>45</v>
      </c>
      <c r="D40" s="9" t="s">
        <v>1260</v>
      </c>
      <c r="E40" s="16" t="s">
        <v>128</v>
      </c>
      <c r="F40" s="17"/>
      <c r="G40" s="91" t="s">
        <v>1435</v>
      </c>
      <c r="H40" s="93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91" t="s">
        <v>305</v>
      </c>
      <c r="C41" s="11" t="s">
        <v>45</v>
      </c>
      <c r="D41" s="9" t="s">
        <v>1261</v>
      </c>
      <c r="E41" s="16" t="s">
        <v>128</v>
      </c>
      <c r="F41" s="17"/>
      <c r="G41" s="91" t="s">
        <v>1436</v>
      </c>
      <c r="H41" s="93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91" t="s">
        <v>306</v>
      </c>
      <c r="C42" s="11" t="s">
        <v>45</v>
      </c>
      <c r="D42" s="9" t="s">
        <v>167</v>
      </c>
      <c r="E42" s="16" t="s">
        <v>128</v>
      </c>
      <c r="F42" s="17"/>
      <c r="G42" s="91" t="s">
        <v>1437</v>
      </c>
      <c r="H42" s="93"/>
      <c r="I42" s="17"/>
      <c r="J42" s="19" t="s">
        <v>133</v>
      </c>
      <c r="K42" s="19" t="s">
        <v>202</v>
      </c>
      <c r="L42" s="19" t="s">
        <v>67</v>
      </c>
    </row>
    <row r="43" spans="1:12" s="1" customFormat="1">
      <c r="A43" s="15"/>
      <c r="B43" s="11" t="s">
        <v>809</v>
      </c>
      <c r="C43" s="11" t="s">
        <v>45</v>
      </c>
      <c r="D43" s="9" t="s">
        <v>175</v>
      </c>
      <c r="E43" s="16" t="s">
        <v>128</v>
      </c>
      <c r="F43" s="17"/>
      <c r="G43" s="17" t="s">
        <v>1120</v>
      </c>
      <c r="H43" s="93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91" t="s">
        <v>1490</v>
      </c>
      <c r="C44" s="11" t="s">
        <v>45</v>
      </c>
      <c r="D44" s="9" t="s">
        <v>168</v>
      </c>
      <c r="E44" s="16" t="s">
        <v>128</v>
      </c>
      <c r="F44" s="17"/>
      <c r="G44" s="94" t="s">
        <v>1491</v>
      </c>
      <c r="H44" s="93"/>
      <c r="I44" s="17"/>
      <c r="J44" s="19" t="s">
        <v>133</v>
      </c>
      <c r="K44" s="19" t="s">
        <v>202</v>
      </c>
      <c r="L44" s="19" t="s">
        <v>67</v>
      </c>
    </row>
    <row r="45" spans="1:12" s="1" customFormat="1">
      <c r="A45" s="15"/>
      <c r="B45" s="11" t="s">
        <v>810</v>
      </c>
      <c r="C45" s="11" t="s">
        <v>45</v>
      </c>
      <c r="D45" s="9" t="s">
        <v>176</v>
      </c>
      <c r="E45" s="16" t="s">
        <v>128</v>
      </c>
      <c r="F45" s="17"/>
      <c r="G45" s="17" t="s">
        <v>1121</v>
      </c>
      <c r="H45" s="93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1213</v>
      </c>
      <c r="C46" s="11" t="s">
        <v>45</v>
      </c>
      <c r="D46" s="9" t="s">
        <v>178</v>
      </c>
      <c r="E46" s="16" t="s">
        <v>128</v>
      </c>
      <c r="F46" s="17"/>
      <c r="G46" s="17" t="s">
        <v>1215</v>
      </c>
      <c r="H46" s="93"/>
      <c r="I46" s="17"/>
      <c r="J46" s="19" t="s">
        <v>133</v>
      </c>
      <c r="K46" s="19" t="s">
        <v>202</v>
      </c>
      <c r="L46" s="19" t="s">
        <v>67</v>
      </c>
    </row>
    <row r="47" spans="1:12" s="1" customFormat="1">
      <c r="A47" s="15"/>
      <c r="B47" s="11" t="s">
        <v>221</v>
      </c>
      <c r="C47" s="11" t="s">
        <v>45</v>
      </c>
      <c r="D47" s="9" t="s">
        <v>177</v>
      </c>
      <c r="E47" s="16" t="s">
        <v>128</v>
      </c>
      <c r="F47" s="17"/>
      <c r="G47" s="17" t="s">
        <v>1256</v>
      </c>
      <c r="H47" s="93"/>
      <c r="I47" s="17"/>
      <c r="J47" s="19" t="s">
        <v>133</v>
      </c>
      <c r="K47" s="19" t="s">
        <v>204</v>
      </c>
      <c r="L47" s="19" t="s">
        <v>67</v>
      </c>
    </row>
    <row r="48" spans="1:12" s="1" customFormat="1">
      <c r="A48" s="15"/>
      <c r="B48" s="11" t="s">
        <v>1212</v>
      </c>
      <c r="C48" s="11" t="s">
        <v>45</v>
      </c>
      <c r="D48" s="9" t="s">
        <v>180</v>
      </c>
      <c r="E48" s="16" t="s">
        <v>128</v>
      </c>
      <c r="F48" s="17"/>
      <c r="G48" s="17" t="s">
        <v>1214</v>
      </c>
      <c r="H48" s="93"/>
      <c r="I48" s="17"/>
      <c r="J48" s="19" t="s">
        <v>133</v>
      </c>
      <c r="K48" s="19" t="s">
        <v>202</v>
      </c>
      <c r="L48" s="19" t="s">
        <v>67</v>
      </c>
    </row>
    <row r="49" spans="1:12" s="1" customFormat="1">
      <c r="A49" s="15"/>
      <c r="B49" s="11" t="s">
        <v>222</v>
      </c>
      <c r="C49" s="11" t="s">
        <v>45</v>
      </c>
      <c r="D49" s="9" t="s">
        <v>179</v>
      </c>
      <c r="E49" s="16" t="s">
        <v>128</v>
      </c>
      <c r="F49" s="17"/>
      <c r="G49" s="17" t="s">
        <v>1123</v>
      </c>
      <c r="H49" s="93"/>
      <c r="I49" s="17"/>
      <c r="J49" s="19" t="s">
        <v>133</v>
      </c>
      <c r="K49" s="19" t="s">
        <v>204</v>
      </c>
      <c r="L49" s="19" t="s">
        <v>67</v>
      </c>
    </row>
    <row r="50" spans="1:12" s="1" customFormat="1">
      <c r="A50" s="15"/>
      <c r="B50" s="91" t="s">
        <v>642</v>
      </c>
      <c r="C50" s="11" t="s">
        <v>45</v>
      </c>
      <c r="D50" s="9" t="s">
        <v>643</v>
      </c>
      <c r="E50" s="16" t="s">
        <v>128</v>
      </c>
      <c r="F50" s="17"/>
      <c r="G50" s="94" t="s">
        <v>1438</v>
      </c>
      <c r="H50" s="93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91" t="s">
        <v>644</v>
      </c>
      <c r="C51" s="11" t="s">
        <v>45</v>
      </c>
      <c r="D51" s="9" t="s">
        <v>813</v>
      </c>
      <c r="E51" s="16" t="s">
        <v>128</v>
      </c>
      <c r="F51" s="17"/>
      <c r="G51" s="94" t="s">
        <v>1439</v>
      </c>
      <c r="H51" s="93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91" t="s">
        <v>1468</v>
      </c>
      <c r="C52" s="11" t="s">
        <v>45</v>
      </c>
      <c r="D52" s="9" t="s">
        <v>500</v>
      </c>
      <c r="E52" s="16" t="s">
        <v>128</v>
      </c>
      <c r="F52" s="17"/>
      <c r="G52" s="94" t="s">
        <v>1440</v>
      </c>
      <c r="H52" s="93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205</v>
      </c>
      <c r="C53" s="11" t="s">
        <v>45</v>
      </c>
      <c r="D53" s="9" t="s">
        <v>147</v>
      </c>
      <c r="E53" s="16" t="s">
        <v>128</v>
      </c>
      <c r="F53" s="17"/>
      <c r="G53" s="17" t="s">
        <v>1126</v>
      </c>
      <c r="H53" s="93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206</v>
      </c>
      <c r="C54" s="11" t="s">
        <v>280</v>
      </c>
      <c r="D54" s="9" t="s">
        <v>820</v>
      </c>
      <c r="E54" s="16" t="s">
        <v>128</v>
      </c>
      <c r="F54" s="17"/>
      <c r="G54" s="17" t="s">
        <v>1081</v>
      </c>
      <c r="H54" s="93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91" t="s">
        <v>286</v>
      </c>
      <c r="C55" s="11" t="s">
        <v>45</v>
      </c>
      <c r="D55" s="9" t="s">
        <v>1018</v>
      </c>
      <c r="E55" s="16" t="s">
        <v>128</v>
      </c>
      <c r="F55" s="17"/>
      <c r="G55" s="94" t="s">
        <v>1441</v>
      </c>
      <c r="H55" s="93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91" t="s">
        <v>287</v>
      </c>
      <c r="C56" s="11" t="s">
        <v>45</v>
      </c>
      <c r="D56" s="9" t="s">
        <v>1019</v>
      </c>
      <c r="E56" s="16" t="s">
        <v>128</v>
      </c>
      <c r="F56" s="17"/>
      <c r="G56" s="94" t="s">
        <v>1442</v>
      </c>
      <c r="H56" s="93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91" t="s">
        <v>288</v>
      </c>
      <c r="C57" s="11" t="s">
        <v>45</v>
      </c>
      <c r="D57" s="9" t="s">
        <v>1020</v>
      </c>
      <c r="E57" s="16" t="s">
        <v>128</v>
      </c>
      <c r="F57" s="17"/>
      <c r="G57" s="94" t="s">
        <v>1443</v>
      </c>
      <c r="H57" s="93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91" t="s">
        <v>289</v>
      </c>
      <c r="C58" s="11" t="s">
        <v>45</v>
      </c>
      <c r="D58" s="9" t="s">
        <v>1021</v>
      </c>
      <c r="E58" s="16" t="s">
        <v>128</v>
      </c>
      <c r="F58" s="17"/>
      <c r="G58" s="94" t="s">
        <v>1444</v>
      </c>
      <c r="H58" s="93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91" t="s">
        <v>290</v>
      </c>
      <c r="C59" s="11" t="s">
        <v>45</v>
      </c>
      <c r="D59" s="9" t="s">
        <v>1042</v>
      </c>
      <c r="E59" s="16" t="s">
        <v>128</v>
      </c>
      <c r="F59" s="17"/>
      <c r="G59" s="94" t="s">
        <v>1445</v>
      </c>
      <c r="H59" s="93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1049</v>
      </c>
      <c r="C60" s="11" t="s">
        <v>45</v>
      </c>
      <c r="D60" s="9" t="s">
        <v>153</v>
      </c>
      <c r="E60" s="16" t="s">
        <v>128</v>
      </c>
      <c r="F60" s="17"/>
      <c r="G60" s="17" t="s">
        <v>1262</v>
      </c>
      <c r="H60" s="93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823</v>
      </c>
      <c r="C61" s="11" t="s">
        <v>280</v>
      </c>
      <c r="D61" s="9" t="s">
        <v>1474</v>
      </c>
      <c r="E61" s="16" t="s">
        <v>128</v>
      </c>
      <c r="F61" s="11"/>
      <c r="G61" s="17" t="s">
        <v>1082</v>
      </c>
      <c r="H61" s="93"/>
      <c r="I61" s="17"/>
      <c r="J61" s="19" t="s">
        <v>133</v>
      </c>
      <c r="K61" s="19" t="s">
        <v>202</v>
      </c>
      <c r="L61" s="19" t="s">
        <v>67</v>
      </c>
    </row>
    <row r="62" spans="1:12" s="1" customFormat="1">
      <c r="A62" s="15"/>
      <c r="B62" s="91" t="s">
        <v>291</v>
      </c>
      <c r="C62" s="11" t="s">
        <v>45</v>
      </c>
      <c r="D62" s="9" t="s">
        <v>1026</v>
      </c>
      <c r="E62" s="16" t="s">
        <v>128</v>
      </c>
      <c r="F62" s="17"/>
      <c r="G62" s="94" t="s">
        <v>1446</v>
      </c>
      <c r="H62" s="93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91" t="s">
        <v>292</v>
      </c>
      <c r="C63" s="11" t="s">
        <v>45</v>
      </c>
      <c r="D63" s="9" t="s">
        <v>1027</v>
      </c>
      <c r="E63" s="16" t="s">
        <v>128</v>
      </c>
      <c r="F63" s="17"/>
      <c r="G63" s="94" t="s">
        <v>1447</v>
      </c>
      <c r="H63" s="93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91" t="s">
        <v>293</v>
      </c>
      <c r="C64" s="11" t="s">
        <v>45</v>
      </c>
      <c r="D64" s="9" t="s">
        <v>1028</v>
      </c>
      <c r="E64" s="16" t="s">
        <v>128</v>
      </c>
      <c r="F64" s="17"/>
      <c r="G64" s="94" t="s">
        <v>1448</v>
      </c>
      <c r="H64" s="93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91" t="s">
        <v>294</v>
      </c>
      <c r="C65" s="11" t="s">
        <v>45</v>
      </c>
      <c r="D65" s="9" t="s">
        <v>1029</v>
      </c>
      <c r="E65" s="16" t="s">
        <v>128</v>
      </c>
      <c r="F65" s="17"/>
      <c r="G65" s="94" t="s">
        <v>1449</v>
      </c>
      <c r="H65" s="93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91" t="s">
        <v>295</v>
      </c>
      <c r="C66" s="11" t="s">
        <v>45</v>
      </c>
      <c r="D66" s="9" t="s">
        <v>1043</v>
      </c>
      <c r="E66" s="16" t="s">
        <v>128</v>
      </c>
      <c r="F66" s="17"/>
      <c r="G66" s="94" t="s">
        <v>1450</v>
      </c>
      <c r="H66" s="93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1084</v>
      </c>
      <c r="C67" s="11" t="s">
        <v>280</v>
      </c>
      <c r="D67" s="9" t="s">
        <v>1086</v>
      </c>
      <c r="E67" s="16" t="s">
        <v>128</v>
      </c>
      <c r="F67" s="17"/>
      <c r="G67" s="17" t="s">
        <v>1087</v>
      </c>
      <c r="H67" s="93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" t="s">
        <v>1083</v>
      </c>
      <c r="C68" s="11" t="s">
        <v>280</v>
      </c>
      <c r="D68" s="9" t="s">
        <v>841</v>
      </c>
      <c r="E68" s="16" t="s">
        <v>128</v>
      </c>
      <c r="F68" s="17"/>
      <c r="G68" s="17" t="s">
        <v>1866</v>
      </c>
      <c r="H68" s="93"/>
      <c r="I68" s="17"/>
      <c r="J68" s="19" t="s">
        <v>133</v>
      </c>
      <c r="K68" s="19" t="s">
        <v>202</v>
      </c>
      <c r="L68" s="19" t="s">
        <v>67</v>
      </c>
    </row>
    <row r="69" spans="1:12" s="1" customFormat="1">
      <c r="A69" s="15"/>
      <c r="B69" s="91" t="s">
        <v>1469</v>
      </c>
      <c r="C69" s="11" t="s">
        <v>45</v>
      </c>
      <c r="D69" s="9" t="s">
        <v>1038</v>
      </c>
      <c r="E69" s="16" t="s">
        <v>128</v>
      </c>
      <c r="F69" s="17"/>
      <c r="G69" s="94" t="s">
        <v>1451</v>
      </c>
      <c r="H69" s="93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91" t="s">
        <v>1470</v>
      </c>
      <c r="C70" s="11" t="s">
        <v>45</v>
      </c>
      <c r="D70" s="9" t="s">
        <v>1039</v>
      </c>
      <c r="E70" s="16" t="s">
        <v>128</v>
      </c>
      <c r="F70" s="17"/>
      <c r="G70" s="94" t="s">
        <v>1452</v>
      </c>
      <c r="H70" s="93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91" t="s">
        <v>1471</v>
      </c>
      <c r="C71" s="11" t="s">
        <v>45</v>
      </c>
      <c r="D71" s="9" t="s">
        <v>1040</v>
      </c>
      <c r="E71" s="16" t="s">
        <v>128</v>
      </c>
      <c r="F71" s="17"/>
      <c r="G71" s="94" t="s">
        <v>1453</v>
      </c>
      <c r="H71" s="93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91" t="s">
        <v>1472</v>
      </c>
      <c r="C72" s="11" t="s">
        <v>45</v>
      </c>
      <c r="D72" s="9" t="s">
        <v>1041</v>
      </c>
      <c r="E72" s="16" t="s">
        <v>128</v>
      </c>
      <c r="F72" s="17"/>
      <c r="G72" s="94" t="s">
        <v>1454</v>
      </c>
      <c r="H72" s="93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91" t="s">
        <v>1473</v>
      </c>
      <c r="C73" s="11" t="s">
        <v>45</v>
      </c>
      <c r="D73" s="9" t="s">
        <v>1044</v>
      </c>
      <c r="E73" s="16" t="s">
        <v>128</v>
      </c>
      <c r="F73" s="17"/>
      <c r="G73" s="94" t="s">
        <v>1455</v>
      </c>
      <c r="H73" s="93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816</v>
      </c>
      <c r="C74" s="11" t="s">
        <v>280</v>
      </c>
      <c r="D74" s="9" t="s">
        <v>839</v>
      </c>
      <c r="E74" s="16" t="s">
        <v>128</v>
      </c>
      <c r="F74" s="17"/>
      <c r="G74" s="17" t="s">
        <v>1088</v>
      </c>
      <c r="H74" s="93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817</v>
      </c>
      <c r="C75" s="11" t="s">
        <v>45</v>
      </c>
      <c r="D75" s="9" t="s">
        <v>658</v>
      </c>
      <c r="E75" s="16" t="s">
        <v>128</v>
      </c>
      <c r="F75" s="17"/>
      <c r="G75" s="17" t="s">
        <v>1090</v>
      </c>
      <c r="H75" s="93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818</v>
      </c>
      <c r="C76" s="11" t="s">
        <v>280</v>
      </c>
      <c r="D76" s="9" t="s">
        <v>842</v>
      </c>
      <c r="E76" s="16" t="s">
        <v>128</v>
      </c>
      <c r="F76" s="17"/>
      <c r="G76" s="17" t="s">
        <v>1091</v>
      </c>
      <c r="H76" s="93"/>
      <c r="I76" s="17"/>
      <c r="J76" s="19" t="s">
        <v>133</v>
      </c>
      <c r="K76" s="19" t="s">
        <v>202</v>
      </c>
      <c r="L76" s="19" t="s">
        <v>67</v>
      </c>
    </row>
    <row r="77" spans="1:12" s="1" customFormat="1">
      <c r="A77" s="15"/>
      <c r="B77" s="11" t="s">
        <v>819</v>
      </c>
      <c r="C77" s="11" t="s">
        <v>45</v>
      </c>
      <c r="D77" s="9" t="s">
        <v>660</v>
      </c>
      <c r="E77" s="16" t="s">
        <v>128</v>
      </c>
      <c r="F77" s="17"/>
      <c r="G77" s="17" t="s">
        <v>1093</v>
      </c>
      <c r="H77" s="93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89" t="s">
        <v>1403</v>
      </c>
      <c r="C78" s="11" t="s">
        <v>280</v>
      </c>
      <c r="D78" s="9" t="s">
        <v>505</v>
      </c>
      <c r="E78" s="16" t="s">
        <v>128</v>
      </c>
      <c r="F78" s="17"/>
      <c r="G78" s="91" t="s">
        <v>1414</v>
      </c>
      <c r="H78" s="18"/>
      <c r="I78" s="17"/>
      <c r="J78" s="19" t="s">
        <v>133</v>
      </c>
      <c r="K78" s="19" t="s">
        <v>203</v>
      </c>
      <c r="L78" s="19" t="s">
        <v>67</v>
      </c>
    </row>
    <row r="79" spans="1:12" s="1" customFormat="1">
      <c r="A79" s="15"/>
      <c r="B79" s="11" t="s">
        <v>1570</v>
      </c>
      <c r="C79" s="11" t="s">
        <v>45</v>
      </c>
      <c r="D79" s="9" t="s">
        <v>1526</v>
      </c>
      <c r="E79" s="16" t="s">
        <v>128</v>
      </c>
      <c r="F79" s="72"/>
      <c r="G79" s="17" t="s">
        <v>1571</v>
      </c>
      <c r="H79" s="18"/>
      <c r="I79" s="17"/>
      <c r="J79" s="19" t="s">
        <v>133</v>
      </c>
      <c r="K79" s="19" t="s">
        <v>903</v>
      </c>
      <c r="L79" s="19" t="s">
        <v>67</v>
      </c>
    </row>
    <row r="80" spans="1:12" s="1" customFormat="1">
      <c r="A80" s="15"/>
      <c r="B80" s="11" t="s">
        <v>1527</v>
      </c>
      <c r="C80" s="11" t="s">
        <v>45</v>
      </c>
      <c r="D80" s="9" t="s">
        <v>1528</v>
      </c>
      <c r="E80" s="16" t="s">
        <v>128</v>
      </c>
      <c r="F80" s="72"/>
      <c r="G80" s="17" t="s">
        <v>1572</v>
      </c>
      <c r="H80" s="18"/>
      <c r="I80" s="17"/>
      <c r="J80" s="19" t="s">
        <v>133</v>
      </c>
      <c r="K80" s="19" t="s">
        <v>903</v>
      </c>
      <c r="L80" s="19" t="s">
        <v>67</v>
      </c>
    </row>
    <row r="81" spans="1:12" s="1" customFormat="1">
      <c r="A81" s="15"/>
      <c r="B81" s="11" t="s">
        <v>1529</v>
      </c>
      <c r="C81" s="11" t="s">
        <v>45</v>
      </c>
      <c r="D81" s="9" t="s">
        <v>1530</v>
      </c>
      <c r="E81" s="16" t="s">
        <v>128</v>
      </c>
      <c r="F81" s="72"/>
      <c r="G81" s="17" t="s">
        <v>1573</v>
      </c>
      <c r="H81" s="18"/>
      <c r="I81" s="17"/>
      <c r="J81" s="19" t="s">
        <v>133</v>
      </c>
      <c r="K81" s="19" t="s">
        <v>903</v>
      </c>
      <c r="L81" s="19" t="s">
        <v>67</v>
      </c>
    </row>
    <row r="82" spans="1:12" s="1" customFormat="1">
      <c r="A82" s="15"/>
      <c r="B82" s="11" t="s">
        <v>1531</v>
      </c>
      <c r="C82" s="11" t="s">
        <v>45</v>
      </c>
      <c r="D82" s="9" t="s">
        <v>1532</v>
      </c>
      <c r="E82" s="16" t="s">
        <v>128</v>
      </c>
      <c r="F82" s="72"/>
      <c r="G82" s="17" t="s">
        <v>1574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1533</v>
      </c>
      <c r="C83" s="11" t="s">
        <v>45</v>
      </c>
      <c r="D83" s="9" t="s">
        <v>1534</v>
      </c>
      <c r="E83" s="16" t="s">
        <v>128</v>
      </c>
      <c r="F83" s="72"/>
      <c r="G83" s="17" t="s">
        <v>1575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89" t="s">
        <v>1404</v>
      </c>
      <c r="C84" s="11" t="s">
        <v>280</v>
      </c>
      <c r="D84" s="9" t="s">
        <v>506</v>
      </c>
      <c r="E84" s="16" t="s">
        <v>128</v>
      </c>
      <c r="F84" s="17"/>
      <c r="G84" s="91" t="s">
        <v>1415</v>
      </c>
      <c r="H84" s="18"/>
      <c r="I84" s="17"/>
      <c r="J84" s="19" t="s">
        <v>133</v>
      </c>
      <c r="K84" s="19" t="s">
        <v>203</v>
      </c>
      <c r="L84" s="19" t="s">
        <v>67</v>
      </c>
    </row>
    <row r="85" spans="1:12" s="1" customFormat="1">
      <c r="A85" s="15"/>
      <c r="B85" s="11" t="s">
        <v>1549</v>
      </c>
      <c r="C85" s="11" t="s">
        <v>45</v>
      </c>
      <c r="D85" s="9" t="s">
        <v>1540</v>
      </c>
      <c r="E85" s="16" t="s">
        <v>128</v>
      </c>
      <c r="F85" s="72"/>
      <c r="G85" s="17" t="s">
        <v>1576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1541</v>
      </c>
      <c r="C86" s="11" t="s">
        <v>45</v>
      </c>
      <c r="D86" s="9" t="s">
        <v>1542</v>
      </c>
      <c r="E86" s="16" t="s">
        <v>128</v>
      </c>
      <c r="F86" s="72"/>
      <c r="G86" s="17" t="s">
        <v>1577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1543</v>
      </c>
      <c r="C87" s="11" t="s">
        <v>45</v>
      </c>
      <c r="D87" s="9" t="s">
        <v>1544</v>
      </c>
      <c r="E87" s="16" t="s">
        <v>128</v>
      </c>
      <c r="F87" s="72"/>
      <c r="G87" s="17" t="s">
        <v>1578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1545</v>
      </c>
      <c r="C88" s="11" t="s">
        <v>45</v>
      </c>
      <c r="D88" s="9" t="s">
        <v>1546</v>
      </c>
      <c r="E88" s="16" t="s">
        <v>128</v>
      </c>
      <c r="F88" s="72"/>
      <c r="G88" s="17" t="s">
        <v>1579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1547</v>
      </c>
      <c r="C89" s="11" t="s">
        <v>45</v>
      </c>
      <c r="D89" s="9" t="s">
        <v>1548</v>
      </c>
      <c r="E89" s="16" t="s">
        <v>128</v>
      </c>
      <c r="F89" s="72"/>
      <c r="G89" s="17" t="s">
        <v>1580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830</v>
      </c>
      <c r="C90" s="11" t="s">
        <v>45</v>
      </c>
      <c r="D90" s="9" t="s">
        <v>837</v>
      </c>
      <c r="E90" s="16" t="s">
        <v>128</v>
      </c>
      <c r="F90" s="17"/>
      <c r="G90" s="17" t="s">
        <v>1097</v>
      </c>
      <c r="H90" s="18"/>
      <c r="I90" s="17"/>
      <c r="J90" s="19" t="s">
        <v>133</v>
      </c>
      <c r="K90" s="19" t="s">
        <v>44</v>
      </c>
      <c r="L90" s="19" t="s">
        <v>67</v>
      </c>
    </row>
    <row r="91" spans="1:12" s="1" customFormat="1">
      <c r="A91" s="15"/>
      <c r="B91" s="89" t="s">
        <v>1405</v>
      </c>
      <c r="C91" s="11" t="s">
        <v>280</v>
      </c>
      <c r="D91" s="9" t="s">
        <v>836</v>
      </c>
      <c r="E91" s="16" t="s">
        <v>128</v>
      </c>
      <c r="F91" s="17"/>
      <c r="G91" s="91" t="s">
        <v>1416</v>
      </c>
      <c r="H91" s="18"/>
      <c r="I91" s="17"/>
      <c r="J91" s="19" t="s">
        <v>133</v>
      </c>
      <c r="K91" s="19" t="s">
        <v>202</v>
      </c>
      <c r="L91" s="19" t="s">
        <v>67</v>
      </c>
    </row>
    <row r="92" spans="1:12" s="1" customFormat="1">
      <c r="A92" s="15"/>
      <c r="B92" s="95" t="s">
        <v>1564</v>
      </c>
      <c r="C92" s="95" t="s">
        <v>45</v>
      </c>
      <c r="D92" s="96" t="s">
        <v>1555</v>
      </c>
      <c r="E92" s="16" t="s">
        <v>128</v>
      </c>
      <c r="F92" s="72"/>
      <c r="G92" s="17" t="s">
        <v>1581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95" t="s">
        <v>1556</v>
      </c>
      <c r="C93" s="95" t="s">
        <v>45</v>
      </c>
      <c r="D93" s="96" t="s">
        <v>1557</v>
      </c>
      <c r="E93" s="16" t="s">
        <v>128</v>
      </c>
      <c r="F93" s="72"/>
      <c r="G93" s="17" t="s">
        <v>1582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95" t="s">
        <v>1558</v>
      </c>
      <c r="C94" s="95" t="s">
        <v>45</v>
      </c>
      <c r="D94" s="96" t="s">
        <v>1559</v>
      </c>
      <c r="E94" s="16" t="s">
        <v>128</v>
      </c>
      <c r="F94" s="72"/>
      <c r="G94" s="17" t="s">
        <v>1583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95" t="s">
        <v>1560</v>
      </c>
      <c r="C95" s="95" t="s">
        <v>45</v>
      </c>
      <c r="D95" s="96" t="s">
        <v>1561</v>
      </c>
      <c r="E95" s="16" t="s">
        <v>128</v>
      </c>
      <c r="F95" s="72"/>
      <c r="G95" s="17" t="s">
        <v>1584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95" t="s">
        <v>1562</v>
      </c>
      <c r="C96" s="95" t="s">
        <v>45</v>
      </c>
      <c r="D96" s="96" t="s">
        <v>1563</v>
      </c>
      <c r="E96" s="16" t="s">
        <v>128</v>
      </c>
      <c r="F96" s="72"/>
      <c r="G96" s="17" t="s">
        <v>1585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7" s="1" customFormat="1">
      <c r="A97" s="15"/>
      <c r="B97" s="11" t="s">
        <v>831</v>
      </c>
      <c r="C97" s="11" t="s">
        <v>45</v>
      </c>
      <c r="D97" s="9" t="s">
        <v>825</v>
      </c>
      <c r="E97" s="16" t="s">
        <v>128</v>
      </c>
      <c r="F97" s="17"/>
      <c r="G97" s="17" t="s">
        <v>1100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7" s="1" customFormat="1">
      <c r="A98" s="15"/>
      <c r="B98" s="11" t="s">
        <v>1098</v>
      </c>
      <c r="C98" s="11" t="s">
        <v>280</v>
      </c>
      <c r="D98" s="9" t="s">
        <v>826</v>
      </c>
      <c r="E98" s="16" t="s">
        <v>128</v>
      </c>
      <c r="F98" s="17"/>
      <c r="G98" s="17" t="s">
        <v>1101</v>
      </c>
      <c r="H98" s="18"/>
      <c r="I98" s="17"/>
      <c r="J98" s="19" t="s">
        <v>133</v>
      </c>
      <c r="K98" s="19" t="s">
        <v>202</v>
      </c>
      <c r="L98" s="19" t="s">
        <v>67</v>
      </c>
    </row>
    <row r="99" spans="1:17" s="1" customFormat="1">
      <c r="A99" s="15"/>
      <c r="B99" s="91" t="s">
        <v>1417</v>
      </c>
      <c r="C99" s="11" t="s">
        <v>280</v>
      </c>
      <c r="D99" s="9" t="s">
        <v>833</v>
      </c>
      <c r="E99" s="16" t="s">
        <v>128</v>
      </c>
      <c r="F99" s="17"/>
      <c r="G99" s="94" t="s">
        <v>1418</v>
      </c>
      <c r="H99" s="93"/>
      <c r="I99" s="17"/>
      <c r="J99" s="19" t="s">
        <v>133</v>
      </c>
      <c r="K99" s="19" t="s">
        <v>202</v>
      </c>
      <c r="L99" s="19" t="s">
        <v>67</v>
      </c>
    </row>
    <row r="100" spans="1:17" s="1" customFormat="1">
      <c r="A100" s="15"/>
      <c r="B100" s="91" t="s">
        <v>1420</v>
      </c>
      <c r="C100" s="11" t="s">
        <v>280</v>
      </c>
      <c r="D100" s="9" t="s">
        <v>534</v>
      </c>
      <c r="E100" s="16" t="s">
        <v>128</v>
      </c>
      <c r="F100" s="17"/>
      <c r="G100" s="94" t="s">
        <v>1421</v>
      </c>
      <c r="H100" s="93"/>
      <c r="I100" s="17"/>
      <c r="J100" s="19" t="s">
        <v>133</v>
      </c>
      <c r="K100" s="19" t="s">
        <v>202</v>
      </c>
      <c r="L100" s="19" t="s">
        <v>67</v>
      </c>
    </row>
    <row r="101" spans="1:17" s="1" customFormat="1">
      <c r="A101" s="15"/>
      <c r="B101" s="11" t="s">
        <v>848</v>
      </c>
      <c r="C101" s="11" t="s">
        <v>45</v>
      </c>
      <c r="D101" s="9" t="s">
        <v>850</v>
      </c>
      <c r="E101" s="16" t="s">
        <v>128</v>
      </c>
      <c r="F101" s="17"/>
      <c r="G101" s="17" t="s">
        <v>1104</v>
      </c>
      <c r="H101" s="93"/>
      <c r="I101" s="17"/>
      <c r="J101" s="19" t="s">
        <v>133</v>
      </c>
      <c r="K101" s="19" t="s">
        <v>903</v>
      </c>
      <c r="L101" s="19" t="s">
        <v>67</v>
      </c>
    </row>
    <row r="102" spans="1:17" s="1" customFormat="1">
      <c r="A102" s="15"/>
      <c r="B102" s="11" t="s">
        <v>849</v>
      </c>
      <c r="C102" s="11" t="s">
        <v>45</v>
      </c>
      <c r="D102" s="9" t="s">
        <v>116</v>
      </c>
      <c r="E102" s="16" t="s">
        <v>128</v>
      </c>
      <c r="F102" s="17"/>
      <c r="G102" s="17" t="s">
        <v>1105</v>
      </c>
      <c r="H102" s="93"/>
      <c r="I102" s="17"/>
      <c r="J102" s="19" t="s">
        <v>133</v>
      </c>
      <c r="K102" s="19" t="s">
        <v>903</v>
      </c>
      <c r="L102" s="19" t="s">
        <v>67</v>
      </c>
    </row>
    <row r="103" spans="1:17" s="1" customFormat="1">
      <c r="A103" s="15"/>
      <c r="B103" s="91" t="s">
        <v>1423</v>
      </c>
      <c r="C103" s="11" t="s">
        <v>280</v>
      </c>
      <c r="D103" s="9" t="s">
        <v>502</v>
      </c>
      <c r="E103" s="16" t="s">
        <v>128</v>
      </c>
      <c r="F103" s="17"/>
      <c r="G103" s="94" t="s">
        <v>1424</v>
      </c>
      <c r="H103" s="93"/>
      <c r="I103" s="17"/>
      <c r="J103" s="19" t="s">
        <v>133</v>
      </c>
      <c r="K103" s="19" t="s">
        <v>202</v>
      </c>
      <c r="L103" s="19" t="s">
        <v>67</v>
      </c>
    </row>
    <row r="104" spans="1:17" s="1" customFormat="1">
      <c r="A104" s="15"/>
      <c r="B104" s="11" t="s">
        <v>856</v>
      </c>
      <c r="C104" s="11" t="s">
        <v>45</v>
      </c>
      <c r="D104" s="9" t="s">
        <v>857</v>
      </c>
      <c r="E104" s="16" t="s">
        <v>128</v>
      </c>
      <c r="F104" s="17"/>
      <c r="G104" s="17" t="s">
        <v>1106</v>
      </c>
      <c r="H104" s="93"/>
      <c r="I104" s="17"/>
      <c r="J104" s="19" t="s">
        <v>133</v>
      </c>
      <c r="K104" s="19" t="s">
        <v>903</v>
      </c>
      <c r="L104" s="19" t="s">
        <v>67</v>
      </c>
    </row>
    <row r="105" spans="1:17" s="3" customFormat="1">
      <c r="B105" s="23" t="s">
        <v>47</v>
      </c>
      <c r="C105" s="24" t="s">
        <v>46</v>
      </c>
      <c r="D105" s="21" t="s">
        <v>48</v>
      </c>
      <c r="E105" s="44"/>
      <c r="F105" s="44"/>
      <c r="G105" s="44" t="s">
        <v>282</v>
      </c>
      <c r="H105" s="23" t="s">
        <v>282</v>
      </c>
      <c r="I105" s="23"/>
      <c r="J105" s="23"/>
      <c r="K105" s="23"/>
      <c r="L105" s="23"/>
      <c r="M105" s="23"/>
      <c r="N105" s="23"/>
      <c r="O105" s="23"/>
      <c r="P105" s="23"/>
      <c r="Q105" s="23"/>
    </row>
    <row r="106" spans="1:17" s="3" customFormat="1">
      <c r="B106" s="23" t="s">
        <v>49</v>
      </c>
      <c r="C106" s="24" t="s">
        <v>43</v>
      </c>
      <c r="D106" s="21" t="s">
        <v>50</v>
      </c>
      <c r="E106" s="44"/>
      <c r="F106" s="44"/>
      <c r="G106" s="44" t="s">
        <v>282</v>
      </c>
      <c r="H106" s="23" t="s">
        <v>282</v>
      </c>
      <c r="I106" s="23"/>
      <c r="J106" s="23"/>
      <c r="K106" s="23"/>
      <c r="L106" s="23"/>
      <c r="M106" s="23"/>
      <c r="N106" s="23"/>
      <c r="O106" s="23"/>
      <c r="P106" s="23"/>
      <c r="Q106" s="23"/>
    </row>
  </sheetData>
  <autoFilter ref="A13:Q106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8C12-82D3-438F-B520-03391644EC93}">
  <sheetPr codeName="Sheet28"/>
  <dimension ref="A1:Q47"/>
  <sheetViews>
    <sheetView zoomScale="85" zoomScaleNormal="85" workbookViewId="0">
      <pane ySplit="5" topLeftCell="A6" activePane="bottomLeft" state="frozen"/>
      <selection activeCell="G45" sqref="G45"/>
      <selection pane="bottomLeft" activeCell="C12" sqref="C12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1.5546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9" t="s">
        <v>3255</v>
      </c>
      <c r="D5" s="10" t="s">
        <v>1587</v>
      </c>
      <c r="E5" s="11" t="s">
        <v>90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1504</v>
      </c>
      <c r="D9" s="82" t="s">
        <v>1506</v>
      </c>
      <c r="E9" s="11" t="s">
        <v>55</v>
      </c>
      <c r="F9" s="17"/>
      <c r="G9" s="72" t="s">
        <v>1641</v>
      </c>
      <c r="H9" s="14" t="s">
        <v>17</v>
      </c>
    </row>
    <row r="10" spans="2:14">
      <c r="B10" s="11"/>
      <c r="C10" s="9" t="s">
        <v>73</v>
      </c>
      <c r="D10" s="82" t="s">
        <v>1616</v>
      </c>
      <c r="E10" s="11" t="s">
        <v>75</v>
      </c>
      <c r="F10" s="17" t="s">
        <v>1619</v>
      </c>
      <c r="G10" s="132" t="s">
        <v>1620</v>
      </c>
      <c r="H10" s="14"/>
    </row>
    <row r="11" spans="2:14">
      <c r="B11" s="11"/>
      <c r="C11" s="9" t="s">
        <v>325</v>
      </c>
      <c r="D11" s="82" t="s">
        <v>327</v>
      </c>
      <c r="E11" s="11" t="s">
        <v>328</v>
      </c>
      <c r="F11" s="130" t="s">
        <v>1618</v>
      </c>
      <c r="G11" s="133"/>
      <c r="H11" s="83"/>
    </row>
    <row r="12" spans="2:14">
      <c r="B12" s="11"/>
      <c r="C12" s="9" t="s">
        <v>326</v>
      </c>
      <c r="D12" s="82" t="s">
        <v>74</v>
      </c>
      <c r="E12" s="11" t="s">
        <v>76</v>
      </c>
      <c r="F12" s="131"/>
      <c r="G12" s="134"/>
      <c r="H12" s="83"/>
    </row>
    <row r="14" spans="2:14">
      <c r="B14" s="4" t="s">
        <v>32</v>
      </c>
    </row>
    <row r="15" spans="2:14">
      <c r="B15" s="124" t="s">
        <v>32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</row>
    <row r="16" spans="2:14">
      <c r="B16" s="7" t="s">
        <v>33</v>
      </c>
      <c r="C16" s="7" t="s">
        <v>34</v>
      </c>
      <c r="D16" s="7" t="s">
        <v>35</v>
      </c>
      <c r="E16" s="7" t="s">
        <v>36</v>
      </c>
      <c r="F16" s="12" t="s">
        <v>37</v>
      </c>
      <c r="G16" s="12" t="s">
        <v>38</v>
      </c>
      <c r="H16" s="7" t="s">
        <v>39</v>
      </c>
      <c r="I16" s="7" t="s">
        <v>14</v>
      </c>
      <c r="J16" s="7" t="s">
        <v>40</v>
      </c>
      <c r="K16" s="7" t="s">
        <v>41</v>
      </c>
      <c r="L16" s="7" t="s">
        <v>42</v>
      </c>
    </row>
    <row r="17" spans="1:13" s="1" customFormat="1">
      <c r="B17" s="22" t="s">
        <v>77</v>
      </c>
      <c r="C17" s="22" t="s">
        <v>46</v>
      </c>
      <c r="D17" s="9" t="s">
        <v>329</v>
      </c>
      <c r="E17" s="16"/>
      <c r="F17" s="17" t="s">
        <v>77</v>
      </c>
      <c r="G17" s="17" t="s">
        <v>1615</v>
      </c>
      <c r="H17" s="18"/>
      <c r="I17" s="19"/>
      <c r="J17" s="19" t="s">
        <v>131</v>
      </c>
      <c r="K17" s="19" t="s">
        <v>44</v>
      </c>
      <c r="L17" s="19" t="s">
        <v>677</v>
      </c>
    </row>
    <row r="18" spans="1:13" s="1" customFormat="1">
      <c r="B18" s="22" t="s">
        <v>1168</v>
      </c>
      <c r="C18" s="22" t="s">
        <v>43</v>
      </c>
      <c r="D18" s="9" t="s">
        <v>1169</v>
      </c>
      <c r="E18" s="16"/>
      <c r="F18" s="17" t="s">
        <v>1610</v>
      </c>
      <c r="G18" s="17" t="s">
        <v>1615</v>
      </c>
      <c r="H18" s="18"/>
      <c r="I18" s="19"/>
      <c r="J18" s="19" t="s">
        <v>131</v>
      </c>
      <c r="K18" s="19" t="s">
        <v>44</v>
      </c>
      <c r="L18" s="19" t="s">
        <v>674</v>
      </c>
    </row>
    <row r="19" spans="1:13" s="1" customFormat="1">
      <c r="A19" s="15"/>
      <c r="B19" s="22" t="s">
        <v>80</v>
      </c>
      <c r="C19" s="22" t="s">
        <v>46</v>
      </c>
      <c r="D19" s="9" t="s">
        <v>341</v>
      </c>
      <c r="E19" s="16"/>
      <c r="F19" s="17"/>
      <c r="G19" s="17" t="s">
        <v>1611</v>
      </c>
      <c r="H19" s="18"/>
      <c r="I19" s="20"/>
      <c r="J19" s="19" t="s">
        <v>131</v>
      </c>
      <c r="K19" s="19" t="s">
        <v>44</v>
      </c>
      <c r="L19" s="19" t="s">
        <v>44</v>
      </c>
    </row>
    <row r="20" spans="1:13" s="1" customFormat="1">
      <c r="A20" s="15"/>
      <c r="B20" s="22" t="s">
        <v>1174</v>
      </c>
      <c r="C20" s="22" t="s">
        <v>46</v>
      </c>
      <c r="D20" s="9" t="s">
        <v>1596</v>
      </c>
      <c r="E20" s="16"/>
      <c r="F20" s="17"/>
      <c r="G20" s="17" t="s">
        <v>1613</v>
      </c>
      <c r="H20" s="18"/>
      <c r="I20" s="20"/>
      <c r="J20" s="19" t="s">
        <v>131</v>
      </c>
      <c r="K20" s="19" t="s">
        <v>44</v>
      </c>
      <c r="L20" s="19" t="s">
        <v>44</v>
      </c>
    </row>
    <row r="21" spans="1:13" s="1" customFormat="1">
      <c r="A21" s="15"/>
      <c r="B21" s="22" t="s">
        <v>1176</v>
      </c>
      <c r="C21" s="22" t="s">
        <v>43</v>
      </c>
      <c r="D21" s="9" t="s">
        <v>1177</v>
      </c>
      <c r="E21" s="16"/>
      <c r="F21" s="17"/>
      <c r="G21" s="17" t="s">
        <v>1614</v>
      </c>
      <c r="H21" s="18"/>
      <c r="I21" s="20"/>
      <c r="J21" s="19" t="s">
        <v>131</v>
      </c>
      <c r="K21" s="19" t="s">
        <v>44</v>
      </c>
      <c r="L21" s="19" t="s">
        <v>44</v>
      </c>
    </row>
    <row r="22" spans="1:13" s="1" customFormat="1">
      <c r="A22" s="15"/>
      <c r="B22" s="11" t="s">
        <v>3195</v>
      </c>
      <c r="C22" s="22" t="s">
        <v>43</v>
      </c>
      <c r="D22" s="9" t="s">
        <v>59</v>
      </c>
      <c r="E22" s="16"/>
      <c r="F22" s="17" t="s">
        <v>58</v>
      </c>
      <c r="G22" s="17" t="s">
        <v>1615</v>
      </c>
      <c r="H22" s="18"/>
      <c r="I22" s="20"/>
      <c r="J22" s="19" t="s">
        <v>131</v>
      </c>
      <c r="K22" s="19" t="s">
        <v>44</v>
      </c>
      <c r="L22" s="19" t="s">
        <v>44</v>
      </c>
    </row>
    <row r="23" spans="1:13" s="1" customFormat="1">
      <c r="A23" s="15"/>
      <c r="B23" s="11" t="s">
        <v>3196</v>
      </c>
      <c r="C23" s="22" t="s">
        <v>43</v>
      </c>
      <c r="D23" s="9" t="s">
        <v>1178</v>
      </c>
      <c r="E23" s="16"/>
      <c r="F23" s="17" t="s">
        <v>1612</v>
      </c>
      <c r="G23" s="17" t="s">
        <v>1615</v>
      </c>
      <c r="H23" s="18"/>
      <c r="I23" s="20"/>
      <c r="J23" s="19" t="s">
        <v>131</v>
      </c>
      <c r="K23" s="19" t="s">
        <v>44</v>
      </c>
      <c r="L23" s="19" t="s">
        <v>44</v>
      </c>
    </row>
    <row r="24" spans="1:13" s="1" customFormat="1" ht="26.4">
      <c r="A24" s="15"/>
      <c r="B24" s="11" t="s">
        <v>1588</v>
      </c>
      <c r="C24" s="22" t="s">
        <v>43</v>
      </c>
      <c r="D24" s="9" t="s">
        <v>1597</v>
      </c>
      <c r="E24" s="16"/>
      <c r="F24" s="13" t="s">
        <v>1621</v>
      </c>
      <c r="G24" s="84" t="s">
        <v>1622</v>
      </c>
      <c r="H24" s="18"/>
      <c r="I24" s="20"/>
      <c r="J24" s="19" t="s">
        <v>131</v>
      </c>
      <c r="K24" s="19" t="s">
        <v>44</v>
      </c>
      <c r="L24" s="19" t="s">
        <v>44</v>
      </c>
    </row>
    <row r="25" spans="1:13" s="1" customFormat="1">
      <c r="A25" s="15"/>
      <c r="B25" s="11" t="s">
        <v>1068</v>
      </c>
      <c r="C25" s="22" t="s">
        <v>43</v>
      </c>
      <c r="D25" s="9" t="s">
        <v>1598</v>
      </c>
      <c r="E25" s="16"/>
      <c r="F25" s="17" t="s">
        <v>1068</v>
      </c>
      <c r="G25" s="17" t="s">
        <v>1615</v>
      </c>
      <c r="H25" s="18"/>
      <c r="I25" s="20"/>
      <c r="J25" s="19" t="s">
        <v>131</v>
      </c>
      <c r="K25" s="19" t="s">
        <v>44</v>
      </c>
      <c r="L25" s="19" t="s">
        <v>679</v>
      </c>
    </row>
    <row r="26" spans="1:13" s="1" customFormat="1">
      <c r="A26" s="15"/>
      <c r="B26" s="11" t="s">
        <v>64</v>
      </c>
      <c r="C26" s="11" t="s">
        <v>43</v>
      </c>
      <c r="D26" s="9" t="s">
        <v>63</v>
      </c>
      <c r="E26" s="16"/>
      <c r="F26" s="17" t="s">
        <v>64</v>
      </c>
      <c r="G26" s="17" t="s">
        <v>1615</v>
      </c>
      <c r="H26" s="18"/>
      <c r="I26" s="20"/>
      <c r="J26" s="19" t="s">
        <v>131</v>
      </c>
      <c r="K26" s="19" t="s">
        <v>44</v>
      </c>
      <c r="L26" s="19" t="s">
        <v>44</v>
      </c>
    </row>
    <row r="27" spans="1:13" s="1" customFormat="1">
      <c r="A27" s="15"/>
      <c r="B27" s="11" t="s">
        <v>61</v>
      </c>
      <c r="C27" s="11" t="s">
        <v>43</v>
      </c>
      <c r="D27" s="9" t="s">
        <v>1599</v>
      </c>
      <c r="E27" s="16"/>
      <c r="F27" s="17" t="s">
        <v>61</v>
      </c>
      <c r="G27" s="17" t="s">
        <v>1615</v>
      </c>
      <c r="H27" s="18"/>
      <c r="I27" s="20"/>
      <c r="J27" s="19" t="s">
        <v>131</v>
      </c>
      <c r="K27" s="19" t="s">
        <v>44</v>
      </c>
      <c r="L27" s="19" t="s">
        <v>679</v>
      </c>
    </row>
    <row r="28" spans="1:13" s="1" customFormat="1">
      <c r="A28" s="15"/>
      <c r="B28" s="11" t="s">
        <v>65</v>
      </c>
      <c r="C28" s="11" t="s">
        <v>43</v>
      </c>
      <c r="D28" s="9" t="s">
        <v>102</v>
      </c>
      <c r="E28" s="16"/>
      <c r="F28" s="17" t="s">
        <v>65</v>
      </c>
      <c r="G28" s="17" t="s">
        <v>1615</v>
      </c>
      <c r="H28" s="18"/>
      <c r="I28" s="20"/>
      <c r="J28" s="19" t="s">
        <v>131</v>
      </c>
      <c r="K28" s="19" t="s">
        <v>44</v>
      </c>
      <c r="L28" s="19" t="s">
        <v>44</v>
      </c>
    </row>
    <row r="29" spans="1:13" s="15" customFormat="1">
      <c r="B29" s="22" t="s">
        <v>62</v>
      </c>
      <c r="C29" s="11" t="s">
        <v>46</v>
      </c>
      <c r="D29" s="9" t="s">
        <v>1600</v>
      </c>
      <c r="E29" s="16"/>
      <c r="F29" s="17" t="s">
        <v>62</v>
      </c>
      <c r="G29" s="17" t="s">
        <v>1615</v>
      </c>
      <c r="H29" s="18"/>
      <c r="I29" s="20"/>
      <c r="J29" s="19" t="s">
        <v>131</v>
      </c>
      <c r="K29" s="19" t="s">
        <v>44</v>
      </c>
      <c r="L29" s="19" t="s">
        <v>679</v>
      </c>
      <c r="M29" s="1"/>
    </row>
    <row r="30" spans="1:13" s="1" customFormat="1">
      <c r="A30" s="15"/>
      <c r="B30" s="11" t="s">
        <v>66</v>
      </c>
      <c r="C30" s="11" t="s">
        <v>43</v>
      </c>
      <c r="D30" s="9" t="s">
        <v>68</v>
      </c>
      <c r="E30" s="16"/>
      <c r="F30" s="17" t="s">
        <v>66</v>
      </c>
      <c r="G30" s="17" t="s">
        <v>1615</v>
      </c>
      <c r="H30" s="18"/>
      <c r="I30" s="17"/>
      <c r="J30" s="19" t="s">
        <v>131</v>
      </c>
      <c r="K30" s="19" t="s">
        <v>44</v>
      </c>
      <c r="L30" s="19" t="s">
        <v>44</v>
      </c>
    </row>
    <row r="31" spans="1:13" s="1" customFormat="1">
      <c r="A31" s="15"/>
      <c r="B31" s="11" t="s">
        <v>1383</v>
      </c>
      <c r="C31" s="11" t="s">
        <v>56</v>
      </c>
      <c r="D31" s="9" t="s">
        <v>1601</v>
      </c>
      <c r="E31" s="16"/>
      <c r="F31" s="17"/>
      <c r="G31" s="17" t="s">
        <v>1624</v>
      </c>
      <c r="H31" s="18"/>
      <c r="I31" s="17"/>
      <c r="J31" s="19" t="s">
        <v>133</v>
      </c>
      <c r="K31" s="19" t="s">
        <v>202</v>
      </c>
      <c r="L31" s="19" t="s">
        <v>67</v>
      </c>
    </row>
    <row r="32" spans="1:13" s="1" customFormat="1">
      <c r="A32" s="15"/>
      <c r="B32" s="11" t="s">
        <v>3197</v>
      </c>
      <c r="C32" s="11" t="s">
        <v>45</v>
      </c>
      <c r="D32" s="9" t="s">
        <v>1602</v>
      </c>
      <c r="E32" s="16"/>
      <c r="F32" s="9"/>
      <c r="G32" s="17" t="s">
        <v>1259</v>
      </c>
      <c r="H32" s="18"/>
      <c r="I32" s="20"/>
      <c r="J32" s="19" t="s">
        <v>133</v>
      </c>
      <c r="K32" s="19" t="s">
        <v>903</v>
      </c>
      <c r="L32" s="19" t="s">
        <v>134</v>
      </c>
    </row>
    <row r="33" spans="1:17" s="1" customFormat="1">
      <c r="A33" s="15"/>
      <c r="B33" s="11" t="s">
        <v>3192</v>
      </c>
      <c r="C33" s="11" t="s">
        <v>56</v>
      </c>
      <c r="D33" s="9" t="s">
        <v>1603</v>
      </c>
      <c r="E33" s="16"/>
      <c r="F33" s="9"/>
      <c r="G33" s="17" t="s">
        <v>1677</v>
      </c>
      <c r="H33" s="18"/>
      <c r="I33" s="20"/>
      <c r="J33" s="19" t="s">
        <v>133</v>
      </c>
      <c r="K33" s="19" t="s">
        <v>203</v>
      </c>
      <c r="L33" s="19" t="s">
        <v>134</v>
      </c>
    </row>
    <row r="34" spans="1:17" s="1" customFormat="1">
      <c r="A34" s="15"/>
      <c r="B34" s="11" t="s">
        <v>1190</v>
      </c>
      <c r="C34" s="11" t="s">
        <v>56</v>
      </c>
      <c r="D34" s="9" t="s">
        <v>1604</v>
      </c>
      <c r="E34" s="16"/>
      <c r="F34" s="9"/>
      <c r="G34" s="17" t="s">
        <v>1626</v>
      </c>
      <c r="H34" s="18"/>
      <c r="I34" s="20"/>
      <c r="J34" s="19" t="s">
        <v>133</v>
      </c>
      <c r="K34" s="19" t="s">
        <v>203</v>
      </c>
      <c r="L34" s="19" t="s">
        <v>134</v>
      </c>
    </row>
    <row r="35" spans="1:17" s="1" customFormat="1">
      <c r="A35" s="15"/>
      <c r="B35" s="11" t="s">
        <v>3193</v>
      </c>
      <c r="C35" s="11" t="s">
        <v>56</v>
      </c>
      <c r="D35" s="9" t="s">
        <v>3194</v>
      </c>
      <c r="E35" s="16"/>
      <c r="F35" s="9"/>
      <c r="G35" s="17" t="s">
        <v>1082</v>
      </c>
      <c r="H35" s="18"/>
      <c r="I35" s="20"/>
      <c r="J35" s="19" t="s">
        <v>133</v>
      </c>
      <c r="K35" s="19" t="s">
        <v>202</v>
      </c>
      <c r="L35" s="19" t="s">
        <v>67</v>
      </c>
    </row>
    <row r="36" spans="1:17" s="1" customFormat="1">
      <c r="A36" s="15"/>
      <c r="B36" s="11" t="s">
        <v>3188</v>
      </c>
      <c r="C36" s="11" t="s">
        <v>45</v>
      </c>
      <c r="D36" s="9" t="s">
        <v>368</v>
      </c>
      <c r="E36" s="16"/>
      <c r="F36" s="9"/>
      <c r="G36" s="17" t="s">
        <v>1628</v>
      </c>
      <c r="H36" s="18"/>
      <c r="I36" s="20"/>
      <c r="J36" s="19" t="s">
        <v>133</v>
      </c>
      <c r="K36" s="19" t="s">
        <v>44</v>
      </c>
      <c r="L36" s="19" t="s">
        <v>67</v>
      </c>
    </row>
    <row r="37" spans="1:17" s="1" customFormat="1">
      <c r="A37" s="15"/>
      <c r="B37" s="11" t="s">
        <v>3189</v>
      </c>
      <c r="C37" s="11" t="s">
        <v>45</v>
      </c>
      <c r="D37" s="9" t="s">
        <v>370</v>
      </c>
      <c r="E37" s="16"/>
      <c r="F37" s="9"/>
      <c r="G37" s="17" t="s">
        <v>1629</v>
      </c>
      <c r="H37" s="18"/>
      <c r="I37" s="20"/>
      <c r="J37" s="19" t="s">
        <v>133</v>
      </c>
      <c r="K37" s="19" t="s">
        <v>44</v>
      </c>
      <c r="L37" s="19" t="s">
        <v>67</v>
      </c>
    </row>
    <row r="38" spans="1:17" s="1" customFormat="1">
      <c r="A38" s="15"/>
      <c r="B38" s="11" t="s">
        <v>3186</v>
      </c>
      <c r="C38" s="11" t="s">
        <v>45</v>
      </c>
      <c r="D38" s="9" t="s">
        <v>364</v>
      </c>
      <c r="E38" s="16"/>
      <c r="F38" s="9"/>
      <c r="G38" s="17" t="s">
        <v>1630</v>
      </c>
      <c r="H38" s="18"/>
      <c r="I38" s="20"/>
      <c r="J38" s="19" t="s">
        <v>133</v>
      </c>
      <c r="K38" s="19" t="s">
        <v>44</v>
      </c>
      <c r="L38" s="19" t="s">
        <v>67</v>
      </c>
    </row>
    <row r="39" spans="1:17" s="1" customFormat="1">
      <c r="A39" s="15"/>
      <c r="B39" s="11" t="s">
        <v>3187</v>
      </c>
      <c r="C39" s="11" t="s">
        <v>45</v>
      </c>
      <c r="D39" s="9" t="s">
        <v>366</v>
      </c>
      <c r="E39" s="16"/>
      <c r="F39" s="9"/>
      <c r="G39" s="17" t="s">
        <v>1631</v>
      </c>
      <c r="H39" s="18"/>
      <c r="I39" s="20"/>
      <c r="J39" s="19" t="s">
        <v>133</v>
      </c>
      <c r="K39" s="19" t="s">
        <v>44</v>
      </c>
      <c r="L39" s="19" t="s">
        <v>67</v>
      </c>
    </row>
    <row r="40" spans="1:17" s="1" customFormat="1">
      <c r="A40" s="15"/>
      <c r="B40" s="11" t="s">
        <v>3190</v>
      </c>
      <c r="C40" s="11" t="s">
        <v>45</v>
      </c>
      <c r="D40" s="9" t="s">
        <v>162</v>
      </c>
      <c r="E40" s="16"/>
      <c r="F40" s="9"/>
      <c r="G40" s="17" t="s">
        <v>1634</v>
      </c>
      <c r="H40" s="18"/>
      <c r="I40" s="20"/>
      <c r="J40" s="19" t="s">
        <v>133</v>
      </c>
      <c r="K40" s="19" t="s">
        <v>44</v>
      </c>
      <c r="L40" s="19" t="s">
        <v>67</v>
      </c>
    </row>
    <row r="41" spans="1:17" s="1" customFormat="1">
      <c r="A41" s="15"/>
      <c r="B41" s="11" t="s">
        <v>3191</v>
      </c>
      <c r="C41" s="11" t="s">
        <v>45</v>
      </c>
      <c r="D41" s="9" t="s">
        <v>161</v>
      </c>
      <c r="E41" s="16"/>
      <c r="F41" s="9"/>
      <c r="G41" s="17" t="s">
        <v>1635</v>
      </c>
      <c r="H41" s="18"/>
      <c r="I41" s="20"/>
      <c r="J41" s="19" t="s">
        <v>133</v>
      </c>
      <c r="K41" s="19" t="s">
        <v>44</v>
      </c>
      <c r="L41" s="19" t="s">
        <v>67</v>
      </c>
    </row>
    <row r="42" spans="1:17" s="1" customFormat="1">
      <c r="A42" s="15"/>
      <c r="B42" s="11" t="s">
        <v>1592</v>
      </c>
      <c r="C42" s="11" t="s">
        <v>56</v>
      </c>
      <c r="D42" s="9" t="s">
        <v>1606</v>
      </c>
      <c r="E42" s="16"/>
      <c r="F42" s="9"/>
      <c r="G42" s="17" t="s">
        <v>1636</v>
      </c>
      <c r="H42" s="18"/>
      <c r="I42" s="20"/>
      <c r="J42" s="19" t="s">
        <v>133</v>
      </c>
      <c r="K42" s="19" t="s">
        <v>132</v>
      </c>
      <c r="L42" s="19" t="s">
        <v>1337</v>
      </c>
    </row>
    <row r="43" spans="1:17" s="1" customFormat="1">
      <c r="A43" s="15"/>
      <c r="B43" s="11" t="s">
        <v>1593</v>
      </c>
      <c r="C43" s="11" t="s">
        <v>56</v>
      </c>
      <c r="D43" s="9" t="s">
        <v>1607</v>
      </c>
      <c r="E43" s="16"/>
      <c r="F43" s="9"/>
      <c r="G43" s="17" t="s">
        <v>1637</v>
      </c>
      <c r="H43" s="18"/>
      <c r="I43" s="20"/>
      <c r="J43" s="19" t="s">
        <v>133</v>
      </c>
      <c r="K43" s="19" t="s">
        <v>132</v>
      </c>
      <c r="L43" s="19" t="s">
        <v>1337</v>
      </c>
    </row>
    <row r="44" spans="1:17" s="1" customFormat="1">
      <c r="A44" s="15"/>
      <c r="B44" s="11" t="s">
        <v>1594</v>
      </c>
      <c r="C44" s="11" t="s">
        <v>56</v>
      </c>
      <c r="D44" s="9" t="s">
        <v>1608</v>
      </c>
      <c r="E44" s="16"/>
      <c r="F44" s="9"/>
      <c r="G44" s="17" t="s">
        <v>1638</v>
      </c>
      <c r="H44" s="18"/>
      <c r="I44" s="20"/>
      <c r="J44" s="19" t="s">
        <v>133</v>
      </c>
      <c r="K44" s="19" t="s">
        <v>132</v>
      </c>
      <c r="L44" s="19" t="s">
        <v>1337</v>
      </c>
    </row>
    <row r="45" spans="1:17" s="1" customFormat="1">
      <c r="A45" s="15"/>
      <c r="B45" s="11" t="s">
        <v>1595</v>
      </c>
      <c r="C45" s="11" t="s">
        <v>56</v>
      </c>
      <c r="D45" s="9" t="s">
        <v>1609</v>
      </c>
      <c r="E45" s="16"/>
      <c r="F45" s="9"/>
      <c r="G45" s="17" t="s">
        <v>1639</v>
      </c>
      <c r="H45" s="18"/>
      <c r="I45" s="20"/>
      <c r="J45" s="19" t="s">
        <v>133</v>
      </c>
      <c r="K45" s="19" t="s">
        <v>132</v>
      </c>
      <c r="L45" s="19" t="s">
        <v>1337</v>
      </c>
    </row>
    <row r="46" spans="1:17" s="3" customFormat="1">
      <c r="B46" s="23" t="s">
        <v>47</v>
      </c>
      <c r="C46" s="24" t="s">
        <v>46</v>
      </c>
      <c r="D46" s="21" t="s">
        <v>48</v>
      </c>
      <c r="E46" s="44"/>
      <c r="F46" s="44"/>
      <c r="G46" s="44" t="s">
        <v>282</v>
      </c>
      <c r="H46" s="23" t="s">
        <v>282</v>
      </c>
      <c r="I46" s="23"/>
      <c r="J46" s="23"/>
      <c r="K46" s="23"/>
      <c r="L46" s="23"/>
      <c r="M46" s="23"/>
      <c r="N46" s="23"/>
      <c r="O46" s="23"/>
      <c r="P46" s="23"/>
      <c r="Q46" s="23"/>
    </row>
    <row r="47" spans="1:17" s="3" customFormat="1">
      <c r="B47" s="23" t="s">
        <v>49</v>
      </c>
      <c r="C47" s="24" t="s">
        <v>43</v>
      </c>
      <c r="D47" s="21" t="s">
        <v>50</v>
      </c>
      <c r="E47" s="44"/>
      <c r="F47" s="44"/>
      <c r="G47" s="44" t="s">
        <v>282</v>
      </c>
      <c r="H47" s="23" t="s">
        <v>282</v>
      </c>
      <c r="I47" s="23"/>
      <c r="J47" s="23"/>
      <c r="K47" s="23"/>
      <c r="L47" s="23"/>
      <c r="M47" s="23"/>
      <c r="N47" s="23"/>
      <c r="O47" s="23"/>
      <c r="P47" s="23"/>
      <c r="Q47" s="23"/>
    </row>
  </sheetData>
  <autoFilter ref="A16:Q47" xr:uid="{00000000-0009-0000-0000-00000B000000}"/>
  <mergeCells count="6">
    <mergeCell ref="B2:H2"/>
    <mergeCell ref="B3:H3"/>
    <mergeCell ref="B7:H7"/>
    <mergeCell ref="B15:L15"/>
    <mergeCell ref="F11:F12"/>
    <mergeCell ref="G10:G12"/>
  </mergeCells>
  <phoneticPr fontId="16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35CF-C683-445A-A313-DEDEAB279773}">
  <sheetPr codeName="Sheet29"/>
  <dimension ref="A1:Q110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2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1511</v>
      </c>
      <c r="D5" s="10" t="s">
        <v>1642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1370</v>
      </c>
      <c r="D9" s="10" t="s">
        <v>1371</v>
      </c>
      <c r="E9" s="11" t="s">
        <v>55</v>
      </c>
      <c r="F9" s="17"/>
      <c r="G9" s="17" t="s">
        <v>1362</v>
      </c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3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3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3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3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95</v>
      </c>
      <c r="C22" s="11" t="s">
        <v>93</v>
      </c>
      <c r="D22" s="9" t="s">
        <v>114</v>
      </c>
      <c r="E22" s="16" t="s">
        <v>128</v>
      </c>
      <c r="F22" s="9" t="s">
        <v>1069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81</v>
      </c>
      <c r="C23" s="11" t="s">
        <v>43</v>
      </c>
      <c r="D23" s="9" t="s">
        <v>57</v>
      </c>
      <c r="E23" s="16" t="s">
        <v>128</v>
      </c>
      <c r="F23" s="17" t="s">
        <v>81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58</v>
      </c>
      <c r="C24" s="11" t="s">
        <v>43</v>
      </c>
      <c r="D24" s="9" t="s">
        <v>59</v>
      </c>
      <c r="E24" s="16" t="s">
        <v>128</v>
      </c>
      <c r="F24" s="9" t="s">
        <v>58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82</v>
      </c>
      <c r="C25" s="11" t="s">
        <v>43</v>
      </c>
      <c r="D25" s="9" t="s">
        <v>105</v>
      </c>
      <c r="E25" s="16" t="s">
        <v>128</v>
      </c>
      <c r="F25" s="17" t="s">
        <v>82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3" s="15" customFormat="1">
      <c r="B26" s="22" t="s">
        <v>87</v>
      </c>
      <c r="C26" s="11" t="s">
        <v>43</v>
      </c>
      <c r="D26" s="9" t="s">
        <v>109</v>
      </c>
      <c r="E26" s="16" t="s">
        <v>128</v>
      </c>
      <c r="F26" s="17" t="s">
        <v>87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679</v>
      </c>
      <c r="M26" s="1"/>
    </row>
    <row r="27" spans="1:13" s="1" customFormat="1">
      <c r="A27" s="15"/>
      <c r="B27" s="11" t="s">
        <v>1072</v>
      </c>
      <c r="C27" s="11" t="s">
        <v>45</v>
      </c>
      <c r="D27" s="9" t="s">
        <v>146</v>
      </c>
      <c r="E27" s="16" t="s">
        <v>128</v>
      </c>
      <c r="F27" s="17"/>
      <c r="G27" s="17" t="s">
        <v>1073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3" s="1" customFormat="1">
      <c r="A28" s="15"/>
      <c r="B28" s="11" t="s">
        <v>189</v>
      </c>
      <c r="C28" s="11" t="s">
        <v>45</v>
      </c>
      <c r="D28" s="9" t="s">
        <v>190</v>
      </c>
      <c r="E28" s="16" t="s">
        <v>128</v>
      </c>
      <c r="F28" s="17"/>
      <c r="G28" s="17" t="s">
        <v>1259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3" s="1" customFormat="1">
      <c r="A29" s="15"/>
      <c r="B29" s="11" t="s">
        <v>192</v>
      </c>
      <c r="C29" s="11" t="s">
        <v>45</v>
      </c>
      <c r="D29" s="9" t="s">
        <v>193</v>
      </c>
      <c r="E29" s="16" t="s">
        <v>128</v>
      </c>
      <c r="F29" s="17"/>
      <c r="G29" s="17" t="s">
        <v>1074</v>
      </c>
      <c r="H29" s="18"/>
      <c r="I29" s="17"/>
      <c r="J29" s="19" t="s">
        <v>133</v>
      </c>
      <c r="K29" s="19" t="s">
        <v>132</v>
      </c>
      <c r="L29" s="19" t="s">
        <v>134</v>
      </c>
    </row>
    <row r="30" spans="1:13" s="1" customFormat="1">
      <c r="A30" s="15"/>
      <c r="B30" s="89" t="s">
        <v>1475</v>
      </c>
      <c r="C30" s="22" t="s">
        <v>45</v>
      </c>
      <c r="D30" s="9" t="s">
        <v>348</v>
      </c>
      <c r="E30" s="16" t="s">
        <v>128</v>
      </c>
      <c r="F30" s="17"/>
      <c r="G30" s="17" t="s">
        <v>257</v>
      </c>
      <c r="H30" s="18"/>
      <c r="I30" s="17"/>
      <c r="J30" s="19" t="s">
        <v>133</v>
      </c>
      <c r="K30" s="19" t="s">
        <v>203</v>
      </c>
      <c r="L30" s="19" t="s">
        <v>134</v>
      </c>
    </row>
    <row r="31" spans="1:13" s="1" customFormat="1">
      <c r="A31" s="15"/>
      <c r="B31" s="89" t="s">
        <v>1476</v>
      </c>
      <c r="C31" s="11" t="s">
        <v>45</v>
      </c>
      <c r="D31" s="9" t="s">
        <v>759</v>
      </c>
      <c r="E31" s="16" t="s">
        <v>128</v>
      </c>
      <c r="F31" s="72"/>
      <c r="G31" s="17" t="s">
        <v>320</v>
      </c>
      <c r="H31" s="18"/>
      <c r="I31" s="17"/>
      <c r="J31" s="19" t="s">
        <v>133</v>
      </c>
      <c r="K31" s="19" t="s">
        <v>204</v>
      </c>
      <c r="L31" s="19" t="s">
        <v>134</v>
      </c>
    </row>
    <row r="32" spans="1:13" s="1" customFormat="1">
      <c r="A32" s="15"/>
      <c r="B32" s="89" t="s">
        <v>1477</v>
      </c>
      <c r="C32" s="11" t="s">
        <v>45</v>
      </c>
      <c r="D32" s="9" t="s">
        <v>160</v>
      </c>
      <c r="E32" s="16" t="s">
        <v>128</v>
      </c>
      <c r="F32" s="72"/>
      <c r="G32" s="17" t="s">
        <v>319</v>
      </c>
      <c r="H32" s="18"/>
      <c r="I32" s="17"/>
      <c r="J32" s="19" t="s">
        <v>133</v>
      </c>
      <c r="K32" s="19" t="s">
        <v>204</v>
      </c>
      <c r="L32" s="19" t="s">
        <v>134</v>
      </c>
    </row>
    <row r="33" spans="1:12" s="1" customFormat="1">
      <c r="A33" s="15"/>
      <c r="B33" s="11" t="s">
        <v>763</v>
      </c>
      <c r="C33" s="11" t="s">
        <v>45</v>
      </c>
      <c r="D33" s="9" t="s">
        <v>181</v>
      </c>
      <c r="E33" s="16" t="s">
        <v>128</v>
      </c>
      <c r="F33" s="72"/>
      <c r="G33" s="9" t="s">
        <v>1076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805</v>
      </c>
      <c r="C34" s="11" t="s">
        <v>45</v>
      </c>
      <c r="D34" s="9" t="s">
        <v>184</v>
      </c>
      <c r="E34" s="16" t="s">
        <v>128</v>
      </c>
      <c r="F34" s="72"/>
      <c r="G34" s="17" t="s">
        <v>1110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89" t="s">
        <v>1462</v>
      </c>
      <c r="C35" s="11" t="s">
        <v>45</v>
      </c>
      <c r="D35" s="9" t="s">
        <v>1056</v>
      </c>
      <c r="E35" s="16" t="s">
        <v>128</v>
      </c>
      <c r="F35" s="72"/>
      <c r="G35" s="17" t="s">
        <v>224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89" t="s">
        <v>1463</v>
      </c>
      <c r="C36" s="11" t="s">
        <v>45</v>
      </c>
      <c r="D36" s="9" t="s">
        <v>1055</v>
      </c>
      <c r="E36" s="16" t="s">
        <v>128</v>
      </c>
      <c r="F36" s="72"/>
      <c r="G36" s="17" t="s">
        <v>223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89" t="s">
        <v>1464</v>
      </c>
      <c r="C37" s="11" t="s">
        <v>45</v>
      </c>
      <c r="D37" s="9" t="s">
        <v>163</v>
      </c>
      <c r="E37" s="16" t="s">
        <v>128</v>
      </c>
      <c r="F37" s="72"/>
      <c r="G37" s="17" t="s">
        <v>225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89" t="s">
        <v>1465</v>
      </c>
      <c r="C38" s="11" t="s">
        <v>45</v>
      </c>
      <c r="D38" s="9" t="s">
        <v>164</v>
      </c>
      <c r="E38" s="16" t="s">
        <v>128</v>
      </c>
      <c r="F38" s="72"/>
      <c r="G38" s="17" t="s">
        <v>226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89" t="s">
        <v>1466</v>
      </c>
      <c r="C39" s="11" t="s">
        <v>45</v>
      </c>
      <c r="D39" s="9" t="s">
        <v>165</v>
      </c>
      <c r="E39" s="16" t="s">
        <v>128</v>
      </c>
      <c r="F39" s="72"/>
      <c r="G39" s="17" t="s">
        <v>1114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89" t="s">
        <v>1467</v>
      </c>
      <c r="C40" s="11" t="s">
        <v>45</v>
      </c>
      <c r="D40" s="9" t="s">
        <v>166</v>
      </c>
      <c r="E40" s="16" t="s">
        <v>128</v>
      </c>
      <c r="F40" s="72"/>
      <c r="G40" s="17" t="s">
        <v>1115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89" t="s">
        <v>1478</v>
      </c>
      <c r="C41" s="11" t="s">
        <v>45</v>
      </c>
      <c r="D41" s="9" t="s">
        <v>1260</v>
      </c>
      <c r="E41" s="16" t="s">
        <v>128</v>
      </c>
      <c r="F41" s="72"/>
      <c r="G41" s="17" t="s">
        <v>227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89" t="s">
        <v>1479</v>
      </c>
      <c r="C42" s="11" t="s">
        <v>45</v>
      </c>
      <c r="D42" s="9" t="s">
        <v>1261</v>
      </c>
      <c r="E42" s="16" t="s">
        <v>128</v>
      </c>
      <c r="F42" s="72"/>
      <c r="G42" s="17" t="s">
        <v>228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89" t="s">
        <v>1480</v>
      </c>
      <c r="C43" s="11" t="s">
        <v>45</v>
      </c>
      <c r="D43" s="9" t="s">
        <v>167</v>
      </c>
      <c r="E43" s="16" t="s">
        <v>128</v>
      </c>
      <c r="F43" s="72"/>
      <c r="G43" s="17" t="s">
        <v>772</v>
      </c>
      <c r="H43" s="18"/>
      <c r="I43" s="17"/>
      <c r="J43" s="19" t="s">
        <v>133</v>
      </c>
      <c r="K43" s="19" t="s">
        <v>202</v>
      </c>
      <c r="L43" s="19" t="s">
        <v>67</v>
      </c>
    </row>
    <row r="44" spans="1:12" s="1" customFormat="1">
      <c r="A44" s="15"/>
      <c r="B44" s="11" t="s">
        <v>809</v>
      </c>
      <c r="C44" s="11" t="s">
        <v>45</v>
      </c>
      <c r="D44" s="9" t="s">
        <v>175</v>
      </c>
      <c r="E44" s="16" t="s">
        <v>128</v>
      </c>
      <c r="F44" s="72"/>
      <c r="G44" s="17" t="s">
        <v>1120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89" t="s">
        <v>1488</v>
      </c>
      <c r="C45" s="11" t="s">
        <v>45</v>
      </c>
      <c r="D45" s="9" t="s">
        <v>168</v>
      </c>
      <c r="E45" s="16" t="s">
        <v>128</v>
      </c>
      <c r="F45" s="72"/>
      <c r="G45" s="17" t="s">
        <v>1487</v>
      </c>
      <c r="H45" s="18"/>
      <c r="I45" s="17"/>
      <c r="J45" s="19" t="s">
        <v>133</v>
      </c>
      <c r="K45" s="19" t="s">
        <v>202</v>
      </c>
      <c r="L45" s="19" t="s">
        <v>67</v>
      </c>
    </row>
    <row r="46" spans="1:12" s="1" customFormat="1">
      <c r="A46" s="15"/>
      <c r="B46" s="11" t="s">
        <v>810</v>
      </c>
      <c r="C46" s="11" t="s">
        <v>45</v>
      </c>
      <c r="D46" s="9" t="s">
        <v>176</v>
      </c>
      <c r="E46" s="16" t="s">
        <v>128</v>
      </c>
      <c r="F46" s="72"/>
      <c r="G46" s="17" t="s">
        <v>1121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1213</v>
      </c>
      <c r="C47" s="11" t="s">
        <v>45</v>
      </c>
      <c r="D47" s="9" t="s">
        <v>178</v>
      </c>
      <c r="E47" s="16" t="s">
        <v>128</v>
      </c>
      <c r="F47" s="72"/>
      <c r="G47" s="17" t="s">
        <v>1215</v>
      </c>
      <c r="H47" s="18"/>
      <c r="I47" s="17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221</v>
      </c>
      <c r="C48" s="11" t="s">
        <v>45</v>
      </c>
      <c r="D48" s="9" t="s">
        <v>177</v>
      </c>
      <c r="E48" s="16" t="s">
        <v>128</v>
      </c>
      <c r="F48" s="72"/>
      <c r="G48" s="17" t="s">
        <v>1256</v>
      </c>
      <c r="H48" s="18"/>
      <c r="I48" s="17"/>
      <c r="J48" s="19" t="s">
        <v>133</v>
      </c>
      <c r="K48" s="19" t="s">
        <v>204</v>
      </c>
      <c r="L48" s="19" t="s">
        <v>67</v>
      </c>
    </row>
    <row r="49" spans="1:12" s="1" customFormat="1">
      <c r="A49" s="15"/>
      <c r="B49" s="11" t="s">
        <v>1212</v>
      </c>
      <c r="C49" s="11" t="s">
        <v>45</v>
      </c>
      <c r="D49" s="9" t="s">
        <v>180</v>
      </c>
      <c r="E49" s="16" t="s">
        <v>128</v>
      </c>
      <c r="F49" s="72"/>
      <c r="G49" s="17" t="s">
        <v>1214</v>
      </c>
      <c r="H49" s="18"/>
      <c r="I49" s="17"/>
      <c r="J49" s="19" t="s">
        <v>133</v>
      </c>
      <c r="K49" s="19" t="s">
        <v>202</v>
      </c>
      <c r="L49" s="19" t="s">
        <v>67</v>
      </c>
    </row>
    <row r="50" spans="1:12" s="1" customFormat="1">
      <c r="A50" s="15"/>
      <c r="B50" s="11" t="s">
        <v>222</v>
      </c>
      <c r="C50" s="11" t="s">
        <v>45</v>
      </c>
      <c r="D50" s="9" t="s">
        <v>179</v>
      </c>
      <c r="E50" s="16" t="s">
        <v>128</v>
      </c>
      <c r="F50" s="72"/>
      <c r="G50" s="17" t="s">
        <v>1123</v>
      </c>
      <c r="H50" s="18"/>
      <c r="I50" s="17"/>
      <c r="J50" s="19" t="s">
        <v>133</v>
      </c>
      <c r="K50" s="19" t="s">
        <v>204</v>
      </c>
      <c r="L50" s="19" t="s">
        <v>67</v>
      </c>
    </row>
    <row r="51" spans="1:12" s="1" customFormat="1">
      <c r="A51" s="15"/>
      <c r="B51" s="89" t="s">
        <v>1384</v>
      </c>
      <c r="C51" s="11" t="s">
        <v>45</v>
      </c>
      <c r="D51" s="9" t="s">
        <v>643</v>
      </c>
      <c r="E51" s="16" t="s">
        <v>128</v>
      </c>
      <c r="F51" s="72"/>
      <c r="G51" s="17" t="s">
        <v>768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89" t="s">
        <v>1385</v>
      </c>
      <c r="C52" s="11" t="s">
        <v>45</v>
      </c>
      <c r="D52" s="9" t="s">
        <v>813</v>
      </c>
      <c r="E52" s="16" t="s">
        <v>128</v>
      </c>
      <c r="F52" s="72"/>
      <c r="G52" s="17" t="s">
        <v>1124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89" t="s">
        <v>1386</v>
      </c>
      <c r="C53" s="11" t="s">
        <v>45</v>
      </c>
      <c r="D53" s="9" t="s">
        <v>500</v>
      </c>
      <c r="E53" s="16" t="s">
        <v>128</v>
      </c>
      <c r="F53" s="72"/>
      <c r="G53" s="17" t="s">
        <v>1125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205</v>
      </c>
      <c r="C54" s="11" t="s">
        <v>45</v>
      </c>
      <c r="D54" s="9" t="s">
        <v>147</v>
      </c>
      <c r="E54" s="16" t="s">
        <v>128</v>
      </c>
      <c r="F54" s="72"/>
      <c r="G54" s="17" t="s">
        <v>1126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206</v>
      </c>
      <c r="C55" s="11" t="s">
        <v>280</v>
      </c>
      <c r="D55" s="9" t="s">
        <v>820</v>
      </c>
      <c r="E55" s="16" t="s">
        <v>128</v>
      </c>
      <c r="F55" s="72"/>
      <c r="G55" s="17" t="s">
        <v>1081</v>
      </c>
      <c r="H55" s="18"/>
      <c r="I55" s="17"/>
      <c r="J55" s="19" t="s">
        <v>133</v>
      </c>
      <c r="K55" s="19" t="s">
        <v>202</v>
      </c>
      <c r="L55" s="19" t="s">
        <v>67</v>
      </c>
    </row>
    <row r="56" spans="1:12" s="1" customFormat="1">
      <c r="A56" s="15"/>
      <c r="B56" s="89" t="s">
        <v>1387</v>
      </c>
      <c r="C56" s="11" t="s">
        <v>45</v>
      </c>
      <c r="D56" s="9" t="s">
        <v>1018</v>
      </c>
      <c r="E56" s="16" t="s">
        <v>128</v>
      </c>
      <c r="F56" s="72"/>
      <c r="G56" s="17" t="s">
        <v>1127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89" t="s">
        <v>1388</v>
      </c>
      <c r="C57" s="11" t="s">
        <v>45</v>
      </c>
      <c r="D57" s="9" t="s">
        <v>1019</v>
      </c>
      <c r="E57" s="16" t="s">
        <v>128</v>
      </c>
      <c r="F57" s="72"/>
      <c r="G57" s="17" t="s">
        <v>1128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89" t="s">
        <v>1389</v>
      </c>
      <c r="C58" s="11" t="s">
        <v>45</v>
      </c>
      <c r="D58" s="9" t="s">
        <v>1020</v>
      </c>
      <c r="E58" s="16" t="s">
        <v>128</v>
      </c>
      <c r="F58" s="72"/>
      <c r="G58" s="17" t="s">
        <v>1129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89" t="s">
        <v>1390</v>
      </c>
      <c r="C59" s="11" t="s">
        <v>45</v>
      </c>
      <c r="D59" s="9" t="s">
        <v>1021</v>
      </c>
      <c r="E59" s="16" t="s">
        <v>128</v>
      </c>
      <c r="F59" s="72"/>
      <c r="G59" s="17" t="s">
        <v>1130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89" t="s">
        <v>1391</v>
      </c>
      <c r="C60" s="11" t="s">
        <v>45</v>
      </c>
      <c r="D60" s="9" t="s">
        <v>1042</v>
      </c>
      <c r="E60" s="16" t="s">
        <v>128</v>
      </c>
      <c r="F60" s="72"/>
      <c r="G60" s="17" t="s">
        <v>1131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1049</v>
      </c>
      <c r="C61" s="11" t="s">
        <v>45</v>
      </c>
      <c r="D61" s="9" t="s">
        <v>153</v>
      </c>
      <c r="E61" s="16" t="s">
        <v>128</v>
      </c>
      <c r="F61" s="72"/>
      <c r="G61" s="17" t="s">
        <v>1262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823</v>
      </c>
      <c r="C62" s="11" t="s">
        <v>280</v>
      </c>
      <c r="D62" s="9" t="s">
        <v>1474</v>
      </c>
      <c r="E62" s="16" t="s">
        <v>128</v>
      </c>
      <c r="F62" s="72"/>
      <c r="G62" s="17" t="s">
        <v>1082</v>
      </c>
      <c r="H62" s="18"/>
      <c r="I62" s="17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89" t="s">
        <v>1392</v>
      </c>
      <c r="C63" s="11" t="s">
        <v>45</v>
      </c>
      <c r="D63" s="9" t="s">
        <v>1026</v>
      </c>
      <c r="E63" s="16" t="s">
        <v>128</v>
      </c>
      <c r="F63" s="72"/>
      <c r="G63" s="17" t="s">
        <v>1133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89" t="s">
        <v>1393</v>
      </c>
      <c r="C64" s="11" t="s">
        <v>45</v>
      </c>
      <c r="D64" s="9" t="s">
        <v>1027</v>
      </c>
      <c r="E64" s="16" t="s">
        <v>128</v>
      </c>
      <c r="F64" s="72"/>
      <c r="G64" s="17" t="s">
        <v>1134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89" t="s">
        <v>1394</v>
      </c>
      <c r="C65" s="11" t="s">
        <v>45</v>
      </c>
      <c r="D65" s="9" t="s">
        <v>1028</v>
      </c>
      <c r="E65" s="16" t="s">
        <v>128</v>
      </c>
      <c r="F65" s="72"/>
      <c r="G65" s="17" t="s">
        <v>1135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89" t="s">
        <v>1395</v>
      </c>
      <c r="C66" s="11" t="s">
        <v>45</v>
      </c>
      <c r="D66" s="9" t="s">
        <v>1029</v>
      </c>
      <c r="E66" s="16" t="s">
        <v>128</v>
      </c>
      <c r="F66" s="72"/>
      <c r="G66" s="17" t="s">
        <v>1136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89" t="s">
        <v>1396</v>
      </c>
      <c r="C67" s="11" t="s">
        <v>45</v>
      </c>
      <c r="D67" s="9" t="s">
        <v>1043</v>
      </c>
      <c r="E67" s="16" t="s">
        <v>128</v>
      </c>
      <c r="F67" s="72"/>
      <c r="G67" s="17" t="s">
        <v>1137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1084</v>
      </c>
      <c r="C68" s="11" t="s">
        <v>280</v>
      </c>
      <c r="D68" s="9" t="s">
        <v>1086</v>
      </c>
      <c r="E68" s="16" t="s">
        <v>128</v>
      </c>
      <c r="F68" s="72"/>
      <c r="G68" s="17" t="s">
        <v>1087</v>
      </c>
      <c r="H68" s="18"/>
      <c r="I68" s="17"/>
      <c r="J68" s="19" t="s">
        <v>133</v>
      </c>
      <c r="K68" s="19" t="s">
        <v>202</v>
      </c>
      <c r="L68" s="19" t="s">
        <v>67</v>
      </c>
    </row>
    <row r="69" spans="1:12" s="1" customFormat="1">
      <c r="A69" s="15"/>
      <c r="B69" s="11" t="s">
        <v>1083</v>
      </c>
      <c r="C69" s="11" t="s">
        <v>280</v>
      </c>
      <c r="D69" s="9" t="s">
        <v>841</v>
      </c>
      <c r="E69" s="16" t="s">
        <v>128</v>
      </c>
      <c r="F69" s="72"/>
      <c r="G69" s="17" t="s">
        <v>1866</v>
      </c>
      <c r="H69" s="18"/>
      <c r="I69" s="17"/>
      <c r="J69" s="19" t="s">
        <v>133</v>
      </c>
      <c r="K69" s="19" t="s">
        <v>202</v>
      </c>
      <c r="L69" s="19" t="s">
        <v>67</v>
      </c>
    </row>
    <row r="70" spans="1:12" s="1" customFormat="1">
      <c r="A70" s="15"/>
      <c r="B70" s="89" t="s">
        <v>1397</v>
      </c>
      <c r="C70" s="11" t="s">
        <v>45</v>
      </c>
      <c r="D70" s="9" t="s">
        <v>1038</v>
      </c>
      <c r="E70" s="16" t="s">
        <v>128</v>
      </c>
      <c r="F70" s="72"/>
      <c r="G70" s="17" t="s">
        <v>1138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89" t="s">
        <v>1398</v>
      </c>
      <c r="C71" s="11" t="s">
        <v>45</v>
      </c>
      <c r="D71" s="9" t="s">
        <v>1039</v>
      </c>
      <c r="E71" s="16" t="s">
        <v>128</v>
      </c>
      <c r="F71" s="72"/>
      <c r="G71" s="17" t="s">
        <v>1139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89" t="s">
        <v>1399</v>
      </c>
      <c r="C72" s="11" t="s">
        <v>45</v>
      </c>
      <c r="D72" s="9" t="s">
        <v>1040</v>
      </c>
      <c r="E72" s="16" t="s">
        <v>128</v>
      </c>
      <c r="F72" s="72"/>
      <c r="G72" s="17" t="s">
        <v>1140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89" t="s">
        <v>1400</v>
      </c>
      <c r="C73" s="11" t="s">
        <v>45</v>
      </c>
      <c r="D73" s="9" t="s">
        <v>1041</v>
      </c>
      <c r="E73" s="16" t="s">
        <v>128</v>
      </c>
      <c r="F73" s="72"/>
      <c r="G73" s="17" t="s">
        <v>1141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89" t="s">
        <v>1401</v>
      </c>
      <c r="C74" s="11" t="s">
        <v>45</v>
      </c>
      <c r="D74" s="9" t="s">
        <v>1044</v>
      </c>
      <c r="E74" s="16" t="s">
        <v>128</v>
      </c>
      <c r="F74" s="72"/>
      <c r="G74" s="17" t="s">
        <v>1142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816</v>
      </c>
      <c r="C75" s="11" t="s">
        <v>280</v>
      </c>
      <c r="D75" s="9" t="s">
        <v>839</v>
      </c>
      <c r="E75" s="16" t="s">
        <v>128</v>
      </c>
      <c r="F75" s="72"/>
      <c r="G75" s="17" t="s">
        <v>1088</v>
      </c>
      <c r="H75" s="18"/>
      <c r="I75" s="17"/>
      <c r="J75" s="19" t="s">
        <v>133</v>
      </c>
      <c r="K75" s="19" t="s">
        <v>202</v>
      </c>
      <c r="L75" s="19" t="s">
        <v>67</v>
      </c>
    </row>
    <row r="76" spans="1:12" s="1" customFormat="1">
      <c r="A76" s="15"/>
      <c r="B76" s="11" t="s">
        <v>817</v>
      </c>
      <c r="C76" s="11" t="s">
        <v>45</v>
      </c>
      <c r="D76" s="9" t="s">
        <v>658</v>
      </c>
      <c r="E76" s="16" t="s">
        <v>128</v>
      </c>
      <c r="F76" s="72"/>
      <c r="G76" s="17" t="s">
        <v>1090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818</v>
      </c>
      <c r="C77" s="11" t="s">
        <v>280</v>
      </c>
      <c r="D77" s="9" t="s">
        <v>842</v>
      </c>
      <c r="E77" s="16" t="s">
        <v>128</v>
      </c>
      <c r="F77" s="72"/>
      <c r="G77" s="17" t="s">
        <v>1091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819</v>
      </c>
      <c r="C78" s="11" t="s">
        <v>45</v>
      </c>
      <c r="D78" s="9" t="s">
        <v>660</v>
      </c>
      <c r="E78" s="16" t="s">
        <v>128</v>
      </c>
      <c r="F78" s="72"/>
      <c r="G78" s="17" t="s">
        <v>1093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89" t="s">
        <v>1403</v>
      </c>
      <c r="C79" s="11" t="s">
        <v>280</v>
      </c>
      <c r="D79" s="9" t="s">
        <v>505</v>
      </c>
      <c r="E79" s="16" t="s">
        <v>128</v>
      </c>
      <c r="F79" s="72"/>
      <c r="G79" s="17" t="s">
        <v>1094</v>
      </c>
      <c r="H79" s="18"/>
      <c r="I79" s="17"/>
      <c r="J79" s="19" t="s">
        <v>133</v>
      </c>
      <c r="K79" s="19" t="s">
        <v>203</v>
      </c>
      <c r="L79" s="19" t="s">
        <v>67</v>
      </c>
    </row>
    <row r="80" spans="1:12" s="1" customFormat="1">
      <c r="A80" s="15"/>
      <c r="B80" s="11" t="s">
        <v>1570</v>
      </c>
      <c r="C80" s="11" t="s">
        <v>45</v>
      </c>
      <c r="D80" s="9" t="s">
        <v>1526</v>
      </c>
      <c r="E80" s="16" t="s">
        <v>128</v>
      </c>
      <c r="F80" s="72"/>
      <c r="G80" s="17" t="s">
        <v>1571</v>
      </c>
      <c r="H80" s="18"/>
      <c r="I80" s="17"/>
      <c r="J80" s="19" t="s">
        <v>133</v>
      </c>
      <c r="K80" s="19" t="s">
        <v>903</v>
      </c>
      <c r="L80" s="19" t="s">
        <v>67</v>
      </c>
    </row>
    <row r="81" spans="1:12" s="1" customFormat="1">
      <c r="A81" s="15"/>
      <c r="B81" s="11" t="s">
        <v>1527</v>
      </c>
      <c r="C81" s="11" t="s">
        <v>45</v>
      </c>
      <c r="D81" s="9" t="s">
        <v>1528</v>
      </c>
      <c r="E81" s="16" t="s">
        <v>128</v>
      </c>
      <c r="F81" s="72"/>
      <c r="G81" s="17" t="s">
        <v>1572</v>
      </c>
      <c r="H81" s="18"/>
      <c r="I81" s="17"/>
      <c r="J81" s="19" t="s">
        <v>133</v>
      </c>
      <c r="K81" s="19" t="s">
        <v>903</v>
      </c>
      <c r="L81" s="19" t="s">
        <v>67</v>
      </c>
    </row>
    <row r="82" spans="1:12" s="1" customFormat="1">
      <c r="A82" s="15"/>
      <c r="B82" s="11" t="s">
        <v>1529</v>
      </c>
      <c r="C82" s="11" t="s">
        <v>45</v>
      </c>
      <c r="D82" s="9" t="s">
        <v>1530</v>
      </c>
      <c r="E82" s="16" t="s">
        <v>128</v>
      </c>
      <c r="F82" s="72"/>
      <c r="G82" s="17" t="s">
        <v>1573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1531</v>
      </c>
      <c r="C83" s="11" t="s">
        <v>45</v>
      </c>
      <c r="D83" s="9" t="s">
        <v>1532</v>
      </c>
      <c r="E83" s="16" t="s">
        <v>128</v>
      </c>
      <c r="F83" s="72"/>
      <c r="G83" s="17" t="s">
        <v>1574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11" t="s">
        <v>1533</v>
      </c>
      <c r="C84" s="11" t="s">
        <v>45</v>
      </c>
      <c r="D84" s="9" t="s">
        <v>1534</v>
      </c>
      <c r="E84" s="16" t="s">
        <v>128</v>
      </c>
      <c r="F84" s="72"/>
      <c r="G84" s="17" t="s">
        <v>1575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2" s="1" customFormat="1">
      <c r="A85" s="15"/>
      <c r="B85" s="89" t="s">
        <v>1404</v>
      </c>
      <c r="C85" s="11" t="s">
        <v>280</v>
      </c>
      <c r="D85" s="9" t="s">
        <v>506</v>
      </c>
      <c r="E85" s="16" t="s">
        <v>128</v>
      </c>
      <c r="F85" s="72"/>
      <c r="G85" s="17" t="s">
        <v>1095</v>
      </c>
      <c r="H85" s="18"/>
      <c r="I85" s="17"/>
      <c r="J85" s="19" t="s">
        <v>133</v>
      </c>
      <c r="K85" s="19" t="s">
        <v>203</v>
      </c>
      <c r="L85" s="19" t="s">
        <v>67</v>
      </c>
    </row>
    <row r="86" spans="1:12" s="1" customFormat="1">
      <c r="A86" s="15"/>
      <c r="B86" s="11" t="s">
        <v>1549</v>
      </c>
      <c r="C86" s="11" t="s">
        <v>45</v>
      </c>
      <c r="D86" s="9" t="s">
        <v>1540</v>
      </c>
      <c r="E86" s="16" t="s">
        <v>128</v>
      </c>
      <c r="F86" s="72"/>
      <c r="G86" s="17" t="s">
        <v>1576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1541</v>
      </c>
      <c r="C87" s="11" t="s">
        <v>45</v>
      </c>
      <c r="D87" s="9" t="s">
        <v>1542</v>
      </c>
      <c r="E87" s="16" t="s">
        <v>128</v>
      </c>
      <c r="F87" s="72"/>
      <c r="G87" s="17" t="s">
        <v>1577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1543</v>
      </c>
      <c r="C88" s="11" t="s">
        <v>45</v>
      </c>
      <c r="D88" s="9" t="s">
        <v>1544</v>
      </c>
      <c r="E88" s="16" t="s">
        <v>128</v>
      </c>
      <c r="F88" s="72"/>
      <c r="G88" s="17" t="s">
        <v>1578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1545</v>
      </c>
      <c r="C89" s="11" t="s">
        <v>45</v>
      </c>
      <c r="D89" s="9" t="s">
        <v>1546</v>
      </c>
      <c r="E89" s="16" t="s">
        <v>128</v>
      </c>
      <c r="F89" s="72"/>
      <c r="G89" s="17" t="s">
        <v>1579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1547</v>
      </c>
      <c r="C90" s="11" t="s">
        <v>45</v>
      </c>
      <c r="D90" s="9" t="s">
        <v>1548</v>
      </c>
      <c r="E90" s="16" t="s">
        <v>128</v>
      </c>
      <c r="F90" s="72"/>
      <c r="G90" s="17" t="s">
        <v>1580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830</v>
      </c>
      <c r="C91" s="11" t="s">
        <v>45</v>
      </c>
      <c r="D91" s="9" t="s">
        <v>837</v>
      </c>
      <c r="E91" s="16" t="s">
        <v>128</v>
      </c>
      <c r="F91" s="72"/>
      <c r="G91" s="17" t="s">
        <v>1097</v>
      </c>
      <c r="H91" s="18"/>
      <c r="I91" s="17"/>
      <c r="J91" s="19" t="s">
        <v>133</v>
      </c>
      <c r="K91" s="19" t="s">
        <v>44</v>
      </c>
      <c r="L91" s="19" t="s">
        <v>67</v>
      </c>
    </row>
    <row r="92" spans="1:12" s="1" customFormat="1">
      <c r="A92" s="15"/>
      <c r="B92" s="89" t="s">
        <v>1405</v>
      </c>
      <c r="C92" s="11" t="s">
        <v>280</v>
      </c>
      <c r="D92" s="9" t="s">
        <v>836</v>
      </c>
      <c r="E92" s="16" t="s">
        <v>128</v>
      </c>
      <c r="F92" s="72"/>
      <c r="G92" s="17" t="s">
        <v>1099</v>
      </c>
      <c r="H92" s="18"/>
      <c r="I92" s="17"/>
      <c r="J92" s="19" t="s">
        <v>133</v>
      </c>
      <c r="K92" s="19" t="s">
        <v>202</v>
      </c>
      <c r="L92" s="19" t="s">
        <v>67</v>
      </c>
    </row>
    <row r="93" spans="1:12" s="1" customFormat="1">
      <c r="A93" s="15"/>
      <c r="B93" s="95" t="s">
        <v>1564</v>
      </c>
      <c r="C93" s="95" t="s">
        <v>45</v>
      </c>
      <c r="D93" s="96" t="s">
        <v>1555</v>
      </c>
      <c r="E93" s="16" t="s">
        <v>128</v>
      </c>
      <c r="F93" s="72"/>
      <c r="G93" s="17" t="s">
        <v>1581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95" t="s">
        <v>1556</v>
      </c>
      <c r="C94" s="95" t="s">
        <v>45</v>
      </c>
      <c r="D94" s="96" t="s">
        <v>1557</v>
      </c>
      <c r="E94" s="16" t="s">
        <v>128</v>
      </c>
      <c r="F94" s="72"/>
      <c r="G94" s="17" t="s">
        <v>1582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95" t="s">
        <v>1558</v>
      </c>
      <c r="C95" s="95" t="s">
        <v>45</v>
      </c>
      <c r="D95" s="96" t="s">
        <v>1559</v>
      </c>
      <c r="E95" s="16" t="s">
        <v>128</v>
      </c>
      <c r="F95" s="72"/>
      <c r="G95" s="17" t="s">
        <v>1583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95" t="s">
        <v>1560</v>
      </c>
      <c r="C96" s="95" t="s">
        <v>45</v>
      </c>
      <c r="D96" s="96" t="s">
        <v>1561</v>
      </c>
      <c r="E96" s="16" t="s">
        <v>128</v>
      </c>
      <c r="F96" s="72"/>
      <c r="G96" s="17" t="s">
        <v>1584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7" s="1" customFormat="1">
      <c r="A97" s="15"/>
      <c r="B97" s="95" t="s">
        <v>1562</v>
      </c>
      <c r="C97" s="95" t="s">
        <v>45</v>
      </c>
      <c r="D97" s="96" t="s">
        <v>1563</v>
      </c>
      <c r="E97" s="16" t="s">
        <v>128</v>
      </c>
      <c r="F97" s="72"/>
      <c r="G97" s="17" t="s">
        <v>1585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7" s="1" customFormat="1">
      <c r="A98" s="15"/>
      <c r="B98" s="11" t="s">
        <v>831</v>
      </c>
      <c r="C98" s="11" t="s">
        <v>45</v>
      </c>
      <c r="D98" s="9" t="s">
        <v>825</v>
      </c>
      <c r="E98" s="16" t="s">
        <v>128</v>
      </c>
      <c r="F98" s="72"/>
      <c r="G98" s="17" t="s">
        <v>1100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7" s="1" customFormat="1">
      <c r="A99" s="15"/>
      <c r="B99" s="11" t="s">
        <v>1098</v>
      </c>
      <c r="C99" s="11" t="s">
        <v>280</v>
      </c>
      <c r="D99" s="9" t="s">
        <v>826</v>
      </c>
      <c r="E99" s="16" t="s">
        <v>128</v>
      </c>
      <c r="F99" s="72"/>
      <c r="G99" s="17" t="s">
        <v>1101</v>
      </c>
      <c r="H99" s="18"/>
      <c r="I99" s="17"/>
      <c r="J99" s="19" t="s">
        <v>133</v>
      </c>
      <c r="K99" s="19" t="s">
        <v>202</v>
      </c>
      <c r="L99" s="19" t="s">
        <v>67</v>
      </c>
    </row>
    <row r="100" spans="1:17" s="1" customFormat="1">
      <c r="A100" s="15"/>
      <c r="B100" s="89" t="s">
        <v>1406</v>
      </c>
      <c r="C100" s="11" t="s">
        <v>280</v>
      </c>
      <c r="D100" s="9" t="s">
        <v>833</v>
      </c>
      <c r="E100" s="16" t="s">
        <v>128</v>
      </c>
      <c r="F100" s="72"/>
      <c r="G100" s="17" t="s">
        <v>1102</v>
      </c>
      <c r="H100" s="18"/>
      <c r="I100" s="17"/>
      <c r="J100" s="19" t="s">
        <v>133</v>
      </c>
      <c r="K100" s="19" t="s">
        <v>202</v>
      </c>
      <c r="L100" s="19" t="s">
        <v>67</v>
      </c>
    </row>
    <row r="101" spans="1:17" s="1" customFormat="1">
      <c r="A101" s="15"/>
      <c r="B101" s="89" t="s">
        <v>1402</v>
      </c>
      <c r="C101" s="11" t="s">
        <v>280</v>
      </c>
      <c r="D101" s="9" t="s">
        <v>534</v>
      </c>
      <c r="E101" s="16" t="s">
        <v>128</v>
      </c>
      <c r="F101" s="72"/>
      <c r="G101" s="17" t="s">
        <v>1103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7" s="1" customFormat="1">
      <c r="A102" s="15"/>
      <c r="B102" s="11" t="s">
        <v>848</v>
      </c>
      <c r="C102" s="11" t="s">
        <v>45</v>
      </c>
      <c r="D102" s="9" t="s">
        <v>850</v>
      </c>
      <c r="E102" s="16" t="s">
        <v>128</v>
      </c>
      <c r="F102" s="72"/>
      <c r="G102" s="17" t="s">
        <v>1104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7" s="1" customFormat="1">
      <c r="A103" s="15"/>
      <c r="B103" s="11" t="s">
        <v>849</v>
      </c>
      <c r="C103" s="11" t="s">
        <v>45</v>
      </c>
      <c r="D103" s="9" t="s">
        <v>116</v>
      </c>
      <c r="E103" s="16" t="s">
        <v>128</v>
      </c>
      <c r="F103" s="72"/>
      <c r="G103" s="17" t="s">
        <v>1105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7" s="1" customFormat="1">
      <c r="A104" s="15"/>
      <c r="B104" s="89" t="s">
        <v>1407</v>
      </c>
      <c r="C104" s="11" t="s">
        <v>280</v>
      </c>
      <c r="D104" s="9" t="s">
        <v>502</v>
      </c>
      <c r="E104" s="16" t="s">
        <v>128</v>
      </c>
      <c r="F104" s="72"/>
      <c r="G104" s="17" t="s">
        <v>1107</v>
      </c>
      <c r="H104" s="18"/>
      <c r="I104" s="17"/>
      <c r="J104" s="19" t="s">
        <v>133</v>
      </c>
      <c r="K104" s="19" t="s">
        <v>202</v>
      </c>
      <c r="L104" s="19" t="s">
        <v>67</v>
      </c>
    </row>
    <row r="105" spans="1:17" s="1" customFormat="1">
      <c r="A105" s="15"/>
      <c r="B105" s="11" t="s">
        <v>856</v>
      </c>
      <c r="C105" s="11" t="s">
        <v>45</v>
      </c>
      <c r="D105" s="9" t="s">
        <v>857</v>
      </c>
      <c r="E105" s="16" t="s">
        <v>128</v>
      </c>
      <c r="F105" s="72"/>
      <c r="G105" s="17" t="s">
        <v>1106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7" s="1" customFormat="1">
      <c r="A106" s="15"/>
      <c r="B106" s="89" t="s">
        <v>1481</v>
      </c>
      <c r="C106" s="11" t="s">
        <v>45</v>
      </c>
      <c r="D106" s="9" t="s">
        <v>865</v>
      </c>
      <c r="E106" s="16" t="s">
        <v>128</v>
      </c>
      <c r="F106" s="72"/>
      <c r="G106" s="17" t="s">
        <v>1155</v>
      </c>
      <c r="H106" s="18"/>
      <c r="I106" s="17"/>
      <c r="J106" s="19" t="s">
        <v>133</v>
      </c>
      <c r="K106" s="19" t="s">
        <v>44</v>
      </c>
      <c r="L106" s="19" t="s">
        <v>67</v>
      </c>
    </row>
    <row r="107" spans="1:17" s="1" customFormat="1">
      <c r="A107" s="15"/>
      <c r="B107" s="89" t="s">
        <v>1482</v>
      </c>
      <c r="C107" s="11" t="s">
        <v>45</v>
      </c>
      <c r="D107" s="9" t="s">
        <v>866</v>
      </c>
      <c r="E107" s="16" t="s">
        <v>128</v>
      </c>
      <c r="F107" s="72"/>
      <c r="G107" s="17" t="s">
        <v>1156</v>
      </c>
      <c r="H107" s="18"/>
      <c r="I107" s="17"/>
      <c r="J107" s="19" t="s">
        <v>133</v>
      </c>
      <c r="K107" s="19" t="s">
        <v>44</v>
      </c>
      <c r="L107" s="19" t="s">
        <v>67</v>
      </c>
    </row>
    <row r="108" spans="1:17" s="1" customFormat="1">
      <c r="A108" s="15"/>
      <c r="B108" s="89" t="s">
        <v>1483</v>
      </c>
      <c r="C108" s="11" t="s">
        <v>45</v>
      </c>
      <c r="D108" s="9" t="s">
        <v>867</v>
      </c>
      <c r="E108" s="16" t="s">
        <v>128</v>
      </c>
      <c r="F108" s="72"/>
      <c r="G108" s="17" t="s">
        <v>1157</v>
      </c>
      <c r="H108" s="18"/>
      <c r="I108" s="17"/>
      <c r="J108" s="19" t="s">
        <v>133</v>
      </c>
      <c r="K108" s="19" t="s">
        <v>44</v>
      </c>
      <c r="L108" s="19" t="s">
        <v>67</v>
      </c>
    </row>
    <row r="109" spans="1:17" s="3" customFormat="1">
      <c r="B109" s="23" t="s">
        <v>47</v>
      </c>
      <c r="C109" s="24" t="s">
        <v>46</v>
      </c>
      <c r="D109" s="21" t="s">
        <v>48</v>
      </c>
      <c r="E109" s="44"/>
      <c r="F109" s="44"/>
      <c r="G109" s="44" t="s">
        <v>282</v>
      </c>
      <c r="H109" s="23" t="s">
        <v>282</v>
      </c>
      <c r="I109" s="23"/>
      <c r="J109" s="23"/>
      <c r="K109" s="23"/>
      <c r="L109" s="23"/>
      <c r="M109" s="23"/>
      <c r="N109" s="23"/>
      <c r="O109" s="23"/>
      <c r="P109" s="23"/>
      <c r="Q109" s="23"/>
    </row>
    <row r="110" spans="1:17" s="3" customFormat="1">
      <c r="B110" s="23" t="s">
        <v>49</v>
      </c>
      <c r="C110" s="24" t="s">
        <v>43</v>
      </c>
      <c r="D110" s="21" t="s">
        <v>50</v>
      </c>
      <c r="E110" s="44"/>
      <c r="F110" s="44"/>
      <c r="G110" s="44" t="s">
        <v>282</v>
      </c>
      <c r="H110" s="23" t="s">
        <v>282</v>
      </c>
      <c r="I110" s="23"/>
      <c r="J110" s="23"/>
      <c r="K110" s="23"/>
      <c r="L110" s="23"/>
      <c r="M110" s="23"/>
      <c r="N110" s="23"/>
      <c r="O110" s="23"/>
      <c r="P110" s="23"/>
      <c r="Q110" s="23"/>
    </row>
  </sheetData>
  <autoFilter ref="A13:Q110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5242-0C74-4F82-ACA3-8CCFB77C5F7B}">
  <sheetPr codeName="Sheet30"/>
  <dimension ref="A1:Q109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2.33203125" style="4" customWidth="1"/>
    <col min="7" max="7" width="50.77734375" style="4" customWidth="1"/>
    <col min="8" max="9" width="12.664062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1512</v>
      </c>
      <c r="D5" s="82" t="s">
        <v>1514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1511</v>
      </c>
      <c r="D9" s="10" t="s">
        <v>1642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136</v>
      </c>
      <c r="C16" s="22" t="s">
        <v>94</v>
      </c>
      <c r="D16" s="9" t="s">
        <v>137</v>
      </c>
      <c r="E16" s="16" t="s">
        <v>128</v>
      </c>
      <c r="F16" s="17" t="s">
        <v>1068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679</v>
      </c>
    </row>
    <row r="17" spans="1:13" s="1" customFormat="1">
      <c r="A17" s="15"/>
      <c r="B17" s="22" t="s">
        <v>61</v>
      </c>
      <c r="C17" s="22" t="s">
        <v>94</v>
      </c>
      <c r="D17" s="9" t="s">
        <v>100</v>
      </c>
      <c r="E17" s="16" t="s">
        <v>128</v>
      </c>
      <c r="F17" s="9" t="s">
        <v>61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3" s="1" customFormat="1">
      <c r="A18" s="15"/>
      <c r="B18" s="11" t="s">
        <v>62</v>
      </c>
      <c r="C18" s="22" t="s">
        <v>94</v>
      </c>
      <c r="D18" s="9" t="s">
        <v>101</v>
      </c>
      <c r="E18" s="16" t="s">
        <v>128</v>
      </c>
      <c r="F18" s="9" t="s">
        <v>62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11" t="s">
        <v>64</v>
      </c>
      <c r="C19" s="22" t="s">
        <v>93</v>
      </c>
      <c r="D19" s="9" t="s">
        <v>63</v>
      </c>
      <c r="E19" s="16" t="s">
        <v>128</v>
      </c>
      <c r="F19" s="9" t="s">
        <v>64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44</v>
      </c>
    </row>
    <row r="20" spans="1:13" s="1" customFormat="1">
      <c r="A20" s="15"/>
      <c r="B20" s="11" t="s">
        <v>65</v>
      </c>
      <c r="C20" s="22" t="s">
        <v>93</v>
      </c>
      <c r="D20" s="9" t="s">
        <v>102</v>
      </c>
      <c r="E20" s="16" t="s">
        <v>128</v>
      </c>
      <c r="F20" s="9" t="s">
        <v>65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3" s="1" customFormat="1">
      <c r="A21" s="15"/>
      <c r="B21" s="11" t="s">
        <v>66</v>
      </c>
      <c r="C21" s="22" t="s">
        <v>93</v>
      </c>
      <c r="D21" s="9" t="s">
        <v>68</v>
      </c>
      <c r="E21" s="16" t="s">
        <v>128</v>
      </c>
      <c r="F21" s="9" t="s">
        <v>66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81</v>
      </c>
      <c r="C22" s="11" t="s">
        <v>43</v>
      </c>
      <c r="D22" s="9" t="s">
        <v>57</v>
      </c>
      <c r="E22" s="16" t="s">
        <v>128</v>
      </c>
      <c r="F22" s="17" t="s">
        <v>81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58</v>
      </c>
      <c r="C23" s="11" t="s">
        <v>43</v>
      </c>
      <c r="D23" s="9" t="s">
        <v>59</v>
      </c>
      <c r="E23" s="16" t="s">
        <v>128</v>
      </c>
      <c r="F23" s="9" t="s">
        <v>58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82</v>
      </c>
      <c r="C24" s="11" t="s">
        <v>43</v>
      </c>
      <c r="D24" s="9" t="s">
        <v>105</v>
      </c>
      <c r="E24" s="16" t="s">
        <v>128</v>
      </c>
      <c r="F24" s="17" t="s">
        <v>82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3" s="15" customFormat="1">
      <c r="B25" s="22" t="s">
        <v>1920</v>
      </c>
      <c r="C25" s="11" t="s">
        <v>43</v>
      </c>
      <c r="D25" s="9" t="s">
        <v>109</v>
      </c>
      <c r="E25" s="16" t="s">
        <v>128</v>
      </c>
      <c r="F25" s="17" t="s">
        <v>87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679</v>
      </c>
      <c r="M25" s="1"/>
    </row>
    <row r="26" spans="1:13" s="1" customFormat="1">
      <c r="A26" s="15"/>
      <c r="B26" s="11" t="s">
        <v>1072</v>
      </c>
      <c r="C26" s="11" t="s">
        <v>45</v>
      </c>
      <c r="D26" s="9" t="s">
        <v>146</v>
      </c>
      <c r="E26" s="16" t="s">
        <v>128</v>
      </c>
      <c r="F26" s="17"/>
      <c r="G26" s="17" t="s">
        <v>1073</v>
      </c>
      <c r="H26" s="18"/>
      <c r="I26" s="17"/>
      <c r="J26" s="19" t="s">
        <v>133</v>
      </c>
      <c r="K26" s="19" t="s">
        <v>132</v>
      </c>
      <c r="L26" s="19" t="s">
        <v>134</v>
      </c>
    </row>
    <row r="27" spans="1:13" s="1" customFormat="1">
      <c r="A27" s="15"/>
      <c r="B27" s="11" t="s">
        <v>189</v>
      </c>
      <c r="C27" s="11" t="s">
        <v>45</v>
      </c>
      <c r="D27" s="9" t="s">
        <v>190</v>
      </c>
      <c r="E27" s="16" t="s">
        <v>128</v>
      </c>
      <c r="F27" s="17"/>
      <c r="G27" s="17" t="s">
        <v>1259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3" s="1" customFormat="1">
      <c r="A28" s="15"/>
      <c r="B28" s="11" t="s">
        <v>192</v>
      </c>
      <c r="C28" s="11" t="s">
        <v>45</v>
      </c>
      <c r="D28" s="9" t="s">
        <v>193</v>
      </c>
      <c r="E28" s="16" t="s">
        <v>128</v>
      </c>
      <c r="F28" s="17"/>
      <c r="G28" s="17" t="s">
        <v>1074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3" s="1" customFormat="1">
      <c r="A29" s="15"/>
      <c r="B29" s="91" t="s">
        <v>1383</v>
      </c>
      <c r="C29" s="22" t="s">
        <v>45</v>
      </c>
      <c r="D29" s="9" t="s">
        <v>348</v>
      </c>
      <c r="E29" s="16" t="s">
        <v>128</v>
      </c>
      <c r="F29" s="17"/>
      <c r="G29" s="92" t="s">
        <v>1426</v>
      </c>
      <c r="H29" s="18"/>
      <c r="I29" s="17"/>
      <c r="J29" s="19" t="s">
        <v>133</v>
      </c>
      <c r="K29" s="19" t="s">
        <v>203</v>
      </c>
      <c r="L29" s="19" t="s">
        <v>134</v>
      </c>
    </row>
    <row r="30" spans="1:13" s="1" customFormat="1">
      <c r="A30" s="15"/>
      <c r="B30" s="91" t="s">
        <v>296</v>
      </c>
      <c r="C30" s="11" t="s">
        <v>45</v>
      </c>
      <c r="D30" s="9" t="s">
        <v>759</v>
      </c>
      <c r="E30" s="16" t="s">
        <v>128</v>
      </c>
      <c r="F30" s="17"/>
      <c r="G30" s="92" t="s">
        <v>1427</v>
      </c>
      <c r="H30" s="18"/>
      <c r="I30" s="17"/>
      <c r="J30" s="19" t="s">
        <v>133</v>
      </c>
      <c r="K30" s="19" t="s">
        <v>204</v>
      </c>
      <c r="L30" s="19" t="s">
        <v>134</v>
      </c>
    </row>
    <row r="31" spans="1:13" s="1" customFormat="1">
      <c r="A31" s="15"/>
      <c r="B31" s="91" t="s">
        <v>297</v>
      </c>
      <c r="C31" s="11" t="s">
        <v>45</v>
      </c>
      <c r="D31" s="9" t="s">
        <v>160</v>
      </c>
      <c r="E31" s="16" t="s">
        <v>128</v>
      </c>
      <c r="F31" s="17"/>
      <c r="G31" s="92" t="s">
        <v>1428</v>
      </c>
      <c r="H31" s="18"/>
      <c r="I31" s="17"/>
      <c r="J31" s="19" t="s">
        <v>133</v>
      </c>
      <c r="K31" s="19" t="s">
        <v>204</v>
      </c>
      <c r="L31" s="19" t="s">
        <v>134</v>
      </c>
    </row>
    <row r="32" spans="1:13" s="1" customFormat="1">
      <c r="A32" s="15"/>
      <c r="B32" s="11" t="s">
        <v>763</v>
      </c>
      <c r="C32" s="11" t="s">
        <v>45</v>
      </c>
      <c r="D32" s="9" t="s">
        <v>181</v>
      </c>
      <c r="E32" s="16" t="s">
        <v>128</v>
      </c>
      <c r="F32" s="17"/>
      <c r="G32" s="9" t="s">
        <v>1076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" t="s">
        <v>805</v>
      </c>
      <c r="C33" s="11" t="s">
        <v>45</v>
      </c>
      <c r="D33" s="9" t="s">
        <v>184</v>
      </c>
      <c r="E33" s="16" t="s">
        <v>128</v>
      </c>
      <c r="F33" s="17"/>
      <c r="G33" s="17" t="s">
        <v>1110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91" t="s">
        <v>299</v>
      </c>
      <c r="C34" s="11" t="s">
        <v>45</v>
      </c>
      <c r="D34" s="9" t="s">
        <v>1056</v>
      </c>
      <c r="E34" s="16" t="s">
        <v>128</v>
      </c>
      <c r="F34" s="17"/>
      <c r="G34" s="92" t="s">
        <v>1429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91" t="s">
        <v>298</v>
      </c>
      <c r="C35" s="11" t="s">
        <v>45</v>
      </c>
      <c r="D35" s="9" t="s">
        <v>1055</v>
      </c>
      <c r="E35" s="16" t="s">
        <v>128</v>
      </c>
      <c r="F35" s="17"/>
      <c r="G35" s="92" t="s">
        <v>1430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91" t="s">
        <v>300</v>
      </c>
      <c r="C36" s="11" t="s">
        <v>45</v>
      </c>
      <c r="D36" s="9" t="s">
        <v>163</v>
      </c>
      <c r="E36" s="16" t="s">
        <v>128</v>
      </c>
      <c r="F36" s="17"/>
      <c r="G36" s="92" t="s">
        <v>1431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91" t="s">
        <v>301</v>
      </c>
      <c r="C37" s="11" t="s">
        <v>45</v>
      </c>
      <c r="D37" s="9" t="s">
        <v>164</v>
      </c>
      <c r="E37" s="16" t="s">
        <v>128</v>
      </c>
      <c r="F37" s="17"/>
      <c r="G37" s="92" t="s">
        <v>1432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91" t="s">
        <v>302</v>
      </c>
      <c r="C38" s="11" t="s">
        <v>45</v>
      </c>
      <c r="D38" s="9" t="s">
        <v>165</v>
      </c>
      <c r="E38" s="16" t="s">
        <v>128</v>
      </c>
      <c r="F38" s="17"/>
      <c r="G38" s="92" t="s">
        <v>1433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91" t="s">
        <v>303</v>
      </c>
      <c r="C39" s="11" t="s">
        <v>45</v>
      </c>
      <c r="D39" s="9" t="s">
        <v>166</v>
      </c>
      <c r="E39" s="16" t="s">
        <v>128</v>
      </c>
      <c r="F39" s="17"/>
      <c r="G39" s="92" t="s">
        <v>1434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91" t="s">
        <v>304</v>
      </c>
      <c r="C40" s="11" t="s">
        <v>45</v>
      </c>
      <c r="D40" s="9" t="s">
        <v>1260</v>
      </c>
      <c r="E40" s="16" t="s">
        <v>128</v>
      </c>
      <c r="F40" s="17"/>
      <c r="G40" s="92" t="s">
        <v>1435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91" t="s">
        <v>305</v>
      </c>
      <c r="C41" s="11" t="s">
        <v>45</v>
      </c>
      <c r="D41" s="9" t="s">
        <v>1261</v>
      </c>
      <c r="E41" s="16" t="s">
        <v>128</v>
      </c>
      <c r="F41" s="17"/>
      <c r="G41" s="92" t="s">
        <v>1436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91" t="s">
        <v>306</v>
      </c>
      <c r="C42" s="11" t="s">
        <v>45</v>
      </c>
      <c r="D42" s="9" t="s">
        <v>167</v>
      </c>
      <c r="E42" s="16" t="s">
        <v>128</v>
      </c>
      <c r="F42" s="17"/>
      <c r="G42" s="92" t="s">
        <v>1437</v>
      </c>
      <c r="H42" s="18"/>
      <c r="I42" s="17"/>
      <c r="J42" s="19" t="s">
        <v>133</v>
      </c>
      <c r="K42" s="19" t="s">
        <v>202</v>
      </c>
      <c r="L42" s="19" t="s">
        <v>67</v>
      </c>
    </row>
    <row r="43" spans="1:12" s="1" customFormat="1">
      <c r="A43" s="15"/>
      <c r="B43" s="11" t="s">
        <v>809</v>
      </c>
      <c r="C43" s="11" t="s">
        <v>45</v>
      </c>
      <c r="D43" s="9" t="s">
        <v>175</v>
      </c>
      <c r="E43" s="16" t="s">
        <v>128</v>
      </c>
      <c r="F43" s="17"/>
      <c r="G43" s="17" t="s">
        <v>1120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91" t="s">
        <v>1488</v>
      </c>
      <c r="C44" s="11" t="s">
        <v>45</v>
      </c>
      <c r="D44" s="9" t="s">
        <v>168</v>
      </c>
      <c r="E44" s="16" t="s">
        <v>128</v>
      </c>
      <c r="F44" s="17"/>
      <c r="G44" s="92" t="s">
        <v>1491</v>
      </c>
      <c r="H44" s="18"/>
      <c r="I44" s="17"/>
      <c r="J44" s="19" t="s">
        <v>133</v>
      </c>
      <c r="K44" s="19" t="s">
        <v>202</v>
      </c>
      <c r="L44" s="19" t="s">
        <v>67</v>
      </c>
    </row>
    <row r="45" spans="1:12" s="1" customFormat="1">
      <c r="A45" s="15"/>
      <c r="B45" s="11" t="s">
        <v>810</v>
      </c>
      <c r="C45" s="11" t="s">
        <v>45</v>
      </c>
      <c r="D45" s="9" t="s">
        <v>176</v>
      </c>
      <c r="E45" s="16" t="s">
        <v>128</v>
      </c>
      <c r="F45" s="17"/>
      <c r="G45" s="17" t="s">
        <v>1121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1213</v>
      </c>
      <c r="C46" s="11" t="s">
        <v>45</v>
      </c>
      <c r="D46" s="9" t="s">
        <v>178</v>
      </c>
      <c r="E46" s="16" t="s">
        <v>128</v>
      </c>
      <c r="F46" s="17"/>
      <c r="G46" s="17" t="s">
        <v>1215</v>
      </c>
      <c r="H46" s="18"/>
      <c r="I46" s="17"/>
      <c r="J46" s="19" t="s">
        <v>133</v>
      </c>
      <c r="K46" s="19" t="s">
        <v>202</v>
      </c>
      <c r="L46" s="19" t="s">
        <v>67</v>
      </c>
    </row>
    <row r="47" spans="1:12" s="1" customFormat="1">
      <c r="A47" s="15"/>
      <c r="B47" s="11" t="s">
        <v>221</v>
      </c>
      <c r="C47" s="11" t="s">
        <v>45</v>
      </c>
      <c r="D47" s="9" t="s">
        <v>177</v>
      </c>
      <c r="E47" s="16" t="s">
        <v>128</v>
      </c>
      <c r="F47" s="17"/>
      <c r="G47" s="17" t="s">
        <v>1256</v>
      </c>
      <c r="H47" s="18"/>
      <c r="I47" s="17"/>
      <c r="J47" s="19" t="s">
        <v>133</v>
      </c>
      <c r="K47" s="19" t="s">
        <v>204</v>
      </c>
      <c r="L47" s="19" t="s">
        <v>67</v>
      </c>
    </row>
    <row r="48" spans="1:12" s="1" customFormat="1">
      <c r="A48" s="15"/>
      <c r="B48" s="11" t="s">
        <v>1212</v>
      </c>
      <c r="C48" s="11" t="s">
        <v>45</v>
      </c>
      <c r="D48" s="9" t="s">
        <v>180</v>
      </c>
      <c r="E48" s="16" t="s">
        <v>128</v>
      </c>
      <c r="F48" s="17"/>
      <c r="G48" s="17" t="s">
        <v>1214</v>
      </c>
      <c r="H48" s="18"/>
      <c r="I48" s="17"/>
      <c r="J48" s="19" t="s">
        <v>133</v>
      </c>
      <c r="K48" s="19" t="s">
        <v>202</v>
      </c>
      <c r="L48" s="19" t="s">
        <v>67</v>
      </c>
    </row>
    <row r="49" spans="1:12" s="1" customFormat="1">
      <c r="A49" s="15"/>
      <c r="B49" s="11" t="s">
        <v>222</v>
      </c>
      <c r="C49" s="11" t="s">
        <v>45</v>
      </c>
      <c r="D49" s="9" t="s">
        <v>179</v>
      </c>
      <c r="E49" s="16" t="s">
        <v>128</v>
      </c>
      <c r="F49" s="17"/>
      <c r="G49" s="17" t="s">
        <v>1123</v>
      </c>
      <c r="H49" s="18"/>
      <c r="I49" s="17"/>
      <c r="J49" s="19" t="s">
        <v>133</v>
      </c>
      <c r="K49" s="19" t="s">
        <v>204</v>
      </c>
      <c r="L49" s="19" t="s">
        <v>67</v>
      </c>
    </row>
    <row r="50" spans="1:12" s="1" customFormat="1">
      <c r="A50" s="15"/>
      <c r="B50" s="91" t="s">
        <v>642</v>
      </c>
      <c r="C50" s="11" t="s">
        <v>45</v>
      </c>
      <c r="D50" s="9" t="s">
        <v>643</v>
      </c>
      <c r="E50" s="16" t="s">
        <v>128</v>
      </c>
      <c r="F50" s="17"/>
      <c r="G50" s="92" t="s">
        <v>1438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91" t="s">
        <v>644</v>
      </c>
      <c r="C51" s="11" t="s">
        <v>45</v>
      </c>
      <c r="D51" s="9" t="s">
        <v>813</v>
      </c>
      <c r="E51" s="16" t="s">
        <v>128</v>
      </c>
      <c r="F51" s="17"/>
      <c r="G51" s="92" t="s">
        <v>1439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91" t="s">
        <v>1468</v>
      </c>
      <c r="C52" s="11" t="s">
        <v>45</v>
      </c>
      <c r="D52" s="9" t="s">
        <v>500</v>
      </c>
      <c r="E52" s="16" t="s">
        <v>128</v>
      </c>
      <c r="F52" s="17"/>
      <c r="G52" s="92" t="s">
        <v>1440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205</v>
      </c>
      <c r="C53" s="11" t="s">
        <v>45</v>
      </c>
      <c r="D53" s="9" t="s">
        <v>147</v>
      </c>
      <c r="E53" s="16" t="s">
        <v>128</v>
      </c>
      <c r="F53" s="17"/>
      <c r="G53" s="17" t="s">
        <v>1126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206</v>
      </c>
      <c r="C54" s="11" t="s">
        <v>280</v>
      </c>
      <c r="D54" s="9" t="s">
        <v>820</v>
      </c>
      <c r="E54" s="16" t="s">
        <v>128</v>
      </c>
      <c r="F54" s="17"/>
      <c r="G54" s="17" t="s">
        <v>1081</v>
      </c>
      <c r="H54" s="18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91" t="s">
        <v>286</v>
      </c>
      <c r="C55" s="11" t="s">
        <v>45</v>
      </c>
      <c r="D55" s="9" t="s">
        <v>1018</v>
      </c>
      <c r="E55" s="16" t="s">
        <v>128</v>
      </c>
      <c r="F55" s="17"/>
      <c r="G55" s="92" t="s">
        <v>1441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91" t="s">
        <v>287</v>
      </c>
      <c r="C56" s="11" t="s">
        <v>45</v>
      </c>
      <c r="D56" s="9" t="s">
        <v>1019</v>
      </c>
      <c r="E56" s="16" t="s">
        <v>128</v>
      </c>
      <c r="F56" s="17"/>
      <c r="G56" s="92" t="s">
        <v>1442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91" t="s">
        <v>288</v>
      </c>
      <c r="C57" s="11" t="s">
        <v>45</v>
      </c>
      <c r="D57" s="9" t="s">
        <v>1020</v>
      </c>
      <c r="E57" s="16" t="s">
        <v>128</v>
      </c>
      <c r="F57" s="17"/>
      <c r="G57" s="92" t="s">
        <v>1443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91" t="s">
        <v>289</v>
      </c>
      <c r="C58" s="11" t="s">
        <v>45</v>
      </c>
      <c r="D58" s="9" t="s">
        <v>1021</v>
      </c>
      <c r="E58" s="16" t="s">
        <v>128</v>
      </c>
      <c r="F58" s="17"/>
      <c r="G58" s="92" t="s">
        <v>1444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91" t="s">
        <v>290</v>
      </c>
      <c r="C59" s="11" t="s">
        <v>45</v>
      </c>
      <c r="D59" s="9" t="s">
        <v>1042</v>
      </c>
      <c r="E59" s="16" t="s">
        <v>128</v>
      </c>
      <c r="F59" s="17"/>
      <c r="G59" s="92" t="s">
        <v>1445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1049</v>
      </c>
      <c r="C60" s="11" t="s">
        <v>45</v>
      </c>
      <c r="D60" s="9" t="s">
        <v>153</v>
      </c>
      <c r="E60" s="16" t="s">
        <v>128</v>
      </c>
      <c r="F60" s="17"/>
      <c r="G60" s="17" t="s">
        <v>1262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823</v>
      </c>
      <c r="C61" s="11" t="s">
        <v>280</v>
      </c>
      <c r="D61" s="9" t="s">
        <v>1474</v>
      </c>
      <c r="E61" s="16" t="s">
        <v>128</v>
      </c>
      <c r="F61" s="17"/>
      <c r="G61" s="17" t="s">
        <v>1082</v>
      </c>
      <c r="H61" s="18"/>
      <c r="I61" s="17"/>
      <c r="J61" s="19" t="s">
        <v>133</v>
      </c>
      <c r="K61" s="19" t="s">
        <v>202</v>
      </c>
      <c r="L61" s="19" t="s">
        <v>67</v>
      </c>
    </row>
    <row r="62" spans="1:12" s="1" customFormat="1">
      <c r="A62" s="15"/>
      <c r="B62" s="91" t="s">
        <v>291</v>
      </c>
      <c r="C62" s="11" t="s">
        <v>45</v>
      </c>
      <c r="D62" s="9" t="s">
        <v>1026</v>
      </c>
      <c r="E62" s="16" t="s">
        <v>128</v>
      </c>
      <c r="F62" s="17"/>
      <c r="G62" s="92" t="s">
        <v>1446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91" t="s">
        <v>292</v>
      </c>
      <c r="C63" s="11" t="s">
        <v>45</v>
      </c>
      <c r="D63" s="9" t="s">
        <v>1027</v>
      </c>
      <c r="E63" s="16" t="s">
        <v>128</v>
      </c>
      <c r="F63" s="17"/>
      <c r="G63" s="92" t="s">
        <v>1447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91" t="s">
        <v>293</v>
      </c>
      <c r="C64" s="11" t="s">
        <v>45</v>
      </c>
      <c r="D64" s="9" t="s">
        <v>1028</v>
      </c>
      <c r="E64" s="16" t="s">
        <v>128</v>
      </c>
      <c r="F64" s="17"/>
      <c r="G64" s="92" t="s">
        <v>1448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91" t="s">
        <v>294</v>
      </c>
      <c r="C65" s="11" t="s">
        <v>45</v>
      </c>
      <c r="D65" s="9" t="s">
        <v>1029</v>
      </c>
      <c r="E65" s="16" t="s">
        <v>128</v>
      </c>
      <c r="F65" s="17"/>
      <c r="G65" s="92" t="s">
        <v>1449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91" t="s">
        <v>295</v>
      </c>
      <c r="C66" s="11" t="s">
        <v>45</v>
      </c>
      <c r="D66" s="9" t="s">
        <v>1043</v>
      </c>
      <c r="E66" s="16" t="s">
        <v>128</v>
      </c>
      <c r="F66" s="17"/>
      <c r="G66" s="92" t="s">
        <v>1450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1084</v>
      </c>
      <c r="C67" s="11" t="s">
        <v>280</v>
      </c>
      <c r="D67" s="9" t="s">
        <v>1086</v>
      </c>
      <c r="E67" s="16" t="s">
        <v>128</v>
      </c>
      <c r="F67" s="17"/>
      <c r="G67" s="17" t="s">
        <v>1087</v>
      </c>
      <c r="H67" s="18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" t="s">
        <v>1083</v>
      </c>
      <c r="C68" s="11" t="s">
        <v>280</v>
      </c>
      <c r="D68" s="9" t="s">
        <v>841</v>
      </c>
      <c r="E68" s="16" t="s">
        <v>128</v>
      </c>
      <c r="F68" s="17"/>
      <c r="G68" s="17" t="s">
        <v>1866</v>
      </c>
      <c r="H68" s="18"/>
      <c r="I68" s="17"/>
      <c r="J68" s="19" t="s">
        <v>133</v>
      </c>
      <c r="K68" s="19" t="s">
        <v>202</v>
      </c>
      <c r="L68" s="19" t="s">
        <v>67</v>
      </c>
    </row>
    <row r="69" spans="1:12" s="1" customFormat="1">
      <c r="A69" s="15"/>
      <c r="B69" s="17" t="s">
        <v>1469</v>
      </c>
      <c r="C69" s="11" t="s">
        <v>45</v>
      </c>
      <c r="D69" s="9" t="s">
        <v>1038</v>
      </c>
      <c r="E69" s="16" t="s">
        <v>128</v>
      </c>
      <c r="F69" s="17"/>
      <c r="G69" s="92" t="s">
        <v>1451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7" t="s">
        <v>1470</v>
      </c>
      <c r="C70" s="11" t="s">
        <v>45</v>
      </c>
      <c r="D70" s="9" t="s">
        <v>1039</v>
      </c>
      <c r="E70" s="16" t="s">
        <v>128</v>
      </c>
      <c r="F70" s="17"/>
      <c r="G70" s="92" t="s">
        <v>1452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7" t="s">
        <v>1471</v>
      </c>
      <c r="C71" s="11" t="s">
        <v>45</v>
      </c>
      <c r="D71" s="9" t="s">
        <v>1040</v>
      </c>
      <c r="E71" s="16" t="s">
        <v>128</v>
      </c>
      <c r="F71" s="17"/>
      <c r="G71" s="92" t="s">
        <v>1453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7" t="s">
        <v>1472</v>
      </c>
      <c r="C72" s="11" t="s">
        <v>45</v>
      </c>
      <c r="D72" s="9" t="s">
        <v>1041</v>
      </c>
      <c r="E72" s="16" t="s">
        <v>128</v>
      </c>
      <c r="F72" s="17"/>
      <c r="G72" s="92" t="s">
        <v>1454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7" t="s">
        <v>1473</v>
      </c>
      <c r="C73" s="11" t="s">
        <v>45</v>
      </c>
      <c r="D73" s="9" t="s">
        <v>1044</v>
      </c>
      <c r="E73" s="16" t="s">
        <v>128</v>
      </c>
      <c r="F73" s="17"/>
      <c r="G73" s="92" t="s">
        <v>1455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816</v>
      </c>
      <c r="C74" s="11" t="s">
        <v>280</v>
      </c>
      <c r="D74" s="9" t="s">
        <v>839</v>
      </c>
      <c r="E74" s="16" t="s">
        <v>128</v>
      </c>
      <c r="F74" s="17"/>
      <c r="G74" s="17" t="s">
        <v>1088</v>
      </c>
      <c r="H74" s="18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817</v>
      </c>
      <c r="C75" s="11" t="s">
        <v>45</v>
      </c>
      <c r="D75" s="9" t="s">
        <v>658</v>
      </c>
      <c r="E75" s="16" t="s">
        <v>128</v>
      </c>
      <c r="F75" s="17"/>
      <c r="G75" s="17" t="s">
        <v>1090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818</v>
      </c>
      <c r="C76" s="11" t="s">
        <v>280</v>
      </c>
      <c r="D76" s="9" t="s">
        <v>842</v>
      </c>
      <c r="E76" s="16" t="s">
        <v>128</v>
      </c>
      <c r="F76" s="17"/>
      <c r="G76" s="17" t="s">
        <v>1091</v>
      </c>
      <c r="H76" s="18"/>
      <c r="I76" s="17"/>
      <c r="J76" s="19" t="s">
        <v>133</v>
      </c>
      <c r="K76" s="19" t="s">
        <v>202</v>
      </c>
      <c r="L76" s="19" t="s">
        <v>67</v>
      </c>
    </row>
    <row r="77" spans="1:12" s="1" customFormat="1">
      <c r="A77" s="15"/>
      <c r="B77" s="11" t="s">
        <v>819</v>
      </c>
      <c r="C77" s="11" t="s">
        <v>45</v>
      </c>
      <c r="D77" s="9" t="s">
        <v>660</v>
      </c>
      <c r="E77" s="16" t="s">
        <v>128</v>
      </c>
      <c r="F77" s="17"/>
      <c r="G77" s="17" t="s">
        <v>1093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89" t="s">
        <v>1403</v>
      </c>
      <c r="C78" s="11" t="s">
        <v>280</v>
      </c>
      <c r="D78" s="9" t="s">
        <v>505</v>
      </c>
      <c r="E78" s="16" t="s">
        <v>128</v>
      </c>
      <c r="F78" s="17"/>
      <c r="G78" s="91" t="s">
        <v>1414</v>
      </c>
      <c r="H78" s="18"/>
      <c r="I78" s="17"/>
      <c r="J78" s="19" t="s">
        <v>133</v>
      </c>
      <c r="K78" s="19" t="s">
        <v>203</v>
      </c>
      <c r="L78" s="19" t="s">
        <v>67</v>
      </c>
    </row>
    <row r="79" spans="1:12" s="1" customFormat="1">
      <c r="A79" s="15"/>
      <c r="B79" s="11" t="s">
        <v>1570</v>
      </c>
      <c r="C79" s="11" t="s">
        <v>45</v>
      </c>
      <c r="D79" s="9" t="s">
        <v>1526</v>
      </c>
      <c r="E79" s="16" t="s">
        <v>128</v>
      </c>
      <c r="F79" s="72"/>
      <c r="G79" s="17" t="s">
        <v>1571</v>
      </c>
      <c r="H79" s="18"/>
      <c r="I79" s="17"/>
      <c r="J79" s="19" t="s">
        <v>133</v>
      </c>
      <c r="K79" s="19" t="s">
        <v>903</v>
      </c>
      <c r="L79" s="19" t="s">
        <v>67</v>
      </c>
    </row>
    <row r="80" spans="1:12" s="1" customFormat="1">
      <c r="A80" s="15"/>
      <c r="B80" s="11" t="s">
        <v>1527</v>
      </c>
      <c r="C80" s="11" t="s">
        <v>45</v>
      </c>
      <c r="D80" s="9" t="s">
        <v>1528</v>
      </c>
      <c r="E80" s="16" t="s">
        <v>128</v>
      </c>
      <c r="F80" s="72"/>
      <c r="G80" s="17" t="s">
        <v>1572</v>
      </c>
      <c r="H80" s="18"/>
      <c r="I80" s="17"/>
      <c r="J80" s="19" t="s">
        <v>133</v>
      </c>
      <c r="K80" s="19" t="s">
        <v>903</v>
      </c>
      <c r="L80" s="19" t="s">
        <v>67</v>
      </c>
    </row>
    <row r="81" spans="1:12" s="1" customFormat="1">
      <c r="A81" s="15"/>
      <c r="B81" s="11" t="s">
        <v>1529</v>
      </c>
      <c r="C81" s="11" t="s">
        <v>45</v>
      </c>
      <c r="D81" s="9" t="s">
        <v>1530</v>
      </c>
      <c r="E81" s="16" t="s">
        <v>128</v>
      </c>
      <c r="F81" s="72"/>
      <c r="G81" s="17" t="s">
        <v>1573</v>
      </c>
      <c r="H81" s="18"/>
      <c r="I81" s="17"/>
      <c r="J81" s="19" t="s">
        <v>133</v>
      </c>
      <c r="K81" s="19" t="s">
        <v>903</v>
      </c>
      <c r="L81" s="19" t="s">
        <v>67</v>
      </c>
    </row>
    <row r="82" spans="1:12" s="1" customFormat="1">
      <c r="A82" s="15"/>
      <c r="B82" s="11" t="s">
        <v>1531</v>
      </c>
      <c r="C82" s="11" t="s">
        <v>45</v>
      </c>
      <c r="D82" s="9" t="s">
        <v>1532</v>
      </c>
      <c r="E82" s="16" t="s">
        <v>128</v>
      </c>
      <c r="F82" s="72"/>
      <c r="G82" s="17" t="s">
        <v>1574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2" s="1" customFormat="1">
      <c r="A83" s="15"/>
      <c r="B83" s="11" t="s">
        <v>1533</v>
      </c>
      <c r="C83" s="11" t="s">
        <v>45</v>
      </c>
      <c r="D83" s="9" t="s">
        <v>1534</v>
      </c>
      <c r="E83" s="16" t="s">
        <v>128</v>
      </c>
      <c r="F83" s="72"/>
      <c r="G83" s="17" t="s">
        <v>1575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89" t="s">
        <v>1404</v>
      </c>
      <c r="C84" s="11" t="s">
        <v>280</v>
      </c>
      <c r="D84" s="9" t="s">
        <v>506</v>
      </c>
      <c r="E84" s="16" t="s">
        <v>128</v>
      </c>
      <c r="F84" s="17"/>
      <c r="G84" s="91" t="s">
        <v>1415</v>
      </c>
      <c r="H84" s="18"/>
      <c r="I84" s="17"/>
      <c r="J84" s="19" t="s">
        <v>133</v>
      </c>
      <c r="K84" s="19" t="s">
        <v>203</v>
      </c>
      <c r="L84" s="19" t="s">
        <v>67</v>
      </c>
    </row>
    <row r="85" spans="1:12" s="1" customFormat="1">
      <c r="A85" s="15"/>
      <c r="B85" s="11" t="s">
        <v>1549</v>
      </c>
      <c r="C85" s="11" t="s">
        <v>45</v>
      </c>
      <c r="D85" s="9" t="s">
        <v>1540</v>
      </c>
      <c r="E85" s="16" t="s">
        <v>128</v>
      </c>
      <c r="F85" s="72"/>
      <c r="G85" s="17" t="s">
        <v>1576</v>
      </c>
      <c r="H85" s="18"/>
      <c r="I85" s="17"/>
      <c r="J85" s="19" t="s">
        <v>133</v>
      </c>
      <c r="K85" s="19" t="s">
        <v>903</v>
      </c>
      <c r="L85" s="19" t="s">
        <v>67</v>
      </c>
    </row>
    <row r="86" spans="1:12" s="1" customFormat="1">
      <c r="A86" s="15"/>
      <c r="B86" s="11" t="s">
        <v>1541</v>
      </c>
      <c r="C86" s="11" t="s">
        <v>45</v>
      </c>
      <c r="D86" s="9" t="s">
        <v>1542</v>
      </c>
      <c r="E86" s="16" t="s">
        <v>128</v>
      </c>
      <c r="F86" s="72"/>
      <c r="G86" s="17" t="s">
        <v>1577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11" t="s">
        <v>1543</v>
      </c>
      <c r="C87" s="11" t="s">
        <v>45</v>
      </c>
      <c r="D87" s="9" t="s">
        <v>1544</v>
      </c>
      <c r="E87" s="16" t="s">
        <v>128</v>
      </c>
      <c r="F87" s="72"/>
      <c r="G87" s="17" t="s">
        <v>1578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1545</v>
      </c>
      <c r="C88" s="11" t="s">
        <v>45</v>
      </c>
      <c r="D88" s="9" t="s">
        <v>1546</v>
      </c>
      <c r="E88" s="16" t="s">
        <v>128</v>
      </c>
      <c r="F88" s="72"/>
      <c r="G88" s="17" t="s">
        <v>1579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1547</v>
      </c>
      <c r="C89" s="11" t="s">
        <v>45</v>
      </c>
      <c r="D89" s="9" t="s">
        <v>1548</v>
      </c>
      <c r="E89" s="16" t="s">
        <v>128</v>
      </c>
      <c r="F89" s="72"/>
      <c r="G89" s="17" t="s">
        <v>1580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830</v>
      </c>
      <c r="C90" s="11" t="s">
        <v>45</v>
      </c>
      <c r="D90" s="9" t="s">
        <v>837</v>
      </c>
      <c r="E90" s="16" t="s">
        <v>128</v>
      </c>
      <c r="F90" s="17"/>
      <c r="G90" s="17" t="s">
        <v>1097</v>
      </c>
      <c r="H90" s="18"/>
      <c r="I90" s="17"/>
      <c r="J90" s="19" t="s">
        <v>133</v>
      </c>
      <c r="K90" s="19" t="s">
        <v>44</v>
      </c>
      <c r="L90" s="19" t="s">
        <v>67</v>
      </c>
    </row>
    <row r="91" spans="1:12" s="1" customFormat="1">
      <c r="A91" s="15"/>
      <c r="B91" s="89" t="s">
        <v>1405</v>
      </c>
      <c r="C91" s="11" t="s">
        <v>280</v>
      </c>
      <c r="D91" s="9" t="s">
        <v>836</v>
      </c>
      <c r="E91" s="16" t="s">
        <v>128</v>
      </c>
      <c r="F91" s="17"/>
      <c r="G91" s="91" t="s">
        <v>1416</v>
      </c>
      <c r="H91" s="18"/>
      <c r="I91" s="17"/>
      <c r="J91" s="19" t="s">
        <v>133</v>
      </c>
      <c r="K91" s="19" t="s">
        <v>202</v>
      </c>
      <c r="L91" s="19" t="s">
        <v>67</v>
      </c>
    </row>
    <row r="92" spans="1:12" s="1" customFormat="1">
      <c r="A92" s="15"/>
      <c r="B92" s="95" t="s">
        <v>1564</v>
      </c>
      <c r="C92" s="95" t="s">
        <v>45</v>
      </c>
      <c r="D92" s="96" t="s">
        <v>1555</v>
      </c>
      <c r="E92" s="16" t="s">
        <v>128</v>
      </c>
      <c r="F92" s="72"/>
      <c r="G92" s="17" t="s">
        <v>1581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95" t="s">
        <v>1556</v>
      </c>
      <c r="C93" s="95" t="s">
        <v>45</v>
      </c>
      <c r="D93" s="96" t="s">
        <v>1557</v>
      </c>
      <c r="E93" s="16" t="s">
        <v>128</v>
      </c>
      <c r="F93" s="72"/>
      <c r="G93" s="17" t="s">
        <v>1582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95" t="s">
        <v>1558</v>
      </c>
      <c r="C94" s="95" t="s">
        <v>45</v>
      </c>
      <c r="D94" s="96" t="s">
        <v>1559</v>
      </c>
      <c r="E94" s="16" t="s">
        <v>128</v>
      </c>
      <c r="F94" s="72"/>
      <c r="G94" s="17" t="s">
        <v>1583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95" t="s">
        <v>1560</v>
      </c>
      <c r="C95" s="95" t="s">
        <v>45</v>
      </c>
      <c r="D95" s="96" t="s">
        <v>1561</v>
      </c>
      <c r="E95" s="16" t="s">
        <v>128</v>
      </c>
      <c r="F95" s="72"/>
      <c r="G95" s="17" t="s">
        <v>1584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95" t="s">
        <v>1562</v>
      </c>
      <c r="C96" s="95" t="s">
        <v>45</v>
      </c>
      <c r="D96" s="96" t="s">
        <v>1563</v>
      </c>
      <c r="E96" s="16" t="s">
        <v>128</v>
      </c>
      <c r="F96" s="72"/>
      <c r="G96" s="17" t="s">
        <v>1585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7" s="1" customFormat="1">
      <c r="A97" s="15"/>
      <c r="B97" s="11" t="s">
        <v>831</v>
      </c>
      <c r="C97" s="11" t="s">
        <v>45</v>
      </c>
      <c r="D97" s="9" t="s">
        <v>825</v>
      </c>
      <c r="E97" s="16" t="s">
        <v>128</v>
      </c>
      <c r="F97" s="17"/>
      <c r="G97" s="17" t="s">
        <v>1100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7" s="1" customFormat="1">
      <c r="A98" s="15"/>
      <c r="B98" s="11" t="s">
        <v>1098</v>
      </c>
      <c r="C98" s="11" t="s">
        <v>280</v>
      </c>
      <c r="D98" s="9" t="s">
        <v>826</v>
      </c>
      <c r="E98" s="16" t="s">
        <v>128</v>
      </c>
      <c r="F98" s="17"/>
      <c r="G98" s="17" t="s">
        <v>1101</v>
      </c>
      <c r="H98" s="18"/>
      <c r="I98" s="17"/>
      <c r="J98" s="19" t="s">
        <v>133</v>
      </c>
      <c r="K98" s="19" t="s">
        <v>202</v>
      </c>
      <c r="L98" s="19" t="s">
        <v>67</v>
      </c>
    </row>
    <row r="99" spans="1:17" s="1" customFormat="1" ht="26.4">
      <c r="A99" s="15"/>
      <c r="B99" s="91" t="s">
        <v>1417</v>
      </c>
      <c r="C99" s="11" t="s">
        <v>280</v>
      </c>
      <c r="D99" s="9" t="s">
        <v>833</v>
      </c>
      <c r="E99" s="16" t="s">
        <v>128</v>
      </c>
      <c r="F99" s="17"/>
      <c r="G99" s="92" t="s">
        <v>1418</v>
      </c>
      <c r="H99" s="18"/>
      <c r="I99" s="17"/>
      <c r="J99" s="19" t="s">
        <v>133</v>
      </c>
      <c r="K99" s="19" t="s">
        <v>202</v>
      </c>
      <c r="L99" s="19" t="s">
        <v>67</v>
      </c>
    </row>
    <row r="100" spans="1:17" s="1" customFormat="1" ht="26.4">
      <c r="A100" s="15"/>
      <c r="B100" s="91" t="s">
        <v>1420</v>
      </c>
      <c r="C100" s="11" t="s">
        <v>280</v>
      </c>
      <c r="D100" s="9" t="s">
        <v>534</v>
      </c>
      <c r="E100" s="16" t="s">
        <v>128</v>
      </c>
      <c r="F100" s="17"/>
      <c r="G100" s="92" t="s">
        <v>1421</v>
      </c>
      <c r="H100" s="18"/>
      <c r="I100" s="17"/>
      <c r="J100" s="19" t="s">
        <v>133</v>
      </c>
      <c r="K100" s="19" t="s">
        <v>202</v>
      </c>
      <c r="L100" s="19" t="s">
        <v>67</v>
      </c>
    </row>
    <row r="101" spans="1:17" s="1" customFormat="1">
      <c r="A101" s="15"/>
      <c r="B101" s="11" t="s">
        <v>848</v>
      </c>
      <c r="C101" s="11" t="s">
        <v>45</v>
      </c>
      <c r="D101" s="9" t="s">
        <v>850</v>
      </c>
      <c r="E101" s="16" t="s">
        <v>128</v>
      </c>
      <c r="F101" s="17"/>
      <c r="G101" s="17" t="s">
        <v>1104</v>
      </c>
      <c r="H101" s="18"/>
      <c r="I101" s="17"/>
      <c r="J101" s="19" t="s">
        <v>133</v>
      </c>
      <c r="K101" s="19" t="s">
        <v>903</v>
      </c>
      <c r="L101" s="19" t="s">
        <v>67</v>
      </c>
    </row>
    <row r="102" spans="1:17" s="1" customFormat="1">
      <c r="A102" s="15"/>
      <c r="B102" s="11" t="s">
        <v>849</v>
      </c>
      <c r="C102" s="11" t="s">
        <v>45</v>
      </c>
      <c r="D102" s="9" t="s">
        <v>116</v>
      </c>
      <c r="E102" s="16" t="s">
        <v>128</v>
      </c>
      <c r="F102" s="17"/>
      <c r="G102" s="17" t="s">
        <v>1105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7" s="1" customFormat="1" ht="26.4">
      <c r="A103" s="15"/>
      <c r="B103" s="91" t="s">
        <v>1423</v>
      </c>
      <c r="C103" s="11" t="s">
        <v>280</v>
      </c>
      <c r="D103" s="9" t="s">
        <v>502</v>
      </c>
      <c r="E103" s="16" t="s">
        <v>128</v>
      </c>
      <c r="F103" s="17"/>
      <c r="G103" s="92" t="s">
        <v>1424</v>
      </c>
      <c r="H103" s="18"/>
      <c r="I103" s="17"/>
      <c r="J103" s="19" t="s">
        <v>133</v>
      </c>
      <c r="K103" s="19" t="s">
        <v>202</v>
      </c>
      <c r="L103" s="19" t="s">
        <v>67</v>
      </c>
    </row>
    <row r="104" spans="1:17" s="1" customFormat="1">
      <c r="A104" s="15"/>
      <c r="B104" s="11" t="s">
        <v>856</v>
      </c>
      <c r="C104" s="11" t="s">
        <v>45</v>
      </c>
      <c r="D104" s="9" t="s">
        <v>857</v>
      </c>
      <c r="E104" s="16" t="s">
        <v>128</v>
      </c>
      <c r="F104" s="17"/>
      <c r="G104" s="17" t="s">
        <v>1106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7" s="1" customFormat="1">
      <c r="A105" s="15"/>
      <c r="B105" s="89" t="s">
        <v>1481</v>
      </c>
      <c r="C105" s="11" t="s">
        <v>45</v>
      </c>
      <c r="D105" s="9" t="s">
        <v>865</v>
      </c>
      <c r="E105" s="16" t="s">
        <v>128</v>
      </c>
      <c r="F105" s="17"/>
      <c r="G105" s="91" t="s">
        <v>1484</v>
      </c>
      <c r="H105" s="18"/>
      <c r="I105" s="17"/>
      <c r="J105" s="19" t="s">
        <v>133</v>
      </c>
      <c r="K105" s="19" t="s">
        <v>44</v>
      </c>
      <c r="L105" s="19" t="s">
        <v>67</v>
      </c>
    </row>
    <row r="106" spans="1:17" s="1" customFormat="1">
      <c r="A106" s="15"/>
      <c r="B106" s="89" t="s">
        <v>1482</v>
      </c>
      <c r="C106" s="11" t="s">
        <v>45</v>
      </c>
      <c r="D106" s="9" t="s">
        <v>866</v>
      </c>
      <c r="E106" s="16" t="s">
        <v>128</v>
      </c>
      <c r="F106" s="17"/>
      <c r="G106" s="91" t="s">
        <v>1485</v>
      </c>
      <c r="H106" s="18"/>
      <c r="I106" s="17"/>
      <c r="J106" s="19" t="s">
        <v>133</v>
      </c>
      <c r="K106" s="19" t="s">
        <v>44</v>
      </c>
      <c r="L106" s="19" t="s">
        <v>67</v>
      </c>
    </row>
    <row r="107" spans="1:17" s="1" customFormat="1">
      <c r="A107" s="15"/>
      <c r="B107" s="89" t="s">
        <v>1483</v>
      </c>
      <c r="C107" s="11" t="s">
        <v>45</v>
      </c>
      <c r="D107" s="9" t="s">
        <v>867</v>
      </c>
      <c r="E107" s="16" t="s">
        <v>128</v>
      </c>
      <c r="F107" s="17"/>
      <c r="G107" s="91" t="s">
        <v>1486</v>
      </c>
      <c r="H107" s="18"/>
      <c r="I107" s="17"/>
      <c r="J107" s="19" t="s">
        <v>133</v>
      </c>
      <c r="K107" s="19" t="s">
        <v>44</v>
      </c>
      <c r="L107" s="19" t="s">
        <v>67</v>
      </c>
    </row>
    <row r="108" spans="1:17" s="3" customFormat="1">
      <c r="B108" s="23" t="s">
        <v>47</v>
      </c>
      <c r="C108" s="24" t="s">
        <v>46</v>
      </c>
      <c r="D108" s="21" t="s">
        <v>48</v>
      </c>
      <c r="E108" s="44"/>
      <c r="F108" s="44" t="s">
        <v>282</v>
      </c>
      <c r="G108" s="44" t="s">
        <v>282</v>
      </c>
      <c r="H108" s="23" t="s">
        <v>282</v>
      </c>
      <c r="I108" s="23" t="s">
        <v>282</v>
      </c>
      <c r="J108" s="23"/>
      <c r="K108" s="23"/>
      <c r="L108" s="23"/>
      <c r="M108" s="23"/>
      <c r="N108" s="23"/>
      <c r="O108" s="23"/>
      <c r="P108" s="23"/>
      <c r="Q108" s="23"/>
    </row>
    <row r="109" spans="1:17" s="3" customFormat="1">
      <c r="B109" s="23" t="s">
        <v>49</v>
      </c>
      <c r="C109" s="24" t="s">
        <v>43</v>
      </c>
      <c r="D109" s="21" t="s">
        <v>50</v>
      </c>
      <c r="E109" s="44"/>
      <c r="F109" s="44" t="s">
        <v>282</v>
      </c>
      <c r="G109" s="44" t="s">
        <v>282</v>
      </c>
      <c r="H109" s="23" t="s">
        <v>282</v>
      </c>
      <c r="I109" s="23" t="s">
        <v>282</v>
      </c>
      <c r="J109" s="23"/>
      <c r="K109" s="23"/>
      <c r="L109" s="23"/>
      <c r="M109" s="23"/>
      <c r="N109" s="23"/>
      <c r="O109" s="23"/>
      <c r="P109" s="23"/>
      <c r="Q109" s="23"/>
    </row>
  </sheetData>
  <autoFilter ref="A13:Q109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15DB-CD5D-4AD9-95BA-5E0A1AB3D884}">
  <sheetPr codeName="Sheet31"/>
  <dimension ref="A1:Q131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5.8867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9" t="s">
        <v>1669</v>
      </c>
      <c r="D5" s="82" t="s">
        <v>1670</v>
      </c>
      <c r="E5" s="11" t="s">
        <v>92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26" t="s">
        <v>669</v>
      </c>
      <c r="D9" s="9" t="s">
        <v>671</v>
      </c>
      <c r="E9" s="11" t="s">
        <v>55</v>
      </c>
      <c r="F9" s="17"/>
      <c r="G9" s="17" t="s">
        <v>1672</v>
      </c>
      <c r="H9" s="14" t="s">
        <v>17</v>
      </c>
    </row>
    <row r="11" spans="2:14">
      <c r="B11" s="4" t="s">
        <v>32</v>
      </c>
    </row>
    <row r="12" spans="2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2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2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2:14" s="1" customFormat="1">
      <c r="B16" s="22" t="s">
        <v>92</v>
      </c>
      <c r="C16" s="22" t="s">
        <v>94</v>
      </c>
      <c r="D16" s="9" t="s">
        <v>1675</v>
      </c>
      <c r="E16" s="16" t="s">
        <v>128</v>
      </c>
      <c r="F16" s="17" t="s">
        <v>120</v>
      </c>
      <c r="G16" s="17" t="s">
        <v>129</v>
      </c>
      <c r="H16" s="18"/>
      <c r="I16" s="19"/>
      <c r="J16" s="19" t="s">
        <v>131</v>
      </c>
      <c r="K16" s="19" t="s">
        <v>132</v>
      </c>
      <c r="L16" s="19" t="s">
        <v>1676</v>
      </c>
    </row>
    <row r="17" spans="1:13" s="1" customFormat="1">
      <c r="A17" s="15"/>
      <c r="B17" s="22" t="s">
        <v>77</v>
      </c>
      <c r="C17" s="22" t="s">
        <v>94</v>
      </c>
      <c r="D17" s="9" t="s">
        <v>113</v>
      </c>
      <c r="E17" s="16" t="s">
        <v>128</v>
      </c>
      <c r="F17" s="17" t="s">
        <v>77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677</v>
      </c>
    </row>
    <row r="18" spans="1:13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1068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61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62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679</v>
      </c>
    </row>
    <row r="21" spans="1:13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64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65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66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1069</v>
      </c>
      <c r="G24" s="17" t="s">
        <v>129</v>
      </c>
      <c r="H24" s="18"/>
      <c r="I24" s="35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A26" s="15"/>
      <c r="B26" s="11" t="s">
        <v>81</v>
      </c>
      <c r="C26" s="11" t="s">
        <v>43</v>
      </c>
      <c r="D26" s="9" t="s">
        <v>57</v>
      </c>
      <c r="E26" s="16" t="s">
        <v>128</v>
      </c>
      <c r="F26" s="17" t="s">
        <v>81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58</v>
      </c>
      <c r="C27" s="11" t="s">
        <v>43</v>
      </c>
      <c r="D27" s="9" t="s">
        <v>59</v>
      </c>
      <c r="E27" s="16" t="s">
        <v>128</v>
      </c>
      <c r="F27" s="9" t="s">
        <v>58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A28" s="15"/>
      <c r="B28" s="11" t="s">
        <v>82</v>
      </c>
      <c r="C28" s="11" t="s">
        <v>43</v>
      </c>
      <c r="D28" s="9" t="s">
        <v>105</v>
      </c>
      <c r="E28" s="16" t="s">
        <v>128</v>
      </c>
      <c r="F28" s="17" t="s">
        <v>82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3" s="1" customFormat="1">
      <c r="B29" s="22" t="s">
        <v>904</v>
      </c>
      <c r="C29" s="62" t="s">
        <v>93</v>
      </c>
      <c r="D29" s="9" t="s">
        <v>107</v>
      </c>
      <c r="E29" s="16" t="s">
        <v>128</v>
      </c>
      <c r="F29" s="17" t="s">
        <v>85</v>
      </c>
      <c r="G29" s="17" t="s">
        <v>129</v>
      </c>
      <c r="H29" s="18"/>
      <c r="I29" s="19"/>
      <c r="J29" s="19" t="s">
        <v>131</v>
      </c>
      <c r="K29" s="19" t="s">
        <v>132</v>
      </c>
      <c r="L29" s="19" t="s">
        <v>44</v>
      </c>
    </row>
    <row r="30" spans="1:13" s="1" customFormat="1">
      <c r="B30" s="22" t="s">
        <v>1671</v>
      </c>
      <c r="C30" s="62" t="s">
        <v>43</v>
      </c>
      <c r="D30" s="9" t="s">
        <v>626</v>
      </c>
      <c r="E30" s="16" t="s">
        <v>128</v>
      </c>
      <c r="F30" s="9" t="s">
        <v>507</v>
      </c>
      <c r="G30" s="17" t="s">
        <v>129</v>
      </c>
      <c r="H30" s="18"/>
      <c r="I30" s="19"/>
      <c r="J30" s="19" t="s">
        <v>131</v>
      </c>
      <c r="K30" s="19" t="s">
        <v>132</v>
      </c>
      <c r="L30" s="19" t="s">
        <v>1674</v>
      </c>
    </row>
    <row r="31" spans="1:13" s="15" customFormat="1">
      <c r="B31" s="22" t="s">
        <v>87</v>
      </c>
      <c r="C31" s="11" t="s">
        <v>43</v>
      </c>
      <c r="D31" s="9" t="s">
        <v>109</v>
      </c>
      <c r="E31" s="16" t="s">
        <v>128</v>
      </c>
      <c r="F31" s="17" t="s">
        <v>87</v>
      </c>
      <c r="G31" s="17" t="s">
        <v>129</v>
      </c>
      <c r="H31" s="18"/>
      <c r="I31" s="20"/>
      <c r="J31" s="19" t="s">
        <v>131</v>
      </c>
      <c r="K31" s="19" t="s">
        <v>132</v>
      </c>
      <c r="L31" s="19" t="s">
        <v>679</v>
      </c>
      <c r="M31" s="1"/>
    </row>
    <row r="32" spans="1:13" s="1" customFormat="1">
      <c r="A32" s="15"/>
      <c r="B32" s="11" t="s">
        <v>1072</v>
      </c>
      <c r="C32" s="11" t="s">
        <v>45</v>
      </c>
      <c r="D32" s="9" t="s">
        <v>146</v>
      </c>
      <c r="E32" s="16" t="s">
        <v>128</v>
      </c>
      <c r="F32" s="17"/>
      <c r="G32" s="17" t="s">
        <v>1073</v>
      </c>
      <c r="H32" s="18"/>
      <c r="I32" s="17"/>
      <c r="J32" s="19" t="s">
        <v>133</v>
      </c>
      <c r="K32" s="19" t="s">
        <v>132</v>
      </c>
      <c r="L32" s="19" t="s">
        <v>134</v>
      </c>
    </row>
    <row r="33" spans="1:12" s="1" customFormat="1">
      <c r="A33" s="15"/>
      <c r="B33" s="11" t="s">
        <v>189</v>
      </c>
      <c r="C33" s="11" t="s">
        <v>45</v>
      </c>
      <c r="D33" s="9" t="s">
        <v>190</v>
      </c>
      <c r="E33" s="16" t="s">
        <v>128</v>
      </c>
      <c r="F33" s="17"/>
      <c r="G33" s="17" t="s">
        <v>1259</v>
      </c>
      <c r="H33" s="18"/>
      <c r="I33" s="17"/>
      <c r="J33" s="19" t="s">
        <v>133</v>
      </c>
      <c r="K33" s="19" t="s">
        <v>132</v>
      </c>
      <c r="L33" s="19" t="s">
        <v>134</v>
      </c>
    </row>
    <row r="34" spans="1:12" s="1" customFormat="1">
      <c r="A34" s="15"/>
      <c r="B34" s="11" t="s">
        <v>192</v>
      </c>
      <c r="C34" s="11" t="s">
        <v>45</v>
      </c>
      <c r="D34" s="9" t="s">
        <v>193</v>
      </c>
      <c r="E34" s="16" t="s">
        <v>128</v>
      </c>
      <c r="F34" s="17"/>
      <c r="G34" s="17" t="s">
        <v>1074</v>
      </c>
      <c r="H34" s="18"/>
      <c r="I34" s="17"/>
      <c r="J34" s="19" t="s">
        <v>133</v>
      </c>
      <c r="K34" s="19" t="s">
        <v>132</v>
      </c>
      <c r="L34" s="19" t="s">
        <v>134</v>
      </c>
    </row>
    <row r="35" spans="1:12" s="1" customFormat="1">
      <c r="A35" s="15"/>
      <c r="B35" s="22" t="s">
        <v>255</v>
      </c>
      <c r="C35" s="22" t="s">
        <v>45</v>
      </c>
      <c r="D35" s="9" t="s">
        <v>348</v>
      </c>
      <c r="E35" s="16" t="s">
        <v>128</v>
      </c>
      <c r="F35" s="17"/>
      <c r="G35" s="17" t="s">
        <v>257</v>
      </c>
      <c r="H35" s="18"/>
      <c r="I35" s="17"/>
      <c r="J35" s="19" t="s">
        <v>133</v>
      </c>
      <c r="K35" s="19" t="s">
        <v>203</v>
      </c>
      <c r="L35" s="19" t="s">
        <v>134</v>
      </c>
    </row>
    <row r="36" spans="1:12" s="1" customFormat="1">
      <c r="A36" s="15"/>
      <c r="B36" s="11" t="s">
        <v>207</v>
      </c>
      <c r="C36" s="11" t="s">
        <v>45</v>
      </c>
      <c r="D36" s="9" t="s">
        <v>759</v>
      </c>
      <c r="E36" s="16" t="s">
        <v>128</v>
      </c>
      <c r="F36" s="72"/>
      <c r="G36" s="17" t="s">
        <v>320</v>
      </c>
      <c r="H36" s="18"/>
      <c r="I36" s="17"/>
      <c r="J36" s="19" t="s">
        <v>133</v>
      </c>
      <c r="K36" s="19" t="s">
        <v>204</v>
      </c>
      <c r="L36" s="19" t="s">
        <v>134</v>
      </c>
    </row>
    <row r="37" spans="1:12" s="1" customFormat="1">
      <c r="A37" s="15"/>
      <c r="B37" s="11" t="s">
        <v>208</v>
      </c>
      <c r="C37" s="11" t="s">
        <v>45</v>
      </c>
      <c r="D37" s="9" t="s">
        <v>160</v>
      </c>
      <c r="E37" s="16" t="s">
        <v>128</v>
      </c>
      <c r="F37" s="72"/>
      <c r="G37" s="17" t="s">
        <v>319</v>
      </c>
      <c r="H37" s="18"/>
      <c r="I37" s="17"/>
      <c r="J37" s="19" t="s">
        <v>133</v>
      </c>
      <c r="K37" s="19" t="s">
        <v>204</v>
      </c>
      <c r="L37" s="19" t="s">
        <v>134</v>
      </c>
    </row>
    <row r="38" spans="1:12" s="1" customFormat="1">
      <c r="A38" s="15"/>
      <c r="B38" s="11" t="s">
        <v>763</v>
      </c>
      <c r="C38" s="11" t="s">
        <v>45</v>
      </c>
      <c r="D38" s="9" t="s">
        <v>181</v>
      </c>
      <c r="E38" s="16" t="s">
        <v>128</v>
      </c>
      <c r="F38" s="72"/>
      <c r="G38" s="9" t="s">
        <v>1076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805</v>
      </c>
      <c r="C39" s="11" t="s">
        <v>45</v>
      </c>
      <c r="D39" s="9" t="s">
        <v>184</v>
      </c>
      <c r="E39" s="16" t="s">
        <v>128</v>
      </c>
      <c r="F39" s="72"/>
      <c r="G39" s="17" t="s">
        <v>1110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210</v>
      </c>
      <c r="C40" s="11" t="s">
        <v>45</v>
      </c>
      <c r="D40" s="9" t="s">
        <v>1056</v>
      </c>
      <c r="E40" s="16" t="s">
        <v>128</v>
      </c>
      <c r="F40" s="72"/>
      <c r="G40" s="17" t="s">
        <v>224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209</v>
      </c>
      <c r="C41" s="11" t="s">
        <v>45</v>
      </c>
      <c r="D41" s="9" t="s">
        <v>1055</v>
      </c>
      <c r="E41" s="16" t="s">
        <v>128</v>
      </c>
      <c r="F41" s="72"/>
      <c r="G41" s="17" t="s">
        <v>223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211</v>
      </c>
      <c r="C42" s="11" t="s">
        <v>45</v>
      </c>
      <c r="D42" s="9" t="s">
        <v>163</v>
      </c>
      <c r="E42" s="16" t="s">
        <v>128</v>
      </c>
      <c r="F42" s="72"/>
      <c r="G42" s="17" t="s">
        <v>225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212</v>
      </c>
      <c r="C43" s="11" t="s">
        <v>45</v>
      </c>
      <c r="D43" s="9" t="s">
        <v>164</v>
      </c>
      <c r="E43" s="16" t="s">
        <v>128</v>
      </c>
      <c r="F43" s="72"/>
      <c r="G43" s="17" t="s">
        <v>226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213</v>
      </c>
      <c r="C44" s="11" t="s">
        <v>45</v>
      </c>
      <c r="D44" s="9" t="s">
        <v>165</v>
      </c>
      <c r="E44" s="16" t="s">
        <v>128</v>
      </c>
      <c r="F44" s="72"/>
      <c r="G44" s="17" t="s">
        <v>1114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214</v>
      </c>
      <c r="C45" s="11" t="s">
        <v>45</v>
      </c>
      <c r="D45" s="9" t="s">
        <v>166</v>
      </c>
      <c r="E45" s="16" t="s">
        <v>128</v>
      </c>
      <c r="F45" s="72"/>
      <c r="G45" s="17" t="s">
        <v>1115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217</v>
      </c>
      <c r="C46" s="11" t="s">
        <v>45</v>
      </c>
      <c r="D46" s="9" t="s">
        <v>171</v>
      </c>
      <c r="E46" s="16" t="s">
        <v>128</v>
      </c>
      <c r="F46" s="72"/>
      <c r="G46" s="17" t="s">
        <v>1116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218</v>
      </c>
      <c r="C47" s="11" t="s">
        <v>45</v>
      </c>
      <c r="D47" s="9" t="s">
        <v>172</v>
      </c>
      <c r="E47" s="16" t="s">
        <v>128</v>
      </c>
      <c r="F47" s="72"/>
      <c r="G47" s="17" t="s">
        <v>1117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219</v>
      </c>
      <c r="C48" s="11" t="s">
        <v>45</v>
      </c>
      <c r="D48" s="9" t="s">
        <v>173</v>
      </c>
      <c r="E48" s="16" t="s">
        <v>128</v>
      </c>
      <c r="F48" s="72"/>
      <c r="G48" s="17" t="s">
        <v>1118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220</v>
      </c>
      <c r="C49" s="11" t="s">
        <v>45</v>
      </c>
      <c r="D49" s="9" t="s">
        <v>174</v>
      </c>
      <c r="E49" s="16" t="s">
        <v>128</v>
      </c>
      <c r="F49" s="72"/>
      <c r="G49" s="17" t="s">
        <v>1119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215</v>
      </c>
      <c r="C50" s="11" t="s">
        <v>45</v>
      </c>
      <c r="D50" s="9" t="s">
        <v>1260</v>
      </c>
      <c r="E50" s="16" t="s">
        <v>128</v>
      </c>
      <c r="F50" s="72"/>
      <c r="G50" s="17" t="s">
        <v>227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216</v>
      </c>
      <c r="C51" s="11" t="s">
        <v>45</v>
      </c>
      <c r="D51" s="9" t="s">
        <v>1261</v>
      </c>
      <c r="E51" s="16" t="s">
        <v>128</v>
      </c>
      <c r="F51" s="72"/>
      <c r="G51" s="17" t="s">
        <v>228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316</v>
      </c>
      <c r="C52" s="11" t="s">
        <v>45</v>
      </c>
      <c r="D52" s="9" t="s">
        <v>167</v>
      </c>
      <c r="E52" s="16" t="s">
        <v>128</v>
      </c>
      <c r="F52" s="72"/>
      <c r="G52" s="17" t="s">
        <v>772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809</v>
      </c>
      <c r="C53" s="11" t="s">
        <v>45</v>
      </c>
      <c r="D53" s="9" t="s">
        <v>175</v>
      </c>
      <c r="E53" s="16" t="s">
        <v>128</v>
      </c>
      <c r="F53" s="72"/>
      <c r="G53" s="17" t="s">
        <v>1120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317</v>
      </c>
      <c r="C54" s="11" t="s">
        <v>45</v>
      </c>
      <c r="D54" s="9" t="s">
        <v>168</v>
      </c>
      <c r="E54" s="16" t="s">
        <v>128</v>
      </c>
      <c r="F54" s="72"/>
      <c r="G54" s="17" t="s">
        <v>1487</v>
      </c>
      <c r="H54" s="18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11" t="s">
        <v>810</v>
      </c>
      <c r="C55" s="11" t="s">
        <v>45</v>
      </c>
      <c r="D55" s="9" t="s">
        <v>176</v>
      </c>
      <c r="E55" s="16" t="s">
        <v>128</v>
      </c>
      <c r="F55" s="72"/>
      <c r="G55" s="17" t="s">
        <v>1121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1213</v>
      </c>
      <c r="C56" s="11" t="s">
        <v>45</v>
      </c>
      <c r="D56" s="9" t="s">
        <v>178</v>
      </c>
      <c r="E56" s="16" t="s">
        <v>128</v>
      </c>
      <c r="F56" s="72"/>
      <c r="G56" s="17" t="s">
        <v>1215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221</v>
      </c>
      <c r="C57" s="11" t="s">
        <v>45</v>
      </c>
      <c r="D57" s="9" t="s">
        <v>177</v>
      </c>
      <c r="E57" s="16" t="s">
        <v>128</v>
      </c>
      <c r="F57" s="72"/>
      <c r="G57" s="17" t="s">
        <v>1256</v>
      </c>
      <c r="H57" s="18"/>
      <c r="I57" s="17"/>
      <c r="J57" s="19" t="s">
        <v>133</v>
      </c>
      <c r="K57" s="19" t="s">
        <v>204</v>
      </c>
      <c r="L57" s="19" t="s">
        <v>67</v>
      </c>
    </row>
    <row r="58" spans="1:12" s="1" customFormat="1">
      <c r="A58" s="15"/>
      <c r="B58" s="11" t="s">
        <v>1212</v>
      </c>
      <c r="C58" s="11" t="s">
        <v>45</v>
      </c>
      <c r="D58" s="9" t="s">
        <v>180</v>
      </c>
      <c r="E58" s="16" t="s">
        <v>128</v>
      </c>
      <c r="F58" s="72"/>
      <c r="G58" s="17" t="s">
        <v>1214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222</v>
      </c>
      <c r="C59" s="11" t="s">
        <v>45</v>
      </c>
      <c r="D59" s="9" t="s">
        <v>179</v>
      </c>
      <c r="E59" s="16" t="s">
        <v>128</v>
      </c>
      <c r="F59" s="72"/>
      <c r="G59" s="17" t="s">
        <v>1123</v>
      </c>
      <c r="H59" s="18"/>
      <c r="I59" s="17"/>
      <c r="J59" s="19" t="s">
        <v>133</v>
      </c>
      <c r="K59" s="19" t="s">
        <v>204</v>
      </c>
      <c r="L59" s="19" t="s">
        <v>67</v>
      </c>
    </row>
    <row r="60" spans="1:12" s="1" customFormat="1">
      <c r="A60" s="15"/>
      <c r="B60" s="11" t="s">
        <v>811</v>
      </c>
      <c r="C60" s="11" t="s">
        <v>45</v>
      </c>
      <c r="D60" s="9" t="s">
        <v>643</v>
      </c>
      <c r="E60" s="16" t="s">
        <v>128</v>
      </c>
      <c r="F60" s="72"/>
      <c r="G60" s="17" t="s">
        <v>768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812</v>
      </c>
      <c r="C61" s="11" t="s">
        <v>45</v>
      </c>
      <c r="D61" s="9" t="s">
        <v>813</v>
      </c>
      <c r="E61" s="16" t="s">
        <v>128</v>
      </c>
      <c r="F61" s="72"/>
      <c r="G61" s="17" t="s">
        <v>1124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814</v>
      </c>
      <c r="C62" s="11" t="s">
        <v>45</v>
      </c>
      <c r="D62" s="9" t="s">
        <v>500</v>
      </c>
      <c r="E62" s="16" t="s">
        <v>128</v>
      </c>
      <c r="F62" s="72"/>
      <c r="G62" s="17" t="s">
        <v>1125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205</v>
      </c>
      <c r="C63" s="11" t="s">
        <v>45</v>
      </c>
      <c r="D63" s="9" t="s">
        <v>147</v>
      </c>
      <c r="E63" s="16" t="s">
        <v>128</v>
      </c>
      <c r="F63" s="72"/>
      <c r="G63" s="17" t="s">
        <v>1126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206</v>
      </c>
      <c r="C64" s="11" t="s">
        <v>280</v>
      </c>
      <c r="D64" s="9" t="s">
        <v>820</v>
      </c>
      <c r="E64" s="16" t="s">
        <v>128</v>
      </c>
      <c r="F64" s="72"/>
      <c r="G64" s="17" t="s">
        <v>1081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1022</v>
      </c>
      <c r="C65" s="11" t="s">
        <v>45</v>
      </c>
      <c r="D65" s="9" t="s">
        <v>1018</v>
      </c>
      <c r="E65" s="16" t="s">
        <v>128</v>
      </c>
      <c r="F65" s="72"/>
      <c r="G65" s="17" t="s">
        <v>1127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1014</v>
      </c>
      <c r="C66" s="11" t="s">
        <v>45</v>
      </c>
      <c r="D66" s="9" t="s">
        <v>1019</v>
      </c>
      <c r="E66" s="16" t="s">
        <v>128</v>
      </c>
      <c r="F66" s="72"/>
      <c r="G66" s="17" t="s">
        <v>1128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1015</v>
      </c>
      <c r="C67" s="11" t="s">
        <v>45</v>
      </c>
      <c r="D67" s="9" t="s">
        <v>1020</v>
      </c>
      <c r="E67" s="16" t="s">
        <v>128</v>
      </c>
      <c r="F67" s="72"/>
      <c r="G67" s="17" t="s">
        <v>1129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1016</v>
      </c>
      <c r="C68" s="11" t="s">
        <v>45</v>
      </c>
      <c r="D68" s="9" t="s">
        <v>1021</v>
      </c>
      <c r="E68" s="16" t="s">
        <v>128</v>
      </c>
      <c r="F68" s="72"/>
      <c r="G68" s="17" t="s">
        <v>1130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1017</v>
      </c>
      <c r="C69" s="11" t="s">
        <v>45</v>
      </c>
      <c r="D69" s="9" t="s">
        <v>1042</v>
      </c>
      <c r="E69" s="16" t="s">
        <v>128</v>
      </c>
      <c r="F69" s="72"/>
      <c r="G69" s="17" t="s">
        <v>1131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1049</v>
      </c>
      <c r="C70" s="11" t="s">
        <v>45</v>
      </c>
      <c r="D70" s="9" t="s">
        <v>153</v>
      </c>
      <c r="E70" s="16" t="s">
        <v>128</v>
      </c>
      <c r="F70" s="72"/>
      <c r="G70" s="17" t="s">
        <v>1262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823</v>
      </c>
      <c r="C71" s="11" t="s">
        <v>280</v>
      </c>
      <c r="D71" s="9" t="s">
        <v>1474</v>
      </c>
      <c r="E71" s="16" t="s">
        <v>128</v>
      </c>
      <c r="F71" s="72"/>
      <c r="G71" s="17" t="s">
        <v>1082</v>
      </c>
      <c r="H71" s="18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1030</v>
      </c>
      <c r="C72" s="11" t="s">
        <v>45</v>
      </c>
      <c r="D72" s="9" t="s">
        <v>1026</v>
      </c>
      <c r="E72" s="16" t="s">
        <v>128</v>
      </c>
      <c r="F72" s="72"/>
      <c r="G72" s="17" t="s">
        <v>1133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1023</v>
      </c>
      <c r="C73" s="11" t="s">
        <v>45</v>
      </c>
      <c r="D73" s="9" t="s">
        <v>1027</v>
      </c>
      <c r="E73" s="16" t="s">
        <v>128</v>
      </c>
      <c r="F73" s="72"/>
      <c r="G73" s="17" t="s">
        <v>1134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1024</v>
      </c>
      <c r="C74" s="11" t="s">
        <v>45</v>
      </c>
      <c r="D74" s="9" t="s">
        <v>1028</v>
      </c>
      <c r="E74" s="16" t="s">
        <v>128</v>
      </c>
      <c r="F74" s="72"/>
      <c r="G74" s="17" t="s">
        <v>1135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1032</v>
      </c>
      <c r="C75" s="11" t="s">
        <v>45</v>
      </c>
      <c r="D75" s="9" t="s">
        <v>1029</v>
      </c>
      <c r="E75" s="16" t="s">
        <v>128</v>
      </c>
      <c r="F75" s="72"/>
      <c r="G75" s="17" t="s">
        <v>1136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1025</v>
      </c>
      <c r="C76" s="11" t="s">
        <v>45</v>
      </c>
      <c r="D76" s="9" t="s">
        <v>1043</v>
      </c>
      <c r="E76" s="16" t="s">
        <v>128</v>
      </c>
      <c r="F76" s="72"/>
      <c r="G76" s="17" t="s">
        <v>1137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1084</v>
      </c>
      <c r="C77" s="11" t="s">
        <v>280</v>
      </c>
      <c r="D77" s="9" t="s">
        <v>1086</v>
      </c>
      <c r="E77" s="16" t="s">
        <v>128</v>
      </c>
      <c r="F77" s="72"/>
      <c r="G77" s="17" t="s">
        <v>1087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1083</v>
      </c>
      <c r="C78" s="11" t="s">
        <v>280</v>
      </c>
      <c r="D78" s="9" t="s">
        <v>841</v>
      </c>
      <c r="E78" s="16" t="s">
        <v>128</v>
      </c>
      <c r="F78" s="72"/>
      <c r="G78" s="17" t="s">
        <v>1866</v>
      </c>
      <c r="H78" s="18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1033</v>
      </c>
      <c r="C79" s="11" t="s">
        <v>45</v>
      </c>
      <c r="D79" s="9" t="s">
        <v>1038</v>
      </c>
      <c r="E79" s="16" t="s">
        <v>128</v>
      </c>
      <c r="F79" s="72"/>
      <c r="G79" s="17" t="s">
        <v>1138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1034</v>
      </c>
      <c r="C80" s="11" t="s">
        <v>45</v>
      </c>
      <c r="D80" s="9" t="s">
        <v>1039</v>
      </c>
      <c r="E80" s="16" t="s">
        <v>128</v>
      </c>
      <c r="F80" s="72"/>
      <c r="G80" s="17" t="s">
        <v>1139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1035</v>
      </c>
      <c r="C81" s="11" t="s">
        <v>45</v>
      </c>
      <c r="D81" s="9" t="s">
        <v>1040</v>
      </c>
      <c r="E81" s="16" t="s">
        <v>128</v>
      </c>
      <c r="F81" s="72"/>
      <c r="G81" s="17" t="s">
        <v>1140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1036</v>
      </c>
      <c r="C82" s="11" t="s">
        <v>45</v>
      </c>
      <c r="D82" s="9" t="s">
        <v>1041</v>
      </c>
      <c r="E82" s="16" t="s">
        <v>128</v>
      </c>
      <c r="F82" s="72"/>
      <c r="G82" s="17" t="s">
        <v>1141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1037</v>
      </c>
      <c r="C83" s="11" t="s">
        <v>45</v>
      </c>
      <c r="D83" s="9" t="s">
        <v>1044</v>
      </c>
      <c r="E83" s="16" t="s">
        <v>128</v>
      </c>
      <c r="F83" s="72"/>
      <c r="G83" s="17" t="s">
        <v>1142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816</v>
      </c>
      <c r="C84" s="11" t="s">
        <v>280</v>
      </c>
      <c r="D84" s="9" t="s">
        <v>839</v>
      </c>
      <c r="E84" s="16" t="s">
        <v>128</v>
      </c>
      <c r="F84" s="72"/>
      <c r="G84" s="17" t="s">
        <v>1088</v>
      </c>
      <c r="H84" s="18"/>
      <c r="I84" s="17"/>
      <c r="J84" s="19" t="s">
        <v>133</v>
      </c>
      <c r="K84" s="19" t="s">
        <v>202</v>
      </c>
      <c r="L84" s="19" t="s">
        <v>67</v>
      </c>
    </row>
    <row r="85" spans="1:12" s="1" customFormat="1">
      <c r="A85" s="15"/>
      <c r="B85" s="11" t="s">
        <v>817</v>
      </c>
      <c r="C85" s="11" t="s">
        <v>45</v>
      </c>
      <c r="D85" s="9" t="s">
        <v>658</v>
      </c>
      <c r="E85" s="16" t="s">
        <v>128</v>
      </c>
      <c r="F85" s="72"/>
      <c r="G85" s="17" t="s">
        <v>1090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818</v>
      </c>
      <c r="C86" s="11" t="s">
        <v>280</v>
      </c>
      <c r="D86" s="9" t="s">
        <v>842</v>
      </c>
      <c r="E86" s="16" t="s">
        <v>128</v>
      </c>
      <c r="F86" s="72"/>
      <c r="G86" s="17" t="s">
        <v>1091</v>
      </c>
      <c r="H86" s="18"/>
      <c r="I86" s="17"/>
      <c r="J86" s="19" t="s">
        <v>133</v>
      </c>
      <c r="K86" s="19" t="s">
        <v>202</v>
      </c>
      <c r="L86" s="19" t="s">
        <v>67</v>
      </c>
    </row>
    <row r="87" spans="1:12" s="1" customFormat="1">
      <c r="A87" s="15"/>
      <c r="B87" s="11" t="s">
        <v>819</v>
      </c>
      <c r="C87" s="11" t="s">
        <v>45</v>
      </c>
      <c r="D87" s="9" t="s">
        <v>660</v>
      </c>
      <c r="E87" s="16" t="s">
        <v>128</v>
      </c>
      <c r="F87" s="72"/>
      <c r="G87" s="17" t="s">
        <v>1093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829</v>
      </c>
      <c r="C88" s="11" t="s">
        <v>280</v>
      </c>
      <c r="D88" s="9" t="s">
        <v>505</v>
      </c>
      <c r="E88" s="16" t="s">
        <v>128</v>
      </c>
      <c r="F88" s="72"/>
      <c r="G88" s="17" t="s">
        <v>1094</v>
      </c>
      <c r="H88" s="18"/>
      <c r="I88" s="17"/>
      <c r="J88" s="19" t="s">
        <v>133</v>
      </c>
      <c r="K88" s="19" t="s">
        <v>203</v>
      </c>
      <c r="L88" s="19" t="s">
        <v>67</v>
      </c>
    </row>
    <row r="89" spans="1:12" s="1" customFormat="1">
      <c r="A89" s="15"/>
      <c r="B89" s="11" t="s">
        <v>1570</v>
      </c>
      <c r="C89" s="11" t="s">
        <v>45</v>
      </c>
      <c r="D89" s="9" t="s">
        <v>1526</v>
      </c>
      <c r="E89" s="16" t="s">
        <v>128</v>
      </c>
      <c r="F89" s="72"/>
      <c r="G89" s="17" t="s">
        <v>1571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1527</v>
      </c>
      <c r="C90" s="11" t="s">
        <v>45</v>
      </c>
      <c r="D90" s="9" t="s">
        <v>1528</v>
      </c>
      <c r="E90" s="16" t="s">
        <v>128</v>
      </c>
      <c r="F90" s="72"/>
      <c r="G90" s="17" t="s">
        <v>1572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1529</v>
      </c>
      <c r="C91" s="11" t="s">
        <v>45</v>
      </c>
      <c r="D91" s="9" t="s">
        <v>1530</v>
      </c>
      <c r="E91" s="16" t="s">
        <v>128</v>
      </c>
      <c r="F91" s="72"/>
      <c r="G91" s="17" t="s">
        <v>1573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1531</v>
      </c>
      <c r="C92" s="11" t="s">
        <v>45</v>
      </c>
      <c r="D92" s="9" t="s">
        <v>1532</v>
      </c>
      <c r="E92" s="16" t="s">
        <v>128</v>
      </c>
      <c r="F92" s="72"/>
      <c r="G92" s="17" t="s">
        <v>1574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1533</v>
      </c>
      <c r="C93" s="11" t="s">
        <v>45</v>
      </c>
      <c r="D93" s="9" t="s">
        <v>1534</v>
      </c>
      <c r="E93" s="16" t="s">
        <v>128</v>
      </c>
      <c r="F93" s="72"/>
      <c r="G93" s="17" t="s">
        <v>1575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799</v>
      </c>
      <c r="C94" s="11" t="s">
        <v>280</v>
      </c>
      <c r="D94" s="9" t="s">
        <v>506</v>
      </c>
      <c r="E94" s="16" t="s">
        <v>128</v>
      </c>
      <c r="F94" s="72"/>
      <c r="G94" s="17" t="s">
        <v>1095</v>
      </c>
      <c r="H94" s="18"/>
      <c r="I94" s="17"/>
      <c r="J94" s="19" t="s">
        <v>133</v>
      </c>
      <c r="K94" s="19" t="s">
        <v>203</v>
      </c>
      <c r="L94" s="19" t="s">
        <v>67</v>
      </c>
    </row>
    <row r="95" spans="1:12" s="1" customFormat="1">
      <c r="A95" s="15"/>
      <c r="B95" s="11" t="s">
        <v>1549</v>
      </c>
      <c r="C95" s="11" t="s">
        <v>45</v>
      </c>
      <c r="D95" s="9" t="s">
        <v>1540</v>
      </c>
      <c r="E95" s="16" t="s">
        <v>128</v>
      </c>
      <c r="F95" s="72"/>
      <c r="G95" s="17" t="s">
        <v>1576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1541</v>
      </c>
      <c r="C96" s="11" t="s">
        <v>45</v>
      </c>
      <c r="D96" s="9" t="s">
        <v>1542</v>
      </c>
      <c r="E96" s="16" t="s">
        <v>128</v>
      </c>
      <c r="F96" s="72"/>
      <c r="G96" s="17" t="s">
        <v>1577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11" t="s">
        <v>1543</v>
      </c>
      <c r="C97" s="11" t="s">
        <v>45</v>
      </c>
      <c r="D97" s="9" t="s">
        <v>1544</v>
      </c>
      <c r="E97" s="16" t="s">
        <v>128</v>
      </c>
      <c r="F97" s="72"/>
      <c r="G97" s="17" t="s">
        <v>1578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11" t="s">
        <v>1545</v>
      </c>
      <c r="C98" s="11" t="s">
        <v>45</v>
      </c>
      <c r="D98" s="9" t="s">
        <v>1546</v>
      </c>
      <c r="E98" s="16" t="s">
        <v>128</v>
      </c>
      <c r="F98" s="72"/>
      <c r="G98" s="17" t="s">
        <v>1579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11" t="s">
        <v>1547</v>
      </c>
      <c r="C99" s="11" t="s">
        <v>45</v>
      </c>
      <c r="D99" s="9" t="s">
        <v>1548</v>
      </c>
      <c r="E99" s="16" t="s">
        <v>128</v>
      </c>
      <c r="F99" s="72"/>
      <c r="G99" s="17" t="s">
        <v>1580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11" t="s">
        <v>830</v>
      </c>
      <c r="C100" s="11" t="s">
        <v>45</v>
      </c>
      <c r="D100" s="9" t="s">
        <v>837</v>
      </c>
      <c r="E100" s="16" t="s">
        <v>128</v>
      </c>
      <c r="F100" s="72"/>
      <c r="G100" s="17" t="s">
        <v>1097</v>
      </c>
      <c r="H100" s="18"/>
      <c r="I100" s="17"/>
      <c r="J100" s="19" t="s">
        <v>133</v>
      </c>
      <c r="K100" s="19" t="s">
        <v>44</v>
      </c>
      <c r="L100" s="19" t="s">
        <v>67</v>
      </c>
    </row>
    <row r="101" spans="1:12" s="1" customFormat="1">
      <c r="A101" s="15"/>
      <c r="B101" s="11" t="s">
        <v>623</v>
      </c>
      <c r="C101" s="11" t="s">
        <v>280</v>
      </c>
      <c r="D101" s="9" t="s">
        <v>836</v>
      </c>
      <c r="E101" s="16" t="s">
        <v>128</v>
      </c>
      <c r="F101" s="72"/>
      <c r="G101" s="17" t="s">
        <v>1099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2" s="1" customFormat="1">
      <c r="A102" s="15"/>
      <c r="B102" s="95" t="s">
        <v>1564</v>
      </c>
      <c r="C102" s="95" t="s">
        <v>45</v>
      </c>
      <c r="D102" s="96" t="s">
        <v>1555</v>
      </c>
      <c r="E102" s="16" t="s">
        <v>128</v>
      </c>
      <c r="F102" s="72"/>
      <c r="G102" s="17" t="s">
        <v>1581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A103" s="15"/>
      <c r="B103" s="95" t="s">
        <v>1556</v>
      </c>
      <c r="C103" s="95" t="s">
        <v>45</v>
      </c>
      <c r="D103" s="96" t="s">
        <v>1557</v>
      </c>
      <c r="E103" s="16" t="s">
        <v>128</v>
      </c>
      <c r="F103" s="72"/>
      <c r="G103" s="17" t="s">
        <v>1582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A104" s="15"/>
      <c r="B104" s="95" t="s">
        <v>1558</v>
      </c>
      <c r="C104" s="95" t="s">
        <v>45</v>
      </c>
      <c r="D104" s="96" t="s">
        <v>1559</v>
      </c>
      <c r="E104" s="16" t="s">
        <v>128</v>
      </c>
      <c r="F104" s="72"/>
      <c r="G104" s="17" t="s">
        <v>1583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A105" s="15"/>
      <c r="B105" s="95" t="s">
        <v>1560</v>
      </c>
      <c r="C105" s="95" t="s">
        <v>45</v>
      </c>
      <c r="D105" s="96" t="s">
        <v>1561</v>
      </c>
      <c r="E105" s="16" t="s">
        <v>128</v>
      </c>
      <c r="F105" s="72"/>
      <c r="G105" s="17" t="s">
        <v>1584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A106" s="15"/>
      <c r="B106" s="95" t="s">
        <v>1562</v>
      </c>
      <c r="C106" s="95" t="s">
        <v>45</v>
      </c>
      <c r="D106" s="96" t="s">
        <v>1563</v>
      </c>
      <c r="E106" s="16" t="s">
        <v>128</v>
      </c>
      <c r="F106" s="72"/>
      <c r="G106" s="17" t="s">
        <v>1585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11" t="s">
        <v>831</v>
      </c>
      <c r="C107" s="11" t="s">
        <v>45</v>
      </c>
      <c r="D107" s="9" t="s">
        <v>825</v>
      </c>
      <c r="E107" s="16" t="s">
        <v>128</v>
      </c>
      <c r="F107" s="72"/>
      <c r="G107" s="17" t="s">
        <v>1100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1098</v>
      </c>
      <c r="C108" s="11" t="s">
        <v>280</v>
      </c>
      <c r="D108" s="9" t="s">
        <v>826</v>
      </c>
      <c r="E108" s="16" t="s">
        <v>128</v>
      </c>
      <c r="F108" s="72"/>
      <c r="G108" s="17" t="s">
        <v>1101</v>
      </c>
      <c r="H108" s="18"/>
      <c r="I108" s="17"/>
      <c r="J108" s="19" t="s">
        <v>133</v>
      </c>
      <c r="K108" s="19" t="s">
        <v>202</v>
      </c>
      <c r="L108" s="19" t="s">
        <v>67</v>
      </c>
    </row>
    <row r="109" spans="1:12" s="1" customFormat="1">
      <c r="A109" s="15"/>
      <c r="B109" s="11" t="s">
        <v>834</v>
      </c>
      <c r="C109" s="11" t="s">
        <v>280</v>
      </c>
      <c r="D109" s="9" t="s">
        <v>833</v>
      </c>
      <c r="E109" s="16" t="s">
        <v>128</v>
      </c>
      <c r="F109" s="72"/>
      <c r="G109" s="17" t="s">
        <v>1102</v>
      </c>
      <c r="H109" s="18"/>
      <c r="I109" s="17"/>
      <c r="J109" s="19" t="s">
        <v>133</v>
      </c>
      <c r="K109" s="19" t="s">
        <v>202</v>
      </c>
      <c r="L109" s="19" t="s">
        <v>67</v>
      </c>
    </row>
    <row r="110" spans="1:12" s="1" customFormat="1">
      <c r="A110" s="15"/>
      <c r="B110" s="11" t="s">
        <v>535</v>
      </c>
      <c r="C110" s="11" t="s">
        <v>280</v>
      </c>
      <c r="D110" s="9" t="s">
        <v>534</v>
      </c>
      <c r="E110" s="16" t="s">
        <v>128</v>
      </c>
      <c r="F110" s="72"/>
      <c r="G110" s="17" t="s">
        <v>1103</v>
      </c>
      <c r="H110" s="18"/>
      <c r="I110" s="17"/>
      <c r="J110" s="19" t="s">
        <v>133</v>
      </c>
      <c r="K110" s="19" t="s">
        <v>202</v>
      </c>
      <c r="L110" s="19" t="s">
        <v>67</v>
      </c>
    </row>
    <row r="111" spans="1:12" s="1" customFormat="1">
      <c r="A111" s="15"/>
      <c r="B111" s="11" t="s">
        <v>848</v>
      </c>
      <c r="C111" s="11" t="s">
        <v>45</v>
      </c>
      <c r="D111" s="9" t="s">
        <v>850</v>
      </c>
      <c r="E111" s="16" t="s">
        <v>128</v>
      </c>
      <c r="F111" s="72"/>
      <c r="G111" s="17" t="s">
        <v>1104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11" t="s">
        <v>849</v>
      </c>
      <c r="C112" s="11" t="s">
        <v>45</v>
      </c>
      <c r="D112" s="9" t="s">
        <v>116</v>
      </c>
      <c r="E112" s="16" t="s">
        <v>128</v>
      </c>
      <c r="F112" s="72"/>
      <c r="G112" s="17" t="s">
        <v>1105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7" s="1" customFormat="1">
      <c r="A113" s="15"/>
      <c r="B113" s="11" t="s">
        <v>854</v>
      </c>
      <c r="C113" s="11" t="s">
        <v>280</v>
      </c>
      <c r="D113" s="9" t="s">
        <v>502</v>
      </c>
      <c r="E113" s="16" t="s">
        <v>128</v>
      </c>
      <c r="F113" s="72"/>
      <c r="G113" s="17" t="s">
        <v>1107</v>
      </c>
      <c r="H113" s="18"/>
      <c r="I113" s="17"/>
      <c r="J113" s="19" t="s">
        <v>133</v>
      </c>
      <c r="K113" s="19" t="s">
        <v>202</v>
      </c>
      <c r="L113" s="19" t="s">
        <v>67</v>
      </c>
    </row>
    <row r="114" spans="1:17" s="1" customFormat="1">
      <c r="A114" s="15"/>
      <c r="B114" s="11" t="s">
        <v>856</v>
      </c>
      <c r="C114" s="11" t="s">
        <v>45</v>
      </c>
      <c r="D114" s="9" t="s">
        <v>857</v>
      </c>
      <c r="E114" s="16" t="s">
        <v>128</v>
      </c>
      <c r="F114" s="72"/>
      <c r="G114" s="17" t="s">
        <v>1106</v>
      </c>
      <c r="H114" s="18"/>
      <c r="I114" s="17"/>
      <c r="J114" s="19" t="s">
        <v>133</v>
      </c>
      <c r="K114" s="19" t="s">
        <v>903</v>
      </c>
      <c r="L114" s="19" t="s">
        <v>67</v>
      </c>
    </row>
    <row r="115" spans="1:17" s="1" customFormat="1">
      <c r="A115" s="15"/>
      <c r="B115" s="11" t="s">
        <v>315</v>
      </c>
      <c r="C115" s="11" t="s">
        <v>45</v>
      </c>
      <c r="D115" s="9" t="s">
        <v>112</v>
      </c>
      <c r="E115" s="16" t="s">
        <v>128</v>
      </c>
      <c r="F115" s="72"/>
      <c r="G115" s="17" t="s">
        <v>1145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868</v>
      </c>
      <c r="C116" s="11" t="s">
        <v>45</v>
      </c>
      <c r="D116" s="9" t="s">
        <v>859</v>
      </c>
      <c r="E116" s="16" t="s">
        <v>128</v>
      </c>
      <c r="F116" s="72"/>
      <c r="G116" s="17" t="s">
        <v>1146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1" customFormat="1">
      <c r="A117" s="15"/>
      <c r="B117" s="11" t="s">
        <v>869</v>
      </c>
      <c r="C117" s="11" t="s">
        <v>45</v>
      </c>
      <c r="D117" s="9" t="s">
        <v>860</v>
      </c>
      <c r="E117" s="16" t="s">
        <v>128</v>
      </c>
      <c r="F117" s="72"/>
      <c r="G117" s="17" t="s">
        <v>1147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7" s="1" customFormat="1">
      <c r="A118" s="15"/>
      <c r="B118" s="11" t="s">
        <v>870</v>
      </c>
      <c r="C118" s="11" t="s">
        <v>45</v>
      </c>
      <c r="D118" s="9" t="s">
        <v>861</v>
      </c>
      <c r="E118" s="16" t="s">
        <v>128</v>
      </c>
      <c r="F118" s="72"/>
      <c r="G118" s="17" t="s">
        <v>1148</v>
      </c>
      <c r="H118" s="18"/>
      <c r="I118" s="17"/>
      <c r="J118" s="19" t="s">
        <v>133</v>
      </c>
      <c r="K118" s="19" t="s">
        <v>44</v>
      </c>
      <c r="L118" s="19" t="s">
        <v>67</v>
      </c>
    </row>
    <row r="119" spans="1:17" s="1" customFormat="1">
      <c r="A119" s="15"/>
      <c r="B119" s="11" t="s">
        <v>871</v>
      </c>
      <c r="C119" s="11" t="s">
        <v>45</v>
      </c>
      <c r="D119" s="9" t="s">
        <v>880</v>
      </c>
      <c r="E119" s="16" t="s">
        <v>128</v>
      </c>
      <c r="F119" s="72"/>
      <c r="G119" s="17" t="s">
        <v>1149</v>
      </c>
      <c r="H119" s="18"/>
      <c r="I119" s="17"/>
      <c r="J119" s="19" t="s">
        <v>133</v>
      </c>
      <c r="K119" s="19" t="s">
        <v>44</v>
      </c>
      <c r="L119" s="19" t="s">
        <v>67</v>
      </c>
    </row>
    <row r="120" spans="1:17" s="1" customFormat="1">
      <c r="A120" s="15"/>
      <c r="B120" s="11" t="s">
        <v>872</v>
      </c>
      <c r="C120" s="11" t="s">
        <v>45</v>
      </c>
      <c r="D120" s="9" t="s">
        <v>881</v>
      </c>
      <c r="E120" s="16" t="s">
        <v>128</v>
      </c>
      <c r="F120" s="72"/>
      <c r="G120" s="17" t="s">
        <v>1150</v>
      </c>
      <c r="H120" s="18"/>
      <c r="I120" s="17"/>
      <c r="J120" s="19" t="s">
        <v>133</v>
      </c>
      <c r="K120" s="19" t="s">
        <v>44</v>
      </c>
      <c r="L120" s="19" t="s">
        <v>67</v>
      </c>
    </row>
    <row r="121" spans="1:17" s="1" customFormat="1">
      <c r="A121" s="15"/>
      <c r="B121" s="11" t="s">
        <v>873</v>
      </c>
      <c r="C121" s="11" t="s">
        <v>45</v>
      </c>
      <c r="D121" s="9" t="s">
        <v>882</v>
      </c>
      <c r="E121" s="16" t="s">
        <v>128</v>
      </c>
      <c r="F121" s="72"/>
      <c r="G121" s="17" t="s">
        <v>1151</v>
      </c>
      <c r="H121" s="18"/>
      <c r="I121" s="17"/>
      <c r="J121" s="19" t="s">
        <v>133</v>
      </c>
      <c r="K121" s="19" t="s">
        <v>44</v>
      </c>
      <c r="L121" s="19" t="s">
        <v>67</v>
      </c>
    </row>
    <row r="122" spans="1:17" s="1" customFormat="1">
      <c r="A122" s="15"/>
      <c r="B122" s="11" t="s">
        <v>874</v>
      </c>
      <c r="C122" s="11" t="s">
        <v>45</v>
      </c>
      <c r="D122" s="9" t="s">
        <v>862</v>
      </c>
      <c r="E122" s="16" t="s">
        <v>128</v>
      </c>
      <c r="F122" s="72"/>
      <c r="G122" s="17" t="s">
        <v>1152</v>
      </c>
      <c r="H122" s="18"/>
      <c r="I122" s="17"/>
      <c r="J122" s="19" t="s">
        <v>133</v>
      </c>
      <c r="K122" s="19" t="s">
        <v>44</v>
      </c>
      <c r="L122" s="19" t="s">
        <v>67</v>
      </c>
    </row>
    <row r="123" spans="1:17" s="1" customFormat="1">
      <c r="A123" s="15"/>
      <c r="B123" s="11" t="s">
        <v>875</v>
      </c>
      <c r="C123" s="11" t="s">
        <v>45</v>
      </c>
      <c r="D123" s="9" t="s">
        <v>863</v>
      </c>
      <c r="E123" s="16" t="s">
        <v>128</v>
      </c>
      <c r="F123" s="72"/>
      <c r="G123" s="17" t="s">
        <v>1153</v>
      </c>
      <c r="H123" s="18"/>
      <c r="I123" s="17"/>
      <c r="J123" s="19" t="s">
        <v>133</v>
      </c>
      <c r="K123" s="19" t="s">
        <v>44</v>
      </c>
      <c r="L123" s="19" t="s">
        <v>67</v>
      </c>
    </row>
    <row r="124" spans="1:17" s="1" customFormat="1">
      <c r="A124" s="15"/>
      <c r="B124" s="11" t="s">
        <v>876</v>
      </c>
      <c r="C124" s="11" t="s">
        <v>45</v>
      </c>
      <c r="D124" s="9" t="s">
        <v>864</v>
      </c>
      <c r="E124" s="16" t="s">
        <v>128</v>
      </c>
      <c r="F124" s="72"/>
      <c r="G124" s="17" t="s">
        <v>1154</v>
      </c>
      <c r="H124" s="18"/>
      <c r="I124" s="17"/>
      <c r="J124" s="19" t="s">
        <v>133</v>
      </c>
      <c r="K124" s="19" t="s">
        <v>44</v>
      </c>
      <c r="L124" s="19" t="s">
        <v>67</v>
      </c>
    </row>
    <row r="125" spans="1:17" s="1" customFormat="1">
      <c r="A125" s="15"/>
      <c r="B125" s="11" t="s">
        <v>877</v>
      </c>
      <c r="C125" s="11" t="s">
        <v>45</v>
      </c>
      <c r="D125" s="9" t="s">
        <v>865</v>
      </c>
      <c r="E125" s="16" t="s">
        <v>128</v>
      </c>
      <c r="F125" s="72"/>
      <c r="G125" s="17" t="s">
        <v>1155</v>
      </c>
      <c r="H125" s="18"/>
      <c r="I125" s="17"/>
      <c r="J125" s="19" t="s">
        <v>133</v>
      </c>
      <c r="K125" s="19" t="s">
        <v>44</v>
      </c>
      <c r="L125" s="19" t="s">
        <v>67</v>
      </c>
    </row>
    <row r="126" spans="1:17" s="1" customFormat="1">
      <c r="A126" s="15"/>
      <c r="B126" s="11" t="s">
        <v>878</v>
      </c>
      <c r="C126" s="11" t="s">
        <v>45</v>
      </c>
      <c r="D126" s="9" t="s">
        <v>866</v>
      </c>
      <c r="E126" s="16" t="s">
        <v>128</v>
      </c>
      <c r="F126" s="72"/>
      <c r="G126" s="17" t="s">
        <v>1156</v>
      </c>
      <c r="H126" s="18"/>
      <c r="I126" s="17"/>
      <c r="J126" s="19" t="s">
        <v>133</v>
      </c>
      <c r="K126" s="19" t="s">
        <v>44</v>
      </c>
      <c r="L126" s="19" t="s">
        <v>67</v>
      </c>
    </row>
    <row r="127" spans="1:17" s="1" customFormat="1">
      <c r="A127" s="15"/>
      <c r="B127" s="11" t="s">
        <v>879</v>
      </c>
      <c r="C127" s="11" t="s">
        <v>45</v>
      </c>
      <c r="D127" s="9" t="s">
        <v>867</v>
      </c>
      <c r="E127" s="16" t="s">
        <v>128</v>
      </c>
      <c r="F127" s="72"/>
      <c r="G127" s="17" t="s">
        <v>1157</v>
      </c>
      <c r="H127" s="18"/>
      <c r="I127" s="17"/>
      <c r="J127" s="19" t="s">
        <v>133</v>
      </c>
      <c r="K127" s="19" t="s">
        <v>44</v>
      </c>
      <c r="L127" s="19" t="s">
        <v>67</v>
      </c>
    </row>
    <row r="128" spans="1:17" s="3" customFormat="1">
      <c r="B128" s="23" t="s">
        <v>47</v>
      </c>
      <c r="C128" s="24" t="s">
        <v>46</v>
      </c>
      <c r="D128" s="21" t="s">
        <v>48</v>
      </c>
      <c r="E128" s="44"/>
      <c r="F128" s="44"/>
      <c r="G128" s="44" t="s">
        <v>282</v>
      </c>
      <c r="H128" s="23" t="s">
        <v>282</v>
      </c>
      <c r="I128" s="23"/>
      <c r="J128" s="23"/>
      <c r="K128" s="23"/>
      <c r="L128" s="23"/>
      <c r="M128" s="23"/>
      <c r="N128" s="23"/>
      <c r="O128" s="23"/>
      <c r="P128" s="23"/>
      <c r="Q128" s="23"/>
    </row>
    <row r="129" spans="2:17" s="3" customFormat="1">
      <c r="B129" s="23" t="s">
        <v>49</v>
      </c>
      <c r="C129" s="24" t="s">
        <v>43</v>
      </c>
      <c r="D129" s="21" t="s">
        <v>50</v>
      </c>
      <c r="E129" s="44"/>
      <c r="F129" s="44"/>
      <c r="G129" s="44" t="s">
        <v>282</v>
      </c>
      <c r="H129" s="23" t="s">
        <v>282</v>
      </c>
      <c r="I129" s="23"/>
      <c r="J129" s="23"/>
      <c r="K129" s="23"/>
      <c r="L129" s="23"/>
      <c r="M129" s="23"/>
      <c r="N129" s="23"/>
      <c r="O129" s="23"/>
      <c r="P129" s="23"/>
      <c r="Q129" s="23"/>
    </row>
    <row r="130" spans="2:17" s="3" customFormat="1">
      <c r="B130" s="23" t="s">
        <v>51</v>
      </c>
      <c r="C130" s="24" t="s">
        <v>46</v>
      </c>
      <c r="D130" s="21" t="s">
        <v>52</v>
      </c>
      <c r="E130" s="44"/>
      <c r="F130" s="44"/>
      <c r="G130" s="44" t="s">
        <v>282</v>
      </c>
      <c r="H130" s="23" t="s">
        <v>282</v>
      </c>
      <c r="I130" s="23"/>
      <c r="J130" s="23"/>
      <c r="K130" s="23"/>
      <c r="L130" s="23"/>
      <c r="M130" s="23"/>
      <c r="N130" s="23"/>
      <c r="O130" s="23"/>
      <c r="P130" s="23"/>
      <c r="Q130" s="23"/>
    </row>
    <row r="131" spans="2:17" s="3" customFormat="1">
      <c r="B131" s="23" t="s">
        <v>120</v>
      </c>
      <c r="C131" s="24" t="s">
        <v>46</v>
      </c>
      <c r="D131" s="21" t="s">
        <v>270</v>
      </c>
      <c r="E131" s="44"/>
      <c r="F131" s="44"/>
      <c r="G131" s="44" t="s">
        <v>282</v>
      </c>
      <c r="H131" s="23" t="s">
        <v>282</v>
      </c>
      <c r="I131" s="23"/>
      <c r="J131" s="23"/>
      <c r="K131" s="23"/>
      <c r="L131" s="23"/>
      <c r="M131" s="23"/>
      <c r="N131" s="23"/>
      <c r="O131" s="23"/>
      <c r="P131" s="23"/>
      <c r="Q131" s="23"/>
    </row>
  </sheetData>
  <autoFilter ref="A13:Q130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CD38-184F-416E-9879-1571C32AED6F}">
  <sheetPr codeName="Sheet32"/>
  <dimension ref="A1:Q128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5.8867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9" t="s">
        <v>1683</v>
      </c>
      <c r="D5" s="82" t="s">
        <v>1681</v>
      </c>
      <c r="E5" s="11" t="s">
        <v>92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1669</v>
      </c>
      <c r="D9" s="82" t="s">
        <v>1670</v>
      </c>
      <c r="E9" s="11" t="s">
        <v>55</v>
      </c>
      <c r="F9" s="17"/>
      <c r="G9" s="17" t="s">
        <v>1682</v>
      </c>
      <c r="H9" s="14" t="s">
        <v>17</v>
      </c>
    </row>
    <row r="11" spans="2:14">
      <c r="B11" s="4" t="s">
        <v>32</v>
      </c>
    </row>
    <row r="12" spans="2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2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2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2:14" s="1" customFormat="1">
      <c r="B16" s="22" t="s">
        <v>92</v>
      </c>
      <c r="C16" s="22" t="s">
        <v>94</v>
      </c>
      <c r="D16" s="9" t="s">
        <v>1675</v>
      </c>
      <c r="E16" s="16" t="s">
        <v>128</v>
      </c>
      <c r="F16" s="17" t="s">
        <v>120</v>
      </c>
      <c r="G16" s="17" t="s">
        <v>129</v>
      </c>
      <c r="H16" s="18"/>
      <c r="I16" s="19"/>
      <c r="J16" s="19" t="s">
        <v>131</v>
      </c>
      <c r="K16" s="19" t="s">
        <v>132</v>
      </c>
      <c r="L16" s="19" t="s">
        <v>1676</v>
      </c>
    </row>
    <row r="17" spans="1:13" s="1" customFormat="1">
      <c r="A17" s="15"/>
      <c r="B17" s="22" t="s">
        <v>77</v>
      </c>
      <c r="C17" s="22" t="s">
        <v>94</v>
      </c>
      <c r="D17" s="9" t="s">
        <v>113</v>
      </c>
      <c r="E17" s="16" t="s">
        <v>128</v>
      </c>
      <c r="F17" s="17" t="s">
        <v>77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677</v>
      </c>
    </row>
    <row r="18" spans="1:13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1068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61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62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679</v>
      </c>
    </row>
    <row r="21" spans="1:13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64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65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66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1069</v>
      </c>
      <c r="G24" s="17" t="s">
        <v>129</v>
      </c>
      <c r="H24" s="18"/>
      <c r="I24" s="35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A26" s="15"/>
      <c r="B26" s="11" t="s">
        <v>1300</v>
      </c>
      <c r="C26" s="11" t="s">
        <v>43</v>
      </c>
      <c r="D26" s="9" t="s">
        <v>57</v>
      </c>
      <c r="E26" s="16" t="s">
        <v>128</v>
      </c>
      <c r="F26" s="17" t="s">
        <v>81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58</v>
      </c>
      <c r="C27" s="11" t="s">
        <v>43</v>
      </c>
      <c r="D27" s="9" t="s">
        <v>59</v>
      </c>
      <c r="E27" s="16" t="s">
        <v>128</v>
      </c>
      <c r="F27" s="9" t="s">
        <v>58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A28" s="15"/>
      <c r="B28" s="11" t="s">
        <v>1503</v>
      </c>
      <c r="C28" s="11" t="s">
        <v>43</v>
      </c>
      <c r="D28" s="9" t="s">
        <v>105</v>
      </c>
      <c r="E28" s="16" t="s">
        <v>128</v>
      </c>
      <c r="F28" s="17" t="s">
        <v>82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3" s="1" customFormat="1">
      <c r="B29" s="22" t="s">
        <v>904</v>
      </c>
      <c r="C29" s="62" t="s">
        <v>93</v>
      </c>
      <c r="D29" s="9" t="s">
        <v>107</v>
      </c>
      <c r="E29" s="16" t="s">
        <v>128</v>
      </c>
      <c r="F29" s="17" t="s">
        <v>85</v>
      </c>
      <c r="G29" s="17" t="s">
        <v>129</v>
      </c>
      <c r="H29" s="18"/>
      <c r="I29" s="19"/>
      <c r="J29" s="19" t="s">
        <v>131</v>
      </c>
      <c r="K29" s="19" t="s">
        <v>132</v>
      </c>
      <c r="L29" s="19" t="s">
        <v>44</v>
      </c>
    </row>
    <row r="30" spans="1:13" s="1" customFormat="1">
      <c r="B30" s="22" t="s">
        <v>1671</v>
      </c>
      <c r="C30" s="62" t="s">
        <v>43</v>
      </c>
      <c r="D30" s="9" t="s">
        <v>626</v>
      </c>
      <c r="E30" s="16" t="s">
        <v>128</v>
      </c>
      <c r="F30" s="9" t="s">
        <v>507</v>
      </c>
      <c r="G30" s="17" t="s">
        <v>129</v>
      </c>
      <c r="H30" s="18"/>
      <c r="I30" s="19"/>
      <c r="J30" s="19" t="s">
        <v>131</v>
      </c>
      <c r="K30" s="19" t="s">
        <v>132</v>
      </c>
      <c r="L30" s="19" t="s">
        <v>1674</v>
      </c>
    </row>
    <row r="31" spans="1:13" s="15" customFormat="1">
      <c r="B31" s="22" t="s">
        <v>87</v>
      </c>
      <c r="C31" s="11" t="s">
        <v>43</v>
      </c>
      <c r="D31" s="9" t="s">
        <v>109</v>
      </c>
      <c r="E31" s="16" t="s">
        <v>128</v>
      </c>
      <c r="F31" s="17" t="s">
        <v>87</v>
      </c>
      <c r="G31" s="17" t="s">
        <v>129</v>
      </c>
      <c r="H31" s="18"/>
      <c r="I31" s="20"/>
      <c r="J31" s="19" t="s">
        <v>131</v>
      </c>
      <c r="K31" s="19" t="s">
        <v>132</v>
      </c>
      <c r="L31" s="19" t="s">
        <v>679</v>
      </c>
      <c r="M31" s="1"/>
    </row>
    <row r="32" spans="1:13" s="1" customFormat="1">
      <c r="A32" s="15"/>
      <c r="B32" s="11" t="s">
        <v>1072</v>
      </c>
      <c r="C32" s="11" t="s">
        <v>45</v>
      </c>
      <c r="D32" s="9" t="s">
        <v>146</v>
      </c>
      <c r="E32" s="16" t="s">
        <v>128</v>
      </c>
      <c r="F32" s="17"/>
      <c r="G32" s="17" t="s">
        <v>1073</v>
      </c>
      <c r="H32" s="18"/>
      <c r="I32" s="17"/>
      <c r="J32" s="19" t="s">
        <v>133</v>
      </c>
      <c r="K32" s="19" t="s">
        <v>132</v>
      </c>
      <c r="L32" s="19" t="s">
        <v>134</v>
      </c>
    </row>
    <row r="33" spans="1:12" s="1" customFormat="1">
      <c r="A33" s="15"/>
      <c r="B33" s="11" t="s">
        <v>189</v>
      </c>
      <c r="C33" s="11" t="s">
        <v>45</v>
      </c>
      <c r="D33" s="9" t="s">
        <v>190</v>
      </c>
      <c r="E33" s="16" t="s">
        <v>128</v>
      </c>
      <c r="F33" s="17"/>
      <c r="G33" s="17" t="s">
        <v>1259</v>
      </c>
      <c r="H33" s="18"/>
      <c r="I33" s="17"/>
      <c r="J33" s="19" t="s">
        <v>133</v>
      </c>
      <c r="K33" s="19" t="s">
        <v>132</v>
      </c>
      <c r="L33" s="19" t="s">
        <v>134</v>
      </c>
    </row>
    <row r="34" spans="1:12" s="1" customFormat="1">
      <c r="A34" s="15"/>
      <c r="B34" s="11" t="s">
        <v>192</v>
      </c>
      <c r="C34" s="11" t="s">
        <v>45</v>
      </c>
      <c r="D34" s="9" t="s">
        <v>193</v>
      </c>
      <c r="E34" s="16" t="s">
        <v>128</v>
      </c>
      <c r="F34" s="17"/>
      <c r="G34" s="17" t="s">
        <v>1074</v>
      </c>
      <c r="H34" s="18"/>
      <c r="I34" s="17"/>
      <c r="J34" s="19" t="s">
        <v>133</v>
      </c>
      <c r="K34" s="19" t="s">
        <v>132</v>
      </c>
      <c r="L34" s="19" t="s">
        <v>134</v>
      </c>
    </row>
    <row r="35" spans="1:12" s="1" customFormat="1">
      <c r="A35" s="15"/>
      <c r="B35" s="22" t="s">
        <v>255</v>
      </c>
      <c r="C35" s="22" t="s">
        <v>45</v>
      </c>
      <c r="D35" s="9" t="s">
        <v>348</v>
      </c>
      <c r="E35" s="16" t="s">
        <v>128</v>
      </c>
      <c r="F35" s="17"/>
      <c r="G35" s="17" t="s">
        <v>257</v>
      </c>
      <c r="H35" s="18"/>
      <c r="I35" s="17"/>
      <c r="J35" s="19" t="s">
        <v>133</v>
      </c>
      <c r="K35" s="19" t="s">
        <v>203</v>
      </c>
      <c r="L35" s="19" t="s">
        <v>134</v>
      </c>
    </row>
    <row r="36" spans="1:12" s="1" customFormat="1">
      <c r="A36" s="15"/>
      <c r="B36" s="11" t="s">
        <v>207</v>
      </c>
      <c r="C36" s="11" t="s">
        <v>45</v>
      </c>
      <c r="D36" s="9" t="s">
        <v>759</v>
      </c>
      <c r="E36" s="16" t="s">
        <v>128</v>
      </c>
      <c r="F36" s="72"/>
      <c r="G36" s="17" t="s">
        <v>320</v>
      </c>
      <c r="H36" s="18"/>
      <c r="I36" s="17"/>
      <c r="J36" s="19" t="s">
        <v>133</v>
      </c>
      <c r="K36" s="19" t="s">
        <v>204</v>
      </c>
      <c r="L36" s="19" t="s">
        <v>134</v>
      </c>
    </row>
    <row r="37" spans="1:12" s="1" customFormat="1">
      <c r="A37" s="15"/>
      <c r="B37" s="11" t="s">
        <v>208</v>
      </c>
      <c r="C37" s="11" t="s">
        <v>45</v>
      </c>
      <c r="D37" s="9" t="s">
        <v>160</v>
      </c>
      <c r="E37" s="16" t="s">
        <v>128</v>
      </c>
      <c r="F37" s="72"/>
      <c r="G37" s="17" t="s">
        <v>319</v>
      </c>
      <c r="H37" s="18"/>
      <c r="I37" s="17"/>
      <c r="J37" s="19" t="s">
        <v>133</v>
      </c>
      <c r="K37" s="19" t="s">
        <v>204</v>
      </c>
      <c r="L37" s="19" t="s">
        <v>134</v>
      </c>
    </row>
    <row r="38" spans="1:12" s="1" customFormat="1">
      <c r="A38" s="15"/>
      <c r="B38" s="11" t="s">
        <v>763</v>
      </c>
      <c r="C38" s="11" t="s">
        <v>45</v>
      </c>
      <c r="D38" s="9" t="s">
        <v>181</v>
      </c>
      <c r="E38" s="16" t="s">
        <v>128</v>
      </c>
      <c r="F38" s="72"/>
      <c r="G38" s="9" t="s">
        <v>1076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805</v>
      </c>
      <c r="C39" s="11" t="s">
        <v>45</v>
      </c>
      <c r="D39" s="9" t="s">
        <v>184</v>
      </c>
      <c r="E39" s="16" t="s">
        <v>128</v>
      </c>
      <c r="F39" s="72"/>
      <c r="G39" s="17" t="s">
        <v>1110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210</v>
      </c>
      <c r="C40" s="11" t="s">
        <v>45</v>
      </c>
      <c r="D40" s="9" t="s">
        <v>1056</v>
      </c>
      <c r="E40" s="16" t="s">
        <v>128</v>
      </c>
      <c r="F40" s="72"/>
      <c r="G40" s="17" t="s">
        <v>224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209</v>
      </c>
      <c r="C41" s="11" t="s">
        <v>45</v>
      </c>
      <c r="D41" s="9" t="s">
        <v>1055</v>
      </c>
      <c r="E41" s="16" t="s">
        <v>128</v>
      </c>
      <c r="F41" s="72"/>
      <c r="G41" s="17" t="s">
        <v>223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211</v>
      </c>
      <c r="C42" s="11" t="s">
        <v>45</v>
      </c>
      <c r="D42" s="9" t="s">
        <v>163</v>
      </c>
      <c r="E42" s="16" t="s">
        <v>128</v>
      </c>
      <c r="F42" s="72"/>
      <c r="G42" s="17" t="s">
        <v>225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212</v>
      </c>
      <c r="C43" s="11" t="s">
        <v>45</v>
      </c>
      <c r="D43" s="9" t="s">
        <v>164</v>
      </c>
      <c r="E43" s="16" t="s">
        <v>128</v>
      </c>
      <c r="F43" s="72"/>
      <c r="G43" s="17" t="s">
        <v>226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213</v>
      </c>
      <c r="C44" s="11" t="s">
        <v>45</v>
      </c>
      <c r="D44" s="9" t="s">
        <v>165</v>
      </c>
      <c r="E44" s="16" t="s">
        <v>128</v>
      </c>
      <c r="F44" s="72"/>
      <c r="G44" s="17" t="s">
        <v>1114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214</v>
      </c>
      <c r="C45" s="11" t="s">
        <v>45</v>
      </c>
      <c r="D45" s="9" t="s">
        <v>166</v>
      </c>
      <c r="E45" s="16" t="s">
        <v>128</v>
      </c>
      <c r="F45" s="72"/>
      <c r="G45" s="17" t="s">
        <v>1115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217</v>
      </c>
      <c r="C46" s="11" t="s">
        <v>45</v>
      </c>
      <c r="D46" s="9" t="s">
        <v>171</v>
      </c>
      <c r="E46" s="16" t="s">
        <v>128</v>
      </c>
      <c r="F46" s="72"/>
      <c r="G46" s="17" t="s">
        <v>1116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218</v>
      </c>
      <c r="C47" s="11" t="s">
        <v>45</v>
      </c>
      <c r="D47" s="9" t="s">
        <v>172</v>
      </c>
      <c r="E47" s="16" t="s">
        <v>128</v>
      </c>
      <c r="F47" s="72"/>
      <c r="G47" s="17" t="s">
        <v>1117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219</v>
      </c>
      <c r="C48" s="11" t="s">
        <v>45</v>
      </c>
      <c r="D48" s="9" t="s">
        <v>173</v>
      </c>
      <c r="E48" s="16" t="s">
        <v>128</v>
      </c>
      <c r="F48" s="72"/>
      <c r="G48" s="17" t="s">
        <v>1118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220</v>
      </c>
      <c r="C49" s="11" t="s">
        <v>45</v>
      </c>
      <c r="D49" s="9" t="s">
        <v>174</v>
      </c>
      <c r="E49" s="16" t="s">
        <v>128</v>
      </c>
      <c r="F49" s="72"/>
      <c r="G49" s="17" t="s">
        <v>1119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215</v>
      </c>
      <c r="C50" s="11" t="s">
        <v>45</v>
      </c>
      <c r="D50" s="9" t="s">
        <v>1260</v>
      </c>
      <c r="E50" s="16" t="s">
        <v>128</v>
      </c>
      <c r="F50" s="72"/>
      <c r="G50" s="17" t="s">
        <v>227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216</v>
      </c>
      <c r="C51" s="11" t="s">
        <v>45</v>
      </c>
      <c r="D51" s="9" t="s">
        <v>1261</v>
      </c>
      <c r="E51" s="16" t="s">
        <v>128</v>
      </c>
      <c r="F51" s="72"/>
      <c r="G51" s="17" t="s">
        <v>228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316</v>
      </c>
      <c r="C52" s="11" t="s">
        <v>45</v>
      </c>
      <c r="D52" s="9" t="s">
        <v>167</v>
      </c>
      <c r="E52" s="16" t="s">
        <v>128</v>
      </c>
      <c r="F52" s="72"/>
      <c r="G52" s="17" t="s">
        <v>772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809</v>
      </c>
      <c r="C53" s="11" t="s">
        <v>45</v>
      </c>
      <c r="D53" s="9" t="s">
        <v>175</v>
      </c>
      <c r="E53" s="16" t="s">
        <v>128</v>
      </c>
      <c r="F53" s="72"/>
      <c r="G53" s="17" t="s">
        <v>1120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317</v>
      </c>
      <c r="C54" s="11" t="s">
        <v>45</v>
      </c>
      <c r="D54" s="9" t="s">
        <v>168</v>
      </c>
      <c r="E54" s="16" t="s">
        <v>128</v>
      </c>
      <c r="F54" s="72"/>
      <c r="G54" s="17" t="s">
        <v>1487</v>
      </c>
      <c r="H54" s="18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11" t="s">
        <v>810</v>
      </c>
      <c r="C55" s="11" t="s">
        <v>45</v>
      </c>
      <c r="D55" s="9" t="s">
        <v>176</v>
      </c>
      <c r="E55" s="16" t="s">
        <v>128</v>
      </c>
      <c r="F55" s="72"/>
      <c r="G55" s="17" t="s">
        <v>1121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1213</v>
      </c>
      <c r="C56" s="11" t="s">
        <v>45</v>
      </c>
      <c r="D56" s="9" t="s">
        <v>178</v>
      </c>
      <c r="E56" s="16" t="s">
        <v>128</v>
      </c>
      <c r="F56" s="72"/>
      <c r="G56" s="17" t="s">
        <v>1215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221</v>
      </c>
      <c r="C57" s="11" t="s">
        <v>45</v>
      </c>
      <c r="D57" s="9" t="s">
        <v>177</v>
      </c>
      <c r="E57" s="16" t="s">
        <v>128</v>
      </c>
      <c r="F57" s="72"/>
      <c r="G57" s="17" t="s">
        <v>1256</v>
      </c>
      <c r="H57" s="18"/>
      <c r="I57" s="17"/>
      <c r="J57" s="19" t="s">
        <v>133</v>
      </c>
      <c r="K57" s="19" t="s">
        <v>204</v>
      </c>
      <c r="L57" s="19" t="s">
        <v>67</v>
      </c>
    </row>
    <row r="58" spans="1:12" s="1" customFormat="1">
      <c r="A58" s="15"/>
      <c r="B58" s="11" t="s">
        <v>1212</v>
      </c>
      <c r="C58" s="11" t="s">
        <v>45</v>
      </c>
      <c r="D58" s="9" t="s">
        <v>180</v>
      </c>
      <c r="E58" s="16" t="s">
        <v>128</v>
      </c>
      <c r="F58" s="72"/>
      <c r="G58" s="17" t="s">
        <v>1214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222</v>
      </c>
      <c r="C59" s="11" t="s">
        <v>45</v>
      </c>
      <c r="D59" s="9" t="s">
        <v>179</v>
      </c>
      <c r="E59" s="16" t="s">
        <v>128</v>
      </c>
      <c r="F59" s="72"/>
      <c r="G59" s="17" t="s">
        <v>1123</v>
      </c>
      <c r="H59" s="18"/>
      <c r="I59" s="17"/>
      <c r="J59" s="19" t="s">
        <v>133</v>
      </c>
      <c r="K59" s="19" t="s">
        <v>204</v>
      </c>
      <c r="L59" s="19" t="s">
        <v>67</v>
      </c>
    </row>
    <row r="60" spans="1:12" s="1" customFormat="1">
      <c r="A60" s="15"/>
      <c r="B60" s="11" t="s">
        <v>811</v>
      </c>
      <c r="C60" s="11" t="s">
        <v>45</v>
      </c>
      <c r="D60" s="9" t="s">
        <v>643</v>
      </c>
      <c r="E60" s="16" t="s">
        <v>128</v>
      </c>
      <c r="F60" s="72"/>
      <c r="G60" s="17" t="s">
        <v>768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812</v>
      </c>
      <c r="C61" s="11" t="s">
        <v>45</v>
      </c>
      <c r="D61" s="9" t="s">
        <v>813</v>
      </c>
      <c r="E61" s="16" t="s">
        <v>128</v>
      </c>
      <c r="F61" s="72"/>
      <c r="G61" s="17" t="s">
        <v>1124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814</v>
      </c>
      <c r="C62" s="11" t="s">
        <v>45</v>
      </c>
      <c r="D62" s="9" t="s">
        <v>500</v>
      </c>
      <c r="E62" s="16" t="s">
        <v>128</v>
      </c>
      <c r="F62" s="72"/>
      <c r="G62" s="17" t="s">
        <v>1125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205</v>
      </c>
      <c r="C63" s="11" t="s">
        <v>45</v>
      </c>
      <c r="D63" s="9" t="s">
        <v>147</v>
      </c>
      <c r="E63" s="16" t="s">
        <v>128</v>
      </c>
      <c r="F63" s="72"/>
      <c r="G63" s="17" t="s">
        <v>1126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206</v>
      </c>
      <c r="C64" s="11" t="s">
        <v>280</v>
      </c>
      <c r="D64" s="9" t="s">
        <v>820</v>
      </c>
      <c r="E64" s="16" t="s">
        <v>128</v>
      </c>
      <c r="F64" s="72"/>
      <c r="G64" s="17" t="s">
        <v>1081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1022</v>
      </c>
      <c r="C65" s="11" t="s">
        <v>45</v>
      </c>
      <c r="D65" s="9" t="s">
        <v>1018</v>
      </c>
      <c r="E65" s="16" t="s">
        <v>128</v>
      </c>
      <c r="F65" s="72"/>
      <c r="G65" s="17" t="s">
        <v>1127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1014</v>
      </c>
      <c r="C66" s="11" t="s">
        <v>45</v>
      </c>
      <c r="D66" s="9" t="s">
        <v>1019</v>
      </c>
      <c r="E66" s="16" t="s">
        <v>128</v>
      </c>
      <c r="F66" s="72"/>
      <c r="G66" s="17" t="s">
        <v>1128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1015</v>
      </c>
      <c r="C67" s="11" t="s">
        <v>45</v>
      </c>
      <c r="D67" s="9" t="s">
        <v>1020</v>
      </c>
      <c r="E67" s="16" t="s">
        <v>128</v>
      </c>
      <c r="F67" s="72"/>
      <c r="G67" s="17" t="s">
        <v>1129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1016</v>
      </c>
      <c r="C68" s="11" t="s">
        <v>45</v>
      </c>
      <c r="D68" s="9" t="s">
        <v>1021</v>
      </c>
      <c r="E68" s="16" t="s">
        <v>128</v>
      </c>
      <c r="F68" s="72"/>
      <c r="G68" s="17" t="s">
        <v>1130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1017</v>
      </c>
      <c r="C69" s="11" t="s">
        <v>45</v>
      </c>
      <c r="D69" s="9" t="s">
        <v>1042</v>
      </c>
      <c r="E69" s="16" t="s">
        <v>128</v>
      </c>
      <c r="F69" s="72"/>
      <c r="G69" s="17" t="s">
        <v>1131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1049</v>
      </c>
      <c r="C70" s="11" t="s">
        <v>45</v>
      </c>
      <c r="D70" s="9" t="s">
        <v>153</v>
      </c>
      <c r="E70" s="16" t="s">
        <v>128</v>
      </c>
      <c r="F70" s="72"/>
      <c r="G70" s="17" t="s">
        <v>1262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823</v>
      </c>
      <c r="C71" s="11" t="s">
        <v>280</v>
      </c>
      <c r="D71" s="9" t="s">
        <v>1474</v>
      </c>
      <c r="E71" s="16" t="s">
        <v>128</v>
      </c>
      <c r="F71" s="72"/>
      <c r="G71" s="17" t="s">
        <v>1082</v>
      </c>
      <c r="H71" s="18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1030</v>
      </c>
      <c r="C72" s="11" t="s">
        <v>45</v>
      </c>
      <c r="D72" s="9" t="s">
        <v>1026</v>
      </c>
      <c r="E72" s="16" t="s">
        <v>128</v>
      </c>
      <c r="F72" s="72"/>
      <c r="G72" s="17" t="s">
        <v>1133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1023</v>
      </c>
      <c r="C73" s="11" t="s">
        <v>45</v>
      </c>
      <c r="D73" s="9" t="s">
        <v>1027</v>
      </c>
      <c r="E73" s="16" t="s">
        <v>128</v>
      </c>
      <c r="F73" s="72"/>
      <c r="G73" s="17" t="s">
        <v>1134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1024</v>
      </c>
      <c r="C74" s="11" t="s">
        <v>45</v>
      </c>
      <c r="D74" s="9" t="s">
        <v>1028</v>
      </c>
      <c r="E74" s="16" t="s">
        <v>128</v>
      </c>
      <c r="F74" s="72"/>
      <c r="G74" s="17" t="s">
        <v>1135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1032</v>
      </c>
      <c r="C75" s="11" t="s">
        <v>45</v>
      </c>
      <c r="D75" s="9" t="s">
        <v>1029</v>
      </c>
      <c r="E75" s="16" t="s">
        <v>128</v>
      </c>
      <c r="F75" s="72"/>
      <c r="G75" s="17" t="s">
        <v>1136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1025</v>
      </c>
      <c r="C76" s="11" t="s">
        <v>45</v>
      </c>
      <c r="D76" s="9" t="s">
        <v>1043</v>
      </c>
      <c r="E76" s="16" t="s">
        <v>128</v>
      </c>
      <c r="F76" s="72"/>
      <c r="G76" s="17" t="s">
        <v>1137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1084</v>
      </c>
      <c r="C77" s="11" t="s">
        <v>280</v>
      </c>
      <c r="D77" s="9" t="s">
        <v>1086</v>
      </c>
      <c r="E77" s="16" t="s">
        <v>128</v>
      </c>
      <c r="F77" s="72"/>
      <c r="G77" s="17" t="s">
        <v>1087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1083</v>
      </c>
      <c r="C78" s="11" t="s">
        <v>280</v>
      </c>
      <c r="D78" s="9" t="s">
        <v>841</v>
      </c>
      <c r="E78" s="16" t="s">
        <v>128</v>
      </c>
      <c r="F78" s="72"/>
      <c r="G78" s="17" t="s">
        <v>1866</v>
      </c>
      <c r="H78" s="18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1033</v>
      </c>
      <c r="C79" s="11" t="s">
        <v>45</v>
      </c>
      <c r="D79" s="9" t="s">
        <v>1038</v>
      </c>
      <c r="E79" s="16" t="s">
        <v>128</v>
      </c>
      <c r="F79" s="72"/>
      <c r="G79" s="17" t="s">
        <v>1138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1034</v>
      </c>
      <c r="C80" s="11" t="s">
        <v>45</v>
      </c>
      <c r="D80" s="9" t="s">
        <v>1039</v>
      </c>
      <c r="E80" s="16" t="s">
        <v>128</v>
      </c>
      <c r="F80" s="72"/>
      <c r="G80" s="17" t="s">
        <v>1139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1035</v>
      </c>
      <c r="C81" s="11" t="s">
        <v>45</v>
      </c>
      <c r="D81" s="9" t="s">
        <v>1040</v>
      </c>
      <c r="E81" s="16" t="s">
        <v>128</v>
      </c>
      <c r="F81" s="72"/>
      <c r="G81" s="17" t="s">
        <v>1140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1036</v>
      </c>
      <c r="C82" s="11" t="s">
        <v>45</v>
      </c>
      <c r="D82" s="9" t="s">
        <v>1041</v>
      </c>
      <c r="E82" s="16" t="s">
        <v>128</v>
      </c>
      <c r="F82" s="72"/>
      <c r="G82" s="17" t="s">
        <v>1141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1037</v>
      </c>
      <c r="C83" s="11" t="s">
        <v>45</v>
      </c>
      <c r="D83" s="9" t="s">
        <v>1044</v>
      </c>
      <c r="E83" s="16" t="s">
        <v>128</v>
      </c>
      <c r="F83" s="72"/>
      <c r="G83" s="17" t="s">
        <v>1142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816</v>
      </c>
      <c r="C84" s="11" t="s">
        <v>280</v>
      </c>
      <c r="D84" s="9" t="s">
        <v>839</v>
      </c>
      <c r="E84" s="16" t="s">
        <v>128</v>
      </c>
      <c r="F84" s="72"/>
      <c r="G84" s="17" t="s">
        <v>1088</v>
      </c>
      <c r="H84" s="18"/>
      <c r="I84" s="17"/>
      <c r="J84" s="19" t="s">
        <v>133</v>
      </c>
      <c r="K84" s="19" t="s">
        <v>202</v>
      </c>
      <c r="L84" s="19" t="s">
        <v>67</v>
      </c>
    </row>
    <row r="85" spans="1:12" s="1" customFormat="1">
      <c r="A85" s="15"/>
      <c r="B85" s="11" t="s">
        <v>817</v>
      </c>
      <c r="C85" s="11" t="s">
        <v>45</v>
      </c>
      <c r="D85" s="9" t="s">
        <v>658</v>
      </c>
      <c r="E85" s="16" t="s">
        <v>128</v>
      </c>
      <c r="F85" s="72"/>
      <c r="G85" s="17" t="s">
        <v>1090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818</v>
      </c>
      <c r="C86" s="11" t="s">
        <v>280</v>
      </c>
      <c r="D86" s="9" t="s">
        <v>842</v>
      </c>
      <c r="E86" s="16" t="s">
        <v>128</v>
      </c>
      <c r="F86" s="72"/>
      <c r="G86" s="17" t="s">
        <v>1091</v>
      </c>
      <c r="H86" s="18"/>
      <c r="I86" s="17"/>
      <c r="J86" s="19" t="s">
        <v>133</v>
      </c>
      <c r="K86" s="19" t="s">
        <v>202</v>
      </c>
      <c r="L86" s="19" t="s">
        <v>67</v>
      </c>
    </row>
    <row r="87" spans="1:12" s="1" customFormat="1">
      <c r="A87" s="15"/>
      <c r="B87" s="11" t="s">
        <v>819</v>
      </c>
      <c r="C87" s="11" t="s">
        <v>45</v>
      </c>
      <c r="D87" s="9" t="s">
        <v>660</v>
      </c>
      <c r="E87" s="16" t="s">
        <v>128</v>
      </c>
      <c r="F87" s="72"/>
      <c r="G87" s="17" t="s">
        <v>1093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829</v>
      </c>
      <c r="C88" s="11" t="s">
        <v>280</v>
      </c>
      <c r="D88" s="9" t="s">
        <v>505</v>
      </c>
      <c r="E88" s="16" t="s">
        <v>128</v>
      </c>
      <c r="F88" s="72"/>
      <c r="G88" s="17" t="s">
        <v>1094</v>
      </c>
      <c r="H88" s="18"/>
      <c r="I88" s="17"/>
      <c r="J88" s="19" t="s">
        <v>133</v>
      </c>
      <c r="K88" s="19" t="s">
        <v>203</v>
      </c>
      <c r="L88" s="19" t="s">
        <v>67</v>
      </c>
    </row>
    <row r="89" spans="1:12" s="1" customFormat="1">
      <c r="A89" s="15"/>
      <c r="B89" s="11" t="s">
        <v>1570</v>
      </c>
      <c r="C89" s="11" t="s">
        <v>45</v>
      </c>
      <c r="D89" s="9" t="s">
        <v>1526</v>
      </c>
      <c r="E89" s="16" t="s">
        <v>128</v>
      </c>
      <c r="F89" s="72"/>
      <c r="G89" s="17" t="s">
        <v>1571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1527</v>
      </c>
      <c r="C90" s="11" t="s">
        <v>45</v>
      </c>
      <c r="D90" s="9" t="s">
        <v>1528</v>
      </c>
      <c r="E90" s="16" t="s">
        <v>128</v>
      </c>
      <c r="F90" s="72"/>
      <c r="G90" s="17" t="s">
        <v>1572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1529</v>
      </c>
      <c r="C91" s="11" t="s">
        <v>45</v>
      </c>
      <c r="D91" s="9" t="s">
        <v>1530</v>
      </c>
      <c r="E91" s="16" t="s">
        <v>128</v>
      </c>
      <c r="F91" s="72"/>
      <c r="G91" s="17" t="s">
        <v>1573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1531</v>
      </c>
      <c r="C92" s="11" t="s">
        <v>45</v>
      </c>
      <c r="D92" s="9" t="s">
        <v>1532</v>
      </c>
      <c r="E92" s="16" t="s">
        <v>128</v>
      </c>
      <c r="F92" s="72"/>
      <c r="G92" s="17" t="s">
        <v>1574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1533</v>
      </c>
      <c r="C93" s="11" t="s">
        <v>45</v>
      </c>
      <c r="D93" s="9" t="s">
        <v>1534</v>
      </c>
      <c r="E93" s="16" t="s">
        <v>128</v>
      </c>
      <c r="F93" s="72"/>
      <c r="G93" s="17" t="s">
        <v>1575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799</v>
      </c>
      <c r="C94" s="11" t="s">
        <v>280</v>
      </c>
      <c r="D94" s="9" t="s">
        <v>506</v>
      </c>
      <c r="E94" s="16" t="s">
        <v>128</v>
      </c>
      <c r="F94" s="72"/>
      <c r="G94" s="17" t="s">
        <v>1095</v>
      </c>
      <c r="H94" s="18"/>
      <c r="I94" s="17"/>
      <c r="J94" s="19" t="s">
        <v>133</v>
      </c>
      <c r="K94" s="19" t="s">
        <v>203</v>
      </c>
      <c r="L94" s="19" t="s">
        <v>67</v>
      </c>
    </row>
    <row r="95" spans="1:12" s="1" customFormat="1">
      <c r="A95" s="15"/>
      <c r="B95" s="11" t="s">
        <v>1549</v>
      </c>
      <c r="C95" s="11" t="s">
        <v>45</v>
      </c>
      <c r="D95" s="9" t="s">
        <v>1540</v>
      </c>
      <c r="E95" s="16" t="s">
        <v>128</v>
      </c>
      <c r="F95" s="72"/>
      <c r="G95" s="17" t="s">
        <v>1576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1541</v>
      </c>
      <c r="C96" s="11" t="s">
        <v>45</v>
      </c>
      <c r="D96" s="9" t="s">
        <v>1542</v>
      </c>
      <c r="E96" s="16" t="s">
        <v>128</v>
      </c>
      <c r="F96" s="72"/>
      <c r="G96" s="17" t="s">
        <v>1577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11" t="s">
        <v>1543</v>
      </c>
      <c r="C97" s="11" t="s">
        <v>45</v>
      </c>
      <c r="D97" s="9" t="s">
        <v>1544</v>
      </c>
      <c r="E97" s="16" t="s">
        <v>128</v>
      </c>
      <c r="F97" s="72"/>
      <c r="G97" s="17" t="s">
        <v>1578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11" t="s">
        <v>1545</v>
      </c>
      <c r="C98" s="11" t="s">
        <v>45</v>
      </c>
      <c r="D98" s="9" t="s">
        <v>1546</v>
      </c>
      <c r="E98" s="16" t="s">
        <v>128</v>
      </c>
      <c r="F98" s="72"/>
      <c r="G98" s="17" t="s">
        <v>1579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11" t="s">
        <v>1547</v>
      </c>
      <c r="C99" s="11" t="s">
        <v>45</v>
      </c>
      <c r="D99" s="9" t="s">
        <v>1548</v>
      </c>
      <c r="E99" s="16" t="s">
        <v>128</v>
      </c>
      <c r="F99" s="72"/>
      <c r="G99" s="17" t="s">
        <v>1580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11" t="s">
        <v>830</v>
      </c>
      <c r="C100" s="11" t="s">
        <v>45</v>
      </c>
      <c r="D100" s="9" t="s">
        <v>837</v>
      </c>
      <c r="E100" s="16" t="s">
        <v>128</v>
      </c>
      <c r="F100" s="72"/>
      <c r="G100" s="17" t="s">
        <v>1097</v>
      </c>
      <c r="H100" s="18"/>
      <c r="I100" s="17"/>
      <c r="J100" s="19" t="s">
        <v>133</v>
      </c>
      <c r="K100" s="19" t="s">
        <v>44</v>
      </c>
      <c r="L100" s="19" t="s">
        <v>67</v>
      </c>
    </row>
    <row r="101" spans="1:12" s="1" customFormat="1">
      <c r="A101" s="15"/>
      <c r="B101" s="11" t="s">
        <v>623</v>
      </c>
      <c r="C101" s="11" t="s">
        <v>280</v>
      </c>
      <c r="D101" s="9" t="s">
        <v>836</v>
      </c>
      <c r="E101" s="16" t="s">
        <v>128</v>
      </c>
      <c r="F101" s="72"/>
      <c r="G101" s="17" t="s">
        <v>1099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2" s="1" customFormat="1">
      <c r="A102" s="15"/>
      <c r="B102" s="95" t="s">
        <v>1564</v>
      </c>
      <c r="C102" s="95" t="s">
        <v>45</v>
      </c>
      <c r="D102" s="96" t="s">
        <v>1555</v>
      </c>
      <c r="E102" s="16" t="s">
        <v>128</v>
      </c>
      <c r="F102" s="72"/>
      <c r="G102" s="17" t="s">
        <v>1581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A103" s="15"/>
      <c r="B103" s="95" t="s">
        <v>1556</v>
      </c>
      <c r="C103" s="95" t="s">
        <v>45</v>
      </c>
      <c r="D103" s="96" t="s">
        <v>1557</v>
      </c>
      <c r="E103" s="16" t="s">
        <v>128</v>
      </c>
      <c r="F103" s="72"/>
      <c r="G103" s="17" t="s">
        <v>1582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A104" s="15"/>
      <c r="B104" s="95" t="s">
        <v>1558</v>
      </c>
      <c r="C104" s="95" t="s">
        <v>45</v>
      </c>
      <c r="D104" s="96" t="s">
        <v>1559</v>
      </c>
      <c r="E104" s="16" t="s">
        <v>128</v>
      </c>
      <c r="F104" s="72"/>
      <c r="G104" s="17" t="s">
        <v>1583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A105" s="15"/>
      <c r="B105" s="95" t="s">
        <v>1560</v>
      </c>
      <c r="C105" s="95" t="s">
        <v>45</v>
      </c>
      <c r="D105" s="96" t="s">
        <v>1561</v>
      </c>
      <c r="E105" s="16" t="s">
        <v>128</v>
      </c>
      <c r="F105" s="72"/>
      <c r="G105" s="17" t="s">
        <v>1584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A106" s="15"/>
      <c r="B106" s="95" t="s">
        <v>1562</v>
      </c>
      <c r="C106" s="95" t="s">
        <v>45</v>
      </c>
      <c r="D106" s="96" t="s">
        <v>1563</v>
      </c>
      <c r="E106" s="16" t="s">
        <v>128</v>
      </c>
      <c r="F106" s="72"/>
      <c r="G106" s="17" t="s">
        <v>1585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11" t="s">
        <v>831</v>
      </c>
      <c r="C107" s="11" t="s">
        <v>45</v>
      </c>
      <c r="D107" s="9" t="s">
        <v>825</v>
      </c>
      <c r="E107" s="16" t="s">
        <v>128</v>
      </c>
      <c r="F107" s="72"/>
      <c r="G107" s="17" t="s">
        <v>1100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1098</v>
      </c>
      <c r="C108" s="11" t="s">
        <v>280</v>
      </c>
      <c r="D108" s="9" t="s">
        <v>826</v>
      </c>
      <c r="E108" s="16" t="s">
        <v>128</v>
      </c>
      <c r="F108" s="72"/>
      <c r="G108" s="17" t="s">
        <v>1101</v>
      </c>
      <c r="H108" s="18"/>
      <c r="I108" s="17"/>
      <c r="J108" s="19" t="s">
        <v>133</v>
      </c>
      <c r="K108" s="19" t="s">
        <v>202</v>
      </c>
      <c r="L108" s="19" t="s">
        <v>67</v>
      </c>
    </row>
    <row r="109" spans="1:12" s="1" customFormat="1">
      <c r="A109" s="15"/>
      <c r="B109" s="11" t="s">
        <v>834</v>
      </c>
      <c r="C109" s="11" t="s">
        <v>280</v>
      </c>
      <c r="D109" s="9" t="s">
        <v>833</v>
      </c>
      <c r="E109" s="16" t="s">
        <v>128</v>
      </c>
      <c r="F109" s="72"/>
      <c r="G109" s="17" t="s">
        <v>1102</v>
      </c>
      <c r="H109" s="18"/>
      <c r="I109" s="17"/>
      <c r="J109" s="19" t="s">
        <v>133</v>
      </c>
      <c r="K109" s="19" t="s">
        <v>202</v>
      </c>
      <c r="L109" s="19" t="s">
        <v>67</v>
      </c>
    </row>
    <row r="110" spans="1:12" s="1" customFormat="1">
      <c r="A110" s="15"/>
      <c r="B110" s="11" t="s">
        <v>535</v>
      </c>
      <c r="C110" s="11" t="s">
        <v>280</v>
      </c>
      <c r="D110" s="9" t="s">
        <v>534</v>
      </c>
      <c r="E110" s="16" t="s">
        <v>128</v>
      </c>
      <c r="F110" s="72"/>
      <c r="G110" s="17" t="s">
        <v>1103</v>
      </c>
      <c r="H110" s="18"/>
      <c r="I110" s="17"/>
      <c r="J110" s="19" t="s">
        <v>133</v>
      </c>
      <c r="K110" s="19" t="s">
        <v>202</v>
      </c>
      <c r="L110" s="19" t="s">
        <v>67</v>
      </c>
    </row>
    <row r="111" spans="1:12" s="1" customFormat="1">
      <c r="A111" s="15"/>
      <c r="B111" s="11" t="s">
        <v>848</v>
      </c>
      <c r="C111" s="11" t="s">
        <v>45</v>
      </c>
      <c r="D111" s="9" t="s">
        <v>850</v>
      </c>
      <c r="E111" s="16" t="s">
        <v>128</v>
      </c>
      <c r="F111" s="72"/>
      <c r="G111" s="17" t="s">
        <v>1104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11" t="s">
        <v>849</v>
      </c>
      <c r="C112" s="11" t="s">
        <v>45</v>
      </c>
      <c r="D112" s="9" t="s">
        <v>116</v>
      </c>
      <c r="E112" s="16" t="s">
        <v>128</v>
      </c>
      <c r="F112" s="72"/>
      <c r="G112" s="17" t="s">
        <v>1105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7" s="1" customFormat="1">
      <c r="A113" s="15"/>
      <c r="B113" s="11" t="s">
        <v>854</v>
      </c>
      <c r="C113" s="11" t="s">
        <v>280</v>
      </c>
      <c r="D113" s="9" t="s">
        <v>502</v>
      </c>
      <c r="E113" s="16" t="s">
        <v>128</v>
      </c>
      <c r="F113" s="72"/>
      <c r="G113" s="17" t="s">
        <v>1107</v>
      </c>
      <c r="H113" s="18"/>
      <c r="I113" s="17"/>
      <c r="J113" s="19" t="s">
        <v>133</v>
      </c>
      <c r="K113" s="19" t="s">
        <v>202</v>
      </c>
      <c r="L113" s="19" t="s">
        <v>67</v>
      </c>
    </row>
    <row r="114" spans="1:17" s="1" customFormat="1">
      <c r="A114" s="15"/>
      <c r="B114" s="11" t="s">
        <v>856</v>
      </c>
      <c r="C114" s="11" t="s">
        <v>45</v>
      </c>
      <c r="D114" s="9" t="s">
        <v>857</v>
      </c>
      <c r="E114" s="16" t="s">
        <v>128</v>
      </c>
      <c r="F114" s="72"/>
      <c r="G114" s="17" t="s">
        <v>1106</v>
      </c>
      <c r="H114" s="18"/>
      <c r="I114" s="17"/>
      <c r="J114" s="19" t="s">
        <v>133</v>
      </c>
      <c r="K114" s="19" t="s">
        <v>903</v>
      </c>
      <c r="L114" s="19" t="s">
        <v>67</v>
      </c>
    </row>
    <row r="115" spans="1:17" s="1" customFormat="1">
      <c r="A115" s="15"/>
      <c r="B115" s="11" t="s">
        <v>315</v>
      </c>
      <c r="C115" s="11" t="s">
        <v>45</v>
      </c>
      <c r="D115" s="9" t="s">
        <v>112</v>
      </c>
      <c r="E115" s="16" t="s">
        <v>128</v>
      </c>
      <c r="F115" s="72"/>
      <c r="G115" s="17" t="s">
        <v>1145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868</v>
      </c>
      <c r="C116" s="11" t="s">
        <v>45</v>
      </c>
      <c r="D116" s="9" t="s">
        <v>859</v>
      </c>
      <c r="E116" s="16" t="s">
        <v>128</v>
      </c>
      <c r="F116" s="72"/>
      <c r="G116" s="17" t="s">
        <v>1146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1" customFormat="1">
      <c r="A117" s="15"/>
      <c r="B117" s="11" t="s">
        <v>869</v>
      </c>
      <c r="C117" s="11" t="s">
        <v>45</v>
      </c>
      <c r="D117" s="9" t="s">
        <v>860</v>
      </c>
      <c r="E117" s="16" t="s">
        <v>128</v>
      </c>
      <c r="F117" s="72"/>
      <c r="G117" s="17" t="s">
        <v>1147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7" s="1" customFormat="1">
      <c r="A118" s="15"/>
      <c r="B118" s="11" t="s">
        <v>870</v>
      </c>
      <c r="C118" s="11" t="s">
        <v>45</v>
      </c>
      <c r="D118" s="9" t="s">
        <v>861</v>
      </c>
      <c r="E118" s="16" t="s">
        <v>128</v>
      </c>
      <c r="F118" s="72"/>
      <c r="G118" s="17" t="s">
        <v>1148</v>
      </c>
      <c r="H118" s="18"/>
      <c r="I118" s="17"/>
      <c r="J118" s="19" t="s">
        <v>133</v>
      </c>
      <c r="K118" s="19" t="s">
        <v>44</v>
      </c>
      <c r="L118" s="19" t="s">
        <v>67</v>
      </c>
    </row>
    <row r="119" spans="1:17" s="1" customFormat="1">
      <c r="A119" s="15"/>
      <c r="B119" s="11" t="s">
        <v>871</v>
      </c>
      <c r="C119" s="11" t="s">
        <v>45</v>
      </c>
      <c r="D119" s="9" t="s">
        <v>880</v>
      </c>
      <c r="E119" s="16" t="s">
        <v>128</v>
      </c>
      <c r="F119" s="72"/>
      <c r="G119" s="17" t="s">
        <v>1149</v>
      </c>
      <c r="H119" s="18"/>
      <c r="I119" s="17"/>
      <c r="J119" s="19" t="s">
        <v>133</v>
      </c>
      <c r="K119" s="19" t="s">
        <v>44</v>
      </c>
      <c r="L119" s="19" t="s">
        <v>67</v>
      </c>
    </row>
    <row r="120" spans="1:17" s="1" customFormat="1">
      <c r="A120" s="15"/>
      <c r="B120" s="11" t="s">
        <v>872</v>
      </c>
      <c r="C120" s="11" t="s">
        <v>45</v>
      </c>
      <c r="D120" s="9" t="s">
        <v>881</v>
      </c>
      <c r="E120" s="16" t="s">
        <v>128</v>
      </c>
      <c r="F120" s="72"/>
      <c r="G120" s="17" t="s">
        <v>1150</v>
      </c>
      <c r="H120" s="18"/>
      <c r="I120" s="17"/>
      <c r="J120" s="19" t="s">
        <v>133</v>
      </c>
      <c r="K120" s="19" t="s">
        <v>44</v>
      </c>
      <c r="L120" s="19" t="s">
        <v>67</v>
      </c>
    </row>
    <row r="121" spans="1:17" s="1" customFormat="1">
      <c r="A121" s="15"/>
      <c r="B121" s="11" t="s">
        <v>873</v>
      </c>
      <c r="C121" s="11" t="s">
        <v>45</v>
      </c>
      <c r="D121" s="9" t="s">
        <v>882</v>
      </c>
      <c r="E121" s="16" t="s">
        <v>128</v>
      </c>
      <c r="F121" s="72"/>
      <c r="G121" s="17" t="s">
        <v>1151</v>
      </c>
      <c r="H121" s="18"/>
      <c r="I121" s="17"/>
      <c r="J121" s="19" t="s">
        <v>133</v>
      </c>
      <c r="K121" s="19" t="s">
        <v>44</v>
      </c>
      <c r="L121" s="19" t="s">
        <v>67</v>
      </c>
    </row>
    <row r="122" spans="1:17" s="1" customFormat="1">
      <c r="A122" s="15"/>
      <c r="B122" s="11" t="s">
        <v>874</v>
      </c>
      <c r="C122" s="11" t="s">
        <v>45</v>
      </c>
      <c r="D122" s="9" t="s">
        <v>862</v>
      </c>
      <c r="E122" s="16" t="s">
        <v>128</v>
      </c>
      <c r="F122" s="72"/>
      <c r="G122" s="17" t="s">
        <v>1152</v>
      </c>
      <c r="H122" s="18"/>
      <c r="I122" s="17"/>
      <c r="J122" s="19" t="s">
        <v>133</v>
      </c>
      <c r="K122" s="19" t="s">
        <v>44</v>
      </c>
      <c r="L122" s="19" t="s">
        <v>67</v>
      </c>
    </row>
    <row r="123" spans="1:17" s="1" customFormat="1">
      <c r="A123" s="15"/>
      <c r="B123" s="11" t="s">
        <v>875</v>
      </c>
      <c r="C123" s="11" t="s">
        <v>45</v>
      </c>
      <c r="D123" s="9" t="s">
        <v>863</v>
      </c>
      <c r="E123" s="16" t="s">
        <v>128</v>
      </c>
      <c r="F123" s="72"/>
      <c r="G123" s="17" t="s">
        <v>1153</v>
      </c>
      <c r="H123" s="18"/>
      <c r="I123" s="17"/>
      <c r="J123" s="19" t="s">
        <v>133</v>
      </c>
      <c r="K123" s="19" t="s">
        <v>44</v>
      </c>
      <c r="L123" s="19" t="s">
        <v>67</v>
      </c>
    </row>
    <row r="124" spans="1:17" s="1" customFormat="1">
      <c r="A124" s="15"/>
      <c r="B124" s="11" t="s">
        <v>876</v>
      </c>
      <c r="C124" s="11" t="s">
        <v>45</v>
      </c>
      <c r="D124" s="9" t="s">
        <v>864</v>
      </c>
      <c r="E124" s="16" t="s">
        <v>128</v>
      </c>
      <c r="F124" s="72"/>
      <c r="G124" s="17" t="s">
        <v>1154</v>
      </c>
      <c r="H124" s="18"/>
      <c r="I124" s="17"/>
      <c r="J124" s="19" t="s">
        <v>133</v>
      </c>
      <c r="K124" s="19" t="s">
        <v>44</v>
      </c>
      <c r="L124" s="19" t="s">
        <v>67</v>
      </c>
    </row>
    <row r="125" spans="1:17" s="3" customFormat="1">
      <c r="B125" s="23" t="s">
        <v>47</v>
      </c>
      <c r="C125" s="24" t="s">
        <v>46</v>
      </c>
      <c r="D125" s="21" t="s">
        <v>48</v>
      </c>
      <c r="E125" s="44"/>
      <c r="F125" s="44"/>
      <c r="G125" s="44" t="s">
        <v>282</v>
      </c>
      <c r="H125" s="23" t="s">
        <v>282</v>
      </c>
      <c r="I125" s="23"/>
      <c r="J125" s="23"/>
      <c r="K125" s="23"/>
      <c r="L125" s="23"/>
      <c r="M125" s="23"/>
      <c r="N125" s="23"/>
      <c r="O125" s="23"/>
      <c r="P125" s="23"/>
      <c r="Q125" s="23"/>
    </row>
    <row r="126" spans="1:17" s="3" customFormat="1">
      <c r="B126" s="23" t="s">
        <v>49</v>
      </c>
      <c r="C126" s="24" t="s">
        <v>43</v>
      </c>
      <c r="D126" s="21" t="s">
        <v>50</v>
      </c>
      <c r="E126" s="44"/>
      <c r="F126" s="44"/>
      <c r="G126" s="44" t="s">
        <v>282</v>
      </c>
      <c r="H126" s="23" t="s">
        <v>282</v>
      </c>
      <c r="I126" s="23"/>
      <c r="J126" s="23"/>
      <c r="K126" s="23"/>
      <c r="L126" s="23"/>
      <c r="M126" s="23"/>
      <c r="N126" s="23"/>
      <c r="O126" s="23"/>
      <c r="P126" s="23"/>
      <c r="Q126" s="23"/>
    </row>
    <row r="127" spans="1:17" s="3" customFormat="1">
      <c r="B127" s="23" t="s">
        <v>51</v>
      </c>
      <c r="C127" s="24" t="s">
        <v>46</v>
      </c>
      <c r="D127" s="21" t="s">
        <v>52</v>
      </c>
      <c r="E127" s="44"/>
      <c r="F127" s="44"/>
      <c r="G127" s="44" t="s">
        <v>282</v>
      </c>
      <c r="H127" s="23" t="s">
        <v>282</v>
      </c>
      <c r="I127" s="23"/>
      <c r="J127" s="23"/>
      <c r="K127" s="23"/>
      <c r="L127" s="23"/>
      <c r="M127" s="23"/>
      <c r="N127" s="23"/>
      <c r="O127" s="23"/>
      <c r="P127" s="23"/>
      <c r="Q127" s="23"/>
    </row>
    <row r="128" spans="1:17" s="3" customFormat="1">
      <c r="B128" s="23" t="s">
        <v>120</v>
      </c>
      <c r="C128" s="24" t="s">
        <v>46</v>
      </c>
      <c r="D128" s="21" t="s">
        <v>270</v>
      </c>
      <c r="E128" s="44"/>
      <c r="F128" s="44"/>
      <c r="G128" s="44" t="s">
        <v>282</v>
      </c>
      <c r="H128" s="23" t="s">
        <v>282</v>
      </c>
      <c r="I128" s="23"/>
      <c r="J128" s="23"/>
      <c r="K128" s="23"/>
      <c r="L128" s="23"/>
      <c r="M128" s="23"/>
      <c r="N128" s="23"/>
      <c r="O128" s="23"/>
      <c r="P128" s="23"/>
      <c r="Q128" s="23"/>
    </row>
  </sheetData>
  <autoFilter ref="A13:Q127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98DC-4864-4FB7-B4D1-46F2317B195A}">
  <sheetPr codeName="Sheet33"/>
  <dimension ref="A1:Q128"/>
  <sheetViews>
    <sheetView zoomScale="85" zoomScaleNormal="85" workbookViewId="0">
      <pane ySplit="5" topLeftCell="A6" activePane="bottomLeft" state="frozen"/>
      <selection activeCell="G45" sqref="G45"/>
      <selection pane="bottomLeft" activeCell="C5" sqref="C5:C6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5.8867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9" t="s">
        <v>1850</v>
      </c>
      <c r="D5" s="82" t="s">
        <v>1686</v>
      </c>
      <c r="E5" s="11" t="s">
        <v>92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1669</v>
      </c>
      <c r="D9" s="82" t="s">
        <v>1670</v>
      </c>
      <c r="E9" s="11" t="s">
        <v>55</v>
      </c>
      <c r="F9" s="17"/>
      <c r="G9" s="17" t="s">
        <v>1688</v>
      </c>
      <c r="H9" s="14" t="s">
        <v>17</v>
      </c>
    </row>
    <row r="11" spans="2:14">
      <c r="B11" s="4" t="s">
        <v>32</v>
      </c>
    </row>
    <row r="12" spans="2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2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2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2:14" s="1" customFormat="1">
      <c r="B16" s="22" t="s">
        <v>92</v>
      </c>
      <c r="C16" s="22" t="s">
        <v>94</v>
      </c>
      <c r="D16" s="9" t="s">
        <v>1675</v>
      </c>
      <c r="E16" s="16" t="s">
        <v>128</v>
      </c>
      <c r="F16" s="17" t="s">
        <v>120</v>
      </c>
      <c r="G16" s="17" t="s">
        <v>129</v>
      </c>
      <c r="H16" s="18"/>
      <c r="I16" s="19"/>
      <c r="J16" s="19" t="s">
        <v>131</v>
      </c>
      <c r="K16" s="19" t="s">
        <v>132</v>
      </c>
      <c r="L16" s="19" t="s">
        <v>1676</v>
      </c>
    </row>
    <row r="17" spans="1:13" s="1" customFormat="1">
      <c r="A17" s="15"/>
      <c r="B17" s="22" t="s">
        <v>77</v>
      </c>
      <c r="C17" s="22" t="s">
        <v>94</v>
      </c>
      <c r="D17" s="9" t="s">
        <v>113</v>
      </c>
      <c r="E17" s="16" t="s">
        <v>128</v>
      </c>
      <c r="F17" s="17" t="s">
        <v>77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677</v>
      </c>
    </row>
    <row r="18" spans="1:13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1068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61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62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679</v>
      </c>
    </row>
    <row r="21" spans="1:13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64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65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66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1069</v>
      </c>
      <c r="G24" s="17" t="s">
        <v>129</v>
      </c>
      <c r="H24" s="18"/>
      <c r="I24" s="35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A26" s="15"/>
      <c r="B26" s="11" t="s">
        <v>81</v>
      </c>
      <c r="C26" s="11" t="s">
        <v>43</v>
      </c>
      <c r="D26" s="9" t="s">
        <v>57</v>
      </c>
      <c r="E26" s="16" t="s">
        <v>128</v>
      </c>
      <c r="F26" s="17" t="s">
        <v>81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58</v>
      </c>
      <c r="C27" s="11" t="s">
        <v>43</v>
      </c>
      <c r="D27" s="9" t="s">
        <v>59</v>
      </c>
      <c r="E27" s="16" t="s">
        <v>128</v>
      </c>
      <c r="F27" s="9" t="s">
        <v>58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A28" s="15"/>
      <c r="B28" s="11" t="s">
        <v>82</v>
      </c>
      <c r="C28" s="11" t="s">
        <v>43</v>
      </c>
      <c r="D28" s="9" t="s">
        <v>105</v>
      </c>
      <c r="E28" s="16" t="s">
        <v>128</v>
      </c>
      <c r="F28" s="17" t="s">
        <v>82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3" s="1" customFormat="1">
      <c r="B29" s="22" t="s">
        <v>904</v>
      </c>
      <c r="C29" s="62" t="s">
        <v>93</v>
      </c>
      <c r="D29" s="9" t="s">
        <v>107</v>
      </c>
      <c r="E29" s="16" t="s">
        <v>128</v>
      </c>
      <c r="F29" s="17" t="s">
        <v>85</v>
      </c>
      <c r="G29" s="17" t="s">
        <v>129</v>
      </c>
      <c r="H29" s="18"/>
      <c r="I29" s="19"/>
      <c r="J29" s="19" t="s">
        <v>131</v>
      </c>
      <c r="K29" s="19" t="s">
        <v>132</v>
      </c>
      <c r="L29" s="19" t="s">
        <v>44</v>
      </c>
    </row>
    <row r="30" spans="1:13" s="1" customFormat="1">
      <c r="B30" s="22" t="s">
        <v>1671</v>
      </c>
      <c r="C30" s="62" t="s">
        <v>43</v>
      </c>
      <c r="D30" s="9" t="s">
        <v>626</v>
      </c>
      <c r="E30" s="16" t="s">
        <v>128</v>
      </c>
      <c r="F30" s="9" t="s">
        <v>507</v>
      </c>
      <c r="G30" s="17" t="s">
        <v>129</v>
      </c>
      <c r="H30" s="18"/>
      <c r="I30" s="19"/>
      <c r="J30" s="19" t="s">
        <v>131</v>
      </c>
      <c r="K30" s="19" t="s">
        <v>132</v>
      </c>
      <c r="L30" s="19" t="s">
        <v>1674</v>
      </c>
    </row>
    <row r="31" spans="1:13" s="15" customFormat="1">
      <c r="B31" s="22" t="s">
        <v>87</v>
      </c>
      <c r="C31" s="11" t="s">
        <v>43</v>
      </c>
      <c r="D31" s="9" t="s">
        <v>109</v>
      </c>
      <c r="E31" s="16" t="s">
        <v>128</v>
      </c>
      <c r="F31" s="17" t="s">
        <v>87</v>
      </c>
      <c r="G31" s="17" t="s">
        <v>129</v>
      </c>
      <c r="H31" s="18"/>
      <c r="I31" s="20"/>
      <c r="J31" s="19" t="s">
        <v>131</v>
      </c>
      <c r="K31" s="19" t="s">
        <v>132</v>
      </c>
      <c r="L31" s="19" t="s">
        <v>679</v>
      </c>
      <c r="M31" s="1"/>
    </row>
    <row r="32" spans="1:13" s="1" customFormat="1">
      <c r="A32" s="15"/>
      <c r="B32" s="11" t="s">
        <v>1072</v>
      </c>
      <c r="C32" s="11" t="s">
        <v>45</v>
      </c>
      <c r="D32" s="9" t="s">
        <v>146</v>
      </c>
      <c r="E32" s="16" t="s">
        <v>128</v>
      </c>
      <c r="F32" s="17"/>
      <c r="G32" s="17" t="s">
        <v>1073</v>
      </c>
      <c r="H32" s="18"/>
      <c r="I32" s="17"/>
      <c r="J32" s="19" t="s">
        <v>133</v>
      </c>
      <c r="K32" s="19" t="s">
        <v>132</v>
      </c>
      <c r="L32" s="19" t="s">
        <v>134</v>
      </c>
    </row>
    <row r="33" spans="1:12" s="1" customFormat="1">
      <c r="A33" s="15"/>
      <c r="B33" s="11" t="s">
        <v>189</v>
      </c>
      <c r="C33" s="11" t="s">
        <v>45</v>
      </c>
      <c r="D33" s="9" t="s">
        <v>190</v>
      </c>
      <c r="E33" s="16" t="s">
        <v>128</v>
      </c>
      <c r="F33" s="17"/>
      <c r="G33" s="17" t="s">
        <v>1259</v>
      </c>
      <c r="H33" s="18"/>
      <c r="I33" s="17"/>
      <c r="J33" s="19" t="s">
        <v>133</v>
      </c>
      <c r="K33" s="19" t="s">
        <v>132</v>
      </c>
      <c r="L33" s="19" t="s">
        <v>134</v>
      </c>
    </row>
    <row r="34" spans="1:12" s="1" customFormat="1">
      <c r="A34" s="15"/>
      <c r="B34" s="11" t="s">
        <v>192</v>
      </c>
      <c r="C34" s="11" t="s">
        <v>45</v>
      </c>
      <c r="D34" s="9" t="s">
        <v>193</v>
      </c>
      <c r="E34" s="16" t="s">
        <v>128</v>
      </c>
      <c r="F34" s="17"/>
      <c r="G34" s="17" t="s">
        <v>1074</v>
      </c>
      <c r="H34" s="18"/>
      <c r="I34" s="17"/>
      <c r="J34" s="19" t="s">
        <v>133</v>
      </c>
      <c r="K34" s="19" t="s">
        <v>132</v>
      </c>
      <c r="L34" s="19" t="s">
        <v>134</v>
      </c>
    </row>
    <row r="35" spans="1:12" s="1" customFormat="1">
      <c r="A35" s="15"/>
      <c r="B35" s="22" t="s">
        <v>255</v>
      </c>
      <c r="C35" s="22" t="s">
        <v>45</v>
      </c>
      <c r="D35" s="9" t="s">
        <v>348</v>
      </c>
      <c r="E35" s="16" t="s">
        <v>128</v>
      </c>
      <c r="F35" s="17"/>
      <c r="G35" s="17" t="s">
        <v>257</v>
      </c>
      <c r="H35" s="18"/>
      <c r="I35" s="17"/>
      <c r="J35" s="19" t="s">
        <v>133</v>
      </c>
      <c r="K35" s="19" t="s">
        <v>203</v>
      </c>
      <c r="L35" s="19" t="s">
        <v>134</v>
      </c>
    </row>
    <row r="36" spans="1:12" s="1" customFormat="1">
      <c r="A36" s="15"/>
      <c r="B36" s="11" t="s">
        <v>207</v>
      </c>
      <c r="C36" s="11" t="s">
        <v>45</v>
      </c>
      <c r="D36" s="9" t="s">
        <v>759</v>
      </c>
      <c r="E36" s="16" t="s">
        <v>128</v>
      </c>
      <c r="F36" s="72"/>
      <c r="G36" s="17" t="s">
        <v>320</v>
      </c>
      <c r="H36" s="18"/>
      <c r="I36" s="17"/>
      <c r="J36" s="19" t="s">
        <v>133</v>
      </c>
      <c r="K36" s="19" t="s">
        <v>204</v>
      </c>
      <c r="L36" s="19" t="s">
        <v>134</v>
      </c>
    </row>
    <row r="37" spans="1:12" s="1" customFormat="1">
      <c r="A37" s="15"/>
      <c r="B37" s="11" t="s">
        <v>208</v>
      </c>
      <c r="C37" s="11" t="s">
        <v>45</v>
      </c>
      <c r="D37" s="9" t="s">
        <v>160</v>
      </c>
      <c r="E37" s="16" t="s">
        <v>128</v>
      </c>
      <c r="F37" s="72"/>
      <c r="G37" s="17" t="s">
        <v>319</v>
      </c>
      <c r="H37" s="18"/>
      <c r="I37" s="17"/>
      <c r="J37" s="19" t="s">
        <v>133</v>
      </c>
      <c r="K37" s="19" t="s">
        <v>204</v>
      </c>
      <c r="L37" s="19" t="s">
        <v>134</v>
      </c>
    </row>
    <row r="38" spans="1:12" s="1" customFormat="1">
      <c r="A38" s="15"/>
      <c r="B38" s="11" t="s">
        <v>763</v>
      </c>
      <c r="C38" s="11" t="s">
        <v>45</v>
      </c>
      <c r="D38" s="9" t="s">
        <v>181</v>
      </c>
      <c r="E38" s="16" t="s">
        <v>128</v>
      </c>
      <c r="F38" s="72"/>
      <c r="G38" s="9" t="s">
        <v>1076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805</v>
      </c>
      <c r="C39" s="11" t="s">
        <v>45</v>
      </c>
      <c r="D39" s="9" t="s">
        <v>184</v>
      </c>
      <c r="E39" s="16" t="s">
        <v>128</v>
      </c>
      <c r="F39" s="72"/>
      <c r="G39" s="17" t="s">
        <v>1110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210</v>
      </c>
      <c r="C40" s="11" t="s">
        <v>45</v>
      </c>
      <c r="D40" s="9" t="s">
        <v>1056</v>
      </c>
      <c r="E40" s="16" t="s">
        <v>128</v>
      </c>
      <c r="F40" s="72"/>
      <c r="G40" s="17" t="s">
        <v>224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209</v>
      </c>
      <c r="C41" s="11" t="s">
        <v>45</v>
      </c>
      <c r="D41" s="9" t="s">
        <v>1055</v>
      </c>
      <c r="E41" s="16" t="s">
        <v>128</v>
      </c>
      <c r="F41" s="72"/>
      <c r="G41" s="17" t="s">
        <v>223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211</v>
      </c>
      <c r="C42" s="11" t="s">
        <v>45</v>
      </c>
      <c r="D42" s="9" t="s">
        <v>163</v>
      </c>
      <c r="E42" s="16" t="s">
        <v>128</v>
      </c>
      <c r="F42" s="72"/>
      <c r="G42" s="17" t="s">
        <v>225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212</v>
      </c>
      <c r="C43" s="11" t="s">
        <v>45</v>
      </c>
      <c r="D43" s="9" t="s">
        <v>164</v>
      </c>
      <c r="E43" s="16" t="s">
        <v>128</v>
      </c>
      <c r="F43" s="72"/>
      <c r="G43" s="17" t="s">
        <v>226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213</v>
      </c>
      <c r="C44" s="11" t="s">
        <v>45</v>
      </c>
      <c r="D44" s="9" t="s">
        <v>165</v>
      </c>
      <c r="E44" s="16" t="s">
        <v>128</v>
      </c>
      <c r="F44" s="72"/>
      <c r="G44" s="17" t="s">
        <v>1114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214</v>
      </c>
      <c r="C45" s="11" t="s">
        <v>45</v>
      </c>
      <c r="D45" s="9" t="s">
        <v>166</v>
      </c>
      <c r="E45" s="16" t="s">
        <v>128</v>
      </c>
      <c r="F45" s="72"/>
      <c r="G45" s="17" t="s">
        <v>1115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217</v>
      </c>
      <c r="C46" s="11" t="s">
        <v>45</v>
      </c>
      <c r="D46" s="9" t="s">
        <v>171</v>
      </c>
      <c r="E46" s="16" t="s">
        <v>128</v>
      </c>
      <c r="F46" s="72"/>
      <c r="G46" s="17" t="s">
        <v>1116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218</v>
      </c>
      <c r="C47" s="11" t="s">
        <v>45</v>
      </c>
      <c r="D47" s="9" t="s">
        <v>172</v>
      </c>
      <c r="E47" s="16" t="s">
        <v>128</v>
      </c>
      <c r="F47" s="72"/>
      <c r="G47" s="17" t="s">
        <v>1117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219</v>
      </c>
      <c r="C48" s="11" t="s">
        <v>45</v>
      </c>
      <c r="D48" s="9" t="s">
        <v>173</v>
      </c>
      <c r="E48" s="16" t="s">
        <v>128</v>
      </c>
      <c r="F48" s="72"/>
      <c r="G48" s="17" t="s">
        <v>1118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220</v>
      </c>
      <c r="C49" s="11" t="s">
        <v>45</v>
      </c>
      <c r="D49" s="9" t="s">
        <v>174</v>
      </c>
      <c r="E49" s="16" t="s">
        <v>128</v>
      </c>
      <c r="F49" s="72"/>
      <c r="G49" s="17" t="s">
        <v>1119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215</v>
      </c>
      <c r="C50" s="11" t="s">
        <v>45</v>
      </c>
      <c r="D50" s="9" t="s">
        <v>1260</v>
      </c>
      <c r="E50" s="16" t="s">
        <v>128</v>
      </c>
      <c r="F50" s="72"/>
      <c r="G50" s="17" t="s">
        <v>227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216</v>
      </c>
      <c r="C51" s="11" t="s">
        <v>45</v>
      </c>
      <c r="D51" s="9" t="s">
        <v>1261</v>
      </c>
      <c r="E51" s="16" t="s">
        <v>128</v>
      </c>
      <c r="F51" s="72"/>
      <c r="G51" s="17" t="s">
        <v>228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316</v>
      </c>
      <c r="C52" s="11" t="s">
        <v>45</v>
      </c>
      <c r="D52" s="9" t="s">
        <v>167</v>
      </c>
      <c r="E52" s="16" t="s">
        <v>128</v>
      </c>
      <c r="F52" s="72"/>
      <c r="G52" s="17" t="s">
        <v>772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809</v>
      </c>
      <c r="C53" s="11" t="s">
        <v>45</v>
      </c>
      <c r="D53" s="9" t="s">
        <v>175</v>
      </c>
      <c r="E53" s="16" t="s">
        <v>128</v>
      </c>
      <c r="F53" s="72"/>
      <c r="G53" s="17" t="s">
        <v>1120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317</v>
      </c>
      <c r="C54" s="11" t="s">
        <v>45</v>
      </c>
      <c r="D54" s="9" t="s">
        <v>168</v>
      </c>
      <c r="E54" s="16" t="s">
        <v>128</v>
      </c>
      <c r="F54" s="72"/>
      <c r="G54" s="17" t="s">
        <v>1487</v>
      </c>
      <c r="H54" s="18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11" t="s">
        <v>810</v>
      </c>
      <c r="C55" s="11" t="s">
        <v>45</v>
      </c>
      <c r="D55" s="9" t="s">
        <v>176</v>
      </c>
      <c r="E55" s="16" t="s">
        <v>128</v>
      </c>
      <c r="F55" s="72"/>
      <c r="G55" s="17" t="s">
        <v>1121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1213</v>
      </c>
      <c r="C56" s="11" t="s">
        <v>45</v>
      </c>
      <c r="D56" s="9" t="s">
        <v>178</v>
      </c>
      <c r="E56" s="16" t="s">
        <v>128</v>
      </c>
      <c r="F56" s="72"/>
      <c r="G56" s="17" t="s">
        <v>1215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221</v>
      </c>
      <c r="C57" s="11" t="s">
        <v>45</v>
      </c>
      <c r="D57" s="9" t="s">
        <v>177</v>
      </c>
      <c r="E57" s="16" t="s">
        <v>128</v>
      </c>
      <c r="F57" s="72"/>
      <c r="G57" s="17" t="s">
        <v>1256</v>
      </c>
      <c r="H57" s="18"/>
      <c r="I57" s="17"/>
      <c r="J57" s="19" t="s">
        <v>133</v>
      </c>
      <c r="K57" s="19" t="s">
        <v>204</v>
      </c>
      <c r="L57" s="19" t="s">
        <v>67</v>
      </c>
    </row>
    <row r="58" spans="1:12" s="1" customFormat="1">
      <c r="A58" s="15"/>
      <c r="B58" s="11" t="s">
        <v>1212</v>
      </c>
      <c r="C58" s="11" t="s">
        <v>45</v>
      </c>
      <c r="D58" s="9" t="s">
        <v>180</v>
      </c>
      <c r="E58" s="16" t="s">
        <v>128</v>
      </c>
      <c r="F58" s="72"/>
      <c r="G58" s="17" t="s">
        <v>1214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222</v>
      </c>
      <c r="C59" s="11" t="s">
        <v>45</v>
      </c>
      <c r="D59" s="9" t="s">
        <v>179</v>
      </c>
      <c r="E59" s="16" t="s">
        <v>128</v>
      </c>
      <c r="F59" s="72"/>
      <c r="G59" s="17" t="s">
        <v>1123</v>
      </c>
      <c r="H59" s="18"/>
      <c r="I59" s="17"/>
      <c r="J59" s="19" t="s">
        <v>133</v>
      </c>
      <c r="K59" s="19" t="s">
        <v>204</v>
      </c>
      <c r="L59" s="19" t="s">
        <v>67</v>
      </c>
    </row>
    <row r="60" spans="1:12" s="1" customFormat="1">
      <c r="A60" s="15"/>
      <c r="B60" s="11" t="s">
        <v>811</v>
      </c>
      <c r="C60" s="11" t="s">
        <v>45</v>
      </c>
      <c r="D60" s="9" t="s">
        <v>643</v>
      </c>
      <c r="E60" s="16" t="s">
        <v>128</v>
      </c>
      <c r="F60" s="72"/>
      <c r="G60" s="17" t="s">
        <v>768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812</v>
      </c>
      <c r="C61" s="11" t="s">
        <v>45</v>
      </c>
      <c r="D61" s="9" t="s">
        <v>813</v>
      </c>
      <c r="E61" s="16" t="s">
        <v>128</v>
      </c>
      <c r="F61" s="72"/>
      <c r="G61" s="17" t="s">
        <v>1124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814</v>
      </c>
      <c r="C62" s="11" t="s">
        <v>45</v>
      </c>
      <c r="D62" s="9" t="s">
        <v>500</v>
      </c>
      <c r="E62" s="16" t="s">
        <v>128</v>
      </c>
      <c r="F62" s="72"/>
      <c r="G62" s="17" t="s">
        <v>1125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205</v>
      </c>
      <c r="C63" s="11" t="s">
        <v>45</v>
      </c>
      <c r="D63" s="9" t="s">
        <v>147</v>
      </c>
      <c r="E63" s="16" t="s">
        <v>128</v>
      </c>
      <c r="F63" s="72"/>
      <c r="G63" s="17" t="s">
        <v>1126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206</v>
      </c>
      <c r="C64" s="11" t="s">
        <v>280</v>
      </c>
      <c r="D64" s="9" t="s">
        <v>820</v>
      </c>
      <c r="E64" s="16" t="s">
        <v>128</v>
      </c>
      <c r="F64" s="72"/>
      <c r="G64" s="17" t="s">
        <v>1081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1022</v>
      </c>
      <c r="C65" s="11" t="s">
        <v>45</v>
      </c>
      <c r="D65" s="9" t="s">
        <v>1018</v>
      </c>
      <c r="E65" s="16" t="s">
        <v>128</v>
      </c>
      <c r="F65" s="72"/>
      <c r="G65" s="17" t="s">
        <v>1127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1014</v>
      </c>
      <c r="C66" s="11" t="s">
        <v>45</v>
      </c>
      <c r="D66" s="9" t="s">
        <v>1019</v>
      </c>
      <c r="E66" s="16" t="s">
        <v>128</v>
      </c>
      <c r="F66" s="72"/>
      <c r="G66" s="17" t="s">
        <v>1128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1015</v>
      </c>
      <c r="C67" s="11" t="s">
        <v>45</v>
      </c>
      <c r="D67" s="9" t="s">
        <v>1020</v>
      </c>
      <c r="E67" s="16" t="s">
        <v>128</v>
      </c>
      <c r="F67" s="72"/>
      <c r="G67" s="17" t="s">
        <v>1129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1016</v>
      </c>
      <c r="C68" s="11" t="s">
        <v>45</v>
      </c>
      <c r="D68" s="9" t="s">
        <v>1021</v>
      </c>
      <c r="E68" s="16" t="s">
        <v>128</v>
      </c>
      <c r="F68" s="72"/>
      <c r="G68" s="17" t="s">
        <v>1130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1017</v>
      </c>
      <c r="C69" s="11" t="s">
        <v>45</v>
      </c>
      <c r="D69" s="9" t="s">
        <v>1042</v>
      </c>
      <c r="E69" s="16" t="s">
        <v>128</v>
      </c>
      <c r="F69" s="72"/>
      <c r="G69" s="17" t="s">
        <v>1131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1049</v>
      </c>
      <c r="C70" s="11" t="s">
        <v>45</v>
      </c>
      <c r="D70" s="9" t="s">
        <v>153</v>
      </c>
      <c r="E70" s="16" t="s">
        <v>128</v>
      </c>
      <c r="F70" s="72"/>
      <c r="G70" s="17" t="s">
        <v>1262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823</v>
      </c>
      <c r="C71" s="11" t="s">
        <v>280</v>
      </c>
      <c r="D71" s="9" t="s">
        <v>1474</v>
      </c>
      <c r="E71" s="16" t="s">
        <v>128</v>
      </c>
      <c r="F71" s="72"/>
      <c r="G71" s="17" t="s">
        <v>1082</v>
      </c>
      <c r="H71" s="18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1030</v>
      </c>
      <c r="C72" s="11" t="s">
        <v>45</v>
      </c>
      <c r="D72" s="9" t="s">
        <v>1026</v>
      </c>
      <c r="E72" s="16" t="s">
        <v>128</v>
      </c>
      <c r="F72" s="72"/>
      <c r="G72" s="17" t="s">
        <v>1133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1023</v>
      </c>
      <c r="C73" s="11" t="s">
        <v>45</v>
      </c>
      <c r="D73" s="9" t="s">
        <v>1027</v>
      </c>
      <c r="E73" s="16" t="s">
        <v>128</v>
      </c>
      <c r="F73" s="72"/>
      <c r="G73" s="17" t="s">
        <v>1134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1024</v>
      </c>
      <c r="C74" s="11" t="s">
        <v>45</v>
      </c>
      <c r="D74" s="9" t="s">
        <v>1028</v>
      </c>
      <c r="E74" s="16" t="s">
        <v>128</v>
      </c>
      <c r="F74" s="72"/>
      <c r="G74" s="17" t="s">
        <v>1135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1032</v>
      </c>
      <c r="C75" s="11" t="s">
        <v>45</v>
      </c>
      <c r="D75" s="9" t="s">
        <v>1029</v>
      </c>
      <c r="E75" s="16" t="s">
        <v>128</v>
      </c>
      <c r="F75" s="72"/>
      <c r="G75" s="17" t="s">
        <v>1136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1025</v>
      </c>
      <c r="C76" s="11" t="s">
        <v>45</v>
      </c>
      <c r="D76" s="9" t="s">
        <v>1043</v>
      </c>
      <c r="E76" s="16" t="s">
        <v>128</v>
      </c>
      <c r="F76" s="72"/>
      <c r="G76" s="17" t="s">
        <v>1137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1084</v>
      </c>
      <c r="C77" s="11" t="s">
        <v>280</v>
      </c>
      <c r="D77" s="9" t="s">
        <v>1086</v>
      </c>
      <c r="E77" s="16" t="s">
        <v>128</v>
      </c>
      <c r="F77" s="72"/>
      <c r="G77" s="17" t="s">
        <v>1087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1083</v>
      </c>
      <c r="C78" s="11" t="s">
        <v>280</v>
      </c>
      <c r="D78" s="9" t="s">
        <v>841</v>
      </c>
      <c r="E78" s="16" t="s">
        <v>128</v>
      </c>
      <c r="F78" s="72"/>
      <c r="G78" s="17" t="s">
        <v>1866</v>
      </c>
      <c r="H78" s="18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1033</v>
      </c>
      <c r="C79" s="11" t="s">
        <v>45</v>
      </c>
      <c r="D79" s="9" t="s">
        <v>1038</v>
      </c>
      <c r="E79" s="16" t="s">
        <v>128</v>
      </c>
      <c r="F79" s="72"/>
      <c r="G79" s="17" t="s">
        <v>1138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1034</v>
      </c>
      <c r="C80" s="11" t="s">
        <v>45</v>
      </c>
      <c r="D80" s="9" t="s">
        <v>1039</v>
      </c>
      <c r="E80" s="16" t="s">
        <v>128</v>
      </c>
      <c r="F80" s="72"/>
      <c r="G80" s="17" t="s">
        <v>1139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1035</v>
      </c>
      <c r="C81" s="11" t="s">
        <v>45</v>
      </c>
      <c r="D81" s="9" t="s">
        <v>1040</v>
      </c>
      <c r="E81" s="16" t="s">
        <v>128</v>
      </c>
      <c r="F81" s="72"/>
      <c r="G81" s="17" t="s">
        <v>1140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1036</v>
      </c>
      <c r="C82" s="11" t="s">
        <v>45</v>
      </c>
      <c r="D82" s="9" t="s">
        <v>1041</v>
      </c>
      <c r="E82" s="16" t="s">
        <v>128</v>
      </c>
      <c r="F82" s="72"/>
      <c r="G82" s="17" t="s">
        <v>1141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1037</v>
      </c>
      <c r="C83" s="11" t="s">
        <v>45</v>
      </c>
      <c r="D83" s="9" t="s">
        <v>1044</v>
      </c>
      <c r="E83" s="16" t="s">
        <v>128</v>
      </c>
      <c r="F83" s="72"/>
      <c r="G83" s="17" t="s">
        <v>1142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816</v>
      </c>
      <c r="C84" s="11" t="s">
        <v>280</v>
      </c>
      <c r="D84" s="9" t="s">
        <v>839</v>
      </c>
      <c r="E84" s="16" t="s">
        <v>128</v>
      </c>
      <c r="F84" s="72"/>
      <c r="G84" s="17" t="s">
        <v>1088</v>
      </c>
      <c r="H84" s="18"/>
      <c r="I84" s="17"/>
      <c r="J84" s="19" t="s">
        <v>133</v>
      </c>
      <c r="K84" s="19" t="s">
        <v>202</v>
      </c>
      <c r="L84" s="19" t="s">
        <v>67</v>
      </c>
    </row>
    <row r="85" spans="1:12" s="1" customFormat="1">
      <c r="A85" s="15"/>
      <c r="B85" s="11" t="s">
        <v>817</v>
      </c>
      <c r="C85" s="11" t="s">
        <v>45</v>
      </c>
      <c r="D85" s="9" t="s">
        <v>658</v>
      </c>
      <c r="E85" s="16" t="s">
        <v>128</v>
      </c>
      <c r="F85" s="72"/>
      <c r="G85" s="17" t="s">
        <v>1090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818</v>
      </c>
      <c r="C86" s="11" t="s">
        <v>280</v>
      </c>
      <c r="D86" s="9" t="s">
        <v>842</v>
      </c>
      <c r="E86" s="16" t="s">
        <v>128</v>
      </c>
      <c r="F86" s="72"/>
      <c r="G86" s="17" t="s">
        <v>1091</v>
      </c>
      <c r="H86" s="18"/>
      <c r="I86" s="17"/>
      <c r="J86" s="19" t="s">
        <v>133</v>
      </c>
      <c r="K86" s="19" t="s">
        <v>202</v>
      </c>
      <c r="L86" s="19" t="s">
        <v>67</v>
      </c>
    </row>
    <row r="87" spans="1:12" s="1" customFormat="1">
      <c r="A87" s="15"/>
      <c r="B87" s="11" t="s">
        <v>819</v>
      </c>
      <c r="C87" s="11" t="s">
        <v>45</v>
      </c>
      <c r="D87" s="9" t="s">
        <v>660</v>
      </c>
      <c r="E87" s="16" t="s">
        <v>128</v>
      </c>
      <c r="F87" s="72"/>
      <c r="G87" s="17" t="s">
        <v>1093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829</v>
      </c>
      <c r="C88" s="11" t="s">
        <v>280</v>
      </c>
      <c r="D88" s="9" t="s">
        <v>505</v>
      </c>
      <c r="E88" s="16" t="s">
        <v>128</v>
      </c>
      <c r="F88" s="72"/>
      <c r="G88" s="17" t="s">
        <v>1094</v>
      </c>
      <c r="H88" s="18"/>
      <c r="I88" s="17"/>
      <c r="J88" s="19" t="s">
        <v>133</v>
      </c>
      <c r="K88" s="19" t="s">
        <v>203</v>
      </c>
      <c r="L88" s="19" t="s">
        <v>67</v>
      </c>
    </row>
    <row r="89" spans="1:12" s="1" customFormat="1">
      <c r="A89" s="15"/>
      <c r="B89" s="11" t="s">
        <v>1570</v>
      </c>
      <c r="C89" s="11" t="s">
        <v>45</v>
      </c>
      <c r="D89" s="9" t="s">
        <v>1526</v>
      </c>
      <c r="E89" s="16" t="s">
        <v>128</v>
      </c>
      <c r="F89" s="72"/>
      <c r="G89" s="17" t="s">
        <v>1571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1527</v>
      </c>
      <c r="C90" s="11" t="s">
        <v>45</v>
      </c>
      <c r="D90" s="9" t="s">
        <v>1528</v>
      </c>
      <c r="E90" s="16" t="s">
        <v>128</v>
      </c>
      <c r="F90" s="72"/>
      <c r="G90" s="17" t="s">
        <v>1572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1529</v>
      </c>
      <c r="C91" s="11" t="s">
        <v>45</v>
      </c>
      <c r="D91" s="9" t="s">
        <v>1530</v>
      </c>
      <c r="E91" s="16" t="s">
        <v>128</v>
      </c>
      <c r="F91" s="72"/>
      <c r="G91" s="17" t="s">
        <v>1573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1531</v>
      </c>
      <c r="C92" s="11" t="s">
        <v>45</v>
      </c>
      <c r="D92" s="9" t="s">
        <v>1532</v>
      </c>
      <c r="E92" s="16" t="s">
        <v>128</v>
      </c>
      <c r="F92" s="72"/>
      <c r="G92" s="17" t="s">
        <v>1574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1533</v>
      </c>
      <c r="C93" s="11" t="s">
        <v>45</v>
      </c>
      <c r="D93" s="9" t="s">
        <v>1534</v>
      </c>
      <c r="E93" s="16" t="s">
        <v>128</v>
      </c>
      <c r="F93" s="72"/>
      <c r="G93" s="17" t="s">
        <v>1575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799</v>
      </c>
      <c r="C94" s="11" t="s">
        <v>280</v>
      </c>
      <c r="D94" s="9" t="s">
        <v>506</v>
      </c>
      <c r="E94" s="16" t="s">
        <v>128</v>
      </c>
      <c r="F94" s="72"/>
      <c r="G94" s="17" t="s">
        <v>1095</v>
      </c>
      <c r="H94" s="18"/>
      <c r="I94" s="17"/>
      <c r="J94" s="19" t="s">
        <v>133</v>
      </c>
      <c r="K94" s="19" t="s">
        <v>203</v>
      </c>
      <c r="L94" s="19" t="s">
        <v>67</v>
      </c>
    </row>
    <row r="95" spans="1:12" s="1" customFormat="1">
      <c r="A95" s="15"/>
      <c r="B95" s="11" t="s">
        <v>1549</v>
      </c>
      <c r="C95" s="11" t="s">
        <v>45</v>
      </c>
      <c r="D95" s="9" t="s">
        <v>1540</v>
      </c>
      <c r="E95" s="16" t="s">
        <v>128</v>
      </c>
      <c r="F95" s="72"/>
      <c r="G95" s="17" t="s">
        <v>1576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1541</v>
      </c>
      <c r="C96" s="11" t="s">
        <v>45</v>
      </c>
      <c r="D96" s="9" t="s">
        <v>1542</v>
      </c>
      <c r="E96" s="16" t="s">
        <v>128</v>
      </c>
      <c r="F96" s="72"/>
      <c r="G96" s="17" t="s">
        <v>1577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11" t="s">
        <v>1543</v>
      </c>
      <c r="C97" s="11" t="s">
        <v>45</v>
      </c>
      <c r="D97" s="9" t="s">
        <v>1544</v>
      </c>
      <c r="E97" s="16" t="s">
        <v>128</v>
      </c>
      <c r="F97" s="72"/>
      <c r="G97" s="17" t="s">
        <v>1578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11" t="s">
        <v>1545</v>
      </c>
      <c r="C98" s="11" t="s">
        <v>45</v>
      </c>
      <c r="D98" s="9" t="s">
        <v>1546</v>
      </c>
      <c r="E98" s="16" t="s">
        <v>128</v>
      </c>
      <c r="F98" s="72"/>
      <c r="G98" s="17" t="s">
        <v>1579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2" s="1" customFormat="1">
      <c r="A99" s="15"/>
      <c r="B99" s="11" t="s">
        <v>1547</v>
      </c>
      <c r="C99" s="11" t="s">
        <v>45</v>
      </c>
      <c r="D99" s="9" t="s">
        <v>1548</v>
      </c>
      <c r="E99" s="16" t="s">
        <v>128</v>
      </c>
      <c r="F99" s="72"/>
      <c r="G99" s="17" t="s">
        <v>1580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2" s="1" customFormat="1">
      <c r="A100" s="15"/>
      <c r="B100" s="11" t="s">
        <v>830</v>
      </c>
      <c r="C100" s="11" t="s">
        <v>45</v>
      </c>
      <c r="D100" s="9" t="s">
        <v>837</v>
      </c>
      <c r="E100" s="16" t="s">
        <v>128</v>
      </c>
      <c r="F100" s="72"/>
      <c r="G100" s="17" t="s">
        <v>1097</v>
      </c>
      <c r="H100" s="18"/>
      <c r="I100" s="17"/>
      <c r="J100" s="19" t="s">
        <v>133</v>
      </c>
      <c r="K100" s="19" t="s">
        <v>44</v>
      </c>
      <c r="L100" s="19" t="s">
        <v>67</v>
      </c>
    </row>
    <row r="101" spans="1:12" s="1" customFormat="1">
      <c r="A101" s="15"/>
      <c r="B101" s="11" t="s">
        <v>623</v>
      </c>
      <c r="C101" s="11" t="s">
        <v>280</v>
      </c>
      <c r="D101" s="9" t="s">
        <v>836</v>
      </c>
      <c r="E101" s="16" t="s">
        <v>128</v>
      </c>
      <c r="F101" s="72"/>
      <c r="G101" s="17" t="s">
        <v>1099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2" s="1" customFormat="1">
      <c r="A102" s="15"/>
      <c r="B102" s="95" t="s">
        <v>1564</v>
      </c>
      <c r="C102" s="95" t="s">
        <v>45</v>
      </c>
      <c r="D102" s="96" t="s">
        <v>1555</v>
      </c>
      <c r="E102" s="16" t="s">
        <v>128</v>
      </c>
      <c r="F102" s="72"/>
      <c r="G102" s="17" t="s">
        <v>1581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A103" s="15"/>
      <c r="B103" s="95" t="s">
        <v>1556</v>
      </c>
      <c r="C103" s="95" t="s">
        <v>45</v>
      </c>
      <c r="D103" s="96" t="s">
        <v>1557</v>
      </c>
      <c r="E103" s="16" t="s">
        <v>128</v>
      </c>
      <c r="F103" s="72"/>
      <c r="G103" s="17" t="s">
        <v>1582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A104" s="15"/>
      <c r="B104" s="95" t="s">
        <v>1558</v>
      </c>
      <c r="C104" s="95" t="s">
        <v>45</v>
      </c>
      <c r="D104" s="96" t="s">
        <v>1559</v>
      </c>
      <c r="E104" s="16" t="s">
        <v>128</v>
      </c>
      <c r="F104" s="72"/>
      <c r="G104" s="17" t="s">
        <v>1583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A105" s="15"/>
      <c r="B105" s="95" t="s">
        <v>1560</v>
      </c>
      <c r="C105" s="95" t="s">
        <v>45</v>
      </c>
      <c r="D105" s="96" t="s">
        <v>1561</v>
      </c>
      <c r="E105" s="16" t="s">
        <v>128</v>
      </c>
      <c r="F105" s="72"/>
      <c r="G105" s="17" t="s">
        <v>1584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A106" s="15"/>
      <c r="B106" s="95" t="s">
        <v>1562</v>
      </c>
      <c r="C106" s="95" t="s">
        <v>45</v>
      </c>
      <c r="D106" s="96" t="s">
        <v>1563</v>
      </c>
      <c r="E106" s="16" t="s">
        <v>128</v>
      </c>
      <c r="F106" s="72"/>
      <c r="G106" s="17" t="s">
        <v>1585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11" t="s">
        <v>831</v>
      </c>
      <c r="C107" s="11" t="s">
        <v>45</v>
      </c>
      <c r="D107" s="9" t="s">
        <v>825</v>
      </c>
      <c r="E107" s="16" t="s">
        <v>128</v>
      </c>
      <c r="F107" s="72"/>
      <c r="G107" s="17" t="s">
        <v>1100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1098</v>
      </c>
      <c r="C108" s="11" t="s">
        <v>280</v>
      </c>
      <c r="D108" s="9" t="s">
        <v>826</v>
      </c>
      <c r="E108" s="16" t="s">
        <v>128</v>
      </c>
      <c r="F108" s="72"/>
      <c r="G108" s="17" t="s">
        <v>1101</v>
      </c>
      <c r="H108" s="18"/>
      <c r="I108" s="17"/>
      <c r="J108" s="19" t="s">
        <v>133</v>
      </c>
      <c r="K108" s="19" t="s">
        <v>202</v>
      </c>
      <c r="L108" s="19" t="s">
        <v>67</v>
      </c>
    </row>
    <row r="109" spans="1:12" s="1" customFormat="1">
      <c r="A109" s="15"/>
      <c r="B109" s="11" t="s">
        <v>834</v>
      </c>
      <c r="C109" s="11" t="s">
        <v>280</v>
      </c>
      <c r="D109" s="9" t="s">
        <v>833</v>
      </c>
      <c r="E109" s="16" t="s">
        <v>128</v>
      </c>
      <c r="F109" s="72"/>
      <c r="G109" s="17" t="s">
        <v>1102</v>
      </c>
      <c r="H109" s="18"/>
      <c r="I109" s="17"/>
      <c r="J109" s="19" t="s">
        <v>133</v>
      </c>
      <c r="K109" s="19" t="s">
        <v>202</v>
      </c>
      <c r="L109" s="19" t="s">
        <v>67</v>
      </c>
    </row>
    <row r="110" spans="1:12" s="1" customFormat="1">
      <c r="A110" s="15"/>
      <c r="B110" s="11" t="s">
        <v>535</v>
      </c>
      <c r="C110" s="11" t="s">
        <v>280</v>
      </c>
      <c r="D110" s="9" t="s">
        <v>534</v>
      </c>
      <c r="E110" s="16" t="s">
        <v>128</v>
      </c>
      <c r="F110" s="72"/>
      <c r="G110" s="17" t="s">
        <v>1103</v>
      </c>
      <c r="H110" s="18"/>
      <c r="I110" s="17"/>
      <c r="J110" s="19" t="s">
        <v>133</v>
      </c>
      <c r="K110" s="19" t="s">
        <v>202</v>
      </c>
      <c r="L110" s="19" t="s">
        <v>67</v>
      </c>
    </row>
    <row r="111" spans="1:12" s="1" customFormat="1">
      <c r="A111" s="15"/>
      <c r="B111" s="11" t="s">
        <v>848</v>
      </c>
      <c r="C111" s="11" t="s">
        <v>45</v>
      </c>
      <c r="D111" s="9" t="s">
        <v>850</v>
      </c>
      <c r="E111" s="16" t="s">
        <v>128</v>
      </c>
      <c r="F111" s="72"/>
      <c r="G111" s="17" t="s">
        <v>1104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11" t="s">
        <v>849</v>
      </c>
      <c r="C112" s="11" t="s">
        <v>45</v>
      </c>
      <c r="D112" s="9" t="s">
        <v>116</v>
      </c>
      <c r="E112" s="16" t="s">
        <v>128</v>
      </c>
      <c r="F112" s="72"/>
      <c r="G112" s="17" t="s">
        <v>1105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7" s="1" customFormat="1">
      <c r="A113" s="15"/>
      <c r="B113" s="11" t="s">
        <v>854</v>
      </c>
      <c r="C113" s="11" t="s">
        <v>280</v>
      </c>
      <c r="D113" s="9" t="s">
        <v>502</v>
      </c>
      <c r="E113" s="16" t="s">
        <v>128</v>
      </c>
      <c r="F113" s="72"/>
      <c r="G113" s="17" t="s">
        <v>1107</v>
      </c>
      <c r="H113" s="18"/>
      <c r="I113" s="17"/>
      <c r="J113" s="19" t="s">
        <v>133</v>
      </c>
      <c r="K113" s="19" t="s">
        <v>202</v>
      </c>
      <c r="L113" s="19" t="s">
        <v>67</v>
      </c>
    </row>
    <row r="114" spans="1:17" s="1" customFormat="1">
      <c r="A114" s="15"/>
      <c r="B114" s="11" t="s">
        <v>856</v>
      </c>
      <c r="C114" s="11" t="s">
        <v>45</v>
      </c>
      <c r="D114" s="9" t="s">
        <v>857</v>
      </c>
      <c r="E114" s="16" t="s">
        <v>128</v>
      </c>
      <c r="F114" s="72"/>
      <c r="G114" s="17" t="s">
        <v>1106</v>
      </c>
      <c r="H114" s="18"/>
      <c r="I114" s="17"/>
      <c r="J114" s="19" t="s">
        <v>133</v>
      </c>
      <c r="K114" s="19" t="s">
        <v>903</v>
      </c>
      <c r="L114" s="19" t="s">
        <v>67</v>
      </c>
    </row>
    <row r="115" spans="1:17" s="1" customFormat="1">
      <c r="A115" s="15"/>
      <c r="B115" s="11" t="s">
        <v>315</v>
      </c>
      <c r="C115" s="11" t="s">
        <v>45</v>
      </c>
      <c r="D115" s="9" t="s">
        <v>112</v>
      </c>
      <c r="E115" s="16" t="s">
        <v>128</v>
      </c>
      <c r="F115" s="72"/>
      <c r="G115" s="17" t="s">
        <v>1145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868</v>
      </c>
      <c r="C116" s="11" t="s">
        <v>45</v>
      </c>
      <c r="D116" s="9" t="s">
        <v>859</v>
      </c>
      <c r="E116" s="16" t="s">
        <v>128</v>
      </c>
      <c r="F116" s="72"/>
      <c r="G116" s="17" t="s">
        <v>1146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1" customFormat="1">
      <c r="A117" s="15"/>
      <c r="B117" s="11" t="s">
        <v>869</v>
      </c>
      <c r="C117" s="11" t="s">
        <v>45</v>
      </c>
      <c r="D117" s="9" t="s">
        <v>860</v>
      </c>
      <c r="E117" s="16" t="s">
        <v>128</v>
      </c>
      <c r="F117" s="72"/>
      <c r="G117" s="17" t="s">
        <v>1147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7" s="1" customFormat="1">
      <c r="A118" s="15"/>
      <c r="B118" s="11" t="s">
        <v>870</v>
      </c>
      <c r="C118" s="11" t="s">
        <v>45</v>
      </c>
      <c r="D118" s="9" t="s">
        <v>861</v>
      </c>
      <c r="E118" s="16" t="s">
        <v>128</v>
      </c>
      <c r="F118" s="72"/>
      <c r="G118" s="17" t="s">
        <v>1148</v>
      </c>
      <c r="H118" s="18"/>
      <c r="I118" s="17"/>
      <c r="J118" s="19" t="s">
        <v>133</v>
      </c>
      <c r="K118" s="19" t="s">
        <v>44</v>
      </c>
      <c r="L118" s="19" t="s">
        <v>67</v>
      </c>
    </row>
    <row r="119" spans="1:17" s="1" customFormat="1">
      <c r="A119" s="15"/>
      <c r="B119" s="11" t="s">
        <v>871</v>
      </c>
      <c r="C119" s="11" t="s">
        <v>45</v>
      </c>
      <c r="D119" s="9" t="s">
        <v>880</v>
      </c>
      <c r="E119" s="16" t="s">
        <v>128</v>
      </c>
      <c r="F119" s="72"/>
      <c r="G119" s="17" t="s">
        <v>1149</v>
      </c>
      <c r="H119" s="18"/>
      <c r="I119" s="17"/>
      <c r="J119" s="19" t="s">
        <v>133</v>
      </c>
      <c r="K119" s="19" t="s">
        <v>44</v>
      </c>
      <c r="L119" s="19" t="s">
        <v>67</v>
      </c>
    </row>
    <row r="120" spans="1:17" s="1" customFormat="1">
      <c r="A120" s="15"/>
      <c r="B120" s="11" t="s">
        <v>872</v>
      </c>
      <c r="C120" s="11" t="s">
        <v>45</v>
      </c>
      <c r="D120" s="9" t="s">
        <v>881</v>
      </c>
      <c r="E120" s="16" t="s">
        <v>128</v>
      </c>
      <c r="F120" s="72"/>
      <c r="G120" s="17" t="s">
        <v>1150</v>
      </c>
      <c r="H120" s="18"/>
      <c r="I120" s="17"/>
      <c r="J120" s="19" t="s">
        <v>133</v>
      </c>
      <c r="K120" s="19" t="s">
        <v>44</v>
      </c>
      <c r="L120" s="19" t="s">
        <v>67</v>
      </c>
    </row>
    <row r="121" spans="1:17" s="1" customFormat="1">
      <c r="A121" s="15"/>
      <c r="B121" s="11" t="s">
        <v>873</v>
      </c>
      <c r="C121" s="11" t="s">
        <v>45</v>
      </c>
      <c r="D121" s="9" t="s">
        <v>882</v>
      </c>
      <c r="E121" s="16" t="s">
        <v>128</v>
      </c>
      <c r="F121" s="72"/>
      <c r="G121" s="17" t="s">
        <v>1151</v>
      </c>
      <c r="H121" s="18"/>
      <c r="I121" s="17"/>
      <c r="J121" s="19" t="s">
        <v>133</v>
      </c>
      <c r="K121" s="19" t="s">
        <v>44</v>
      </c>
      <c r="L121" s="19" t="s">
        <v>67</v>
      </c>
    </row>
    <row r="122" spans="1:17" s="1" customFormat="1">
      <c r="A122" s="15"/>
      <c r="B122" s="11" t="s">
        <v>874</v>
      </c>
      <c r="C122" s="11" t="s">
        <v>45</v>
      </c>
      <c r="D122" s="9" t="s">
        <v>862</v>
      </c>
      <c r="E122" s="16" t="s">
        <v>128</v>
      </c>
      <c r="F122" s="72"/>
      <c r="G122" s="17" t="s">
        <v>1152</v>
      </c>
      <c r="H122" s="18"/>
      <c r="I122" s="17"/>
      <c r="J122" s="19" t="s">
        <v>133</v>
      </c>
      <c r="K122" s="19" t="s">
        <v>44</v>
      </c>
      <c r="L122" s="19" t="s">
        <v>67</v>
      </c>
    </row>
    <row r="123" spans="1:17" s="1" customFormat="1">
      <c r="A123" s="15"/>
      <c r="B123" s="11" t="s">
        <v>875</v>
      </c>
      <c r="C123" s="11" t="s">
        <v>45</v>
      </c>
      <c r="D123" s="9" t="s">
        <v>863</v>
      </c>
      <c r="E123" s="16" t="s">
        <v>128</v>
      </c>
      <c r="F123" s="72"/>
      <c r="G123" s="17" t="s">
        <v>1153</v>
      </c>
      <c r="H123" s="18"/>
      <c r="I123" s="17"/>
      <c r="J123" s="19" t="s">
        <v>133</v>
      </c>
      <c r="K123" s="19" t="s">
        <v>44</v>
      </c>
      <c r="L123" s="19" t="s">
        <v>67</v>
      </c>
    </row>
    <row r="124" spans="1:17" s="1" customFormat="1">
      <c r="A124" s="15"/>
      <c r="B124" s="11" t="s">
        <v>876</v>
      </c>
      <c r="C124" s="11" t="s">
        <v>45</v>
      </c>
      <c r="D124" s="9" t="s">
        <v>864</v>
      </c>
      <c r="E124" s="16" t="s">
        <v>128</v>
      </c>
      <c r="F124" s="72"/>
      <c r="G124" s="17" t="s">
        <v>1154</v>
      </c>
      <c r="H124" s="18"/>
      <c r="I124" s="17"/>
      <c r="J124" s="19" t="s">
        <v>133</v>
      </c>
      <c r="K124" s="19" t="s">
        <v>44</v>
      </c>
      <c r="L124" s="19" t="s">
        <v>67</v>
      </c>
    </row>
    <row r="125" spans="1:17" s="3" customFormat="1">
      <c r="B125" s="23" t="s">
        <v>47</v>
      </c>
      <c r="C125" s="24" t="s">
        <v>46</v>
      </c>
      <c r="D125" s="21" t="s">
        <v>48</v>
      </c>
      <c r="E125" s="44"/>
      <c r="F125" s="44"/>
      <c r="G125" s="44" t="s">
        <v>282</v>
      </c>
      <c r="H125" s="23" t="s">
        <v>282</v>
      </c>
      <c r="I125" s="23"/>
      <c r="J125" s="23"/>
      <c r="K125" s="23"/>
      <c r="L125" s="23"/>
      <c r="M125" s="23"/>
      <c r="N125" s="23"/>
      <c r="O125" s="23"/>
      <c r="P125" s="23"/>
      <c r="Q125" s="23"/>
    </row>
    <row r="126" spans="1:17" s="3" customFormat="1">
      <c r="B126" s="23" t="s">
        <v>49</v>
      </c>
      <c r="C126" s="24" t="s">
        <v>43</v>
      </c>
      <c r="D126" s="21" t="s">
        <v>50</v>
      </c>
      <c r="E126" s="44"/>
      <c r="F126" s="44"/>
      <c r="G126" s="44" t="s">
        <v>282</v>
      </c>
      <c r="H126" s="23" t="s">
        <v>282</v>
      </c>
      <c r="I126" s="23"/>
      <c r="J126" s="23"/>
      <c r="K126" s="23"/>
      <c r="L126" s="23"/>
      <c r="M126" s="23"/>
      <c r="N126" s="23"/>
      <c r="O126" s="23"/>
      <c r="P126" s="23"/>
      <c r="Q126" s="23"/>
    </row>
    <row r="127" spans="1:17" s="3" customFormat="1">
      <c r="B127" s="23" t="s">
        <v>51</v>
      </c>
      <c r="C127" s="24" t="s">
        <v>46</v>
      </c>
      <c r="D127" s="21" t="s">
        <v>52</v>
      </c>
      <c r="E127" s="44"/>
      <c r="F127" s="44"/>
      <c r="G127" s="44" t="s">
        <v>282</v>
      </c>
      <c r="H127" s="23" t="s">
        <v>282</v>
      </c>
      <c r="I127" s="23"/>
      <c r="J127" s="23"/>
      <c r="K127" s="23"/>
      <c r="L127" s="23"/>
      <c r="M127" s="23"/>
      <c r="N127" s="23"/>
      <c r="O127" s="23"/>
      <c r="P127" s="23"/>
      <c r="Q127" s="23"/>
    </row>
    <row r="128" spans="1:17" s="3" customFormat="1">
      <c r="B128" s="23" t="s">
        <v>120</v>
      </c>
      <c r="C128" s="24" t="s">
        <v>46</v>
      </c>
      <c r="D128" s="21" t="s">
        <v>270</v>
      </c>
      <c r="E128" s="44"/>
      <c r="F128" s="44"/>
      <c r="G128" s="44" t="s">
        <v>282</v>
      </c>
      <c r="H128" s="23" t="s">
        <v>282</v>
      </c>
      <c r="I128" s="23"/>
      <c r="J128" s="23"/>
      <c r="K128" s="23"/>
      <c r="L128" s="23"/>
      <c r="M128" s="23"/>
      <c r="N128" s="23"/>
      <c r="O128" s="23"/>
      <c r="P128" s="23"/>
      <c r="Q128" s="23"/>
    </row>
  </sheetData>
  <autoFilter ref="A13:Q127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BDCB-F828-4D57-B69E-96AF5C39590D}">
  <sheetPr codeName="Sheet34"/>
  <dimension ref="A1:Q94"/>
  <sheetViews>
    <sheetView zoomScale="85" zoomScaleNormal="85" workbookViewId="0">
      <pane ySplit="5" topLeftCell="A6" activePane="bottomLeft" state="frozen"/>
      <selection activeCell="G45" sqref="G45"/>
      <selection pane="bottomLeft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5.8867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9" t="s">
        <v>1851</v>
      </c>
      <c r="D5" s="82" t="s">
        <v>1687</v>
      </c>
      <c r="E5" s="11" t="s">
        <v>92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1669</v>
      </c>
      <c r="D9" s="82" t="s">
        <v>1670</v>
      </c>
      <c r="E9" s="11" t="s">
        <v>55</v>
      </c>
      <c r="F9" s="17"/>
      <c r="G9" s="17" t="s">
        <v>1689</v>
      </c>
      <c r="H9" s="14" t="s">
        <v>17</v>
      </c>
    </row>
    <row r="11" spans="2:14">
      <c r="B11" s="4" t="s">
        <v>32</v>
      </c>
    </row>
    <row r="12" spans="2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2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2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2:14" s="1" customFormat="1">
      <c r="B16" s="22" t="s">
        <v>92</v>
      </c>
      <c r="C16" s="22" t="s">
        <v>94</v>
      </c>
      <c r="D16" s="9" t="s">
        <v>1675</v>
      </c>
      <c r="E16" s="16" t="s">
        <v>128</v>
      </c>
      <c r="F16" s="17" t="s">
        <v>120</v>
      </c>
      <c r="G16" s="17" t="s">
        <v>129</v>
      </c>
      <c r="H16" s="18"/>
      <c r="I16" s="19"/>
      <c r="J16" s="19" t="s">
        <v>131</v>
      </c>
      <c r="K16" s="19" t="s">
        <v>132</v>
      </c>
      <c r="L16" s="19" t="s">
        <v>1676</v>
      </c>
    </row>
    <row r="17" spans="1:13" s="1" customFormat="1">
      <c r="A17" s="15"/>
      <c r="B17" s="22" t="s">
        <v>77</v>
      </c>
      <c r="C17" s="22" t="s">
        <v>94</v>
      </c>
      <c r="D17" s="9" t="s">
        <v>113</v>
      </c>
      <c r="E17" s="16" t="s">
        <v>128</v>
      </c>
      <c r="F17" s="17" t="s">
        <v>77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677</v>
      </c>
    </row>
    <row r="18" spans="1:13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1068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61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62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679</v>
      </c>
    </row>
    <row r="21" spans="1:13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64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65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66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1069</v>
      </c>
      <c r="G24" s="17" t="s">
        <v>129</v>
      </c>
      <c r="H24" s="18"/>
      <c r="I24" s="35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A26" s="15"/>
      <c r="B26" s="11" t="s">
        <v>81</v>
      </c>
      <c r="C26" s="11" t="s">
        <v>43</v>
      </c>
      <c r="D26" s="9" t="s">
        <v>57</v>
      </c>
      <c r="E26" s="16" t="s">
        <v>128</v>
      </c>
      <c r="F26" s="17" t="s">
        <v>81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58</v>
      </c>
      <c r="C27" s="11" t="s">
        <v>43</v>
      </c>
      <c r="D27" s="9" t="s">
        <v>59</v>
      </c>
      <c r="E27" s="16" t="s">
        <v>128</v>
      </c>
      <c r="F27" s="9" t="s">
        <v>58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A28" s="15"/>
      <c r="B28" s="11" t="s">
        <v>82</v>
      </c>
      <c r="C28" s="11" t="s">
        <v>43</v>
      </c>
      <c r="D28" s="9" t="s">
        <v>105</v>
      </c>
      <c r="E28" s="16" t="s">
        <v>128</v>
      </c>
      <c r="F28" s="17" t="s">
        <v>82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3" s="1" customFormat="1">
      <c r="B29" s="22" t="s">
        <v>904</v>
      </c>
      <c r="C29" s="62" t="s">
        <v>93</v>
      </c>
      <c r="D29" s="9" t="s">
        <v>107</v>
      </c>
      <c r="E29" s="16" t="s">
        <v>128</v>
      </c>
      <c r="F29" s="17" t="s">
        <v>85</v>
      </c>
      <c r="G29" s="17" t="s">
        <v>129</v>
      </c>
      <c r="H29" s="18"/>
      <c r="I29" s="19"/>
      <c r="J29" s="19" t="s">
        <v>131</v>
      </c>
      <c r="K29" s="19" t="s">
        <v>132</v>
      </c>
      <c r="L29" s="19" t="s">
        <v>44</v>
      </c>
    </row>
    <row r="30" spans="1:13" s="1" customFormat="1">
      <c r="B30" s="22" t="s">
        <v>1671</v>
      </c>
      <c r="C30" s="62" t="s">
        <v>43</v>
      </c>
      <c r="D30" s="9" t="s">
        <v>626</v>
      </c>
      <c r="E30" s="16" t="s">
        <v>128</v>
      </c>
      <c r="F30" s="9" t="s">
        <v>507</v>
      </c>
      <c r="G30" s="17" t="s">
        <v>129</v>
      </c>
      <c r="H30" s="18"/>
      <c r="I30" s="19"/>
      <c r="J30" s="19" t="s">
        <v>131</v>
      </c>
      <c r="K30" s="19" t="s">
        <v>132</v>
      </c>
      <c r="L30" s="19" t="s">
        <v>1674</v>
      </c>
    </row>
    <row r="31" spans="1:13" s="15" customFormat="1">
      <c r="B31" s="22" t="s">
        <v>87</v>
      </c>
      <c r="C31" s="11" t="s">
        <v>43</v>
      </c>
      <c r="D31" s="9" t="s">
        <v>109</v>
      </c>
      <c r="E31" s="16" t="s">
        <v>128</v>
      </c>
      <c r="F31" s="17" t="s">
        <v>87</v>
      </c>
      <c r="G31" s="17" t="s">
        <v>129</v>
      </c>
      <c r="H31" s="18"/>
      <c r="I31" s="20"/>
      <c r="J31" s="19" t="s">
        <v>131</v>
      </c>
      <c r="K31" s="19" t="s">
        <v>132</v>
      </c>
      <c r="L31" s="19" t="s">
        <v>679</v>
      </c>
      <c r="M31" s="1"/>
    </row>
    <row r="32" spans="1:13" s="1" customFormat="1">
      <c r="A32" s="15"/>
      <c r="B32" s="11" t="s">
        <v>1072</v>
      </c>
      <c r="C32" s="11" t="s">
        <v>45</v>
      </c>
      <c r="D32" s="9" t="s">
        <v>146</v>
      </c>
      <c r="E32" s="16" t="s">
        <v>128</v>
      </c>
      <c r="F32" s="17"/>
      <c r="G32" s="17" t="s">
        <v>1073</v>
      </c>
      <c r="H32" s="18"/>
      <c r="I32" s="17"/>
      <c r="J32" s="19" t="s">
        <v>133</v>
      </c>
      <c r="K32" s="19" t="s">
        <v>132</v>
      </c>
      <c r="L32" s="19" t="s">
        <v>134</v>
      </c>
    </row>
    <row r="33" spans="1:12" s="1" customFormat="1">
      <c r="A33" s="15"/>
      <c r="B33" s="11" t="s">
        <v>189</v>
      </c>
      <c r="C33" s="11" t="s">
        <v>45</v>
      </c>
      <c r="D33" s="9" t="s">
        <v>190</v>
      </c>
      <c r="E33" s="16" t="s">
        <v>128</v>
      </c>
      <c r="F33" s="17"/>
      <c r="G33" s="17" t="s">
        <v>1259</v>
      </c>
      <c r="H33" s="18"/>
      <c r="I33" s="17"/>
      <c r="J33" s="19" t="s">
        <v>133</v>
      </c>
      <c r="K33" s="19" t="s">
        <v>132</v>
      </c>
      <c r="L33" s="19" t="s">
        <v>134</v>
      </c>
    </row>
    <row r="34" spans="1:12" s="1" customFormat="1">
      <c r="A34" s="15"/>
      <c r="B34" s="11" t="s">
        <v>192</v>
      </c>
      <c r="C34" s="11" t="s">
        <v>45</v>
      </c>
      <c r="D34" s="9" t="s">
        <v>193</v>
      </c>
      <c r="E34" s="16" t="s">
        <v>128</v>
      </c>
      <c r="F34" s="17"/>
      <c r="G34" s="17" t="s">
        <v>1074</v>
      </c>
      <c r="H34" s="18"/>
      <c r="I34" s="17"/>
      <c r="J34" s="19" t="s">
        <v>133</v>
      </c>
      <c r="K34" s="19" t="s">
        <v>132</v>
      </c>
      <c r="L34" s="19" t="s">
        <v>134</v>
      </c>
    </row>
    <row r="35" spans="1:12" s="1" customFormat="1">
      <c r="A35" s="15"/>
      <c r="B35" s="22" t="s">
        <v>255</v>
      </c>
      <c r="C35" s="22" t="s">
        <v>45</v>
      </c>
      <c r="D35" s="9" t="s">
        <v>348</v>
      </c>
      <c r="E35" s="16" t="s">
        <v>128</v>
      </c>
      <c r="F35" s="17"/>
      <c r="G35" s="17" t="s">
        <v>257</v>
      </c>
      <c r="H35" s="18"/>
      <c r="I35" s="17"/>
      <c r="J35" s="19" t="s">
        <v>133</v>
      </c>
      <c r="K35" s="19" t="s">
        <v>203</v>
      </c>
      <c r="L35" s="19" t="s">
        <v>134</v>
      </c>
    </row>
    <row r="36" spans="1:12" s="1" customFormat="1">
      <c r="A36" s="15"/>
      <c r="B36" s="11" t="s">
        <v>207</v>
      </c>
      <c r="C36" s="11" t="s">
        <v>45</v>
      </c>
      <c r="D36" s="9" t="s">
        <v>759</v>
      </c>
      <c r="E36" s="16" t="s">
        <v>128</v>
      </c>
      <c r="F36" s="72"/>
      <c r="G36" s="17" t="s">
        <v>320</v>
      </c>
      <c r="H36" s="18"/>
      <c r="I36" s="17"/>
      <c r="J36" s="19" t="s">
        <v>133</v>
      </c>
      <c r="K36" s="19" t="s">
        <v>204</v>
      </c>
      <c r="L36" s="19" t="s">
        <v>134</v>
      </c>
    </row>
    <row r="37" spans="1:12" s="1" customFormat="1">
      <c r="A37" s="15"/>
      <c r="B37" s="11" t="s">
        <v>208</v>
      </c>
      <c r="C37" s="11" t="s">
        <v>45</v>
      </c>
      <c r="D37" s="9" t="s">
        <v>160</v>
      </c>
      <c r="E37" s="16" t="s">
        <v>128</v>
      </c>
      <c r="F37" s="72"/>
      <c r="G37" s="17" t="s">
        <v>319</v>
      </c>
      <c r="H37" s="18"/>
      <c r="I37" s="17"/>
      <c r="J37" s="19" t="s">
        <v>133</v>
      </c>
      <c r="K37" s="19" t="s">
        <v>204</v>
      </c>
      <c r="L37" s="19" t="s">
        <v>134</v>
      </c>
    </row>
    <row r="38" spans="1:12" s="1" customFormat="1">
      <c r="A38" s="15"/>
      <c r="B38" s="11" t="s">
        <v>763</v>
      </c>
      <c r="C38" s="11" t="s">
        <v>45</v>
      </c>
      <c r="D38" s="9" t="s">
        <v>181</v>
      </c>
      <c r="E38" s="16" t="s">
        <v>128</v>
      </c>
      <c r="F38" s="72"/>
      <c r="G38" s="9" t="s">
        <v>1076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805</v>
      </c>
      <c r="C39" s="11" t="s">
        <v>45</v>
      </c>
      <c r="D39" s="9" t="s">
        <v>184</v>
      </c>
      <c r="E39" s="16" t="s">
        <v>128</v>
      </c>
      <c r="F39" s="72"/>
      <c r="G39" s="17" t="s">
        <v>1110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210</v>
      </c>
      <c r="C40" s="11" t="s">
        <v>45</v>
      </c>
      <c r="D40" s="9" t="s">
        <v>1056</v>
      </c>
      <c r="E40" s="16" t="s">
        <v>128</v>
      </c>
      <c r="F40" s="72"/>
      <c r="G40" s="17" t="s">
        <v>224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209</v>
      </c>
      <c r="C41" s="11" t="s">
        <v>45</v>
      </c>
      <c r="D41" s="9" t="s">
        <v>1055</v>
      </c>
      <c r="E41" s="16" t="s">
        <v>128</v>
      </c>
      <c r="F41" s="72"/>
      <c r="G41" s="17" t="s">
        <v>223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211</v>
      </c>
      <c r="C42" s="11" t="s">
        <v>45</v>
      </c>
      <c r="D42" s="9" t="s">
        <v>163</v>
      </c>
      <c r="E42" s="16" t="s">
        <v>128</v>
      </c>
      <c r="F42" s="72"/>
      <c r="G42" s="17" t="s">
        <v>225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212</v>
      </c>
      <c r="C43" s="11" t="s">
        <v>45</v>
      </c>
      <c r="D43" s="9" t="s">
        <v>164</v>
      </c>
      <c r="E43" s="16" t="s">
        <v>128</v>
      </c>
      <c r="F43" s="72"/>
      <c r="G43" s="17" t="s">
        <v>226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213</v>
      </c>
      <c r="C44" s="11" t="s">
        <v>45</v>
      </c>
      <c r="D44" s="9" t="s">
        <v>165</v>
      </c>
      <c r="E44" s="16" t="s">
        <v>128</v>
      </c>
      <c r="F44" s="72"/>
      <c r="G44" s="17" t="s">
        <v>1114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214</v>
      </c>
      <c r="C45" s="11" t="s">
        <v>45</v>
      </c>
      <c r="D45" s="9" t="s">
        <v>166</v>
      </c>
      <c r="E45" s="16" t="s">
        <v>128</v>
      </c>
      <c r="F45" s="72"/>
      <c r="G45" s="17" t="s">
        <v>1115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217</v>
      </c>
      <c r="C46" s="11" t="s">
        <v>45</v>
      </c>
      <c r="D46" s="9" t="s">
        <v>171</v>
      </c>
      <c r="E46" s="16" t="s">
        <v>128</v>
      </c>
      <c r="F46" s="72"/>
      <c r="G46" s="17" t="s">
        <v>1116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218</v>
      </c>
      <c r="C47" s="11" t="s">
        <v>45</v>
      </c>
      <c r="D47" s="9" t="s">
        <v>172</v>
      </c>
      <c r="E47" s="16" t="s">
        <v>128</v>
      </c>
      <c r="F47" s="72"/>
      <c r="G47" s="17" t="s">
        <v>1117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219</v>
      </c>
      <c r="C48" s="11" t="s">
        <v>45</v>
      </c>
      <c r="D48" s="9" t="s">
        <v>173</v>
      </c>
      <c r="E48" s="16" t="s">
        <v>128</v>
      </c>
      <c r="F48" s="72"/>
      <c r="G48" s="17" t="s">
        <v>1118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220</v>
      </c>
      <c r="C49" s="11" t="s">
        <v>45</v>
      </c>
      <c r="D49" s="9" t="s">
        <v>174</v>
      </c>
      <c r="E49" s="16" t="s">
        <v>128</v>
      </c>
      <c r="F49" s="72"/>
      <c r="G49" s="17" t="s">
        <v>1119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215</v>
      </c>
      <c r="C50" s="11" t="s">
        <v>45</v>
      </c>
      <c r="D50" s="9" t="s">
        <v>1260</v>
      </c>
      <c r="E50" s="16" t="s">
        <v>128</v>
      </c>
      <c r="F50" s="72"/>
      <c r="G50" s="17" t="s">
        <v>227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216</v>
      </c>
      <c r="C51" s="11" t="s">
        <v>45</v>
      </c>
      <c r="D51" s="9" t="s">
        <v>1261</v>
      </c>
      <c r="E51" s="16" t="s">
        <v>128</v>
      </c>
      <c r="F51" s="72"/>
      <c r="G51" s="17" t="s">
        <v>228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316</v>
      </c>
      <c r="C52" s="11" t="s">
        <v>45</v>
      </c>
      <c r="D52" s="9" t="s">
        <v>167</v>
      </c>
      <c r="E52" s="16" t="s">
        <v>128</v>
      </c>
      <c r="F52" s="72"/>
      <c r="G52" s="17" t="s">
        <v>772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809</v>
      </c>
      <c r="C53" s="11" t="s">
        <v>45</v>
      </c>
      <c r="D53" s="9" t="s">
        <v>175</v>
      </c>
      <c r="E53" s="16" t="s">
        <v>128</v>
      </c>
      <c r="F53" s="72"/>
      <c r="G53" s="17" t="s">
        <v>1120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317</v>
      </c>
      <c r="C54" s="11" t="s">
        <v>45</v>
      </c>
      <c r="D54" s="9" t="s">
        <v>168</v>
      </c>
      <c r="E54" s="16" t="s">
        <v>128</v>
      </c>
      <c r="F54" s="72"/>
      <c r="G54" s="17" t="s">
        <v>1487</v>
      </c>
      <c r="H54" s="18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11" t="s">
        <v>810</v>
      </c>
      <c r="C55" s="11" t="s">
        <v>45</v>
      </c>
      <c r="D55" s="9" t="s">
        <v>176</v>
      </c>
      <c r="E55" s="16" t="s">
        <v>128</v>
      </c>
      <c r="F55" s="72"/>
      <c r="G55" s="17" t="s">
        <v>1121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1213</v>
      </c>
      <c r="C56" s="11" t="s">
        <v>45</v>
      </c>
      <c r="D56" s="9" t="s">
        <v>178</v>
      </c>
      <c r="E56" s="16" t="s">
        <v>128</v>
      </c>
      <c r="F56" s="72"/>
      <c r="G56" s="17" t="s">
        <v>1215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221</v>
      </c>
      <c r="C57" s="11" t="s">
        <v>45</v>
      </c>
      <c r="D57" s="9" t="s">
        <v>177</v>
      </c>
      <c r="E57" s="16" t="s">
        <v>128</v>
      </c>
      <c r="F57" s="72"/>
      <c r="G57" s="17" t="s">
        <v>1256</v>
      </c>
      <c r="H57" s="18"/>
      <c r="I57" s="17"/>
      <c r="J57" s="19" t="s">
        <v>133</v>
      </c>
      <c r="K57" s="19" t="s">
        <v>204</v>
      </c>
      <c r="L57" s="19" t="s">
        <v>67</v>
      </c>
    </row>
    <row r="58" spans="1:12" s="1" customFormat="1">
      <c r="A58" s="15"/>
      <c r="B58" s="11" t="s">
        <v>1212</v>
      </c>
      <c r="C58" s="11" t="s">
        <v>45</v>
      </c>
      <c r="D58" s="9" t="s">
        <v>180</v>
      </c>
      <c r="E58" s="16" t="s">
        <v>128</v>
      </c>
      <c r="F58" s="72"/>
      <c r="G58" s="17" t="s">
        <v>1214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222</v>
      </c>
      <c r="C59" s="11" t="s">
        <v>45</v>
      </c>
      <c r="D59" s="9" t="s">
        <v>179</v>
      </c>
      <c r="E59" s="16" t="s">
        <v>128</v>
      </c>
      <c r="F59" s="72"/>
      <c r="G59" s="17" t="s">
        <v>1123</v>
      </c>
      <c r="H59" s="18"/>
      <c r="I59" s="17"/>
      <c r="J59" s="19" t="s">
        <v>133</v>
      </c>
      <c r="K59" s="19" t="s">
        <v>204</v>
      </c>
      <c r="L59" s="19" t="s">
        <v>67</v>
      </c>
    </row>
    <row r="60" spans="1:12" s="1" customFormat="1">
      <c r="A60" s="15"/>
      <c r="B60" s="11" t="s">
        <v>811</v>
      </c>
      <c r="C60" s="11" t="s">
        <v>45</v>
      </c>
      <c r="D60" s="9" t="s">
        <v>643</v>
      </c>
      <c r="E60" s="16" t="s">
        <v>128</v>
      </c>
      <c r="F60" s="72"/>
      <c r="G60" s="17" t="s">
        <v>768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812</v>
      </c>
      <c r="C61" s="11" t="s">
        <v>45</v>
      </c>
      <c r="D61" s="9" t="s">
        <v>813</v>
      </c>
      <c r="E61" s="16" t="s">
        <v>128</v>
      </c>
      <c r="F61" s="72"/>
      <c r="G61" s="17" t="s">
        <v>1124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814</v>
      </c>
      <c r="C62" s="11" t="s">
        <v>45</v>
      </c>
      <c r="D62" s="9" t="s">
        <v>500</v>
      </c>
      <c r="E62" s="16" t="s">
        <v>128</v>
      </c>
      <c r="F62" s="72"/>
      <c r="G62" s="17" t="s">
        <v>1125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205</v>
      </c>
      <c r="C63" s="11" t="s">
        <v>45</v>
      </c>
      <c r="D63" s="9" t="s">
        <v>147</v>
      </c>
      <c r="E63" s="16" t="s">
        <v>128</v>
      </c>
      <c r="F63" s="72"/>
      <c r="G63" s="17" t="s">
        <v>1126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206</v>
      </c>
      <c r="C64" s="11" t="s">
        <v>280</v>
      </c>
      <c r="D64" s="9" t="s">
        <v>820</v>
      </c>
      <c r="E64" s="16" t="s">
        <v>128</v>
      </c>
      <c r="F64" s="72"/>
      <c r="G64" s="17" t="s">
        <v>1081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1022</v>
      </c>
      <c r="C65" s="11" t="s">
        <v>45</v>
      </c>
      <c r="D65" s="9" t="s">
        <v>1018</v>
      </c>
      <c r="E65" s="16" t="s">
        <v>128</v>
      </c>
      <c r="F65" s="72"/>
      <c r="G65" s="17" t="s">
        <v>1127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1014</v>
      </c>
      <c r="C66" s="11" t="s">
        <v>45</v>
      </c>
      <c r="D66" s="9" t="s">
        <v>1019</v>
      </c>
      <c r="E66" s="16" t="s">
        <v>128</v>
      </c>
      <c r="F66" s="72"/>
      <c r="G66" s="17" t="s">
        <v>1128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1015</v>
      </c>
      <c r="C67" s="11" t="s">
        <v>45</v>
      </c>
      <c r="D67" s="9" t="s">
        <v>1020</v>
      </c>
      <c r="E67" s="16" t="s">
        <v>128</v>
      </c>
      <c r="F67" s="72"/>
      <c r="G67" s="17" t="s">
        <v>1129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1016</v>
      </c>
      <c r="C68" s="11" t="s">
        <v>45</v>
      </c>
      <c r="D68" s="9" t="s">
        <v>1021</v>
      </c>
      <c r="E68" s="16" t="s">
        <v>128</v>
      </c>
      <c r="F68" s="72"/>
      <c r="G68" s="17" t="s">
        <v>1130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1017</v>
      </c>
      <c r="C69" s="11" t="s">
        <v>45</v>
      </c>
      <c r="D69" s="9" t="s">
        <v>1042</v>
      </c>
      <c r="E69" s="16" t="s">
        <v>128</v>
      </c>
      <c r="F69" s="72"/>
      <c r="G69" s="17" t="s">
        <v>1131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1049</v>
      </c>
      <c r="C70" s="11" t="s">
        <v>45</v>
      </c>
      <c r="D70" s="9" t="s">
        <v>153</v>
      </c>
      <c r="E70" s="16" t="s">
        <v>128</v>
      </c>
      <c r="F70" s="72"/>
      <c r="G70" s="17" t="s">
        <v>1262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823</v>
      </c>
      <c r="C71" s="11" t="s">
        <v>280</v>
      </c>
      <c r="D71" s="9" t="s">
        <v>1474</v>
      </c>
      <c r="E71" s="16" t="s">
        <v>128</v>
      </c>
      <c r="F71" s="72"/>
      <c r="G71" s="17" t="s">
        <v>1082</v>
      </c>
      <c r="H71" s="18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1030</v>
      </c>
      <c r="C72" s="11" t="s">
        <v>45</v>
      </c>
      <c r="D72" s="9" t="s">
        <v>1026</v>
      </c>
      <c r="E72" s="16" t="s">
        <v>128</v>
      </c>
      <c r="F72" s="72"/>
      <c r="G72" s="17" t="s">
        <v>1133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1023</v>
      </c>
      <c r="C73" s="11" t="s">
        <v>45</v>
      </c>
      <c r="D73" s="9" t="s">
        <v>1027</v>
      </c>
      <c r="E73" s="16" t="s">
        <v>128</v>
      </c>
      <c r="F73" s="72"/>
      <c r="G73" s="17" t="s">
        <v>1134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1024</v>
      </c>
      <c r="C74" s="11" t="s">
        <v>45</v>
      </c>
      <c r="D74" s="9" t="s">
        <v>1028</v>
      </c>
      <c r="E74" s="16" t="s">
        <v>128</v>
      </c>
      <c r="F74" s="72"/>
      <c r="G74" s="17" t="s">
        <v>1135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1032</v>
      </c>
      <c r="C75" s="11" t="s">
        <v>45</v>
      </c>
      <c r="D75" s="9" t="s">
        <v>1029</v>
      </c>
      <c r="E75" s="16" t="s">
        <v>128</v>
      </c>
      <c r="F75" s="72"/>
      <c r="G75" s="17" t="s">
        <v>1136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1025</v>
      </c>
      <c r="C76" s="11" t="s">
        <v>45</v>
      </c>
      <c r="D76" s="9" t="s">
        <v>1043</v>
      </c>
      <c r="E76" s="16" t="s">
        <v>128</v>
      </c>
      <c r="F76" s="72"/>
      <c r="G76" s="17" t="s">
        <v>1137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1084</v>
      </c>
      <c r="C77" s="11" t="s">
        <v>280</v>
      </c>
      <c r="D77" s="9" t="s">
        <v>1086</v>
      </c>
      <c r="E77" s="16" t="s">
        <v>128</v>
      </c>
      <c r="F77" s="72"/>
      <c r="G77" s="17" t="s">
        <v>1087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1083</v>
      </c>
      <c r="C78" s="11" t="s">
        <v>280</v>
      </c>
      <c r="D78" s="9" t="s">
        <v>841</v>
      </c>
      <c r="E78" s="16" t="s">
        <v>128</v>
      </c>
      <c r="F78" s="72"/>
      <c r="G78" s="17" t="s">
        <v>1866</v>
      </c>
      <c r="H78" s="18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1033</v>
      </c>
      <c r="C79" s="11" t="s">
        <v>45</v>
      </c>
      <c r="D79" s="9" t="s">
        <v>1038</v>
      </c>
      <c r="E79" s="16" t="s">
        <v>128</v>
      </c>
      <c r="F79" s="72"/>
      <c r="G79" s="17" t="s">
        <v>1138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1034</v>
      </c>
      <c r="C80" s="11" t="s">
        <v>45</v>
      </c>
      <c r="D80" s="9" t="s">
        <v>1039</v>
      </c>
      <c r="E80" s="16" t="s">
        <v>128</v>
      </c>
      <c r="F80" s="72"/>
      <c r="G80" s="17" t="s">
        <v>1139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7" s="1" customFormat="1">
      <c r="A81" s="15"/>
      <c r="B81" s="11" t="s">
        <v>1035</v>
      </c>
      <c r="C81" s="11" t="s">
        <v>45</v>
      </c>
      <c r="D81" s="9" t="s">
        <v>1040</v>
      </c>
      <c r="E81" s="16" t="s">
        <v>128</v>
      </c>
      <c r="F81" s="72"/>
      <c r="G81" s="17" t="s">
        <v>1140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7" s="1" customFormat="1">
      <c r="A82" s="15"/>
      <c r="B82" s="11" t="s">
        <v>1036</v>
      </c>
      <c r="C82" s="11" t="s">
        <v>45</v>
      </c>
      <c r="D82" s="9" t="s">
        <v>1041</v>
      </c>
      <c r="E82" s="16" t="s">
        <v>128</v>
      </c>
      <c r="F82" s="72"/>
      <c r="G82" s="17" t="s">
        <v>1141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7" s="1" customFormat="1">
      <c r="A83" s="15"/>
      <c r="B83" s="11" t="s">
        <v>1037</v>
      </c>
      <c r="C83" s="11" t="s">
        <v>45</v>
      </c>
      <c r="D83" s="9" t="s">
        <v>1044</v>
      </c>
      <c r="E83" s="16" t="s">
        <v>128</v>
      </c>
      <c r="F83" s="72"/>
      <c r="G83" s="17" t="s">
        <v>1142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7" s="1" customFormat="1">
      <c r="A84" s="15"/>
      <c r="B84" s="11" t="s">
        <v>834</v>
      </c>
      <c r="C84" s="11" t="s">
        <v>280</v>
      </c>
      <c r="D84" s="9" t="s">
        <v>833</v>
      </c>
      <c r="E84" s="16" t="s">
        <v>128</v>
      </c>
      <c r="F84" s="72"/>
      <c r="G84" s="17" t="s">
        <v>1102</v>
      </c>
      <c r="H84" s="18"/>
      <c r="I84" s="17"/>
      <c r="J84" s="19" t="s">
        <v>133</v>
      </c>
      <c r="K84" s="19" t="s">
        <v>202</v>
      </c>
      <c r="L84" s="19" t="s">
        <v>67</v>
      </c>
    </row>
    <row r="85" spans="1:17" s="1" customFormat="1">
      <c r="A85" s="15"/>
      <c r="B85" s="11" t="s">
        <v>535</v>
      </c>
      <c r="C85" s="11" t="s">
        <v>280</v>
      </c>
      <c r="D85" s="9" t="s">
        <v>534</v>
      </c>
      <c r="E85" s="16" t="s">
        <v>128</v>
      </c>
      <c r="F85" s="72"/>
      <c r="G85" s="17" t="s">
        <v>1103</v>
      </c>
      <c r="H85" s="18"/>
      <c r="I85" s="17"/>
      <c r="J85" s="19" t="s">
        <v>133</v>
      </c>
      <c r="K85" s="19" t="s">
        <v>202</v>
      </c>
      <c r="L85" s="19" t="s">
        <v>67</v>
      </c>
    </row>
    <row r="86" spans="1:17" s="1" customFormat="1">
      <c r="A86" s="15"/>
      <c r="B86" s="11" t="s">
        <v>848</v>
      </c>
      <c r="C86" s="11" t="s">
        <v>45</v>
      </c>
      <c r="D86" s="9" t="s">
        <v>850</v>
      </c>
      <c r="E86" s="16" t="s">
        <v>128</v>
      </c>
      <c r="F86" s="72"/>
      <c r="G86" s="17" t="s">
        <v>1104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7" s="1" customFormat="1">
      <c r="A87" s="15"/>
      <c r="B87" s="11" t="s">
        <v>849</v>
      </c>
      <c r="C87" s="11" t="s">
        <v>45</v>
      </c>
      <c r="D87" s="9" t="s">
        <v>116</v>
      </c>
      <c r="E87" s="16" t="s">
        <v>128</v>
      </c>
      <c r="F87" s="72"/>
      <c r="G87" s="17" t="s">
        <v>1105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7" s="1" customFormat="1">
      <c r="A88" s="15"/>
      <c r="B88" s="11" t="s">
        <v>877</v>
      </c>
      <c r="C88" s="11" t="s">
        <v>45</v>
      </c>
      <c r="D88" s="9" t="s">
        <v>865</v>
      </c>
      <c r="E88" s="16" t="s">
        <v>128</v>
      </c>
      <c r="F88" s="72"/>
      <c r="G88" s="17" t="s">
        <v>1155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7" s="1" customFormat="1">
      <c r="A89" s="15"/>
      <c r="B89" s="11" t="s">
        <v>878</v>
      </c>
      <c r="C89" s="11" t="s">
        <v>45</v>
      </c>
      <c r="D89" s="9" t="s">
        <v>866</v>
      </c>
      <c r="E89" s="16" t="s">
        <v>128</v>
      </c>
      <c r="F89" s="72"/>
      <c r="G89" s="17" t="s">
        <v>1156</v>
      </c>
      <c r="H89" s="18"/>
      <c r="I89" s="17"/>
      <c r="J89" s="19" t="s">
        <v>133</v>
      </c>
      <c r="K89" s="19" t="s">
        <v>44</v>
      </c>
      <c r="L89" s="19" t="s">
        <v>67</v>
      </c>
    </row>
    <row r="90" spans="1:17" s="1" customFormat="1">
      <c r="A90" s="15"/>
      <c r="B90" s="11" t="s">
        <v>879</v>
      </c>
      <c r="C90" s="11" t="s">
        <v>45</v>
      </c>
      <c r="D90" s="9" t="s">
        <v>867</v>
      </c>
      <c r="E90" s="16" t="s">
        <v>128</v>
      </c>
      <c r="F90" s="72"/>
      <c r="G90" s="17" t="s">
        <v>1157</v>
      </c>
      <c r="H90" s="18"/>
      <c r="I90" s="17"/>
      <c r="J90" s="19" t="s">
        <v>133</v>
      </c>
      <c r="K90" s="19" t="s">
        <v>44</v>
      </c>
      <c r="L90" s="19" t="s">
        <v>67</v>
      </c>
    </row>
    <row r="91" spans="1:17" s="3" customFormat="1">
      <c r="B91" s="23" t="s">
        <v>47</v>
      </c>
      <c r="C91" s="24" t="s">
        <v>46</v>
      </c>
      <c r="D91" s="21" t="s">
        <v>48</v>
      </c>
      <c r="E91" s="44"/>
      <c r="F91" s="44"/>
      <c r="G91" s="44" t="s">
        <v>282</v>
      </c>
      <c r="H91" s="23" t="s">
        <v>282</v>
      </c>
      <c r="I91" s="23"/>
      <c r="J91" s="23"/>
      <c r="K91" s="23"/>
      <c r="L91" s="23"/>
      <c r="M91" s="23"/>
      <c r="N91" s="23"/>
      <c r="O91" s="23"/>
      <c r="P91" s="23"/>
      <c r="Q91" s="23"/>
    </row>
    <row r="92" spans="1:17" s="3" customFormat="1">
      <c r="B92" s="23" t="s">
        <v>49</v>
      </c>
      <c r="C92" s="24" t="s">
        <v>43</v>
      </c>
      <c r="D92" s="21" t="s">
        <v>50</v>
      </c>
      <c r="E92" s="44"/>
      <c r="F92" s="44"/>
      <c r="G92" s="44" t="s">
        <v>282</v>
      </c>
      <c r="H92" s="23" t="s">
        <v>282</v>
      </c>
      <c r="I92" s="23"/>
      <c r="J92" s="23"/>
      <c r="K92" s="23"/>
      <c r="L92" s="23"/>
      <c r="M92" s="23"/>
      <c r="N92" s="23"/>
      <c r="O92" s="23"/>
      <c r="P92" s="23"/>
      <c r="Q92" s="23"/>
    </row>
    <row r="93" spans="1:17" s="3" customFormat="1">
      <c r="B93" s="23" t="s">
        <v>51</v>
      </c>
      <c r="C93" s="24" t="s">
        <v>46</v>
      </c>
      <c r="D93" s="21" t="s">
        <v>52</v>
      </c>
      <c r="E93" s="44"/>
      <c r="F93" s="44"/>
      <c r="G93" s="44" t="s">
        <v>282</v>
      </c>
      <c r="H93" s="23" t="s">
        <v>282</v>
      </c>
      <c r="I93" s="23"/>
      <c r="J93" s="23"/>
      <c r="K93" s="23"/>
      <c r="L93" s="23"/>
      <c r="M93" s="23"/>
      <c r="N93" s="23"/>
      <c r="O93" s="23"/>
      <c r="P93" s="23"/>
      <c r="Q93" s="23"/>
    </row>
    <row r="94" spans="1:17" s="3" customFormat="1">
      <c r="B94" s="23" t="s">
        <v>120</v>
      </c>
      <c r="C94" s="24" t="s">
        <v>46</v>
      </c>
      <c r="D94" s="21" t="s">
        <v>270</v>
      </c>
      <c r="E94" s="44"/>
      <c r="F94" s="44"/>
      <c r="G94" s="44" t="s">
        <v>282</v>
      </c>
      <c r="H94" s="23" t="s">
        <v>282</v>
      </c>
      <c r="I94" s="23"/>
      <c r="J94" s="23"/>
      <c r="K94" s="23"/>
      <c r="L94" s="23"/>
      <c r="M94" s="23"/>
      <c r="N94" s="23"/>
      <c r="O94" s="23"/>
      <c r="P94" s="23"/>
      <c r="Q94" s="23"/>
    </row>
  </sheetData>
  <autoFilter ref="A13:Q93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6F90-DCBA-4D09-BF25-C9D182214F8E}">
  <sheetPr codeName="Sheet47"/>
  <dimension ref="A1:Q105"/>
  <sheetViews>
    <sheetView zoomScale="85" zoomScaleNormal="85" workbookViewId="0">
      <pane ySplit="5" topLeftCell="A6" activePane="bottomLeft" state="frozen"/>
      <selection activeCell="G45" sqref="G45"/>
      <selection pane="bottomLeft" activeCell="C9" sqref="C9:C10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2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9" t="s">
        <v>1928</v>
      </c>
      <c r="D5" s="82" t="s">
        <v>1791</v>
      </c>
      <c r="E5" s="11" t="s">
        <v>1338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1692</v>
      </c>
      <c r="D9" s="82" t="s">
        <v>1693</v>
      </c>
      <c r="E9" s="11" t="s">
        <v>128</v>
      </c>
      <c r="F9" s="17"/>
      <c r="G9" s="132" t="s">
        <v>1792</v>
      </c>
      <c r="H9" s="14" t="s">
        <v>17</v>
      </c>
    </row>
    <row r="10" spans="2:14">
      <c r="B10" s="11"/>
      <c r="C10" s="9" t="s">
        <v>1683</v>
      </c>
      <c r="D10" s="82" t="s">
        <v>1681</v>
      </c>
      <c r="E10" s="11" t="s">
        <v>1617</v>
      </c>
      <c r="F10" s="17" t="s">
        <v>1691</v>
      </c>
      <c r="G10" s="135"/>
      <c r="H10" s="14"/>
    </row>
    <row r="12" spans="2:14">
      <c r="B12" s="4" t="s">
        <v>32</v>
      </c>
    </row>
    <row r="13" spans="2:14">
      <c r="B13" s="124" t="s">
        <v>32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</row>
    <row r="14" spans="2:14">
      <c r="B14" s="7" t="s">
        <v>33</v>
      </c>
      <c r="C14" s="7" t="s">
        <v>34</v>
      </c>
      <c r="D14" s="7" t="s">
        <v>35</v>
      </c>
      <c r="E14" s="7" t="s">
        <v>36</v>
      </c>
      <c r="F14" s="12" t="s">
        <v>37</v>
      </c>
      <c r="G14" s="12" t="s">
        <v>38</v>
      </c>
      <c r="H14" s="7" t="s">
        <v>39</v>
      </c>
      <c r="I14" s="7" t="s">
        <v>14</v>
      </c>
      <c r="J14" s="7" t="s">
        <v>40</v>
      </c>
      <c r="K14" s="7" t="s">
        <v>41</v>
      </c>
      <c r="L14" s="7" t="s">
        <v>42</v>
      </c>
    </row>
    <row r="15" spans="2:14" s="1" customFormat="1">
      <c r="B15" s="22" t="s">
        <v>1168</v>
      </c>
      <c r="C15" s="22" t="s">
        <v>43</v>
      </c>
      <c r="D15" s="9" t="s">
        <v>1267</v>
      </c>
      <c r="E15" s="16" t="s">
        <v>128</v>
      </c>
      <c r="F15" s="17" t="s">
        <v>90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132</v>
      </c>
    </row>
    <row r="16" spans="2:14" s="1" customFormat="1">
      <c r="B16" s="22" t="s">
        <v>1067</v>
      </c>
      <c r="C16" s="22" t="s">
        <v>46</v>
      </c>
      <c r="D16" s="9" t="s">
        <v>1160</v>
      </c>
      <c r="E16" s="16" t="s">
        <v>128</v>
      </c>
      <c r="F16" s="17" t="s">
        <v>91</v>
      </c>
      <c r="G16" s="17" t="s">
        <v>129</v>
      </c>
      <c r="H16" s="18"/>
      <c r="I16" s="19"/>
      <c r="J16" s="19" t="s">
        <v>131</v>
      </c>
      <c r="K16" s="19" t="s">
        <v>132</v>
      </c>
      <c r="L16" s="19" t="s">
        <v>132</v>
      </c>
    </row>
    <row r="17" spans="1:13" s="1" customFormat="1">
      <c r="B17" s="22" t="s">
        <v>24</v>
      </c>
      <c r="C17" s="22" t="s">
        <v>46</v>
      </c>
      <c r="D17" s="9" t="s">
        <v>1678</v>
      </c>
      <c r="E17" s="16" t="s">
        <v>128</v>
      </c>
      <c r="F17" s="17" t="s">
        <v>92</v>
      </c>
      <c r="G17" s="17" t="s">
        <v>129</v>
      </c>
      <c r="H17" s="18"/>
      <c r="I17" s="19"/>
      <c r="J17" s="19" t="s">
        <v>131</v>
      </c>
      <c r="K17" s="19" t="s">
        <v>132</v>
      </c>
      <c r="L17" s="19" t="s">
        <v>132</v>
      </c>
    </row>
    <row r="18" spans="1:13" s="1" customFormat="1">
      <c r="A18" s="15"/>
      <c r="B18" s="22" t="s">
        <v>3201</v>
      </c>
      <c r="C18" s="22" t="s">
        <v>43</v>
      </c>
      <c r="D18" s="9" t="s">
        <v>1265</v>
      </c>
      <c r="E18" s="16" t="s">
        <v>128</v>
      </c>
      <c r="F18" s="17" t="s">
        <v>1270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132</v>
      </c>
    </row>
    <row r="19" spans="1:13" s="1" customFormat="1">
      <c r="A19" s="15"/>
      <c r="B19" s="22" t="s">
        <v>1694</v>
      </c>
      <c r="C19" s="22" t="s">
        <v>43</v>
      </c>
      <c r="D19" s="9" t="s">
        <v>1720</v>
      </c>
      <c r="E19" s="16" t="s">
        <v>128</v>
      </c>
      <c r="F19" s="17" t="s">
        <v>1694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132</v>
      </c>
    </row>
    <row r="20" spans="1:13" s="1" customFormat="1">
      <c r="A20" s="15"/>
      <c r="B20" s="22" t="s">
        <v>1695</v>
      </c>
      <c r="C20" s="22" t="s">
        <v>43</v>
      </c>
      <c r="D20" s="9" t="s">
        <v>1721</v>
      </c>
      <c r="E20" s="16" t="s">
        <v>128</v>
      </c>
      <c r="F20" s="9" t="s">
        <v>1695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132</v>
      </c>
    </row>
    <row r="21" spans="1:13" s="1" customFormat="1">
      <c r="A21" s="15"/>
      <c r="B21" s="11" t="s">
        <v>1696</v>
      </c>
      <c r="C21" s="22" t="s">
        <v>43</v>
      </c>
      <c r="D21" s="9" t="s">
        <v>1722</v>
      </c>
      <c r="E21" s="16" t="s">
        <v>128</v>
      </c>
      <c r="F21" s="9" t="s">
        <v>1696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132</v>
      </c>
    </row>
    <row r="22" spans="1:13" s="1" customFormat="1">
      <c r="A22" s="15"/>
      <c r="B22" s="11" t="s">
        <v>1697</v>
      </c>
      <c r="C22" s="22" t="s">
        <v>43</v>
      </c>
      <c r="D22" s="9" t="s">
        <v>1723</v>
      </c>
      <c r="E22" s="16" t="s">
        <v>128</v>
      </c>
      <c r="F22" s="9" t="s">
        <v>1697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132</v>
      </c>
    </row>
    <row r="23" spans="1:13" s="1" customFormat="1">
      <c r="A23" s="15"/>
      <c r="B23" s="11" t="s">
        <v>1698</v>
      </c>
      <c r="C23" s="22" t="s">
        <v>56</v>
      </c>
      <c r="D23" s="9" t="s">
        <v>1724</v>
      </c>
      <c r="E23" s="16" t="s">
        <v>128</v>
      </c>
      <c r="F23" s="9" t="s">
        <v>1698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132</v>
      </c>
    </row>
    <row r="24" spans="1:13" s="1" customFormat="1">
      <c r="A24" s="15"/>
      <c r="B24" s="11" t="s">
        <v>1699</v>
      </c>
      <c r="C24" s="22" t="s">
        <v>56</v>
      </c>
      <c r="D24" s="9" t="s">
        <v>1725</v>
      </c>
      <c r="E24" s="16" t="s">
        <v>128</v>
      </c>
      <c r="F24" s="9" t="s">
        <v>1699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132</v>
      </c>
    </row>
    <row r="25" spans="1:13" s="1" customFormat="1">
      <c r="A25" s="15"/>
      <c r="B25" s="11" t="s">
        <v>1069</v>
      </c>
      <c r="C25" s="11" t="s">
        <v>43</v>
      </c>
      <c r="D25" s="9" t="s">
        <v>1178</v>
      </c>
      <c r="E25" s="16" t="s">
        <v>128</v>
      </c>
      <c r="F25" s="9" t="s">
        <v>1069</v>
      </c>
      <c r="G25" s="17" t="s">
        <v>129</v>
      </c>
      <c r="H25" s="18"/>
      <c r="I25" s="35"/>
      <c r="J25" s="19" t="s">
        <v>131</v>
      </c>
      <c r="K25" s="19" t="s">
        <v>132</v>
      </c>
      <c r="L25" s="19" t="s">
        <v>132</v>
      </c>
    </row>
    <row r="26" spans="1:13" s="1" customFormat="1">
      <c r="A26" s="15"/>
      <c r="B26" s="11" t="s">
        <v>3202</v>
      </c>
      <c r="C26" s="11" t="s">
        <v>46</v>
      </c>
      <c r="D26" s="9" t="s">
        <v>107</v>
      </c>
      <c r="E26" s="16" t="s">
        <v>1617</v>
      </c>
      <c r="F26" s="17" t="s">
        <v>85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132</v>
      </c>
    </row>
    <row r="27" spans="1:13" s="1" customFormat="1">
      <c r="A27" s="15"/>
      <c r="B27" s="11" t="s">
        <v>3185</v>
      </c>
      <c r="C27" s="11" t="s">
        <v>45</v>
      </c>
      <c r="D27" s="9" t="s">
        <v>348</v>
      </c>
      <c r="E27" s="16" t="s">
        <v>1617</v>
      </c>
      <c r="F27" s="17"/>
      <c r="G27" s="17" t="s">
        <v>257</v>
      </c>
      <c r="H27" s="18"/>
      <c r="I27" s="20"/>
      <c r="J27" s="19" t="s">
        <v>133</v>
      </c>
      <c r="K27" s="19" t="s">
        <v>202</v>
      </c>
      <c r="L27" s="19" t="s">
        <v>67</v>
      </c>
    </row>
    <row r="28" spans="1:13" s="1" customFormat="1">
      <c r="A28" s="15"/>
      <c r="B28" s="11" t="s">
        <v>3205</v>
      </c>
      <c r="C28" s="11" t="s">
        <v>45</v>
      </c>
      <c r="D28" s="9" t="s">
        <v>759</v>
      </c>
      <c r="E28" s="16" t="s">
        <v>1617</v>
      </c>
      <c r="F28" s="9"/>
      <c r="G28" s="17" t="s">
        <v>320</v>
      </c>
      <c r="H28" s="18"/>
      <c r="I28" s="20"/>
      <c r="J28" s="19" t="s">
        <v>133</v>
      </c>
      <c r="K28" s="19" t="s">
        <v>204</v>
      </c>
      <c r="L28" s="19" t="s">
        <v>67</v>
      </c>
    </row>
    <row r="29" spans="1:13" s="1" customFormat="1">
      <c r="A29" s="15"/>
      <c r="B29" s="11" t="s">
        <v>3206</v>
      </c>
      <c r="C29" s="11" t="s">
        <v>45</v>
      </c>
      <c r="D29" s="9" t="s">
        <v>160</v>
      </c>
      <c r="E29" s="16" t="s">
        <v>1617</v>
      </c>
      <c r="F29" s="17"/>
      <c r="G29" s="17" t="s">
        <v>319</v>
      </c>
      <c r="H29" s="18"/>
      <c r="I29" s="20"/>
      <c r="J29" s="19" t="s">
        <v>133</v>
      </c>
      <c r="K29" s="19" t="s">
        <v>204</v>
      </c>
      <c r="L29" s="19" t="s">
        <v>67</v>
      </c>
    </row>
    <row r="30" spans="1:13" s="1" customFormat="1">
      <c r="B30" s="22" t="s">
        <v>1188</v>
      </c>
      <c r="C30" s="62" t="s">
        <v>45</v>
      </c>
      <c r="D30" s="9" t="s">
        <v>1771</v>
      </c>
      <c r="E30" s="16" t="s">
        <v>1617</v>
      </c>
      <c r="F30" s="17"/>
      <c r="G30" s="17" t="s">
        <v>1781</v>
      </c>
      <c r="H30" s="18"/>
      <c r="I30" s="19"/>
      <c r="J30" s="19" t="s">
        <v>133</v>
      </c>
      <c r="K30" s="19" t="s">
        <v>202</v>
      </c>
      <c r="L30" s="19" t="s">
        <v>67</v>
      </c>
    </row>
    <row r="31" spans="1:13" s="1" customFormat="1">
      <c r="B31" s="22" t="s">
        <v>1190</v>
      </c>
      <c r="C31" s="62" t="s">
        <v>45</v>
      </c>
      <c r="D31" s="9" t="s">
        <v>1772</v>
      </c>
      <c r="E31" s="16" t="s">
        <v>1617</v>
      </c>
      <c r="F31" s="9"/>
      <c r="G31" s="17" t="s">
        <v>1626</v>
      </c>
      <c r="H31" s="18"/>
      <c r="I31" s="19"/>
      <c r="J31" s="19" t="s">
        <v>133</v>
      </c>
      <c r="K31" s="19" t="s">
        <v>202</v>
      </c>
      <c r="L31" s="19" t="s">
        <v>67</v>
      </c>
    </row>
    <row r="32" spans="1:13" s="15" customFormat="1">
      <c r="B32" s="22" t="s">
        <v>159</v>
      </c>
      <c r="C32" s="11" t="s">
        <v>45</v>
      </c>
      <c r="D32" s="9" t="s">
        <v>1774</v>
      </c>
      <c r="E32" s="16" t="s">
        <v>1617</v>
      </c>
      <c r="F32" s="17"/>
      <c r="G32" s="17" t="s">
        <v>1868</v>
      </c>
      <c r="H32" s="18"/>
      <c r="I32" s="20"/>
      <c r="J32" s="19" t="s">
        <v>133</v>
      </c>
      <c r="K32" s="19" t="s">
        <v>202</v>
      </c>
      <c r="L32" s="19" t="s">
        <v>67</v>
      </c>
      <c r="M32" s="1"/>
    </row>
    <row r="33" spans="1:12" s="1" customFormat="1">
      <c r="A33" s="15"/>
      <c r="B33" s="11" t="s">
        <v>3203</v>
      </c>
      <c r="C33" s="11" t="s">
        <v>45</v>
      </c>
      <c r="D33" s="9" t="s">
        <v>1775</v>
      </c>
      <c r="E33" s="16" t="s">
        <v>1617</v>
      </c>
      <c r="F33" s="17"/>
      <c r="G33" s="17" t="s">
        <v>1203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1385</v>
      </c>
      <c r="C34" s="11" t="s">
        <v>45</v>
      </c>
      <c r="D34" s="9" t="s">
        <v>1776</v>
      </c>
      <c r="E34" s="16" t="s">
        <v>1617</v>
      </c>
      <c r="F34" s="17"/>
      <c r="G34" s="17" t="s">
        <v>1785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1468</v>
      </c>
      <c r="C35" s="11" t="s">
        <v>45</v>
      </c>
      <c r="D35" s="9" t="s">
        <v>1777</v>
      </c>
      <c r="E35" s="16" t="s">
        <v>1617</v>
      </c>
      <c r="F35" s="17"/>
      <c r="G35" s="17" t="s">
        <v>815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22" t="s">
        <v>1700</v>
      </c>
      <c r="C36" s="22" t="s">
        <v>45</v>
      </c>
      <c r="D36" s="9" t="s">
        <v>505</v>
      </c>
      <c r="E36" s="16" t="s">
        <v>1617</v>
      </c>
      <c r="F36" s="17"/>
      <c r="G36" s="17" t="s">
        <v>1782</v>
      </c>
      <c r="H36" s="18"/>
      <c r="I36" s="17"/>
      <c r="J36" s="19" t="s">
        <v>133</v>
      </c>
      <c r="K36" s="19" t="s">
        <v>202</v>
      </c>
      <c r="L36" s="19" t="s">
        <v>67</v>
      </c>
    </row>
    <row r="37" spans="1:12" s="1" customFormat="1">
      <c r="A37" s="15"/>
      <c r="B37" s="11" t="s">
        <v>1701</v>
      </c>
      <c r="C37" s="11" t="s">
        <v>45</v>
      </c>
      <c r="D37" s="9" t="s">
        <v>506</v>
      </c>
      <c r="E37" s="16" t="s">
        <v>1617</v>
      </c>
      <c r="F37" s="72"/>
      <c r="G37" s="17" t="s">
        <v>1783</v>
      </c>
      <c r="H37" s="18"/>
      <c r="I37" s="17"/>
      <c r="J37" s="19" t="s">
        <v>133</v>
      </c>
      <c r="K37" s="19" t="s">
        <v>202</v>
      </c>
      <c r="L37" s="19" t="s">
        <v>67</v>
      </c>
    </row>
    <row r="38" spans="1:12" s="1" customFormat="1">
      <c r="A38" s="15"/>
      <c r="B38" s="11" t="s">
        <v>662</v>
      </c>
      <c r="C38" s="11" t="s">
        <v>45</v>
      </c>
      <c r="D38" s="9" t="s">
        <v>836</v>
      </c>
      <c r="E38" s="16" t="s">
        <v>1617</v>
      </c>
      <c r="F38" s="72"/>
      <c r="G38" s="17" t="s">
        <v>1784</v>
      </c>
      <c r="H38" s="18"/>
      <c r="I38" s="17"/>
      <c r="J38" s="19" t="s">
        <v>133</v>
      </c>
      <c r="K38" s="19" t="s">
        <v>202</v>
      </c>
      <c r="L38" s="19" t="s">
        <v>67</v>
      </c>
    </row>
    <row r="39" spans="1:12" s="1" customFormat="1">
      <c r="A39" s="15"/>
      <c r="B39" s="11" t="s">
        <v>1645</v>
      </c>
      <c r="C39" s="11" t="s">
        <v>45</v>
      </c>
      <c r="D39" s="9" t="s">
        <v>1778</v>
      </c>
      <c r="E39" s="16" t="s">
        <v>1617</v>
      </c>
      <c r="F39" s="72"/>
      <c r="G39" s="9" t="s">
        <v>1786</v>
      </c>
      <c r="H39" s="18"/>
      <c r="I39" s="17"/>
      <c r="J39" s="19" t="s">
        <v>133</v>
      </c>
      <c r="K39" s="19" t="s">
        <v>132</v>
      </c>
      <c r="L39" s="19" t="s">
        <v>1337</v>
      </c>
    </row>
    <row r="40" spans="1:12" s="1" customFormat="1">
      <c r="A40" s="15"/>
      <c r="B40" s="11" t="s">
        <v>1646</v>
      </c>
      <c r="C40" s="11" t="s">
        <v>45</v>
      </c>
      <c r="D40" s="9" t="s">
        <v>1779</v>
      </c>
      <c r="E40" s="16" t="s">
        <v>1617</v>
      </c>
      <c r="F40" s="72"/>
      <c r="G40" s="9" t="s">
        <v>1787</v>
      </c>
      <c r="H40" s="18"/>
      <c r="I40" s="17"/>
      <c r="J40" s="19" t="s">
        <v>133</v>
      </c>
      <c r="K40" s="19" t="s">
        <v>132</v>
      </c>
      <c r="L40" s="19" t="s">
        <v>1337</v>
      </c>
    </row>
    <row r="41" spans="1:12" s="1" customFormat="1">
      <c r="A41" s="15"/>
      <c r="B41" s="11" t="s">
        <v>1408</v>
      </c>
      <c r="C41" s="11" t="s">
        <v>45</v>
      </c>
      <c r="D41" s="9" t="s">
        <v>859</v>
      </c>
      <c r="E41" s="16" t="s">
        <v>1617</v>
      </c>
      <c r="F41" s="72"/>
      <c r="G41" s="17" t="s">
        <v>1146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1703</v>
      </c>
      <c r="C42" s="11" t="s">
        <v>45</v>
      </c>
      <c r="D42" s="9" t="s">
        <v>860</v>
      </c>
      <c r="E42" s="16" t="s">
        <v>1617</v>
      </c>
      <c r="F42" s="72"/>
      <c r="G42" s="17" t="s">
        <v>1147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1704</v>
      </c>
      <c r="C43" s="11" t="s">
        <v>45</v>
      </c>
      <c r="D43" s="9" t="s">
        <v>861</v>
      </c>
      <c r="E43" s="16" t="s">
        <v>1617</v>
      </c>
      <c r="F43" s="72"/>
      <c r="G43" s="17" t="s">
        <v>1148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1705</v>
      </c>
      <c r="C44" s="11" t="s">
        <v>45</v>
      </c>
      <c r="D44" s="9" t="s">
        <v>862</v>
      </c>
      <c r="E44" s="16" t="s">
        <v>1617</v>
      </c>
      <c r="F44" s="72"/>
      <c r="G44" s="17" t="s">
        <v>1152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1706</v>
      </c>
      <c r="C45" s="11" t="s">
        <v>45</v>
      </c>
      <c r="D45" s="9" t="s">
        <v>863</v>
      </c>
      <c r="E45" s="16" t="s">
        <v>1617</v>
      </c>
      <c r="F45" s="72"/>
      <c r="G45" s="17" t="s">
        <v>1153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1707</v>
      </c>
      <c r="C46" s="11" t="s">
        <v>45</v>
      </c>
      <c r="D46" s="9" t="s">
        <v>864</v>
      </c>
      <c r="E46" s="16" t="s">
        <v>1617</v>
      </c>
      <c r="F46" s="72"/>
      <c r="G46" s="17" t="s">
        <v>1154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1643</v>
      </c>
      <c r="C47" s="11" t="s">
        <v>45</v>
      </c>
      <c r="D47" s="9" t="s">
        <v>116</v>
      </c>
      <c r="E47" s="16" t="s">
        <v>1617</v>
      </c>
      <c r="F47" s="72"/>
      <c r="G47" s="17" t="s">
        <v>1105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1964</v>
      </c>
      <c r="C48" s="11" t="s">
        <v>45</v>
      </c>
      <c r="D48" s="9" t="s">
        <v>850</v>
      </c>
      <c r="E48" s="16" t="s">
        <v>1617</v>
      </c>
      <c r="F48" s="72"/>
      <c r="G48" s="17" t="s">
        <v>1104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1974</v>
      </c>
      <c r="C49" s="11" t="s">
        <v>45</v>
      </c>
      <c r="D49" s="9" t="s">
        <v>1768</v>
      </c>
      <c r="E49" s="16" t="s">
        <v>1617</v>
      </c>
      <c r="F49" s="72"/>
      <c r="G49" s="17" t="s">
        <v>1848</v>
      </c>
      <c r="H49" s="18"/>
      <c r="I49" s="17"/>
      <c r="J49" s="19" t="s">
        <v>133</v>
      </c>
      <c r="K49" s="19" t="s">
        <v>203</v>
      </c>
      <c r="L49" s="19" t="s">
        <v>67</v>
      </c>
    </row>
    <row r="50" spans="1:12" s="1" customFormat="1">
      <c r="A50" s="15"/>
      <c r="B50" s="11" t="s">
        <v>1975</v>
      </c>
      <c r="C50" s="11" t="s">
        <v>45</v>
      </c>
      <c r="D50" s="9" t="s">
        <v>1759</v>
      </c>
      <c r="E50" s="16" t="s">
        <v>1617</v>
      </c>
      <c r="F50" s="72"/>
      <c r="G50" s="17" t="s">
        <v>1103</v>
      </c>
      <c r="H50" s="18"/>
      <c r="I50" s="17"/>
      <c r="J50" s="19" t="s">
        <v>133</v>
      </c>
      <c r="K50" s="19" t="s">
        <v>1960</v>
      </c>
      <c r="L50" s="19" t="s">
        <v>67</v>
      </c>
    </row>
    <row r="51" spans="1:12" s="1" customFormat="1">
      <c r="A51" s="15"/>
      <c r="B51" s="11" t="s">
        <v>1760</v>
      </c>
      <c r="C51" s="11" t="s">
        <v>45</v>
      </c>
      <c r="D51" s="9" t="s">
        <v>1762</v>
      </c>
      <c r="E51" s="16" t="s">
        <v>1617</v>
      </c>
      <c r="F51" s="72"/>
      <c r="G51" s="17" t="s">
        <v>1789</v>
      </c>
      <c r="H51" s="18"/>
      <c r="I51" s="17"/>
      <c r="J51" s="19" t="s">
        <v>133</v>
      </c>
      <c r="K51" s="19" t="s">
        <v>44</v>
      </c>
      <c r="L51" s="19">
        <v>0</v>
      </c>
    </row>
    <row r="52" spans="1:12" s="1" customFormat="1">
      <c r="A52" s="15"/>
      <c r="B52" s="11" t="s">
        <v>1658</v>
      </c>
      <c r="C52" s="11" t="s">
        <v>45</v>
      </c>
      <c r="D52" s="9" t="s">
        <v>1763</v>
      </c>
      <c r="E52" s="16" t="s">
        <v>1617</v>
      </c>
      <c r="F52" s="72"/>
      <c r="G52" s="17" t="s">
        <v>1789</v>
      </c>
      <c r="H52" s="18"/>
      <c r="I52" s="17"/>
      <c r="J52" s="19" t="s">
        <v>133</v>
      </c>
      <c r="K52" s="19" t="s">
        <v>44</v>
      </c>
      <c r="L52" s="19">
        <v>0</v>
      </c>
    </row>
    <row r="53" spans="1:12" s="1" customFormat="1">
      <c r="A53" s="15"/>
      <c r="B53" s="11" t="s">
        <v>1659</v>
      </c>
      <c r="C53" s="11" t="s">
        <v>45</v>
      </c>
      <c r="D53" s="9" t="s">
        <v>1764</v>
      </c>
      <c r="E53" s="16" t="s">
        <v>1617</v>
      </c>
      <c r="F53" s="72"/>
      <c r="G53" s="17" t="s">
        <v>1789</v>
      </c>
      <c r="H53" s="18"/>
      <c r="I53" s="17"/>
      <c r="J53" s="19" t="s">
        <v>133</v>
      </c>
      <c r="K53" s="19" t="s">
        <v>44</v>
      </c>
      <c r="L53" s="19">
        <v>0</v>
      </c>
    </row>
    <row r="54" spans="1:12" s="1" customFormat="1">
      <c r="A54" s="15"/>
      <c r="B54" s="11" t="s">
        <v>1660</v>
      </c>
      <c r="C54" s="11" t="s">
        <v>45</v>
      </c>
      <c r="D54" s="9" t="s">
        <v>1765</v>
      </c>
      <c r="E54" s="16" t="s">
        <v>1617</v>
      </c>
      <c r="F54" s="72"/>
      <c r="G54" s="17" t="s">
        <v>1789</v>
      </c>
      <c r="H54" s="18"/>
      <c r="I54" s="17"/>
      <c r="J54" s="19" t="s">
        <v>133</v>
      </c>
      <c r="K54" s="19" t="s">
        <v>44</v>
      </c>
      <c r="L54" s="19">
        <v>0</v>
      </c>
    </row>
    <row r="55" spans="1:12" s="1" customFormat="1">
      <c r="A55" s="15"/>
      <c r="B55" s="11" t="s">
        <v>1661</v>
      </c>
      <c r="C55" s="11" t="s">
        <v>45</v>
      </c>
      <c r="D55" s="9" t="s">
        <v>1766</v>
      </c>
      <c r="E55" s="16" t="s">
        <v>1617</v>
      </c>
      <c r="F55" s="72"/>
      <c r="G55" s="17" t="s">
        <v>1789</v>
      </c>
      <c r="H55" s="18"/>
      <c r="I55" s="17"/>
      <c r="J55" s="19" t="s">
        <v>133</v>
      </c>
      <c r="K55" s="19" t="s">
        <v>44</v>
      </c>
      <c r="L55" s="19">
        <v>0</v>
      </c>
    </row>
    <row r="56" spans="1:12" s="1" customFormat="1">
      <c r="A56" s="15"/>
      <c r="B56" s="11" t="s">
        <v>206</v>
      </c>
      <c r="C56" s="11" t="s">
        <v>45</v>
      </c>
      <c r="D56" s="9" t="s">
        <v>1726</v>
      </c>
      <c r="E56" s="16" t="s">
        <v>1617</v>
      </c>
      <c r="F56" s="72"/>
      <c r="G56" s="17" t="s">
        <v>1081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1387</v>
      </c>
      <c r="C57" s="11" t="s">
        <v>45</v>
      </c>
      <c r="D57" s="9" t="s">
        <v>1757</v>
      </c>
      <c r="E57" s="16" t="s">
        <v>1617</v>
      </c>
      <c r="F57" s="72"/>
      <c r="G57" s="17" t="s">
        <v>1127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287</v>
      </c>
      <c r="C58" s="11" t="s">
        <v>45</v>
      </c>
      <c r="D58" s="9" t="s">
        <v>149</v>
      </c>
      <c r="E58" s="16" t="s">
        <v>1617</v>
      </c>
      <c r="F58" s="72"/>
      <c r="G58" s="17" t="s">
        <v>1128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288</v>
      </c>
      <c r="C59" s="11" t="s">
        <v>45</v>
      </c>
      <c r="D59" s="9" t="s">
        <v>150</v>
      </c>
      <c r="E59" s="16" t="s">
        <v>1617</v>
      </c>
      <c r="F59" s="72"/>
      <c r="G59" s="17" t="s">
        <v>1129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289</v>
      </c>
      <c r="C60" s="11" t="s">
        <v>45</v>
      </c>
      <c r="D60" s="9" t="s">
        <v>151</v>
      </c>
      <c r="E60" s="16" t="s">
        <v>1617</v>
      </c>
      <c r="F60" s="72"/>
      <c r="G60" s="17" t="s">
        <v>1130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290</v>
      </c>
      <c r="C61" s="11" t="s">
        <v>45</v>
      </c>
      <c r="D61" s="9" t="s">
        <v>152</v>
      </c>
      <c r="E61" s="16" t="s">
        <v>1617</v>
      </c>
      <c r="F61" s="72"/>
      <c r="G61" s="17" t="s">
        <v>1131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3193</v>
      </c>
      <c r="C62" s="11" t="s">
        <v>45</v>
      </c>
      <c r="D62" s="9" t="s">
        <v>1727</v>
      </c>
      <c r="E62" s="16" t="s">
        <v>1617</v>
      </c>
      <c r="F62" s="72"/>
      <c r="G62" s="17" t="s">
        <v>1082</v>
      </c>
      <c r="H62" s="18"/>
      <c r="I62" s="17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11" t="s">
        <v>1392</v>
      </c>
      <c r="C63" s="11" t="s">
        <v>45</v>
      </c>
      <c r="D63" s="9" t="s">
        <v>1756</v>
      </c>
      <c r="E63" s="16" t="s">
        <v>1617</v>
      </c>
      <c r="F63" s="72"/>
      <c r="G63" s="17" t="s">
        <v>1133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292</v>
      </c>
      <c r="C64" s="11" t="s">
        <v>45</v>
      </c>
      <c r="D64" s="9" t="s">
        <v>155</v>
      </c>
      <c r="E64" s="16" t="s">
        <v>1617</v>
      </c>
      <c r="F64" s="72"/>
      <c r="G64" s="17" t="s">
        <v>1134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293</v>
      </c>
      <c r="C65" s="11" t="s">
        <v>45</v>
      </c>
      <c r="D65" s="9" t="s">
        <v>156</v>
      </c>
      <c r="E65" s="16" t="s">
        <v>1617</v>
      </c>
      <c r="F65" s="72"/>
      <c r="G65" s="17" t="s">
        <v>1135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294</v>
      </c>
      <c r="C66" s="11" t="s">
        <v>45</v>
      </c>
      <c r="D66" s="9" t="s">
        <v>157</v>
      </c>
      <c r="E66" s="16" t="s">
        <v>1617</v>
      </c>
      <c r="F66" s="72"/>
      <c r="G66" s="17" t="s">
        <v>1136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295</v>
      </c>
      <c r="C67" s="11" t="s">
        <v>45</v>
      </c>
      <c r="D67" s="9" t="s">
        <v>158</v>
      </c>
      <c r="E67" s="16" t="s">
        <v>1617</v>
      </c>
      <c r="F67" s="72"/>
      <c r="G67" s="17" t="s">
        <v>1137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1625</v>
      </c>
      <c r="C68" s="11" t="s">
        <v>45</v>
      </c>
      <c r="D68" s="9" t="s">
        <v>841</v>
      </c>
      <c r="E68" s="16" t="s">
        <v>1617</v>
      </c>
      <c r="F68" s="72"/>
      <c r="G68" s="17" t="s">
        <v>1866</v>
      </c>
      <c r="H68" s="18"/>
      <c r="I68" s="17"/>
      <c r="J68" s="19" t="s">
        <v>133</v>
      </c>
      <c r="K68" s="19" t="s">
        <v>202</v>
      </c>
      <c r="L68" s="19" t="s">
        <v>67</v>
      </c>
    </row>
    <row r="69" spans="1:12" s="1" customFormat="1">
      <c r="A69" s="15"/>
      <c r="B69" s="11" t="s">
        <v>1397</v>
      </c>
      <c r="C69" s="11" t="s">
        <v>45</v>
      </c>
      <c r="D69" s="9" t="s">
        <v>1751</v>
      </c>
      <c r="E69" s="16" t="s">
        <v>1617</v>
      </c>
      <c r="F69" s="72"/>
      <c r="G69" s="17" t="s">
        <v>1138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1470</v>
      </c>
      <c r="C70" s="11" t="s">
        <v>45</v>
      </c>
      <c r="D70" s="9" t="s">
        <v>1752</v>
      </c>
      <c r="E70" s="16" t="s">
        <v>1617</v>
      </c>
      <c r="F70" s="72"/>
      <c r="G70" s="17" t="s">
        <v>1139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1471</v>
      </c>
      <c r="C71" s="11" t="s">
        <v>45</v>
      </c>
      <c r="D71" s="9" t="s">
        <v>1753</v>
      </c>
      <c r="E71" s="16" t="s">
        <v>1617</v>
      </c>
      <c r="F71" s="72"/>
      <c r="G71" s="17" t="s">
        <v>1140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1472</v>
      </c>
      <c r="C72" s="11" t="s">
        <v>45</v>
      </c>
      <c r="D72" s="9" t="s">
        <v>1754</v>
      </c>
      <c r="E72" s="16" t="s">
        <v>1617</v>
      </c>
      <c r="F72" s="72"/>
      <c r="G72" s="17" t="s">
        <v>1141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1473</v>
      </c>
      <c r="C73" s="11" t="s">
        <v>45</v>
      </c>
      <c r="D73" s="9" t="s">
        <v>1755</v>
      </c>
      <c r="E73" s="16" t="s">
        <v>1617</v>
      </c>
      <c r="F73" s="72"/>
      <c r="G73" s="17" t="s">
        <v>1142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1662</v>
      </c>
      <c r="C74" s="11" t="s">
        <v>45</v>
      </c>
      <c r="D74" s="9" t="s">
        <v>1749</v>
      </c>
      <c r="E74" s="16" t="s">
        <v>1617</v>
      </c>
      <c r="F74" s="72"/>
      <c r="G74" s="17" t="s">
        <v>1094</v>
      </c>
      <c r="H74" s="18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1525</v>
      </c>
      <c r="C75" s="11" t="s">
        <v>45</v>
      </c>
      <c r="D75" s="9" t="s">
        <v>1748</v>
      </c>
      <c r="E75" s="16" t="s">
        <v>1617</v>
      </c>
      <c r="F75" s="72"/>
      <c r="G75" s="17" t="s">
        <v>1571</v>
      </c>
      <c r="H75" s="18"/>
      <c r="I75" s="17"/>
      <c r="J75" s="19" t="s">
        <v>133</v>
      </c>
      <c r="K75" s="19" t="s">
        <v>1640</v>
      </c>
      <c r="L75" s="19" t="s">
        <v>67</v>
      </c>
    </row>
    <row r="76" spans="1:12" s="1" customFormat="1">
      <c r="A76" s="15"/>
      <c r="B76" s="11" t="s">
        <v>1527</v>
      </c>
      <c r="C76" s="11" t="s">
        <v>45</v>
      </c>
      <c r="D76" s="9" t="s">
        <v>1528</v>
      </c>
      <c r="E76" s="16" t="s">
        <v>1617</v>
      </c>
      <c r="F76" s="72"/>
      <c r="G76" s="17" t="s">
        <v>1572</v>
      </c>
      <c r="H76" s="18"/>
      <c r="I76" s="17"/>
      <c r="J76" s="19" t="s">
        <v>133</v>
      </c>
      <c r="K76" s="19" t="s">
        <v>1640</v>
      </c>
      <c r="L76" s="19" t="s">
        <v>67</v>
      </c>
    </row>
    <row r="77" spans="1:12" s="1" customFormat="1">
      <c r="A77" s="15"/>
      <c r="B77" s="11" t="s">
        <v>1529</v>
      </c>
      <c r="C77" s="11" t="s">
        <v>45</v>
      </c>
      <c r="D77" s="9" t="s">
        <v>1530</v>
      </c>
      <c r="E77" s="16" t="s">
        <v>1617</v>
      </c>
      <c r="F77" s="72"/>
      <c r="G77" s="17" t="s">
        <v>1573</v>
      </c>
      <c r="H77" s="18"/>
      <c r="I77" s="17"/>
      <c r="J77" s="19" t="s">
        <v>133</v>
      </c>
      <c r="K77" s="19" t="s">
        <v>1640</v>
      </c>
      <c r="L77" s="19" t="s">
        <v>67</v>
      </c>
    </row>
    <row r="78" spans="1:12" s="1" customFormat="1">
      <c r="A78" s="15"/>
      <c r="B78" s="11" t="s">
        <v>1531</v>
      </c>
      <c r="C78" s="11" t="s">
        <v>45</v>
      </c>
      <c r="D78" s="9" t="s">
        <v>1532</v>
      </c>
      <c r="E78" s="16" t="s">
        <v>1617</v>
      </c>
      <c r="F78" s="72"/>
      <c r="G78" s="17" t="s">
        <v>1574</v>
      </c>
      <c r="H78" s="18"/>
      <c r="I78" s="17"/>
      <c r="J78" s="19" t="s">
        <v>133</v>
      </c>
      <c r="K78" s="19" t="s">
        <v>1640</v>
      </c>
      <c r="L78" s="19" t="s">
        <v>67</v>
      </c>
    </row>
    <row r="79" spans="1:12" s="1" customFormat="1">
      <c r="A79" s="15"/>
      <c r="B79" s="11" t="s">
        <v>1533</v>
      </c>
      <c r="C79" s="11" t="s">
        <v>45</v>
      </c>
      <c r="D79" s="9" t="s">
        <v>1534</v>
      </c>
      <c r="E79" s="16" t="s">
        <v>1617</v>
      </c>
      <c r="F79" s="72"/>
      <c r="G79" s="17" t="s">
        <v>1575</v>
      </c>
      <c r="H79" s="18"/>
      <c r="I79" s="17"/>
      <c r="J79" s="19" t="s">
        <v>133</v>
      </c>
      <c r="K79" s="19" t="s">
        <v>1640</v>
      </c>
      <c r="L79" s="19" t="s">
        <v>67</v>
      </c>
    </row>
    <row r="80" spans="1:12" s="1" customFormat="1">
      <c r="A80" s="15"/>
      <c r="B80" s="11" t="s">
        <v>1663</v>
      </c>
      <c r="C80" s="11" t="s">
        <v>45</v>
      </c>
      <c r="D80" s="9" t="s">
        <v>1747</v>
      </c>
      <c r="E80" s="16" t="s">
        <v>1617</v>
      </c>
      <c r="F80" s="72"/>
      <c r="G80" s="17" t="s">
        <v>1095</v>
      </c>
      <c r="H80" s="18"/>
      <c r="I80" s="17"/>
      <c r="J80" s="19" t="s">
        <v>133</v>
      </c>
      <c r="K80" s="19" t="s">
        <v>202</v>
      </c>
      <c r="L80" s="19" t="s">
        <v>67</v>
      </c>
    </row>
    <row r="81" spans="1:12" s="1" customFormat="1">
      <c r="A81" s="15"/>
      <c r="B81" s="11" t="s">
        <v>1664</v>
      </c>
      <c r="C81" s="11" t="s">
        <v>45</v>
      </c>
      <c r="D81" s="9" t="s">
        <v>1746</v>
      </c>
      <c r="E81" s="16" t="s">
        <v>1617</v>
      </c>
      <c r="F81" s="72"/>
      <c r="G81" s="17" t="s">
        <v>1576</v>
      </c>
      <c r="H81" s="18"/>
      <c r="I81" s="17"/>
      <c r="J81" s="19" t="s">
        <v>133</v>
      </c>
      <c r="K81" s="19" t="s">
        <v>1640</v>
      </c>
      <c r="L81" s="19" t="s">
        <v>67</v>
      </c>
    </row>
    <row r="82" spans="1:12" s="1" customFormat="1">
      <c r="A82" s="15"/>
      <c r="B82" s="11" t="s">
        <v>1541</v>
      </c>
      <c r="C82" s="11" t="s">
        <v>45</v>
      </c>
      <c r="D82" s="9" t="s">
        <v>1542</v>
      </c>
      <c r="E82" s="16" t="s">
        <v>1617</v>
      </c>
      <c r="F82" s="72"/>
      <c r="G82" s="17" t="s">
        <v>1577</v>
      </c>
      <c r="H82" s="18"/>
      <c r="I82" s="17"/>
      <c r="J82" s="19" t="s">
        <v>133</v>
      </c>
      <c r="K82" s="19" t="s">
        <v>1640</v>
      </c>
      <c r="L82" s="19" t="s">
        <v>67</v>
      </c>
    </row>
    <row r="83" spans="1:12" s="1" customFormat="1">
      <c r="A83" s="15"/>
      <c r="B83" s="11" t="s">
        <v>1543</v>
      </c>
      <c r="C83" s="11" t="s">
        <v>45</v>
      </c>
      <c r="D83" s="9" t="s">
        <v>1544</v>
      </c>
      <c r="E83" s="16" t="s">
        <v>1617</v>
      </c>
      <c r="F83" s="72"/>
      <c r="G83" s="17" t="s">
        <v>1578</v>
      </c>
      <c r="H83" s="18"/>
      <c r="I83" s="17"/>
      <c r="J83" s="19" t="s">
        <v>133</v>
      </c>
      <c r="K83" s="19" t="s">
        <v>1640</v>
      </c>
      <c r="L83" s="19" t="s">
        <v>67</v>
      </c>
    </row>
    <row r="84" spans="1:12" s="1" customFormat="1">
      <c r="A84" s="15"/>
      <c r="B84" s="11" t="s">
        <v>1545</v>
      </c>
      <c r="C84" s="11" t="s">
        <v>45</v>
      </c>
      <c r="D84" s="9" t="s">
        <v>1546</v>
      </c>
      <c r="E84" s="16" t="s">
        <v>1617</v>
      </c>
      <c r="F84" s="72"/>
      <c r="G84" s="17" t="s">
        <v>1579</v>
      </c>
      <c r="H84" s="18"/>
      <c r="I84" s="17"/>
      <c r="J84" s="19" t="s">
        <v>133</v>
      </c>
      <c r="K84" s="19" t="s">
        <v>1640</v>
      </c>
      <c r="L84" s="19" t="s">
        <v>67</v>
      </c>
    </row>
    <row r="85" spans="1:12" s="1" customFormat="1">
      <c r="A85" s="15"/>
      <c r="B85" s="11" t="s">
        <v>1547</v>
      </c>
      <c r="C85" s="11" t="s">
        <v>45</v>
      </c>
      <c r="D85" s="9" t="s">
        <v>1548</v>
      </c>
      <c r="E85" s="16" t="s">
        <v>1617</v>
      </c>
      <c r="F85" s="72"/>
      <c r="G85" s="17" t="s">
        <v>1580</v>
      </c>
      <c r="H85" s="18"/>
      <c r="I85" s="17"/>
      <c r="J85" s="19" t="s">
        <v>133</v>
      </c>
      <c r="K85" s="19" t="s">
        <v>1640</v>
      </c>
      <c r="L85" s="19" t="s">
        <v>67</v>
      </c>
    </row>
    <row r="86" spans="1:12" s="1" customFormat="1">
      <c r="A86" s="15"/>
      <c r="B86" s="11" t="s">
        <v>1665</v>
      </c>
      <c r="C86" s="11" t="s">
        <v>45</v>
      </c>
      <c r="D86" s="9" t="s">
        <v>1745</v>
      </c>
      <c r="E86" s="16" t="s">
        <v>1617</v>
      </c>
      <c r="F86" s="72"/>
      <c r="G86" s="17" t="s">
        <v>1099</v>
      </c>
      <c r="H86" s="18"/>
      <c r="I86" s="17"/>
      <c r="J86" s="19" t="s">
        <v>133</v>
      </c>
      <c r="K86" s="19" t="s">
        <v>202</v>
      </c>
      <c r="L86" s="19" t="s">
        <v>67</v>
      </c>
    </row>
    <row r="87" spans="1:12" s="1" customFormat="1">
      <c r="A87" s="15"/>
      <c r="B87" s="11" t="s">
        <v>1666</v>
      </c>
      <c r="C87" s="11" t="s">
        <v>45</v>
      </c>
      <c r="D87" s="9" t="s">
        <v>1744</v>
      </c>
      <c r="E87" s="16" t="s">
        <v>1617</v>
      </c>
      <c r="F87" s="72"/>
      <c r="G87" s="17" t="s">
        <v>1581</v>
      </c>
      <c r="H87" s="18"/>
      <c r="I87" s="17"/>
      <c r="J87" s="19" t="s">
        <v>133</v>
      </c>
      <c r="K87" s="19" t="s">
        <v>1640</v>
      </c>
      <c r="L87" s="19" t="s">
        <v>67</v>
      </c>
    </row>
    <row r="88" spans="1:12" s="1" customFormat="1">
      <c r="A88" s="15"/>
      <c r="B88" s="11" t="s">
        <v>1556</v>
      </c>
      <c r="C88" s="11" t="s">
        <v>45</v>
      </c>
      <c r="D88" s="9" t="s">
        <v>1557</v>
      </c>
      <c r="E88" s="16" t="s">
        <v>1617</v>
      </c>
      <c r="F88" s="72"/>
      <c r="G88" s="17" t="s">
        <v>1582</v>
      </c>
      <c r="H88" s="18"/>
      <c r="I88" s="17"/>
      <c r="J88" s="19" t="s">
        <v>133</v>
      </c>
      <c r="K88" s="19" t="s">
        <v>1640</v>
      </c>
      <c r="L88" s="19" t="s">
        <v>67</v>
      </c>
    </row>
    <row r="89" spans="1:12" s="1" customFormat="1">
      <c r="A89" s="15"/>
      <c r="B89" s="11" t="s">
        <v>1558</v>
      </c>
      <c r="C89" s="11" t="s">
        <v>45</v>
      </c>
      <c r="D89" s="9" t="s">
        <v>1559</v>
      </c>
      <c r="E89" s="16" t="s">
        <v>1617</v>
      </c>
      <c r="F89" s="72"/>
      <c r="G89" s="17" t="s">
        <v>1583</v>
      </c>
      <c r="H89" s="18"/>
      <c r="I89" s="17"/>
      <c r="J89" s="19" t="s">
        <v>133</v>
      </c>
      <c r="K89" s="19" t="s">
        <v>1640</v>
      </c>
      <c r="L89" s="19" t="s">
        <v>67</v>
      </c>
    </row>
    <row r="90" spans="1:12" s="1" customFormat="1">
      <c r="A90" s="15"/>
      <c r="B90" s="11" t="s">
        <v>1560</v>
      </c>
      <c r="C90" s="11" t="s">
        <v>45</v>
      </c>
      <c r="D90" s="9" t="s">
        <v>1561</v>
      </c>
      <c r="E90" s="16" t="s">
        <v>1617</v>
      </c>
      <c r="F90" s="72"/>
      <c r="G90" s="17" t="s">
        <v>1584</v>
      </c>
      <c r="H90" s="18"/>
      <c r="I90" s="17"/>
      <c r="J90" s="19" t="s">
        <v>133</v>
      </c>
      <c r="K90" s="19" t="s">
        <v>1640</v>
      </c>
      <c r="L90" s="19" t="s">
        <v>67</v>
      </c>
    </row>
    <row r="91" spans="1:12" s="1" customFormat="1">
      <c r="A91" s="15"/>
      <c r="B91" s="11" t="s">
        <v>1562</v>
      </c>
      <c r="C91" s="11" t="s">
        <v>45</v>
      </c>
      <c r="D91" s="9" t="s">
        <v>1563</v>
      </c>
      <c r="E91" s="16" t="s">
        <v>1617</v>
      </c>
      <c r="F91" s="72"/>
      <c r="G91" s="17" t="s">
        <v>1585</v>
      </c>
      <c r="H91" s="18"/>
      <c r="I91" s="17"/>
      <c r="J91" s="19" t="s">
        <v>133</v>
      </c>
      <c r="K91" s="19" t="s">
        <v>1640</v>
      </c>
      <c r="L91" s="19" t="s">
        <v>67</v>
      </c>
    </row>
    <row r="92" spans="1:12" s="1" customFormat="1">
      <c r="A92" s="15"/>
      <c r="B92" s="11" t="s">
        <v>1709</v>
      </c>
      <c r="C92" s="11" t="s">
        <v>56</v>
      </c>
      <c r="D92" s="9" t="s">
        <v>1729</v>
      </c>
      <c r="E92" s="16" t="s">
        <v>1617</v>
      </c>
      <c r="F92" s="72"/>
      <c r="G92" s="17" t="s">
        <v>1742</v>
      </c>
      <c r="H92" s="18"/>
      <c r="I92" s="17"/>
      <c r="J92" s="19" t="s">
        <v>133</v>
      </c>
      <c r="K92" s="19" t="s">
        <v>132</v>
      </c>
      <c r="L92" s="19">
        <v>0</v>
      </c>
    </row>
    <row r="93" spans="1:12" s="1" customFormat="1">
      <c r="A93" s="15"/>
      <c r="B93" s="11" t="s">
        <v>1710</v>
      </c>
      <c r="C93" s="11" t="s">
        <v>45</v>
      </c>
      <c r="D93" s="9" t="s">
        <v>1731</v>
      </c>
      <c r="E93" s="16" t="s">
        <v>1617</v>
      </c>
      <c r="F93" s="72"/>
      <c r="G93" s="17" t="s">
        <v>1743</v>
      </c>
      <c r="H93" s="18"/>
      <c r="I93" s="17"/>
      <c r="J93" s="19" t="s">
        <v>133</v>
      </c>
      <c r="K93" s="19" t="s">
        <v>132</v>
      </c>
      <c r="L93" s="19">
        <v>0</v>
      </c>
    </row>
    <row r="94" spans="1:12" s="1" customFormat="1">
      <c r="A94" s="15"/>
      <c r="B94" s="11" t="s">
        <v>1730</v>
      </c>
      <c r="C94" s="11" t="s">
        <v>45</v>
      </c>
      <c r="D94" s="9" t="s">
        <v>1732</v>
      </c>
      <c r="E94" s="16" t="s">
        <v>1617</v>
      </c>
      <c r="F94" s="72"/>
      <c r="G94" s="17" t="s">
        <v>1743</v>
      </c>
      <c r="H94" s="18"/>
      <c r="I94" s="17"/>
      <c r="J94" s="19" t="s">
        <v>133</v>
      </c>
      <c r="K94" s="19" t="s">
        <v>132</v>
      </c>
      <c r="L94" s="19">
        <v>0</v>
      </c>
    </row>
    <row r="95" spans="1:12" s="1" customFormat="1">
      <c r="A95" s="15"/>
      <c r="B95" s="11" t="s">
        <v>1711</v>
      </c>
      <c r="C95" s="11" t="s">
        <v>45</v>
      </c>
      <c r="D95" s="9" t="s">
        <v>1733</v>
      </c>
      <c r="E95" s="16" t="s">
        <v>1617</v>
      </c>
      <c r="F95" s="72"/>
      <c r="G95" s="17" t="s">
        <v>1743</v>
      </c>
      <c r="H95" s="18"/>
      <c r="I95" s="17"/>
      <c r="J95" s="19" t="s">
        <v>133</v>
      </c>
      <c r="K95" s="19" t="s">
        <v>132</v>
      </c>
      <c r="L95" s="19">
        <v>0</v>
      </c>
    </row>
    <row r="96" spans="1:12" s="1" customFormat="1">
      <c r="A96" s="15"/>
      <c r="B96" s="11" t="s">
        <v>1712</v>
      </c>
      <c r="C96" s="11" t="s">
        <v>45</v>
      </c>
      <c r="D96" s="9" t="s">
        <v>1734</v>
      </c>
      <c r="E96" s="16" t="s">
        <v>1617</v>
      </c>
      <c r="F96" s="72"/>
      <c r="G96" s="17" t="s">
        <v>1743</v>
      </c>
      <c r="H96" s="18"/>
      <c r="I96" s="17"/>
      <c r="J96" s="19" t="s">
        <v>133</v>
      </c>
      <c r="K96" s="19" t="s">
        <v>132</v>
      </c>
      <c r="L96" s="19">
        <v>0</v>
      </c>
    </row>
    <row r="97" spans="1:17" s="1" customFormat="1">
      <c r="A97" s="15"/>
      <c r="B97" s="11" t="s">
        <v>1713</v>
      </c>
      <c r="C97" s="11" t="s">
        <v>45</v>
      </c>
      <c r="D97" s="9" t="s">
        <v>1735</v>
      </c>
      <c r="E97" s="16" t="s">
        <v>1617</v>
      </c>
      <c r="F97" s="72"/>
      <c r="G97" s="17" t="s">
        <v>1743</v>
      </c>
      <c r="H97" s="18"/>
      <c r="I97" s="17"/>
      <c r="J97" s="19" t="s">
        <v>133</v>
      </c>
      <c r="K97" s="19" t="s">
        <v>132</v>
      </c>
      <c r="L97" s="19">
        <v>0</v>
      </c>
    </row>
    <row r="98" spans="1:17" s="1" customFormat="1">
      <c r="A98" s="15"/>
      <c r="B98" s="11" t="s">
        <v>1714</v>
      </c>
      <c r="C98" s="11" t="s">
        <v>45</v>
      </c>
      <c r="D98" s="9" t="s">
        <v>1736</v>
      </c>
      <c r="E98" s="16" t="s">
        <v>1617</v>
      </c>
      <c r="F98" s="72"/>
      <c r="G98" s="17" t="s">
        <v>1743</v>
      </c>
      <c r="H98" s="18"/>
      <c r="I98" s="17"/>
      <c r="J98" s="19" t="s">
        <v>133</v>
      </c>
      <c r="K98" s="19" t="s">
        <v>132</v>
      </c>
      <c r="L98" s="19">
        <v>0</v>
      </c>
    </row>
    <row r="99" spans="1:17" s="1" customFormat="1">
      <c r="A99" s="15"/>
      <c r="B99" s="11" t="s">
        <v>1715</v>
      </c>
      <c r="C99" s="11" t="s">
        <v>45</v>
      </c>
      <c r="D99" s="9" t="s">
        <v>1737</v>
      </c>
      <c r="E99" s="16" t="s">
        <v>1617</v>
      </c>
      <c r="F99" s="72"/>
      <c r="G99" s="17" t="s">
        <v>1743</v>
      </c>
      <c r="H99" s="18"/>
      <c r="I99" s="17"/>
      <c r="J99" s="19" t="s">
        <v>133</v>
      </c>
      <c r="K99" s="19" t="s">
        <v>132</v>
      </c>
      <c r="L99" s="19">
        <v>0</v>
      </c>
    </row>
    <row r="100" spans="1:17" s="1" customFormat="1">
      <c r="A100" s="15"/>
      <c r="B100" s="11" t="s">
        <v>1716</v>
      </c>
      <c r="C100" s="11" t="s">
        <v>45</v>
      </c>
      <c r="D100" s="9" t="s">
        <v>1738</v>
      </c>
      <c r="E100" s="16" t="s">
        <v>1617</v>
      </c>
      <c r="F100" s="72"/>
      <c r="G100" s="17" t="s">
        <v>1743</v>
      </c>
      <c r="H100" s="18"/>
      <c r="I100" s="17"/>
      <c r="J100" s="19" t="s">
        <v>133</v>
      </c>
      <c r="K100" s="19" t="s">
        <v>132</v>
      </c>
      <c r="L100" s="19">
        <v>0</v>
      </c>
    </row>
    <row r="101" spans="1:17" s="1" customFormat="1">
      <c r="A101" s="15"/>
      <c r="B101" s="11" t="s">
        <v>1717</v>
      </c>
      <c r="C101" s="11" t="s">
        <v>45</v>
      </c>
      <c r="D101" s="9" t="s">
        <v>1739</v>
      </c>
      <c r="E101" s="16" t="s">
        <v>1617</v>
      </c>
      <c r="F101" s="72"/>
      <c r="G101" s="17" t="s">
        <v>1743</v>
      </c>
      <c r="H101" s="18"/>
      <c r="I101" s="17"/>
      <c r="J101" s="19" t="s">
        <v>133</v>
      </c>
      <c r="K101" s="19" t="s">
        <v>132</v>
      </c>
      <c r="L101" s="19">
        <v>0</v>
      </c>
    </row>
    <row r="102" spans="1:17" s="1" customFormat="1">
      <c r="A102" s="15"/>
      <c r="B102" s="11" t="s">
        <v>1718</v>
      </c>
      <c r="C102" s="11" t="s">
        <v>45</v>
      </c>
      <c r="D102" s="9" t="s">
        <v>1740</v>
      </c>
      <c r="E102" s="16" t="s">
        <v>1617</v>
      </c>
      <c r="F102" s="72"/>
      <c r="G102" s="17" t="s">
        <v>1743</v>
      </c>
      <c r="H102" s="18"/>
      <c r="I102" s="17"/>
      <c r="J102" s="19" t="s">
        <v>133</v>
      </c>
      <c r="K102" s="19" t="s">
        <v>132</v>
      </c>
      <c r="L102" s="19">
        <v>0</v>
      </c>
    </row>
    <row r="103" spans="1:17" s="1" customFormat="1">
      <c r="A103" s="15"/>
      <c r="B103" s="95" t="s">
        <v>1719</v>
      </c>
      <c r="C103" s="95" t="s">
        <v>45</v>
      </c>
      <c r="D103" s="9" t="s">
        <v>1741</v>
      </c>
      <c r="E103" s="16" t="s">
        <v>1617</v>
      </c>
      <c r="F103" s="72"/>
      <c r="G103" s="17" t="s">
        <v>1743</v>
      </c>
      <c r="H103" s="18"/>
      <c r="I103" s="17"/>
      <c r="J103" s="19" t="s">
        <v>133</v>
      </c>
      <c r="K103" s="19" t="s">
        <v>132</v>
      </c>
      <c r="L103" s="19">
        <v>0</v>
      </c>
    </row>
    <row r="104" spans="1:17" s="3" customFormat="1">
      <c r="B104" s="23" t="s">
        <v>47</v>
      </c>
      <c r="C104" s="24" t="s">
        <v>46</v>
      </c>
      <c r="D104" s="21" t="s">
        <v>48</v>
      </c>
      <c r="E104" s="44"/>
      <c r="F104" s="44"/>
      <c r="G104" s="44" t="s">
        <v>282</v>
      </c>
      <c r="H104" s="23" t="s">
        <v>282</v>
      </c>
      <c r="I104" s="23"/>
      <c r="J104" s="23"/>
      <c r="K104" s="23"/>
      <c r="L104" s="23"/>
      <c r="M104" s="23"/>
      <c r="N104" s="23"/>
      <c r="O104" s="23"/>
      <c r="P104" s="23"/>
      <c r="Q104" s="23"/>
    </row>
    <row r="105" spans="1:17" s="3" customFormat="1">
      <c r="B105" s="23" t="s">
        <v>49</v>
      </c>
      <c r="C105" s="24" t="s">
        <v>43</v>
      </c>
      <c r="D105" s="21" t="s">
        <v>50</v>
      </c>
      <c r="E105" s="44"/>
      <c r="F105" s="44"/>
      <c r="G105" s="44" t="s">
        <v>282</v>
      </c>
      <c r="H105" s="23" t="s">
        <v>282</v>
      </c>
      <c r="I105" s="23"/>
      <c r="J105" s="23"/>
      <c r="K105" s="23"/>
      <c r="L105" s="23"/>
      <c r="M105" s="23"/>
      <c r="N105" s="23"/>
      <c r="O105" s="23"/>
      <c r="P105" s="23"/>
      <c r="Q105" s="23"/>
    </row>
  </sheetData>
  <autoFilter ref="A14:Q105" xr:uid="{00000000-0009-0000-0000-00000B000000}"/>
  <mergeCells count="5">
    <mergeCell ref="B2:H2"/>
    <mergeCell ref="B3:H3"/>
    <mergeCell ref="B7:H7"/>
    <mergeCell ref="B13:L13"/>
    <mergeCell ref="G9:G10"/>
  </mergeCells>
  <phoneticPr fontId="16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1A42-37D9-42E9-932C-F4DC33129820}">
  <sheetPr codeName="Sheet36"/>
  <dimension ref="A1:Q88"/>
  <sheetViews>
    <sheetView zoomScale="85" zoomScaleNormal="85" workbookViewId="0">
      <pane ySplit="5" topLeftCell="A6" activePane="bottomLeft" state="frozen"/>
      <selection activeCell="G45" sqref="G45"/>
      <selection pane="bottomLeft" activeCell="B1" sqref="B1"/>
    </sheetView>
  </sheetViews>
  <sheetFormatPr defaultColWidth="9" defaultRowHeight="13.2"/>
  <cols>
    <col min="1" max="1" width="1.33203125" style="4" customWidth="1"/>
    <col min="2" max="2" width="27.77734375" style="4" customWidth="1"/>
    <col min="3" max="3" width="32.77734375" style="4" bestFit="1" customWidth="1"/>
    <col min="4" max="4" width="32.21875" style="4" customWidth="1"/>
    <col min="5" max="5" width="10.109375" style="4" customWidth="1"/>
    <col min="6" max="6" width="22.77734375" style="4" bestFit="1" customWidth="1"/>
    <col min="7" max="7" width="51.6640625" style="4" customWidth="1"/>
    <col min="8" max="8" width="14.44140625" style="4" customWidth="1"/>
    <col min="9" max="9" width="10.554687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1830</v>
      </c>
      <c r="C5" s="9" t="s">
        <v>1929</v>
      </c>
      <c r="D5" s="82" t="s">
        <v>1829</v>
      </c>
      <c r="E5" s="11" t="s">
        <v>91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 ht="22.8" customHeight="1">
      <c r="B9" s="11"/>
      <c r="C9" s="9" t="s">
        <v>1832</v>
      </c>
      <c r="D9" s="82" t="s">
        <v>1816</v>
      </c>
      <c r="E9" s="11" t="s">
        <v>55</v>
      </c>
      <c r="F9" s="17"/>
      <c r="G9" s="136" t="s">
        <v>2567</v>
      </c>
      <c r="H9" s="83" t="s">
        <v>17</v>
      </c>
    </row>
    <row r="10" spans="2:14" ht="22.8" customHeight="1">
      <c r="B10" s="11"/>
      <c r="C10" s="9" t="s">
        <v>1683</v>
      </c>
      <c r="D10" s="82" t="s">
        <v>1681</v>
      </c>
      <c r="E10" s="11" t="s">
        <v>256</v>
      </c>
      <c r="F10" s="17" t="s">
        <v>1817</v>
      </c>
      <c r="G10" s="136"/>
      <c r="H10" s="83"/>
    </row>
    <row r="11" spans="2:14">
      <c r="B11" s="4" t="s">
        <v>32</v>
      </c>
    </row>
    <row r="12" spans="2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2:14" s="1" customFormat="1">
      <c r="B14" s="22" t="s">
        <v>1168</v>
      </c>
      <c r="C14" s="22" t="s">
        <v>43</v>
      </c>
      <c r="D14" s="9" t="s">
        <v>1265</v>
      </c>
      <c r="E14" s="16" t="s">
        <v>256</v>
      </c>
      <c r="F14" s="17" t="s">
        <v>49</v>
      </c>
      <c r="G14" s="17" t="s">
        <v>994</v>
      </c>
      <c r="H14" s="18"/>
      <c r="I14" s="19"/>
      <c r="J14" s="19" t="s">
        <v>131</v>
      </c>
      <c r="K14" s="19" t="s">
        <v>132</v>
      </c>
      <c r="L14" s="19" t="s">
        <v>132</v>
      </c>
    </row>
    <row r="15" spans="2:14" s="1" customFormat="1">
      <c r="B15" s="22" t="s">
        <v>1067</v>
      </c>
      <c r="C15" s="22" t="s">
        <v>46</v>
      </c>
      <c r="D15" s="9" t="s">
        <v>1160</v>
      </c>
      <c r="E15" s="16" t="s">
        <v>256</v>
      </c>
      <c r="F15" s="17" t="s">
        <v>51</v>
      </c>
      <c r="G15" s="17" t="s">
        <v>994</v>
      </c>
      <c r="H15" s="18"/>
      <c r="I15" s="19"/>
      <c r="J15" s="19" t="s">
        <v>131</v>
      </c>
      <c r="K15" s="19" t="s">
        <v>132</v>
      </c>
      <c r="L15" s="19" t="s">
        <v>132</v>
      </c>
    </row>
    <row r="16" spans="2:14" s="1" customFormat="1">
      <c r="B16" s="22" t="s">
        <v>77</v>
      </c>
      <c r="C16" s="22" t="s">
        <v>46</v>
      </c>
      <c r="D16" s="9" t="s">
        <v>329</v>
      </c>
      <c r="E16" s="16" t="s">
        <v>256</v>
      </c>
      <c r="F16" s="17" t="s">
        <v>77</v>
      </c>
      <c r="G16" s="17" t="s">
        <v>994</v>
      </c>
      <c r="H16" s="18"/>
      <c r="I16" s="19"/>
      <c r="J16" s="19" t="s">
        <v>131</v>
      </c>
      <c r="K16" s="19" t="s">
        <v>132</v>
      </c>
      <c r="L16" s="19" t="s">
        <v>132</v>
      </c>
    </row>
    <row r="17" spans="1:13" s="1" customFormat="1">
      <c r="A17" s="15"/>
      <c r="B17" s="22" t="s">
        <v>80</v>
      </c>
      <c r="C17" s="22" t="s">
        <v>46</v>
      </c>
      <c r="D17" s="9" t="s">
        <v>1795</v>
      </c>
      <c r="E17" s="16" t="s">
        <v>256</v>
      </c>
      <c r="F17" s="17"/>
      <c r="G17" s="17" t="s">
        <v>1334</v>
      </c>
      <c r="H17" s="18"/>
      <c r="I17" s="19"/>
      <c r="J17" s="19" t="s">
        <v>131</v>
      </c>
      <c r="K17" s="19" t="s">
        <v>132</v>
      </c>
      <c r="L17" s="19" t="s">
        <v>132</v>
      </c>
    </row>
    <row r="18" spans="1:13" s="1" customFormat="1">
      <c r="A18" s="15"/>
      <c r="B18" s="22" t="s">
        <v>1069</v>
      </c>
      <c r="C18" s="22" t="s">
        <v>43</v>
      </c>
      <c r="D18" s="9" t="s">
        <v>1178</v>
      </c>
      <c r="E18" s="16" t="s">
        <v>256</v>
      </c>
      <c r="F18" s="17" t="s">
        <v>1069</v>
      </c>
      <c r="G18" s="17" t="s">
        <v>994</v>
      </c>
      <c r="H18" s="18"/>
      <c r="I18" s="19"/>
      <c r="J18" s="19" t="s">
        <v>131</v>
      </c>
      <c r="K18" s="19" t="s">
        <v>132</v>
      </c>
      <c r="L18" s="19" t="s">
        <v>132</v>
      </c>
    </row>
    <row r="19" spans="1:13" s="1" customFormat="1">
      <c r="A19" s="15"/>
      <c r="B19" s="22" t="s">
        <v>1068</v>
      </c>
      <c r="C19" s="22" t="s">
        <v>46</v>
      </c>
      <c r="D19" s="9" t="s">
        <v>1267</v>
      </c>
      <c r="E19" s="16" t="s">
        <v>256</v>
      </c>
      <c r="F19" s="17" t="s">
        <v>47</v>
      </c>
      <c r="G19" s="17" t="s">
        <v>994</v>
      </c>
      <c r="H19" s="18"/>
      <c r="I19" s="19"/>
      <c r="J19" s="19" t="s">
        <v>131</v>
      </c>
      <c r="K19" s="19" t="s">
        <v>132</v>
      </c>
      <c r="L19" s="19" t="s">
        <v>132</v>
      </c>
    </row>
    <row r="20" spans="1:13" s="1" customFormat="1">
      <c r="A20" s="15"/>
      <c r="B20" s="11" t="s">
        <v>64</v>
      </c>
      <c r="C20" s="22" t="s">
        <v>43</v>
      </c>
      <c r="D20" s="9" t="s">
        <v>63</v>
      </c>
      <c r="E20" s="16" t="s">
        <v>256</v>
      </c>
      <c r="F20" s="17" t="s">
        <v>64</v>
      </c>
      <c r="G20" s="17" t="s">
        <v>994</v>
      </c>
      <c r="H20" s="18"/>
      <c r="I20" s="19"/>
      <c r="J20" s="19" t="s">
        <v>131</v>
      </c>
      <c r="K20" s="19" t="s">
        <v>132</v>
      </c>
      <c r="L20" s="19" t="s">
        <v>132</v>
      </c>
    </row>
    <row r="21" spans="1:13" s="1" customFormat="1">
      <c r="A21" s="15"/>
      <c r="B21" s="11" t="s">
        <v>61</v>
      </c>
      <c r="C21" s="22" t="s">
        <v>46</v>
      </c>
      <c r="D21" s="9" t="s">
        <v>1796</v>
      </c>
      <c r="E21" s="16" t="s">
        <v>256</v>
      </c>
      <c r="F21" s="17" t="s">
        <v>61</v>
      </c>
      <c r="G21" s="17" t="s">
        <v>994</v>
      </c>
      <c r="H21" s="18"/>
      <c r="I21" s="19"/>
      <c r="J21" s="19" t="s">
        <v>131</v>
      </c>
      <c r="K21" s="19" t="s">
        <v>132</v>
      </c>
      <c r="L21" s="19" t="s">
        <v>132</v>
      </c>
    </row>
    <row r="22" spans="1:13" s="1" customFormat="1">
      <c r="A22" s="15"/>
      <c r="B22" s="11" t="s">
        <v>65</v>
      </c>
      <c r="C22" s="22" t="s">
        <v>43</v>
      </c>
      <c r="D22" s="9" t="s">
        <v>1797</v>
      </c>
      <c r="E22" s="16" t="s">
        <v>256</v>
      </c>
      <c r="F22" s="17" t="s">
        <v>65</v>
      </c>
      <c r="G22" s="17" t="s">
        <v>994</v>
      </c>
      <c r="H22" s="18"/>
      <c r="I22" s="19"/>
      <c r="J22" s="19" t="s">
        <v>131</v>
      </c>
      <c r="K22" s="19" t="s">
        <v>132</v>
      </c>
      <c r="L22" s="19" t="s">
        <v>132</v>
      </c>
    </row>
    <row r="23" spans="1:13" s="1" customFormat="1">
      <c r="A23" s="15"/>
      <c r="B23" s="11" t="s">
        <v>62</v>
      </c>
      <c r="C23" s="22" t="s">
        <v>46</v>
      </c>
      <c r="D23" s="9" t="s">
        <v>1268</v>
      </c>
      <c r="E23" s="16" t="s">
        <v>256</v>
      </c>
      <c r="F23" s="17" t="s">
        <v>62</v>
      </c>
      <c r="G23" s="17" t="s">
        <v>994</v>
      </c>
      <c r="H23" s="18"/>
      <c r="I23" s="19"/>
      <c r="J23" s="19" t="s">
        <v>131</v>
      </c>
      <c r="K23" s="19" t="s">
        <v>132</v>
      </c>
      <c r="L23" s="19" t="s">
        <v>132</v>
      </c>
    </row>
    <row r="24" spans="1:13" s="1" customFormat="1">
      <c r="A24" s="15"/>
      <c r="B24" s="11" t="s">
        <v>66</v>
      </c>
      <c r="C24" s="11" t="s">
        <v>43</v>
      </c>
      <c r="D24" s="9" t="s">
        <v>68</v>
      </c>
      <c r="E24" s="16" t="s">
        <v>256</v>
      </c>
      <c r="F24" s="17" t="s">
        <v>66</v>
      </c>
      <c r="G24" s="17" t="s">
        <v>994</v>
      </c>
      <c r="H24" s="18"/>
      <c r="I24" s="19"/>
      <c r="J24" s="19" t="s">
        <v>131</v>
      </c>
      <c r="K24" s="19" t="s">
        <v>132</v>
      </c>
      <c r="L24" s="19" t="s">
        <v>132</v>
      </c>
    </row>
    <row r="25" spans="1:13" s="1" customFormat="1">
      <c r="A25" s="15"/>
      <c r="B25" s="11" t="s">
        <v>1798</v>
      </c>
      <c r="C25" s="11" t="s">
        <v>46</v>
      </c>
      <c r="D25" s="9" t="s">
        <v>1799</v>
      </c>
      <c r="E25" s="16" t="s">
        <v>55</v>
      </c>
      <c r="F25" s="17" t="s">
        <v>1819</v>
      </c>
      <c r="G25" s="17" t="s">
        <v>994</v>
      </c>
      <c r="H25" s="18"/>
      <c r="I25" s="19"/>
      <c r="J25" s="19" t="s">
        <v>131</v>
      </c>
      <c r="K25" s="19" t="s">
        <v>132</v>
      </c>
      <c r="L25" s="19" t="s">
        <v>132</v>
      </c>
    </row>
    <row r="26" spans="1:13" s="1" customFormat="1" ht="13.8" customHeight="1">
      <c r="A26" s="15"/>
      <c r="B26" s="11" t="s">
        <v>1800</v>
      </c>
      <c r="C26" s="11" t="s">
        <v>43</v>
      </c>
      <c r="D26" s="9" t="s">
        <v>1801</v>
      </c>
      <c r="E26" s="16" t="s">
        <v>55</v>
      </c>
      <c r="F26" s="17" t="s">
        <v>1800</v>
      </c>
      <c r="G26" s="17" t="s">
        <v>994</v>
      </c>
      <c r="H26" s="19"/>
      <c r="I26" s="19"/>
      <c r="J26" s="19" t="s">
        <v>131</v>
      </c>
      <c r="K26" s="19" t="s">
        <v>132</v>
      </c>
      <c r="L26" s="19" t="s">
        <v>132</v>
      </c>
    </row>
    <row r="27" spans="1:13" s="1" customFormat="1">
      <c r="A27" s="15"/>
      <c r="B27" s="11" t="s">
        <v>1270</v>
      </c>
      <c r="C27" s="11" t="s">
        <v>43</v>
      </c>
      <c r="D27" s="9" t="s">
        <v>57</v>
      </c>
      <c r="E27" s="16" t="s">
        <v>55</v>
      </c>
      <c r="F27" s="17" t="s">
        <v>1270</v>
      </c>
      <c r="G27" s="17" t="s">
        <v>994</v>
      </c>
      <c r="H27" s="19"/>
      <c r="I27" s="19"/>
      <c r="J27" s="19" t="s">
        <v>131</v>
      </c>
      <c r="K27" s="19" t="s">
        <v>132</v>
      </c>
      <c r="L27" s="19" t="s">
        <v>132</v>
      </c>
    </row>
    <row r="28" spans="1:13" s="1" customFormat="1">
      <c r="A28" s="15"/>
      <c r="B28" s="11" t="s">
        <v>58</v>
      </c>
      <c r="C28" s="11" t="s">
        <v>43</v>
      </c>
      <c r="D28" s="9" t="s">
        <v>59</v>
      </c>
      <c r="E28" s="16" t="s">
        <v>55</v>
      </c>
      <c r="F28" s="17" t="s">
        <v>58</v>
      </c>
      <c r="G28" s="17" t="s">
        <v>994</v>
      </c>
      <c r="H28" s="19"/>
      <c r="I28" s="19"/>
      <c r="J28" s="19" t="s">
        <v>131</v>
      </c>
      <c r="K28" s="19" t="s">
        <v>132</v>
      </c>
      <c r="L28" s="19" t="s">
        <v>132</v>
      </c>
    </row>
    <row r="29" spans="1:13" s="1" customFormat="1">
      <c r="B29" s="22" t="s">
        <v>1820</v>
      </c>
      <c r="C29" s="62" t="s">
        <v>43</v>
      </c>
      <c r="D29" s="9" t="s">
        <v>1820</v>
      </c>
      <c r="E29" s="16" t="s">
        <v>256</v>
      </c>
      <c r="F29" s="17"/>
      <c r="G29" s="17" t="s">
        <v>1821</v>
      </c>
      <c r="H29" s="19"/>
      <c r="I29" s="19"/>
      <c r="J29" s="19" t="s">
        <v>131</v>
      </c>
      <c r="K29" s="19" t="s">
        <v>132</v>
      </c>
      <c r="L29" s="19" t="s">
        <v>132</v>
      </c>
    </row>
    <row r="30" spans="1:13" s="1" customFormat="1">
      <c r="B30" s="22" t="s">
        <v>1383</v>
      </c>
      <c r="C30" s="62" t="s">
        <v>45</v>
      </c>
      <c r="D30" s="9" t="s">
        <v>1802</v>
      </c>
      <c r="E30" s="16" t="s">
        <v>256</v>
      </c>
      <c r="F30" s="17"/>
      <c r="G30" s="17" t="s">
        <v>257</v>
      </c>
      <c r="H30" s="19"/>
      <c r="I30" s="19"/>
      <c r="J30" s="19" t="s">
        <v>133</v>
      </c>
      <c r="K30" s="19" t="s">
        <v>202</v>
      </c>
      <c r="L30" s="19" t="s">
        <v>67</v>
      </c>
    </row>
    <row r="31" spans="1:13" s="15" customFormat="1">
      <c r="B31" s="22" t="s">
        <v>296</v>
      </c>
      <c r="C31" s="11" t="s">
        <v>45</v>
      </c>
      <c r="D31" s="9" t="s">
        <v>1185</v>
      </c>
      <c r="E31" s="16" t="s">
        <v>256</v>
      </c>
      <c r="F31" s="17"/>
      <c r="G31" s="17" t="s">
        <v>320</v>
      </c>
      <c r="H31" s="19"/>
      <c r="I31" s="19"/>
      <c r="J31" s="19" t="s">
        <v>133</v>
      </c>
      <c r="K31" s="19" t="s">
        <v>204</v>
      </c>
      <c r="L31" s="19" t="s">
        <v>67</v>
      </c>
      <c r="M31" s="1"/>
    </row>
    <row r="32" spans="1:13" s="1" customFormat="1">
      <c r="A32" s="15"/>
      <c r="B32" s="11" t="s">
        <v>297</v>
      </c>
      <c r="C32" s="11" t="s">
        <v>45</v>
      </c>
      <c r="D32" s="9" t="s">
        <v>160</v>
      </c>
      <c r="E32" s="16" t="s">
        <v>256</v>
      </c>
      <c r="F32" s="17"/>
      <c r="G32" s="17" t="s">
        <v>319</v>
      </c>
      <c r="H32" s="19"/>
      <c r="I32" s="19"/>
      <c r="J32" s="19" t="s">
        <v>133</v>
      </c>
      <c r="K32" s="19" t="s">
        <v>204</v>
      </c>
      <c r="L32" s="19" t="s">
        <v>67</v>
      </c>
    </row>
    <row r="33" spans="1:12" s="1" customFormat="1">
      <c r="A33" s="15"/>
      <c r="B33" s="11" t="s">
        <v>298</v>
      </c>
      <c r="C33" s="11" t="s">
        <v>45</v>
      </c>
      <c r="D33" s="9" t="s">
        <v>161</v>
      </c>
      <c r="E33" s="16" t="s">
        <v>256</v>
      </c>
      <c r="F33" s="17"/>
      <c r="G33" s="17" t="s">
        <v>1822</v>
      </c>
      <c r="H33" s="19"/>
      <c r="I33" s="19"/>
      <c r="J33" s="19" t="s">
        <v>133</v>
      </c>
      <c r="K33" s="19" t="s">
        <v>1849</v>
      </c>
      <c r="L33" s="19" t="s">
        <v>67</v>
      </c>
    </row>
    <row r="34" spans="1:12" s="1" customFormat="1">
      <c r="A34" s="15"/>
      <c r="B34" s="11" t="s">
        <v>299</v>
      </c>
      <c r="C34" s="11" t="s">
        <v>45</v>
      </c>
      <c r="D34" s="9" t="s">
        <v>162</v>
      </c>
      <c r="E34" s="16" t="s">
        <v>256</v>
      </c>
      <c r="F34" s="17"/>
      <c r="G34" s="17" t="s">
        <v>1823</v>
      </c>
      <c r="H34" s="19"/>
      <c r="I34" s="19"/>
      <c r="J34" s="19" t="s">
        <v>133</v>
      </c>
      <c r="K34" s="19" t="s">
        <v>1849</v>
      </c>
      <c r="L34" s="19" t="s">
        <v>67</v>
      </c>
    </row>
    <row r="35" spans="1:12" s="1" customFormat="1">
      <c r="A35" s="15"/>
      <c r="B35" s="22" t="s">
        <v>300</v>
      </c>
      <c r="C35" s="22" t="s">
        <v>45</v>
      </c>
      <c r="D35" s="9" t="s">
        <v>163</v>
      </c>
      <c r="E35" s="16" t="s">
        <v>256</v>
      </c>
      <c r="F35" s="17"/>
      <c r="G35" s="17" t="s">
        <v>1824</v>
      </c>
      <c r="H35" s="19"/>
      <c r="I35" s="19"/>
      <c r="J35" s="19" t="s">
        <v>133</v>
      </c>
      <c r="K35" s="19" t="s">
        <v>1849</v>
      </c>
      <c r="L35" s="19" t="s">
        <v>67</v>
      </c>
    </row>
    <row r="36" spans="1:12" s="1" customFormat="1">
      <c r="A36" s="15"/>
      <c r="B36" s="11" t="s">
        <v>301</v>
      </c>
      <c r="C36" s="11" t="s">
        <v>45</v>
      </c>
      <c r="D36" s="9" t="s">
        <v>164</v>
      </c>
      <c r="E36" s="16" t="s">
        <v>256</v>
      </c>
      <c r="F36" s="17"/>
      <c r="G36" s="17" t="s">
        <v>1825</v>
      </c>
      <c r="H36" s="19"/>
      <c r="I36" s="19"/>
      <c r="J36" s="19" t="s">
        <v>133</v>
      </c>
      <c r="K36" s="19" t="s">
        <v>1849</v>
      </c>
      <c r="L36" s="19" t="s">
        <v>67</v>
      </c>
    </row>
    <row r="37" spans="1:12" s="1" customFormat="1">
      <c r="A37" s="15"/>
      <c r="B37" s="11" t="s">
        <v>302</v>
      </c>
      <c r="C37" s="11" t="s">
        <v>45</v>
      </c>
      <c r="D37" s="9" t="s">
        <v>165</v>
      </c>
      <c r="E37" s="16" t="s">
        <v>256</v>
      </c>
      <c r="F37" s="17"/>
      <c r="G37" s="17" t="s">
        <v>1826</v>
      </c>
      <c r="H37" s="19"/>
      <c r="I37" s="19"/>
      <c r="J37" s="19" t="s">
        <v>133</v>
      </c>
      <c r="K37" s="19" t="s">
        <v>1849</v>
      </c>
      <c r="L37" s="19" t="s">
        <v>67</v>
      </c>
    </row>
    <row r="38" spans="1:12" s="1" customFormat="1">
      <c r="A38" s="15"/>
      <c r="B38" s="11" t="s">
        <v>303</v>
      </c>
      <c r="C38" s="11" t="s">
        <v>45</v>
      </c>
      <c r="D38" s="9" t="s">
        <v>166</v>
      </c>
      <c r="E38" s="16" t="s">
        <v>256</v>
      </c>
      <c r="F38" s="17"/>
      <c r="G38" s="17" t="s">
        <v>1827</v>
      </c>
      <c r="H38" s="19"/>
      <c r="I38" s="19"/>
      <c r="J38" s="19" t="s">
        <v>133</v>
      </c>
      <c r="K38" s="19" t="s">
        <v>1849</v>
      </c>
      <c r="L38" s="19" t="s">
        <v>67</v>
      </c>
    </row>
    <row r="39" spans="1:12" s="1" customFormat="1">
      <c r="A39" s="15"/>
      <c r="B39" s="11" t="s">
        <v>642</v>
      </c>
      <c r="C39" s="11" t="s">
        <v>45</v>
      </c>
      <c r="D39" s="9" t="s">
        <v>643</v>
      </c>
      <c r="E39" s="16" t="s">
        <v>256</v>
      </c>
      <c r="F39" s="17"/>
      <c r="G39" s="17" t="s">
        <v>1203</v>
      </c>
      <c r="H39" s="19"/>
      <c r="I39" s="19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1965</v>
      </c>
      <c r="C40" s="11" t="s">
        <v>45</v>
      </c>
      <c r="D40" s="9" t="s">
        <v>1187</v>
      </c>
      <c r="E40" s="16" t="s">
        <v>256</v>
      </c>
      <c r="F40" s="17"/>
      <c r="G40" s="17" t="s">
        <v>1785</v>
      </c>
      <c r="H40" s="19"/>
      <c r="I40" s="19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1468</v>
      </c>
      <c r="C41" s="11" t="s">
        <v>45</v>
      </c>
      <c r="D41" s="9" t="s">
        <v>1803</v>
      </c>
      <c r="E41" s="16" t="s">
        <v>256</v>
      </c>
      <c r="F41" s="17"/>
      <c r="G41" s="17" t="s">
        <v>815</v>
      </c>
      <c r="H41" s="19"/>
      <c r="I41" s="19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1645</v>
      </c>
      <c r="C42" s="11" t="s">
        <v>45</v>
      </c>
      <c r="D42" s="9" t="s">
        <v>1804</v>
      </c>
      <c r="E42" s="16" t="s">
        <v>256</v>
      </c>
      <c r="F42" s="17"/>
      <c r="G42" s="17" t="s">
        <v>1786</v>
      </c>
      <c r="H42" s="19"/>
      <c r="I42" s="19"/>
      <c r="J42" s="19" t="s">
        <v>133</v>
      </c>
      <c r="K42" s="19" t="s">
        <v>44</v>
      </c>
      <c r="L42" s="19" t="s">
        <v>1292</v>
      </c>
    </row>
    <row r="43" spans="1:12" s="1" customFormat="1">
      <c r="A43" s="15"/>
      <c r="B43" s="11" t="s">
        <v>1646</v>
      </c>
      <c r="C43" s="11" t="s">
        <v>45</v>
      </c>
      <c r="D43" s="9" t="s">
        <v>1805</v>
      </c>
      <c r="E43" s="16" t="s">
        <v>256</v>
      </c>
      <c r="F43" s="17"/>
      <c r="G43" s="17" t="s">
        <v>1787</v>
      </c>
      <c r="H43" s="19"/>
      <c r="I43" s="19"/>
      <c r="J43" s="19" t="s">
        <v>133</v>
      </c>
      <c r="K43" s="19" t="s">
        <v>44</v>
      </c>
      <c r="L43" s="19" t="s">
        <v>1292</v>
      </c>
    </row>
    <row r="44" spans="1:12" s="1" customFormat="1">
      <c r="A44" s="15"/>
      <c r="B44" s="11" t="s">
        <v>1702</v>
      </c>
      <c r="C44" s="11" t="s">
        <v>45</v>
      </c>
      <c r="D44" s="9" t="s">
        <v>859</v>
      </c>
      <c r="E44" s="16" t="s">
        <v>256</v>
      </c>
      <c r="F44" s="17"/>
      <c r="G44" s="17" t="s">
        <v>1146</v>
      </c>
      <c r="H44" s="19"/>
      <c r="I44" s="19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1703</v>
      </c>
      <c r="C45" s="11" t="s">
        <v>45</v>
      </c>
      <c r="D45" s="9" t="s">
        <v>860</v>
      </c>
      <c r="E45" s="16" t="s">
        <v>256</v>
      </c>
      <c r="F45" s="17"/>
      <c r="G45" s="17" t="s">
        <v>1147</v>
      </c>
      <c r="H45" s="19"/>
      <c r="I45" s="19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1704</v>
      </c>
      <c r="C46" s="11" t="s">
        <v>45</v>
      </c>
      <c r="D46" s="9" t="s">
        <v>861</v>
      </c>
      <c r="E46" s="16" t="s">
        <v>256</v>
      </c>
      <c r="F46" s="17"/>
      <c r="G46" s="17" t="s">
        <v>1148</v>
      </c>
      <c r="H46" s="19"/>
      <c r="I46" s="19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1705</v>
      </c>
      <c r="C47" s="11" t="s">
        <v>45</v>
      </c>
      <c r="D47" s="9" t="s">
        <v>862</v>
      </c>
      <c r="E47" s="16" t="s">
        <v>256</v>
      </c>
      <c r="F47" s="17"/>
      <c r="G47" s="17" t="s">
        <v>1152</v>
      </c>
      <c r="H47" s="19"/>
      <c r="I47" s="19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1706</v>
      </c>
      <c r="C48" s="11" t="s">
        <v>45</v>
      </c>
      <c r="D48" s="9" t="s">
        <v>863</v>
      </c>
      <c r="E48" s="16" t="s">
        <v>256</v>
      </c>
      <c r="F48" s="17"/>
      <c r="G48" s="17" t="s">
        <v>1153</v>
      </c>
      <c r="H48" s="19"/>
      <c r="I48" s="19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1707</v>
      </c>
      <c r="C49" s="11" t="s">
        <v>45</v>
      </c>
      <c r="D49" s="9" t="s">
        <v>864</v>
      </c>
      <c r="E49" s="16" t="s">
        <v>256</v>
      </c>
      <c r="F49" s="17"/>
      <c r="G49" s="17" t="s">
        <v>1154</v>
      </c>
      <c r="H49" s="19"/>
      <c r="I49" s="19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1651</v>
      </c>
      <c r="C50" s="11" t="s">
        <v>45</v>
      </c>
      <c r="D50" s="9" t="s">
        <v>1726</v>
      </c>
      <c r="E50" s="16" t="s">
        <v>256</v>
      </c>
      <c r="F50" s="17"/>
      <c r="G50" s="17" t="s">
        <v>1081</v>
      </c>
      <c r="H50" s="19"/>
      <c r="I50" s="19"/>
      <c r="J50" s="19" t="s">
        <v>133</v>
      </c>
      <c r="K50" s="19" t="s">
        <v>202</v>
      </c>
      <c r="L50" s="19" t="s">
        <v>67</v>
      </c>
    </row>
    <row r="51" spans="1:12" s="1" customFormat="1">
      <c r="A51" s="15"/>
      <c r="B51" s="11" t="s">
        <v>286</v>
      </c>
      <c r="C51" s="11" t="s">
        <v>45</v>
      </c>
      <c r="D51" s="9" t="s">
        <v>148</v>
      </c>
      <c r="E51" s="16" t="s">
        <v>256</v>
      </c>
      <c r="F51" s="17"/>
      <c r="G51" s="17" t="s">
        <v>1127</v>
      </c>
      <c r="H51" s="19"/>
      <c r="I51" s="19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287</v>
      </c>
      <c r="C52" s="11" t="s">
        <v>45</v>
      </c>
      <c r="D52" s="9" t="s">
        <v>149</v>
      </c>
      <c r="E52" s="16" t="s">
        <v>256</v>
      </c>
      <c r="F52" s="17"/>
      <c r="G52" s="17" t="s">
        <v>1128</v>
      </c>
      <c r="H52" s="19"/>
      <c r="I52" s="19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288</v>
      </c>
      <c r="C53" s="11" t="s">
        <v>45</v>
      </c>
      <c r="D53" s="9" t="s">
        <v>150</v>
      </c>
      <c r="E53" s="16" t="s">
        <v>256</v>
      </c>
      <c r="F53" s="17"/>
      <c r="G53" s="17" t="s">
        <v>1129</v>
      </c>
      <c r="H53" s="19"/>
      <c r="I53" s="19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289</v>
      </c>
      <c r="C54" s="11" t="s">
        <v>45</v>
      </c>
      <c r="D54" s="9" t="s">
        <v>151</v>
      </c>
      <c r="E54" s="16" t="s">
        <v>256</v>
      </c>
      <c r="F54" s="17"/>
      <c r="G54" s="17" t="s">
        <v>1130</v>
      </c>
      <c r="H54" s="19"/>
      <c r="I54" s="19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290</v>
      </c>
      <c r="C55" s="11" t="s">
        <v>45</v>
      </c>
      <c r="D55" s="9" t="s">
        <v>152</v>
      </c>
      <c r="E55" s="16" t="s">
        <v>256</v>
      </c>
      <c r="F55" s="17"/>
      <c r="G55" s="17" t="s">
        <v>1131</v>
      </c>
      <c r="H55" s="19"/>
      <c r="I55" s="19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1591</v>
      </c>
      <c r="C56" s="11" t="s">
        <v>45</v>
      </c>
      <c r="D56" s="9" t="s">
        <v>1727</v>
      </c>
      <c r="E56" s="16" t="s">
        <v>256</v>
      </c>
      <c r="F56" s="17"/>
      <c r="G56" s="17" t="s">
        <v>1082</v>
      </c>
      <c r="H56" s="19"/>
      <c r="I56" s="19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291</v>
      </c>
      <c r="C57" s="11" t="s">
        <v>45</v>
      </c>
      <c r="D57" s="9" t="s">
        <v>154</v>
      </c>
      <c r="E57" s="16" t="s">
        <v>256</v>
      </c>
      <c r="F57" s="17"/>
      <c r="G57" s="17" t="s">
        <v>1133</v>
      </c>
      <c r="H57" s="19"/>
      <c r="I57" s="19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292</v>
      </c>
      <c r="C58" s="11" t="s">
        <v>45</v>
      </c>
      <c r="D58" s="9" t="s">
        <v>155</v>
      </c>
      <c r="E58" s="16" t="s">
        <v>256</v>
      </c>
      <c r="F58" s="17"/>
      <c r="G58" s="17" t="s">
        <v>1134</v>
      </c>
      <c r="H58" s="19"/>
      <c r="I58" s="19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293</v>
      </c>
      <c r="C59" s="11" t="s">
        <v>45</v>
      </c>
      <c r="D59" s="9" t="s">
        <v>156</v>
      </c>
      <c r="E59" s="16" t="s">
        <v>256</v>
      </c>
      <c r="F59" s="17"/>
      <c r="G59" s="17" t="s">
        <v>1135</v>
      </c>
      <c r="H59" s="19"/>
      <c r="I59" s="19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294</v>
      </c>
      <c r="C60" s="11" t="s">
        <v>45</v>
      </c>
      <c r="D60" s="9" t="s">
        <v>157</v>
      </c>
      <c r="E60" s="16" t="s">
        <v>256</v>
      </c>
      <c r="F60" s="17"/>
      <c r="G60" s="17" t="s">
        <v>1136</v>
      </c>
      <c r="H60" s="19"/>
      <c r="I60" s="19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295</v>
      </c>
      <c r="C61" s="11" t="s">
        <v>45</v>
      </c>
      <c r="D61" s="9" t="s">
        <v>158</v>
      </c>
      <c r="E61" s="16" t="s">
        <v>256</v>
      </c>
      <c r="F61" s="17"/>
      <c r="G61" s="17" t="s">
        <v>1137</v>
      </c>
      <c r="H61" s="19"/>
      <c r="I61" s="19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1625</v>
      </c>
      <c r="C62" s="11" t="s">
        <v>45</v>
      </c>
      <c r="D62" s="9" t="s">
        <v>1806</v>
      </c>
      <c r="E62" s="16" t="s">
        <v>256</v>
      </c>
      <c r="F62" s="17"/>
      <c r="G62" s="17" t="s">
        <v>1866</v>
      </c>
      <c r="H62" s="19"/>
      <c r="I62" s="19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11" t="s">
        <v>1469</v>
      </c>
      <c r="C63" s="11" t="s">
        <v>45</v>
      </c>
      <c r="D63" s="9" t="s">
        <v>1807</v>
      </c>
      <c r="E63" s="16" t="s">
        <v>256</v>
      </c>
      <c r="F63" s="17"/>
      <c r="G63" s="17" t="s">
        <v>1138</v>
      </c>
      <c r="H63" s="19"/>
      <c r="I63" s="19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1470</v>
      </c>
      <c r="C64" s="11" t="s">
        <v>45</v>
      </c>
      <c r="D64" s="9" t="s">
        <v>1808</v>
      </c>
      <c r="E64" s="16" t="s">
        <v>256</v>
      </c>
      <c r="F64" s="17"/>
      <c r="G64" s="17" t="s">
        <v>1139</v>
      </c>
      <c r="H64" s="19"/>
      <c r="I64" s="19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1471</v>
      </c>
      <c r="C65" s="11" t="s">
        <v>45</v>
      </c>
      <c r="D65" s="9" t="s">
        <v>1809</v>
      </c>
      <c r="E65" s="16" t="s">
        <v>256</v>
      </c>
      <c r="F65" s="17"/>
      <c r="G65" s="17" t="s">
        <v>1140</v>
      </c>
      <c r="H65" s="19"/>
      <c r="I65" s="19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1472</v>
      </c>
      <c r="C66" s="11" t="s">
        <v>45</v>
      </c>
      <c r="D66" s="9" t="s">
        <v>1810</v>
      </c>
      <c r="E66" s="16" t="s">
        <v>256</v>
      </c>
      <c r="F66" s="17"/>
      <c r="G66" s="17" t="s">
        <v>1141</v>
      </c>
      <c r="H66" s="19"/>
      <c r="I66" s="19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1473</v>
      </c>
      <c r="C67" s="11" t="s">
        <v>45</v>
      </c>
      <c r="D67" s="9" t="s">
        <v>1811</v>
      </c>
      <c r="E67" s="16" t="s">
        <v>256</v>
      </c>
      <c r="F67" s="17"/>
      <c r="G67" s="17" t="s">
        <v>1142</v>
      </c>
      <c r="H67" s="19"/>
      <c r="I67" s="19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1662</v>
      </c>
      <c r="C68" s="11" t="s">
        <v>45</v>
      </c>
      <c r="D68" s="9" t="s">
        <v>1812</v>
      </c>
      <c r="E68" s="16" t="s">
        <v>256</v>
      </c>
      <c r="F68" s="17"/>
      <c r="G68" s="17" t="s">
        <v>1094</v>
      </c>
      <c r="H68" s="19"/>
      <c r="I68" s="19"/>
      <c r="J68" s="19" t="s">
        <v>133</v>
      </c>
      <c r="K68" s="19" t="s">
        <v>202</v>
      </c>
      <c r="L68" s="19" t="s">
        <v>67</v>
      </c>
    </row>
    <row r="69" spans="1:12" s="1" customFormat="1">
      <c r="A69" s="15"/>
      <c r="B69" s="11" t="s">
        <v>1525</v>
      </c>
      <c r="C69" s="11" t="s">
        <v>45</v>
      </c>
      <c r="D69" s="9" t="s">
        <v>1526</v>
      </c>
      <c r="E69" s="16" t="s">
        <v>256</v>
      </c>
      <c r="F69" s="17"/>
      <c r="G69" s="17" t="s">
        <v>1571</v>
      </c>
      <c r="H69" s="19"/>
      <c r="I69" s="19"/>
      <c r="J69" s="19" t="s">
        <v>133</v>
      </c>
      <c r="K69" s="19" t="s">
        <v>1640</v>
      </c>
      <c r="L69" s="19" t="s">
        <v>67</v>
      </c>
    </row>
    <row r="70" spans="1:12" s="1" customFormat="1">
      <c r="A70" s="15"/>
      <c r="B70" s="11" t="s">
        <v>1527</v>
      </c>
      <c r="C70" s="11" t="s">
        <v>45</v>
      </c>
      <c r="D70" s="9" t="s">
        <v>1528</v>
      </c>
      <c r="E70" s="16" t="s">
        <v>256</v>
      </c>
      <c r="F70" s="17"/>
      <c r="G70" s="17" t="s">
        <v>1572</v>
      </c>
      <c r="H70" s="19"/>
      <c r="I70" s="19"/>
      <c r="J70" s="19" t="s">
        <v>133</v>
      </c>
      <c r="K70" s="19" t="s">
        <v>1640</v>
      </c>
      <c r="L70" s="19" t="s">
        <v>67</v>
      </c>
    </row>
    <row r="71" spans="1:12" s="1" customFormat="1">
      <c r="A71" s="15"/>
      <c r="B71" s="11" t="s">
        <v>1529</v>
      </c>
      <c r="C71" s="11" t="s">
        <v>45</v>
      </c>
      <c r="D71" s="9" t="s">
        <v>1530</v>
      </c>
      <c r="E71" s="16" t="s">
        <v>256</v>
      </c>
      <c r="F71" s="17"/>
      <c r="G71" s="17" t="s">
        <v>1573</v>
      </c>
      <c r="H71" s="19"/>
      <c r="I71" s="19"/>
      <c r="J71" s="19" t="s">
        <v>133</v>
      </c>
      <c r="K71" s="19" t="s">
        <v>1640</v>
      </c>
      <c r="L71" s="19" t="s">
        <v>67</v>
      </c>
    </row>
    <row r="72" spans="1:12" s="1" customFormat="1">
      <c r="A72" s="15"/>
      <c r="B72" s="11" t="s">
        <v>1531</v>
      </c>
      <c r="C72" s="11" t="s">
        <v>45</v>
      </c>
      <c r="D72" s="9" t="s">
        <v>1532</v>
      </c>
      <c r="E72" s="16" t="s">
        <v>256</v>
      </c>
      <c r="F72" s="17"/>
      <c r="G72" s="17" t="s">
        <v>1574</v>
      </c>
      <c r="H72" s="19"/>
      <c r="I72" s="19"/>
      <c r="J72" s="19" t="s">
        <v>133</v>
      </c>
      <c r="K72" s="19" t="s">
        <v>1640</v>
      </c>
      <c r="L72" s="19" t="s">
        <v>67</v>
      </c>
    </row>
    <row r="73" spans="1:12" s="1" customFormat="1">
      <c r="A73" s="15"/>
      <c r="B73" s="11" t="s">
        <v>1533</v>
      </c>
      <c r="C73" s="11" t="s">
        <v>45</v>
      </c>
      <c r="D73" s="9" t="s">
        <v>1534</v>
      </c>
      <c r="E73" s="16" t="s">
        <v>256</v>
      </c>
      <c r="F73" s="17"/>
      <c r="G73" s="17" t="s">
        <v>1575</v>
      </c>
      <c r="H73" s="19"/>
      <c r="I73" s="19"/>
      <c r="J73" s="19" t="s">
        <v>133</v>
      </c>
      <c r="K73" s="19" t="s">
        <v>1640</v>
      </c>
      <c r="L73" s="19" t="s">
        <v>67</v>
      </c>
    </row>
    <row r="74" spans="1:12" s="1" customFormat="1">
      <c r="A74" s="15"/>
      <c r="B74" s="11" t="s">
        <v>1663</v>
      </c>
      <c r="C74" s="11" t="s">
        <v>45</v>
      </c>
      <c r="D74" s="9" t="s">
        <v>1813</v>
      </c>
      <c r="E74" s="16" t="s">
        <v>256</v>
      </c>
      <c r="F74" s="17"/>
      <c r="G74" s="17" t="s">
        <v>1095</v>
      </c>
      <c r="H74" s="19"/>
      <c r="I74" s="19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1664</v>
      </c>
      <c r="C75" s="11" t="s">
        <v>45</v>
      </c>
      <c r="D75" s="9" t="s">
        <v>1540</v>
      </c>
      <c r="E75" s="16" t="s">
        <v>256</v>
      </c>
      <c r="F75" s="17"/>
      <c r="G75" s="17" t="s">
        <v>1576</v>
      </c>
      <c r="H75" s="19"/>
      <c r="I75" s="19"/>
      <c r="J75" s="19" t="s">
        <v>133</v>
      </c>
      <c r="K75" s="19" t="s">
        <v>1640</v>
      </c>
      <c r="L75" s="19" t="s">
        <v>67</v>
      </c>
    </row>
    <row r="76" spans="1:12" s="1" customFormat="1">
      <c r="A76" s="15"/>
      <c r="B76" s="11" t="s">
        <v>1541</v>
      </c>
      <c r="C76" s="11" t="s">
        <v>45</v>
      </c>
      <c r="D76" s="9" t="s">
        <v>1542</v>
      </c>
      <c r="E76" s="16" t="s">
        <v>256</v>
      </c>
      <c r="F76" s="17"/>
      <c r="G76" s="17" t="s">
        <v>1577</v>
      </c>
      <c r="H76" s="19"/>
      <c r="I76" s="19"/>
      <c r="J76" s="19" t="s">
        <v>133</v>
      </c>
      <c r="K76" s="19" t="s">
        <v>1640</v>
      </c>
      <c r="L76" s="19" t="s">
        <v>67</v>
      </c>
    </row>
    <row r="77" spans="1:12" s="1" customFormat="1">
      <c r="A77" s="15"/>
      <c r="B77" s="11" t="s">
        <v>1543</v>
      </c>
      <c r="C77" s="11" t="s">
        <v>45</v>
      </c>
      <c r="D77" s="9" t="s">
        <v>1544</v>
      </c>
      <c r="E77" s="16" t="s">
        <v>256</v>
      </c>
      <c r="F77" s="17"/>
      <c r="G77" s="17" t="s">
        <v>1578</v>
      </c>
      <c r="H77" s="19"/>
      <c r="I77" s="19"/>
      <c r="J77" s="19" t="s">
        <v>133</v>
      </c>
      <c r="K77" s="19" t="s">
        <v>1640</v>
      </c>
      <c r="L77" s="19" t="s">
        <v>67</v>
      </c>
    </row>
    <row r="78" spans="1:12" s="1" customFormat="1">
      <c r="A78" s="15"/>
      <c r="B78" s="11" t="s">
        <v>1545</v>
      </c>
      <c r="C78" s="11" t="s">
        <v>45</v>
      </c>
      <c r="D78" s="9" t="s">
        <v>1546</v>
      </c>
      <c r="E78" s="16" t="s">
        <v>256</v>
      </c>
      <c r="F78" s="17"/>
      <c r="G78" s="17" t="s">
        <v>1579</v>
      </c>
      <c r="H78" s="19"/>
      <c r="I78" s="19"/>
      <c r="J78" s="19" t="s">
        <v>133</v>
      </c>
      <c r="K78" s="19" t="s">
        <v>1640</v>
      </c>
      <c r="L78" s="19" t="s">
        <v>67</v>
      </c>
    </row>
    <row r="79" spans="1:12" s="1" customFormat="1">
      <c r="A79" s="15"/>
      <c r="B79" s="11" t="s">
        <v>1547</v>
      </c>
      <c r="C79" s="11" t="s">
        <v>45</v>
      </c>
      <c r="D79" s="9" t="s">
        <v>1548</v>
      </c>
      <c r="E79" s="16" t="s">
        <v>256</v>
      </c>
      <c r="F79" s="17"/>
      <c r="G79" s="17" t="s">
        <v>1580</v>
      </c>
      <c r="H79" s="19"/>
      <c r="I79" s="19"/>
      <c r="J79" s="19" t="s">
        <v>133</v>
      </c>
      <c r="K79" s="19" t="s">
        <v>1640</v>
      </c>
      <c r="L79" s="19" t="s">
        <v>67</v>
      </c>
    </row>
    <row r="80" spans="1:12" s="1" customFormat="1">
      <c r="A80" s="15"/>
      <c r="B80" s="11" t="s">
        <v>1665</v>
      </c>
      <c r="C80" s="11" t="s">
        <v>45</v>
      </c>
      <c r="D80" s="9" t="s">
        <v>1814</v>
      </c>
      <c r="E80" s="16" t="s">
        <v>256</v>
      </c>
      <c r="F80" s="17"/>
      <c r="G80" s="17" t="s">
        <v>1099</v>
      </c>
      <c r="H80" s="19"/>
      <c r="I80" s="19"/>
      <c r="J80" s="19" t="s">
        <v>133</v>
      </c>
      <c r="K80" s="19" t="s">
        <v>202</v>
      </c>
      <c r="L80" s="19" t="s">
        <v>67</v>
      </c>
    </row>
    <row r="81" spans="1:17" s="1" customFormat="1">
      <c r="A81" s="15"/>
      <c r="B81" s="11" t="s">
        <v>1666</v>
      </c>
      <c r="C81" s="11" t="s">
        <v>45</v>
      </c>
      <c r="D81" s="9" t="s">
        <v>1555</v>
      </c>
      <c r="E81" s="16" t="s">
        <v>256</v>
      </c>
      <c r="F81" s="17"/>
      <c r="G81" s="17" t="s">
        <v>1581</v>
      </c>
      <c r="H81" s="19"/>
      <c r="I81" s="19"/>
      <c r="J81" s="19" t="s">
        <v>133</v>
      </c>
      <c r="K81" s="19" t="s">
        <v>1640</v>
      </c>
      <c r="L81" s="19" t="s">
        <v>67</v>
      </c>
    </row>
    <row r="82" spans="1:17" s="1" customFormat="1">
      <c r="A82" s="15"/>
      <c r="B82" s="11" t="s">
        <v>1556</v>
      </c>
      <c r="C82" s="11" t="s">
        <v>45</v>
      </c>
      <c r="D82" s="9" t="s">
        <v>1557</v>
      </c>
      <c r="E82" s="16" t="s">
        <v>256</v>
      </c>
      <c r="F82" s="17"/>
      <c r="G82" s="17" t="s">
        <v>1582</v>
      </c>
      <c r="H82" s="19"/>
      <c r="I82" s="19"/>
      <c r="J82" s="19" t="s">
        <v>133</v>
      </c>
      <c r="K82" s="19" t="s">
        <v>1640</v>
      </c>
      <c r="L82" s="19" t="s">
        <v>67</v>
      </c>
    </row>
    <row r="83" spans="1:17" s="1" customFormat="1">
      <c r="A83" s="15"/>
      <c r="B83" s="11" t="s">
        <v>1558</v>
      </c>
      <c r="C83" s="11" t="s">
        <v>45</v>
      </c>
      <c r="D83" s="9" t="s">
        <v>1559</v>
      </c>
      <c r="E83" s="16" t="s">
        <v>256</v>
      </c>
      <c r="F83" s="17"/>
      <c r="G83" s="17" t="s">
        <v>1583</v>
      </c>
      <c r="H83" s="19"/>
      <c r="I83" s="19"/>
      <c r="J83" s="19" t="s">
        <v>133</v>
      </c>
      <c r="K83" s="19" t="s">
        <v>1640</v>
      </c>
      <c r="L83" s="19" t="s">
        <v>67</v>
      </c>
    </row>
    <row r="84" spans="1:17" s="1" customFormat="1">
      <c r="A84" s="15"/>
      <c r="B84" s="11" t="s">
        <v>1560</v>
      </c>
      <c r="C84" s="11" t="s">
        <v>45</v>
      </c>
      <c r="D84" s="9" t="s">
        <v>1561</v>
      </c>
      <c r="E84" s="16" t="s">
        <v>256</v>
      </c>
      <c r="F84" s="17"/>
      <c r="G84" s="17" t="s">
        <v>1584</v>
      </c>
      <c r="H84" s="19"/>
      <c r="I84" s="19"/>
      <c r="J84" s="19" t="s">
        <v>133</v>
      </c>
      <c r="K84" s="19" t="s">
        <v>1640</v>
      </c>
      <c r="L84" s="19" t="s">
        <v>67</v>
      </c>
    </row>
    <row r="85" spans="1:17" s="1" customFormat="1">
      <c r="A85" s="15"/>
      <c r="B85" s="11" t="s">
        <v>1562</v>
      </c>
      <c r="C85" s="11" t="s">
        <v>45</v>
      </c>
      <c r="D85" s="9" t="s">
        <v>1563</v>
      </c>
      <c r="E85" s="16" t="s">
        <v>256</v>
      </c>
      <c r="F85" s="17"/>
      <c r="G85" s="17" t="s">
        <v>1585</v>
      </c>
      <c r="H85" s="19"/>
      <c r="I85" s="19"/>
      <c r="J85" s="19" t="s">
        <v>133</v>
      </c>
      <c r="K85" s="19" t="s">
        <v>1640</v>
      </c>
      <c r="L85" s="19" t="s">
        <v>67</v>
      </c>
    </row>
    <row r="86" spans="1:17" s="3" customFormat="1">
      <c r="B86" s="23" t="s">
        <v>47</v>
      </c>
      <c r="C86" s="24" t="s">
        <v>46</v>
      </c>
      <c r="D86" s="21" t="s">
        <v>48</v>
      </c>
      <c r="E86" s="44"/>
      <c r="F86" s="44"/>
      <c r="G86" s="44"/>
      <c r="H86" s="23"/>
      <c r="I86" s="23"/>
      <c r="J86" s="23"/>
      <c r="K86" s="23"/>
      <c r="L86" s="23"/>
      <c r="M86" s="23"/>
      <c r="N86" s="23"/>
      <c r="O86" s="23"/>
      <c r="P86" s="23"/>
      <c r="Q86" s="23"/>
    </row>
    <row r="87" spans="1:17" s="3" customFormat="1">
      <c r="B87" s="23" t="s">
        <v>49</v>
      </c>
      <c r="C87" s="24" t="s">
        <v>43</v>
      </c>
      <c r="D87" s="21" t="s">
        <v>50</v>
      </c>
      <c r="E87" s="44"/>
      <c r="F87" s="44"/>
      <c r="G87" s="44" t="s">
        <v>282</v>
      </c>
      <c r="H87" s="23"/>
      <c r="I87" s="23"/>
      <c r="J87" s="23"/>
      <c r="K87" s="23"/>
      <c r="L87" s="23"/>
      <c r="M87" s="23"/>
      <c r="N87" s="23"/>
      <c r="O87" s="23"/>
      <c r="P87" s="23"/>
      <c r="Q87" s="23"/>
    </row>
    <row r="88" spans="1:17" s="3" customFormat="1">
      <c r="B88" s="23" t="s">
        <v>119</v>
      </c>
      <c r="C88" s="24" t="s">
        <v>46</v>
      </c>
      <c r="D88" s="21" t="s">
        <v>1815</v>
      </c>
      <c r="E88" s="44"/>
      <c r="F88" s="44"/>
      <c r="G88" s="44"/>
      <c r="H88" s="23"/>
      <c r="I88" s="23"/>
      <c r="J88" s="23"/>
      <c r="K88" s="23"/>
      <c r="L88" s="23"/>
      <c r="M88" s="23"/>
      <c r="N88" s="23"/>
      <c r="O88" s="23"/>
      <c r="P88" s="23"/>
      <c r="Q88" s="23"/>
    </row>
  </sheetData>
  <autoFilter ref="A13:Q87" xr:uid="{00000000-0009-0000-0000-00000B000000}"/>
  <mergeCells count="5">
    <mergeCell ref="B2:H2"/>
    <mergeCell ref="B3:H3"/>
    <mergeCell ref="B7:H7"/>
    <mergeCell ref="G9:G10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9236-1E3D-48F5-82F8-6CD7EDE39D6C}">
  <sheetPr codeName="Sheet52"/>
  <dimension ref="A1:N69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2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2">
      <c r="B1" s="5" t="str">
        <f>HYPERLINK("#导航!a2","返回")</f>
        <v>返回</v>
      </c>
    </row>
    <row r="2" spans="2:12">
      <c r="B2" s="128"/>
      <c r="C2" s="128"/>
      <c r="D2" s="128"/>
      <c r="E2" s="128"/>
      <c r="F2" s="128"/>
      <c r="G2" s="128"/>
      <c r="H2" s="128"/>
    </row>
    <row r="3" spans="2:12">
      <c r="B3" s="124" t="s">
        <v>18</v>
      </c>
      <c r="C3" s="124"/>
      <c r="D3" s="124"/>
      <c r="E3" s="124"/>
      <c r="F3" s="124"/>
      <c r="G3" s="124"/>
      <c r="H3" s="124"/>
    </row>
    <row r="4" spans="2:12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2">
      <c r="B5" s="8" t="s">
        <v>69</v>
      </c>
      <c r="C5" s="28" t="s">
        <v>1926</v>
      </c>
      <c r="D5" s="82" t="s">
        <v>1828</v>
      </c>
      <c r="E5" s="11" t="s">
        <v>1338</v>
      </c>
      <c r="F5" s="42"/>
      <c r="G5" s="11"/>
      <c r="H5" s="11"/>
    </row>
    <row r="6" spans="2:12">
      <c r="B6" s="6"/>
      <c r="C6" s="6"/>
      <c r="D6" s="6"/>
      <c r="E6" s="6"/>
      <c r="F6" s="43"/>
      <c r="G6" s="43"/>
      <c r="H6" s="6"/>
    </row>
    <row r="7" spans="2:12">
      <c r="B7" s="124" t="s">
        <v>25</v>
      </c>
      <c r="C7" s="124"/>
      <c r="D7" s="124"/>
      <c r="E7" s="124"/>
      <c r="F7" s="124"/>
      <c r="G7" s="124"/>
      <c r="H7" s="124"/>
    </row>
    <row r="8" spans="2:12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2">
      <c r="B9" s="11"/>
      <c r="C9" s="9" t="s">
        <v>1692</v>
      </c>
      <c r="D9" s="82" t="s">
        <v>1693</v>
      </c>
      <c r="E9" s="11" t="s">
        <v>128</v>
      </c>
      <c r="F9" s="17"/>
      <c r="G9" s="132" t="s">
        <v>1792</v>
      </c>
      <c r="H9" s="14" t="s">
        <v>17</v>
      </c>
    </row>
    <row r="10" spans="2:12">
      <c r="B10" s="11"/>
      <c r="C10" s="9" t="s">
        <v>1850</v>
      </c>
      <c r="D10" s="82" t="s">
        <v>1686</v>
      </c>
      <c r="E10" s="11" t="s">
        <v>1617</v>
      </c>
      <c r="F10" s="17" t="s">
        <v>1691</v>
      </c>
      <c r="G10" s="135"/>
      <c r="H10" s="14"/>
    </row>
    <row r="12" spans="2:12">
      <c r="B12" s="4" t="s">
        <v>32</v>
      </c>
    </row>
    <row r="13" spans="2:12">
      <c r="B13" s="124" t="s">
        <v>32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</row>
    <row r="14" spans="2:12">
      <c r="B14" s="7" t="s">
        <v>33</v>
      </c>
      <c r="C14" s="7" t="s">
        <v>34</v>
      </c>
      <c r="D14" s="7" t="s">
        <v>35</v>
      </c>
      <c r="E14" s="7" t="s">
        <v>36</v>
      </c>
      <c r="F14" s="12" t="s">
        <v>37</v>
      </c>
      <c r="G14" s="12" t="s">
        <v>38</v>
      </c>
      <c r="H14" s="7" t="s">
        <v>39</v>
      </c>
      <c r="I14" s="7" t="s">
        <v>14</v>
      </c>
      <c r="J14" s="7" t="s">
        <v>40</v>
      </c>
      <c r="K14" s="7" t="s">
        <v>41</v>
      </c>
      <c r="L14" s="7" t="s">
        <v>42</v>
      </c>
    </row>
    <row r="15" spans="2:12" s="1" customFormat="1">
      <c r="B15" s="22" t="s">
        <v>1168</v>
      </c>
      <c r="C15" s="22" t="s">
        <v>43</v>
      </c>
      <c r="D15" s="9" t="s">
        <v>1267</v>
      </c>
      <c r="E15" s="16" t="s">
        <v>128</v>
      </c>
      <c r="F15" s="17" t="s">
        <v>90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132</v>
      </c>
    </row>
    <row r="16" spans="2:12" s="1" customFormat="1">
      <c r="B16" s="22" t="s">
        <v>1067</v>
      </c>
      <c r="C16" s="22" t="s">
        <v>46</v>
      </c>
      <c r="D16" s="9" t="s">
        <v>1160</v>
      </c>
      <c r="E16" s="16" t="s">
        <v>128</v>
      </c>
      <c r="F16" s="17" t="s">
        <v>91</v>
      </c>
      <c r="G16" s="17" t="s">
        <v>129</v>
      </c>
      <c r="H16" s="18"/>
      <c r="I16" s="19"/>
      <c r="J16" s="19" t="s">
        <v>131</v>
      </c>
      <c r="K16" s="19" t="s">
        <v>132</v>
      </c>
      <c r="L16" s="19" t="s">
        <v>132</v>
      </c>
    </row>
    <row r="17" spans="1:12" s="1" customFormat="1">
      <c r="B17" s="22" t="s">
        <v>24</v>
      </c>
      <c r="C17" s="22" t="s">
        <v>46</v>
      </c>
      <c r="D17" s="9" t="s">
        <v>1678</v>
      </c>
      <c r="E17" s="16" t="s">
        <v>128</v>
      </c>
      <c r="F17" s="17" t="s">
        <v>92</v>
      </c>
      <c r="G17" s="17" t="s">
        <v>129</v>
      </c>
      <c r="H17" s="18"/>
      <c r="I17" s="19"/>
      <c r="J17" s="19" t="s">
        <v>131</v>
      </c>
      <c r="K17" s="19" t="s">
        <v>132</v>
      </c>
      <c r="L17" s="19" t="s">
        <v>132</v>
      </c>
    </row>
    <row r="18" spans="1:12" s="1" customFormat="1">
      <c r="A18" s="15"/>
      <c r="B18" s="22" t="s">
        <v>1270</v>
      </c>
      <c r="C18" s="22" t="s">
        <v>43</v>
      </c>
      <c r="D18" s="9" t="s">
        <v>1265</v>
      </c>
      <c r="E18" s="16" t="s">
        <v>128</v>
      </c>
      <c r="F18" s="17" t="s">
        <v>1270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132</v>
      </c>
    </row>
    <row r="19" spans="1:12" s="1" customFormat="1">
      <c r="A19" s="15"/>
      <c r="B19" s="22" t="s">
        <v>1694</v>
      </c>
      <c r="C19" s="22" t="s">
        <v>43</v>
      </c>
      <c r="D19" s="9" t="s">
        <v>1720</v>
      </c>
      <c r="E19" s="16" t="s">
        <v>128</v>
      </c>
      <c r="F19" s="17" t="s">
        <v>1694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132</v>
      </c>
    </row>
    <row r="20" spans="1:12" s="1" customFormat="1">
      <c r="A20" s="15"/>
      <c r="B20" s="22" t="s">
        <v>1695</v>
      </c>
      <c r="C20" s="22" t="s">
        <v>43</v>
      </c>
      <c r="D20" s="9" t="s">
        <v>1721</v>
      </c>
      <c r="E20" s="16" t="s">
        <v>128</v>
      </c>
      <c r="F20" s="9" t="s">
        <v>1695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132</v>
      </c>
    </row>
    <row r="21" spans="1:12" s="1" customFormat="1">
      <c r="A21" s="15"/>
      <c r="B21" s="11" t="s">
        <v>1696</v>
      </c>
      <c r="C21" s="22" t="s">
        <v>43</v>
      </c>
      <c r="D21" s="9" t="s">
        <v>1722</v>
      </c>
      <c r="E21" s="16" t="s">
        <v>128</v>
      </c>
      <c r="F21" s="9" t="s">
        <v>1696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132</v>
      </c>
    </row>
    <row r="22" spans="1:12" s="1" customFormat="1">
      <c r="A22" s="15"/>
      <c r="B22" s="11" t="s">
        <v>1697</v>
      </c>
      <c r="C22" s="22" t="s">
        <v>43</v>
      </c>
      <c r="D22" s="9" t="s">
        <v>1723</v>
      </c>
      <c r="E22" s="16" t="s">
        <v>128</v>
      </c>
      <c r="F22" s="9" t="s">
        <v>1697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132</v>
      </c>
    </row>
    <row r="23" spans="1:12" s="1" customFormat="1">
      <c r="A23" s="15"/>
      <c r="B23" s="11" t="s">
        <v>1698</v>
      </c>
      <c r="C23" s="22" t="s">
        <v>56</v>
      </c>
      <c r="D23" s="9" t="s">
        <v>1724</v>
      </c>
      <c r="E23" s="16" t="s">
        <v>128</v>
      </c>
      <c r="F23" s="9" t="s">
        <v>1698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132</v>
      </c>
    </row>
    <row r="24" spans="1:12" s="1" customFormat="1">
      <c r="A24" s="15"/>
      <c r="B24" s="11" t="s">
        <v>1699</v>
      </c>
      <c r="C24" s="22" t="s">
        <v>56</v>
      </c>
      <c r="D24" s="9" t="s">
        <v>1725</v>
      </c>
      <c r="E24" s="16" t="s">
        <v>128</v>
      </c>
      <c r="F24" s="9" t="s">
        <v>1699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132</v>
      </c>
    </row>
    <row r="25" spans="1:12" s="1" customFormat="1">
      <c r="A25" s="15"/>
      <c r="B25" s="11" t="s">
        <v>1069</v>
      </c>
      <c r="C25" s="11" t="s">
        <v>43</v>
      </c>
      <c r="D25" s="9" t="s">
        <v>1178</v>
      </c>
      <c r="E25" s="16" t="s">
        <v>128</v>
      </c>
      <c r="F25" s="9" t="s">
        <v>1069</v>
      </c>
      <c r="G25" s="17" t="s">
        <v>129</v>
      </c>
      <c r="H25" s="18"/>
      <c r="I25" s="35"/>
      <c r="J25" s="19" t="s">
        <v>131</v>
      </c>
      <c r="K25" s="19" t="s">
        <v>132</v>
      </c>
      <c r="L25" s="19" t="s">
        <v>132</v>
      </c>
    </row>
    <row r="26" spans="1:12" s="1" customFormat="1">
      <c r="A26" s="15"/>
      <c r="B26" s="11" t="s">
        <v>85</v>
      </c>
      <c r="C26" s="11" t="s">
        <v>46</v>
      </c>
      <c r="D26" s="9" t="s">
        <v>107</v>
      </c>
      <c r="E26" s="16" t="s">
        <v>1617</v>
      </c>
      <c r="F26" s="17" t="s">
        <v>85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132</v>
      </c>
    </row>
    <row r="27" spans="1:12" s="1" customFormat="1">
      <c r="A27" s="15"/>
      <c r="B27" s="11" t="s">
        <v>1383</v>
      </c>
      <c r="C27" s="11" t="s">
        <v>45</v>
      </c>
      <c r="D27" s="9" t="s">
        <v>348</v>
      </c>
      <c r="E27" s="16" t="s">
        <v>1617</v>
      </c>
      <c r="F27" s="17"/>
      <c r="G27" s="17" t="s">
        <v>257</v>
      </c>
      <c r="H27" s="18"/>
      <c r="I27" s="20"/>
      <c r="J27" s="19" t="s">
        <v>133</v>
      </c>
      <c r="K27" s="19" t="s">
        <v>202</v>
      </c>
      <c r="L27" s="19" t="s">
        <v>67</v>
      </c>
    </row>
    <row r="28" spans="1:12" s="1" customFormat="1">
      <c r="A28" s="15"/>
      <c r="B28" s="11" t="s">
        <v>296</v>
      </c>
      <c r="C28" s="11" t="s">
        <v>45</v>
      </c>
      <c r="D28" s="9" t="s">
        <v>759</v>
      </c>
      <c r="E28" s="16" t="s">
        <v>1617</v>
      </c>
      <c r="F28" s="9"/>
      <c r="G28" s="17" t="s">
        <v>320</v>
      </c>
      <c r="H28" s="18"/>
      <c r="I28" s="20"/>
      <c r="J28" s="19" t="s">
        <v>133</v>
      </c>
      <c r="K28" s="19" t="s">
        <v>204</v>
      </c>
      <c r="L28" s="19" t="s">
        <v>67</v>
      </c>
    </row>
    <row r="29" spans="1:12" s="1" customFormat="1">
      <c r="A29" s="15"/>
      <c r="B29" s="11" t="s">
        <v>297</v>
      </c>
      <c r="C29" s="11" t="s">
        <v>45</v>
      </c>
      <c r="D29" s="9" t="s">
        <v>160</v>
      </c>
      <c r="E29" s="16" t="s">
        <v>1617</v>
      </c>
      <c r="F29" s="17"/>
      <c r="G29" s="17" t="s">
        <v>319</v>
      </c>
      <c r="H29" s="18"/>
      <c r="I29" s="20"/>
      <c r="J29" s="19" t="s">
        <v>133</v>
      </c>
      <c r="K29" s="19" t="s">
        <v>204</v>
      </c>
      <c r="L29" s="19" t="s">
        <v>67</v>
      </c>
    </row>
    <row r="30" spans="1:12" s="1" customFormat="1">
      <c r="B30" s="22" t="s">
        <v>1188</v>
      </c>
      <c r="C30" s="62" t="s">
        <v>45</v>
      </c>
      <c r="D30" s="9" t="s">
        <v>1771</v>
      </c>
      <c r="E30" s="16" t="s">
        <v>1617</v>
      </c>
      <c r="F30" s="17"/>
      <c r="G30" s="17" t="s">
        <v>1781</v>
      </c>
      <c r="H30" s="18"/>
      <c r="I30" s="19"/>
      <c r="J30" s="19" t="s">
        <v>133</v>
      </c>
      <c r="K30" s="19" t="s">
        <v>202</v>
      </c>
      <c r="L30" s="19" t="s">
        <v>67</v>
      </c>
    </row>
    <row r="31" spans="1:12" s="1" customFormat="1">
      <c r="B31" s="22" t="s">
        <v>1190</v>
      </c>
      <c r="C31" s="62" t="s">
        <v>45</v>
      </c>
      <c r="D31" s="9" t="s">
        <v>1772</v>
      </c>
      <c r="E31" s="16" t="s">
        <v>1617</v>
      </c>
      <c r="F31" s="9"/>
      <c r="G31" s="17" t="s">
        <v>1626</v>
      </c>
      <c r="H31" s="18"/>
      <c r="I31" s="19"/>
      <c r="J31" s="19" t="s">
        <v>133</v>
      </c>
      <c r="K31" s="19" t="s">
        <v>202</v>
      </c>
      <c r="L31" s="19" t="s">
        <v>67</v>
      </c>
    </row>
    <row r="32" spans="1:12" s="15" customFormat="1">
      <c r="B32" s="22" t="s">
        <v>159</v>
      </c>
      <c r="C32" s="11" t="s">
        <v>45</v>
      </c>
      <c r="D32" s="9" t="s">
        <v>1774</v>
      </c>
      <c r="E32" s="16" t="s">
        <v>1617</v>
      </c>
      <c r="F32" s="17"/>
      <c r="G32" s="17" t="s">
        <v>1868</v>
      </c>
      <c r="H32" s="18"/>
      <c r="I32" s="20"/>
      <c r="J32" s="19" t="s">
        <v>133</v>
      </c>
      <c r="K32" s="19" t="s">
        <v>202</v>
      </c>
      <c r="L32" s="19" t="s">
        <v>67</v>
      </c>
    </row>
    <row r="33" spans="1:12" s="1" customFormat="1">
      <c r="A33" s="15"/>
      <c r="B33" s="11" t="s">
        <v>1836</v>
      </c>
      <c r="C33" s="11" t="s">
        <v>45</v>
      </c>
      <c r="D33" s="9" t="s">
        <v>1840</v>
      </c>
      <c r="E33" s="16" t="s">
        <v>1617</v>
      </c>
      <c r="F33" s="17"/>
      <c r="G33" s="17" t="s">
        <v>1203</v>
      </c>
      <c r="H33" s="18"/>
      <c r="I33" s="17"/>
      <c r="J33" s="19" t="s">
        <v>1186</v>
      </c>
      <c r="K33" s="19" t="s">
        <v>44</v>
      </c>
      <c r="L33" s="19" t="s">
        <v>67</v>
      </c>
    </row>
    <row r="34" spans="1:12" s="1" customFormat="1">
      <c r="A34" s="15"/>
      <c r="B34" s="11" t="s">
        <v>1837</v>
      </c>
      <c r="C34" s="11" t="s">
        <v>45</v>
      </c>
      <c r="D34" s="9" t="s">
        <v>1841</v>
      </c>
      <c r="E34" s="16" t="s">
        <v>1617</v>
      </c>
      <c r="F34" s="17"/>
      <c r="G34" s="17" t="s">
        <v>1785</v>
      </c>
      <c r="H34" s="18"/>
      <c r="I34" s="17"/>
      <c r="J34" s="19" t="s">
        <v>1186</v>
      </c>
      <c r="K34" s="19" t="s">
        <v>44</v>
      </c>
      <c r="L34" s="19" t="s">
        <v>67</v>
      </c>
    </row>
    <row r="35" spans="1:12" s="1" customFormat="1">
      <c r="A35" s="15"/>
      <c r="B35" s="11" t="s">
        <v>1838</v>
      </c>
      <c r="C35" s="11" t="s">
        <v>45</v>
      </c>
      <c r="D35" s="9" t="s">
        <v>1842</v>
      </c>
      <c r="E35" s="16" t="s">
        <v>1617</v>
      </c>
      <c r="F35" s="17"/>
      <c r="G35" s="17" t="s">
        <v>768</v>
      </c>
      <c r="H35" s="18"/>
      <c r="I35" s="17"/>
      <c r="J35" s="19" t="s">
        <v>1186</v>
      </c>
      <c r="K35" s="19" t="s">
        <v>44</v>
      </c>
      <c r="L35" s="19" t="s">
        <v>67</v>
      </c>
    </row>
    <row r="36" spans="1:12" s="1" customFormat="1">
      <c r="A36" s="15"/>
      <c r="B36" s="22" t="s">
        <v>1839</v>
      </c>
      <c r="C36" s="22" t="s">
        <v>45</v>
      </c>
      <c r="D36" s="9" t="s">
        <v>1843</v>
      </c>
      <c r="E36" s="16" t="s">
        <v>1617</v>
      </c>
      <c r="F36" s="17"/>
      <c r="G36" s="17" t="s">
        <v>1124</v>
      </c>
      <c r="H36" s="18"/>
      <c r="I36" s="17"/>
      <c r="J36" s="19" t="s">
        <v>1186</v>
      </c>
      <c r="K36" s="19" t="s">
        <v>44</v>
      </c>
      <c r="L36" s="19" t="s">
        <v>67</v>
      </c>
    </row>
    <row r="37" spans="1:12" s="1" customFormat="1">
      <c r="A37" s="15"/>
      <c r="B37" s="11" t="s">
        <v>1833</v>
      </c>
      <c r="C37" s="11" t="s">
        <v>45</v>
      </c>
      <c r="D37" s="9" t="s">
        <v>1846</v>
      </c>
      <c r="E37" s="16" t="s">
        <v>1617</v>
      </c>
      <c r="F37" s="72"/>
      <c r="G37" s="17" t="s">
        <v>1124</v>
      </c>
      <c r="H37" s="18"/>
      <c r="I37" s="17"/>
      <c r="J37" s="19" t="s">
        <v>1186</v>
      </c>
      <c r="K37" s="19" t="s">
        <v>44</v>
      </c>
      <c r="L37" s="19" t="s">
        <v>67</v>
      </c>
    </row>
    <row r="38" spans="1:12" s="1" customFormat="1">
      <c r="A38" s="15"/>
      <c r="B38" s="11" t="s">
        <v>1834</v>
      </c>
      <c r="C38" s="11" t="s">
        <v>45</v>
      </c>
      <c r="D38" s="9" t="s">
        <v>1844</v>
      </c>
      <c r="E38" s="16" t="s">
        <v>1617</v>
      </c>
      <c r="F38" s="72"/>
      <c r="G38" s="17" t="s">
        <v>1847</v>
      </c>
      <c r="H38" s="18"/>
      <c r="I38" s="17"/>
      <c r="J38" s="19" t="s">
        <v>1186</v>
      </c>
      <c r="K38" s="19" t="s">
        <v>44</v>
      </c>
      <c r="L38" s="19" t="s">
        <v>67</v>
      </c>
    </row>
    <row r="39" spans="1:12" s="1" customFormat="1">
      <c r="A39" s="15"/>
      <c r="B39" s="11" t="s">
        <v>1835</v>
      </c>
      <c r="C39" s="11" t="s">
        <v>45</v>
      </c>
      <c r="D39" s="9" t="s">
        <v>1845</v>
      </c>
      <c r="E39" s="16" t="s">
        <v>1617</v>
      </c>
      <c r="F39" s="72"/>
      <c r="G39" s="9" t="s">
        <v>1789</v>
      </c>
      <c r="H39" s="18"/>
      <c r="I39" s="17"/>
      <c r="J39" s="19" t="s">
        <v>1186</v>
      </c>
      <c r="K39" s="19" t="s">
        <v>44</v>
      </c>
      <c r="L39" s="19">
        <v>0</v>
      </c>
    </row>
    <row r="40" spans="1:12" s="1" customFormat="1">
      <c r="A40" s="15"/>
      <c r="B40" s="11" t="s">
        <v>1384</v>
      </c>
      <c r="C40" s="11" t="s">
        <v>45</v>
      </c>
      <c r="D40" s="9" t="s">
        <v>497</v>
      </c>
      <c r="E40" s="16" t="s">
        <v>1617</v>
      </c>
      <c r="F40" s="72"/>
      <c r="G40" s="17" t="s">
        <v>768</v>
      </c>
      <c r="H40" s="18"/>
      <c r="I40" s="17"/>
      <c r="J40" s="19" t="s">
        <v>1186</v>
      </c>
      <c r="K40" s="19" t="s">
        <v>44</v>
      </c>
      <c r="L40" s="19" t="s">
        <v>67</v>
      </c>
    </row>
    <row r="41" spans="1:12" s="1" customFormat="1">
      <c r="A41" s="15"/>
      <c r="B41" s="11" t="s">
        <v>1643</v>
      </c>
      <c r="C41" s="11" t="s">
        <v>45</v>
      </c>
      <c r="D41" s="9" t="s">
        <v>1769</v>
      </c>
      <c r="E41" s="16" t="s">
        <v>1617</v>
      </c>
      <c r="F41" s="72"/>
      <c r="G41" s="17" t="s">
        <v>1105</v>
      </c>
      <c r="H41" s="18"/>
      <c r="I41" s="17"/>
      <c r="J41" s="19" t="s">
        <v>1186</v>
      </c>
      <c r="K41" s="19" t="s">
        <v>44</v>
      </c>
      <c r="L41" s="19" t="s">
        <v>67</v>
      </c>
    </row>
    <row r="42" spans="1:12" s="1" customFormat="1">
      <c r="A42" s="15"/>
      <c r="B42" s="11" t="s">
        <v>1964</v>
      </c>
      <c r="C42" s="11" t="s">
        <v>45</v>
      </c>
      <c r="D42" s="9" t="s">
        <v>1770</v>
      </c>
      <c r="E42" s="16" t="s">
        <v>1617</v>
      </c>
      <c r="F42" s="72"/>
      <c r="G42" s="17" t="s">
        <v>1104</v>
      </c>
      <c r="H42" s="18"/>
      <c r="I42" s="17"/>
      <c r="J42" s="19" t="s">
        <v>1186</v>
      </c>
      <c r="K42" s="19" t="s">
        <v>44</v>
      </c>
      <c r="L42" s="19" t="s">
        <v>67</v>
      </c>
    </row>
    <row r="43" spans="1:12" s="1" customFormat="1">
      <c r="A43" s="15"/>
      <c r="B43" s="11" t="s">
        <v>1708</v>
      </c>
      <c r="C43" s="11" t="s">
        <v>45</v>
      </c>
      <c r="D43" s="9" t="s">
        <v>1767</v>
      </c>
      <c r="E43" s="16" t="s">
        <v>1617</v>
      </c>
      <c r="F43" s="72"/>
      <c r="G43" s="17" t="s">
        <v>1668</v>
      </c>
      <c r="H43" s="18"/>
      <c r="I43" s="17"/>
      <c r="J43" s="19" t="s">
        <v>1186</v>
      </c>
      <c r="K43" s="19" t="s">
        <v>203</v>
      </c>
      <c r="L43" s="19" t="s">
        <v>67</v>
      </c>
    </row>
    <row r="44" spans="1:12" s="1" customFormat="1">
      <c r="A44" s="15"/>
      <c r="B44" s="11" t="s">
        <v>1420</v>
      </c>
      <c r="C44" s="11" t="s">
        <v>45</v>
      </c>
      <c r="D44" s="9" t="s">
        <v>1758</v>
      </c>
      <c r="E44" s="16" t="s">
        <v>1617</v>
      </c>
      <c r="F44" s="72"/>
      <c r="G44" s="17" t="s">
        <v>1103</v>
      </c>
      <c r="H44" s="18"/>
      <c r="I44" s="17"/>
      <c r="J44" s="19" t="s">
        <v>1186</v>
      </c>
      <c r="K44" s="19" t="s">
        <v>44</v>
      </c>
      <c r="L44" s="19">
        <v>0</v>
      </c>
    </row>
    <row r="45" spans="1:12" s="1" customFormat="1">
      <c r="A45" s="15"/>
      <c r="B45" s="11" t="s">
        <v>1657</v>
      </c>
      <c r="C45" s="11" t="s">
        <v>45</v>
      </c>
      <c r="D45" s="9" t="s">
        <v>1761</v>
      </c>
      <c r="E45" s="16" t="s">
        <v>1617</v>
      </c>
      <c r="F45" s="72"/>
      <c r="G45" s="17" t="s">
        <v>1788</v>
      </c>
      <c r="H45" s="18"/>
      <c r="I45" s="17"/>
      <c r="J45" s="19" t="s">
        <v>1186</v>
      </c>
      <c r="K45" s="19" t="s">
        <v>44</v>
      </c>
      <c r="L45" s="19">
        <v>0</v>
      </c>
    </row>
    <row r="46" spans="1:12" s="1" customFormat="1">
      <c r="A46" s="15"/>
      <c r="B46" s="11" t="s">
        <v>1658</v>
      </c>
      <c r="C46" s="11" t="s">
        <v>45</v>
      </c>
      <c r="D46" s="9" t="s">
        <v>1763</v>
      </c>
      <c r="E46" s="16" t="s">
        <v>1617</v>
      </c>
      <c r="F46" s="72"/>
      <c r="G46" s="17" t="s">
        <v>1788</v>
      </c>
      <c r="H46" s="18"/>
      <c r="I46" s="17"/>
      <c r="J46" s="19" t="s">
        <v>1186</v>
      </c>
      <c r="K46" s="19" t="s">
        <v>44</v>
      </c>
      <c r="L46" s="19">
        <v>0</v>
      </c>
    </row>
    <row r="47" spans="1:12" s="1" customFormat="1">
      <c r="A47" s="15"/>
      <c r="B47" s="11" t="s">
        <v>1659</v>
      </c>
      <c r="C47" s="11" t="s">
        <v>45</v>
      </c>
      <c r="D47" s="9" t="s">
        <v>1764</v>
      </c>
      <c r="E47" s="16" t="s">
        <v>1617</v>
      </c>
      <c r="F47" s="72"/>
      <c r="G47" s="17" t="s">
        <v>1788</v>
      </c>
      <c r="H47" s="18"/>
      <c r="I47" s="17"/>
      <c r="J47" s="19" t="s">
        <v>1186</v>
      </c>
      <c r="K47" s="19" t="s">
        <v>44</v>
      </c>
      <c r="L47" s="19">
        <v>0</v>
      </c>
    </row>
    <row r="48" spans="1:12" s="1" customFormat="1">
      <c r="A48" s="15"/>
      <c r="B48" s="11" t="s">
        <v>1660</v>
      </c>
      <c r="C48" s="11" t="s">
        <v>45</v>
      </c>
      <c r="D48" s="9" t="s">
        <v>1765</v>
      </c>
      <c r="E48" s="16" t="s">
        <v>1617</v>
      </c>
      <c r="F48" s="72"/>
      <c r="G48" s="17" t="s">
        <v>1788</v>
      </c>
      <c r="H48" s="18"/>
      <c r="I48" s="17"/>
      <c r="J48" s="19" t="s">
        <v>1186</v>
      </c>
      <c r="K48" s="19" t="s">
        <v>44</v>
      </c>
      <c r="L48" s="19">
        <v>0</v>
      </c>
    </row>
    <row r="49" spans="1:12" s="1" customFormat="1">
      <c r="A49" s="15"/>
      <c r="B49" s="11" t="s">
        <v>1661</v>
      </c>
      <c r="C49" s="11" t="s">
        <v>45</v>
      </c>
      <c r="D49" s="9" t="s">
        <v>1766</v>
      </c>
      <c r="E49" s="16" t="s">
        <v>1617</v>
      </c>
      <c r="F49" s="72"/>
      <c r="G49" s="17" t="s">
        <v>1788</v>
      </c>
      <c r="H49" s="18"/>
      <c r="I49" s="17"/>
      <c r="J49" s="19" t="s">
        <v>1186</v>
      </c>
      <c r="K49" s="19" t="s">
        <v>44</v>
      </c>
      <c r="L49" s="19">
        <v>0</v>
      </c>
    </row>
    <row r="50" spans="1:12" s="1" customFormat="1">
      <c r="A50" s="15"/>
      <c r="B50" s="11" t="s">
        <v>1651</v>
      </c>
      <c r="C50" s="11" t="s">
        <v>45</v>
      </c>
      <c r="D50" s="9" t="s">
        <v>1726</v>
      </c>
      <c r="E50" s="16" t="s">
        <v>1617</v>
      </c>
      <c r="F50" s="72"/>
      <c r="G50" s="17" t="s">
        <v>1780</v>
      </c>
      <c r="H50" s="18"/>
      <c r="I50" s="17"/>
      <c r="J50" s="19" t="s">
        <v>1186</v>
      </c>
      <c r="K50" s="19" t="s">
        <v>202</v>
      </c>
      <c r="L50" s="19" t="s">
        <v>67</v>
      </c>
    </row>
    <row r="51" spans="1:12" s="1" customFormat="1">
      <c r="A51" s="15"/>
      <c r="B51" s="11" t="s">
        <v>286</v>
      </c>
      <c r="C51" s="11" t="s">
        <v>45</v>
      </c>
      <c r="D51" s="9" t="s">
        <v>148</v>
      </c>
      <c r="E51" s="16" t="s">
        <v>1617</v>
      </c>
      <c r="F51" s="72"/>
      <c r="G51" s="17" t="s">
        <v>1127</v>
      </c>
      <c r="H51" s="18"/>
      <c r="I51" s="17"/>
      <c r="J51" s="19" t="s">
        <v>1186</v>
      </c>
      <c r="K51" s="19" t="s">
        <v>44</v>
      </c>
      <c r="L51" s="19" t="s">
        <v>67</v>
      </c>
    </row>
    <row r="52" spans="1:12" s="1" customFormat="1">
      <c r="A52" s="15"/>
      <c r="B52" s="11" t="s">
        <v>287</v>
      </c>
      <c r="C52" s="11" t="s">
        <v>45</v>
      </c>
      <c r="D52" s="9" t="s">
        <v>149</v>
      </c>
      <c r="E52" s="16" t="s">
        <v>1617</v>
      </c>
      <c r="F52" s="72"/>
      <c r="G52" s="17" t="s">
        <v>1128</v>
      </c>
      <c r="H52" s="18"/>
      <c r="I52" s="17"/>
      <c r="J52" s="19" t="s">
        <v>1186</v>
      </c>
      <c r="K52" s="19" t="s">
        <v>44</v>
      </c>
      <c r="L52" s="19" t="s">
        <v>67</v>
      </c>
    </row>
    <row r="53" spans="1:12" s="1" customFormat="1">
      <c r="A53" s="15"/>
      <c r="B53" s="11" t="s">
        <v>288</v>
      </c>
      <c r="C53" s="11" t="s">
        <v>45</v>
      </c>
      <c r="D53" s="9" t="s">
        <v>150</v>
      </c>
      <c r="E53" s="16" t="s">
        <v>1617</v>
      </c>
      <c r="F53" s="72"/>
      <c r="G53" s="17" t="s">
        <v>1129</v>
      </c>
      <c r="H53" s="18"/>
      <c r="I53" s="17"/>
      <c r="J53" s="19" t="s">
        <v>1186</v>
      </c>
      <c r="K53" s="19" t="s">
        <v>44</v>
      </c>
      <c r="L53" s="19" t="s">
        <v>67</v>
      </c>
    </row>
    <row r="54" spans="1:12" s="1" customFormat="1">
      <c r="A54" s="15"/>
      <c r="B54" s="11" t="s">
        <v>289</v>
      </c>
      <c r="C54" s="11" t="s">
        <v>45</v>
      </c>
      <c r="D54" s="9" t="s">
        <v>151</v>
      </c>
      <c r="E54" s="16" t="s">
        <v>1617</v>
      </c>
      <c r="F54" s="72"/>
      <c r="G54" s="17" t="s">
        <v>1130</v>
      </c>
      <c r="H54" s="18"/>
      <c r="I54" s="17"/>
      <c r="J54" s="19" t="s">
        <v>1186</v>
      </c>
      <c r="K54" s="19" t="s">
        <v>44</v>
      </c>
      <c r="L54" s="19" t="s">
        <v>67</v>
      </c>
    </row>
    <row r="55" spans="1:12" s="1" customFormat="1">
      <c r="A55" s="15"/>
      <c r="B55" s="11" t="s">
        <v>290</v>
      </c>
      <c r="C55" s="11" t="s">
        <v>45</v>
      </c>
      <c r="D55" s="9" t="s">
        <v>152</v>
      </c>
      <c r="E55" s="16" t="s">
        <v>1617</v>
      </c>
      <c r="F55" s="72"/>
      <c r="G55" s="17" t="s">
        <v>1131</v>
      </c>
      <c r="H55" s="18"/>
      <c r="I55" s="17"/>
      <c r="J55" s="19" t="s">
        <v>1186</v>
      </c>
      <c r="K55" s="19" t="s">
        <v>44</v>
      </c>
      <c r="L55" s="19" t="s">
        <v>67</v>
      </c>
    </row>
    <row r="56" spans="1:12" s="1" customFormat="1">
      <c r="A56" s="15"/>
      <c r="B56" s="11" t="s">
        <v>1591</v>
      </c>
      <c r="C56" s="11" t="s">
        <v>45</v>
      </c>
      <c r="D56" s="9" t="s">
        <v>1727</v>
      </c>
      <c r="E56" s="16" t="s">
        <v>1617</v>
      </c>
      <c r="F56" s="72"/>
      <c r="G56" s="17" t="s">
        <v>1627</v>
      </c>
      <c r="H56" s="18"/>
      <c r="I56" s="17"/>
      <c r="J56" s="19" t="s">
        <v>1186</v>
      </c>
      <c r="K56" s="19" t="s">
        <v>202</v>
      </c>
      <c r="L56" s="19" t="s">
        <v>67</v>
      </c>
    </row>
    <row r="57" spans="1:12" s="1" customFormat="1">
      <c r="A57" s="15"/>
      <c r="B57" s="11" t="s">
        <v>291</v>
      </c>
      <c r="C57" s="11" t="s">
        <v>45</v>
      </c>
      <c r="D57" s="9" t="s">
        <v>154</v>
      </c>
      <c r="E57" s="16" t="s">
        <v>1617</v>
      </c>
      <c r="F57" s="72"/>
      <c r="G57" s="17" t="s">
        <v>1133</v>
      </c>
      <c r="H57" s="18"/>
      <c r="I57" s="17"/>
      <c r="J57" s="19" t="s">
        <v>1186</v>
      </c>
      <c r="K57" s="19" t="s">
        <v>44</v>
      </c>
      <c r="L57" s="19" t="s">
        <v>67</v>
      </c>
    </row>
    <row r="58" spans="1:12" s="1" customFormat="1">
      <c r="A58" s="15"/>
      <c r="B58" s="11" t="s">
        <v>292</v>
      </c>
      <c r="C58" s="11" t="s">
        <v>45</v>
      </c>
      <c r="D58" s="9" t="s">
        <v>155</v>
      </c>
      <c r="E58" s="16" t="s">
        <v>1617</v>
      </c>
      <c r="F58" s="72"/>
      <c r="G58" s="17" t="s">
        <v>1134</v>
      </c>
      <c r="H58" s="18"/>
      <c r="I58" s="17"/>
      <c r="J58" s="19" t="s">
        <v>1186</v>
      </c>
      <c r="K58" s="19" t="s">
        <v>44</v>
      </c>
      <c r="L58" s="19" t="s">
        <v>67</v>
      </c>
    </row>
    <row r="59" spans="1:12" s="1" customFormat="1">
      <c r="A59" s="15"/>
      <c r="B59" s="11" t="s">
        <v>293</v>
      </c>
      <c r="C59" s="11" t="s">
        <v>45</v>
      </c>
      <c r="D59" s="9" t="s">
        <v>156</v>
      </c>
      <c r="E59" s="16" t="s">
        <v>1617</v>
      </c>
      <c r="F59" s="72"/>
      <c r="G59" s="17" t="s">
        <v>1135</v>
      </c>
      <c r="H59" s="18"/>
      <c r="I59" s="17"/>
      <c r="J59" s="19" t="s">
        <v>1186</v>
      </c>
      <c r="K59" s="19" t="s">
        <v>44</v>
      </c>
      <c r="L59" s="19" t="s">
        <v>67</v>
      </c>
    </row>
    <row r="60" spans="1:12" s="1" customFormat="1">
      <c r="A60" s="15"/>
      <c r="B60" s="11" t="s">
        <v>294</v>
      </c>
      <c r="C60" s="11" t="s">
        <v>45</v>
      </c>
      <c r="D60" s="9" t="s">
        <v>157</v>
      </c>
      <c r="E60" s="16" t="s">
        <v>1617</v>
      </c>
      <c r="F60" s="72"/>
      <c r="G60" s="17" t="s">
        <v>1136</v>
      </c>
      <c r="H60" s="18"/>
      <c r="I60" s="17"/>
      <c r="J60" s="19" t="s">
        <v>1186</v>
      </c>
      <c r="K60" s="19" t="s">
        <v>44</v>
      </c>
      <c r="L60" s="19" t="s">
        <v>67</v>
      </c>
    </row>
    <row r="61" spans="1:12" s="1" customFormat="1">
      <c r="A61" s="15"/>
      <c r="B61" s="11" t="s">
        <v>295</v>
      </c>
      <c r="C61" s="11" t="s">
        <v>45</v>
      </c>
      <c r="D61" s="9" t="s">
        <v>158</v>
      </c>
      <c r="E61" s="16" t="s">
        <v>1617</v>
      </c>
      <c r="F61" s="72"/>
      <c r="G61" s="17" t="s">
        <v>1137</v>
      </c>
      <c r="H61" s="18"/>
      <c r="I61" s="17"/>
      <c r="J61" s="19" t="s">
        <v>1186</v>
      </c>
      <c r="K61" s="19" t="s">
        <v>44</v>
      </c>
      <c r="L61" s="19" t="s">
        <v>67</v>
      </c>
    </row>
    <row r="62" spans="1:12" s="1" customFormat="1">
      <c r="A62" s="15"/>
      <c r="B62" s="11" t="s">
        <v>1625</v>
      </c>
      <c r="C62" s="11" t="s">
        <v>45</v>
      </c>
      <c r="D62" s="9" t="s">
        <v>1728</v>
      </c>
      <c r="E62" s="16" t="s">
        <v>1617</v>
      </c>
      <c r="F62" s="72"/>
      <c r="G62" s="17" t="s">
        <v>1866</v>
      </c>
      <c r="H62" s="18"/>
      <c r="I62" s="17"/>
      <c r="J62" s="19" t="s">
        <v>1186</v>
      </c>
      <c r="K62" s="19" t="s">
        <v>202</v>
      </c>
      <c r="L62" s="19" t="s">
        <v>67</v>
      </c>
    </row>
    <row r="63" spans="1:12" s="1" customFormat="1">
      <c r="A63" s="15"/>
      <c r="B63" s="11" t="s">
        <v>1469</v>
      </c>
      <c r="C63" s="11" t="s">
        <v>45</v>
      </c>
      <c r="D63" s="9" t="s">
        <v>1750</v>
      </c>
      <c r="E63" s="16" t="s">
        <v>1617</v>
      </c>
      <c r="F63" s="72"/>
      <c r="G63" s="17" t="s">
        <v>1138</v>
      </c>
      <c r="H63" s="18"/>
      <c r="I63" s="17"/>
      <c r="J63" s="19" t="s">
        <v>1186</v>
      </c>
      <c r="K63" s="19" t="s">
        <v>44</v>
      </c>
      <c r="L63" s="19" t="s">
        <v>67</v>
      </c>
    </row>
    <row r="64" spans="1:12" s="1" customFormat="1">
      <c r="A64" s="15"/>
      <c r="B64" s="11" t="s">
        <v>1470</v>
      </c>
      <c r="C64" s="11" t="s">
        <v>45</v>
      </c>
      <c r="D64" s="9" t="s">
        <v>1752</v>
      </c>
      <c r="E64" s="16" t="s">
        <v>1617</v>
      </c>
      <c r="F64" s="72"/>
      <c r="G64" s="17" t="s">
        <v>1139</v>
      </c>
      <c r="H64" s="18"/>
      <c r="I64" s="17"/>
      <c r="J64" s="19" t="s">
        <v>1186</v>
      </c>
      <c r="K64" s="19" t="s">
        <v>44</v>
      </c>
      <c r="L64" s="19" t="s">
        <v>67</v>
      </c>
    </row>
    <row r="65" spans="1:14" s="1" customFormat="1">
      <c r="A65" s="15"/>
      <c r="B65" s="11" t="s">
        <v>1471</v>
      </c>
      <c r="C65" s="11" t="s">
        <v>45</v>
      </c>
      <c r="D65" s="9" t="s">
        <v>1753</v>
      </c>
      <c r="E65" s="16" t="s">
        <v>1617</v>
      </c>
      <c r="F65" s="72"/>
      <c r="G65" s="17" t="s">
        <v>1140</v>
      </c>
      <c r="H65" s="18"/>
      <c r="I65" s="17"/>
      <c r="J65" s="19" t="s">
        <v>1186</v>
      </c>
      <c r="K65" s="19" t="s">
        <v>44</v>
      </c>
      <c r="L65" s="19" t="s">
        <v>67</v>
      </c>
    </row>
    <row r="66" spans="1:14" s="1" customFormat="1">
      <c r="A66" s="15"/>
      <c r="B66" s="11" t="s">
        <v>1472</v>
      </c>
      <c r="C66" s="11" t="s">
        <v>45</v>
      </c>
      <c r="D66" s="9" t="s">
        <v>1754</v>
      </c>
      <c r="E66" s="16" t="s">
        <v>1617</v>
      </c>
      <c r="F66" s="72"/>
      <c r="G66" s="17" t="s">
        <v>1141</v>
      </c>
      <c r="H66" s="18"/>
      <c r="I66" s="17"/>
      <c r="J66" s="19" t="s">
        <v>1186</v>
      </c>
      <c r="K66" s="19" t="s">
        <v>44</v>
      </c>
      <c r="L66" s="19" t="s">
        <v>67</v>
      </c>
    </row>
    <row r="67" spans="1:14" s="1" customFormat="1">
      <c r="A67" s="15"/>
      <c r="B67" s="11" t="s">
        <v>1473</v>
      </c>
      <c r="C67" s="11" t="s">
        <v>45</v>
      </c>
      <c r="D67" s="9" t="s">
        <v>1755</v>
      </c>
      <c r="E67" s="16" t="s">
        <v>1617</v>
      </c>
      <c r="F67" s="72"/>
      <c r="G67" s="17" t="s">
        <v>1142</v>
      </c>
      <c r="H67" s="18"/>
      <c r="I67" s="17"/>
      <c r="J67" s="19" t="s">
        <v>1186</v>
      </c>
      <c r="K67" s="19" t="s">
        <v>44</v>
      </c>
      <c r="L67" s="19" t="s">
        <v>67</v>
      </c>
    </row>
    <row r="68" spans="1:14" s="3" customFormat="1">
      <c r="B68" s="23" t="s">
        <v>47</v>
      </c>
      <c r="C68" s="24" t="s">
        <v>46</v>
      </c>
      <c r="D68" s="21" t="s">
        <v>48</v>
      </c>
      <c r="E68" s="44"/>
      <c r="F68" s="44"/>
      <c r="G68" s="44" t="s">
        <v>282</v>
      </c>
      <c r="H68" s="23" t="s">
        <v>282</v>
      </c>
      <c r="I68" s="23"/>
      <c r="J68" s="23"/>
      <c r="K68" s="23"/>
      <c r="L68" s="23"/>
      <c r="M68" s="23"/>
      <c r="N68" s="23"/>
    </row>
    <row r="69" spans="1:14" s="3" customFormat="1">
      <c r="B69" s="23" t="s">
        <v>49</v>
      </c>
      <c r="C69" s="24" t="s">
        <v>43</v>
      </c>
      <c r="D69" s="21" t="s">
        <v>50</v>
      </c>
      <c r="E69" s="44"/>
      <c r="F69" s="44"/>
      <c r="G69" s="44" t="s">
        <v>282</v>
      </c>
      <c r="H69" s="23" t="s">
        <v>282</v>
      </c>
      <c r="I69" s="23"/>
      <c r="J69" s="23"/>
      <c r="K69" s="23"/>
      <c r="L69" s="23"/>
      <c r="M69" s="23"/>
      <c r="N69" s="23"/>
    </row>
  </sheetData>
  <autoFilter ref="A14:N69" xr:uid="{00000000-0009-0000-0000-00000B000000}"/>
  <mergeCells count="5">
    <mergeCell ref="B2:H2"/>
    <mergeCell ref="B3:H3"/>
    <mergeCell ref="B7:H7"/>
    <mergeCell ref="G9:G10"/>
    <mergeCell ref="B13:L13"/>
  </mergeCells>
  <phoneticPr fontId="16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061D-D898-4664-B9FC-302ED2BD088B}">
  <sheetPr codeName="Sheet38"/>
  <dimension ref="A1:N74"/>
  <sheetViews>
    <sheetView zoomScale="85" zoomScaleNormal="85" workbookViewId="0">
      <pane ySplit="5" topLeftCell="A6" activePane="bottomLeft" state="frozen"/>
      <selection activeCell="G45" sqref="G45"/>
      <selection pane="bottomLeft" activeCell="B1" sqref="B1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2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2">
      <c r="B1" s="5" t="str">
        <f>HYPERLINK("#导航!a2","返回")</f>
        <v>返回</v>
      </c>
    </row>
    <row r="2" spans="2:12">
      <c r="B2" s="128"/>
      <c r="C2" s="128"/>
      <c r="D2" s="128"/>
      <c r="E2" s="128"/>
      <c r="F2" s="128"/>
      <c r="G2" s="128"/>
      <c r="H2" s="128"/>
    </row>
    <row r="3" spans="2:12">
      <c r="B3" s="124" t="s">
        <v>18</v>
      </c>
      <c r="C3" s="124"/>
      <c r="D3" s="124"/>
      <c r="E3" s="124"/>
      <c r="F3" s="124"/>
      <c r="G3" s="124"/>
      <c r="H3" s="124"/>
    </row>
    <row r="4" spans="2:12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2">
      <c r="B5" s="8" t="s">
        <v>69</v>
      </c>
      <c r="C5" s="9" t="s">
        <v>1927</v>
      </c>
      <c r="D5" s="82" t="s">
        <v>1852</v>
      </c>
      <c r="E5" s="11" t="s">
        <v>1338</v>
      </c>
      <c r="F5" s="42"/>
      <c r="G5" s="11"/>
      <c r="H5" s="11"/>
    </row>
    <row r="6" spans="2:12">
      <c r="B6" s="6"/>
      <c r="C6" s="6"/>
      <c r="D6" s="6"/>
      <c r="E6" s="6"/>
      <c r="F6" s="43"/>
      <c r="G6" s="43"/>
      <c r="H6" s="6"/>
    </row>
    <row r="7" spans="2:12">
      <c r="B7" s="124" t="s">
        <v>25</v>
      </c>
      <c r="C7" s="124"/>
      <c r="D7" s="124"/>
      <c r="E7" s="124"/>
      <c r="F7" s="124"/>
      <c r="G7" s="124"/>
      <c r="H7" s="124"/>
    </row>
    <row r="8" spans="2:12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2">
      <c r="B9" s="11"/>
      <c r="C9" s="9" t="s">
        <v>1692</v>
      </c>
      <c r="D9" s="82" t="s">
        <v>1693</v>
      </c>
      <c r="E9" s="11" t="s">
        <v>128</v>
      </c>
      <c r="F9" s="17"/>
      <c r="G9" s="132" t="s">
        <v>1792</v>
      </c>
      <c r="H9" s="14" t="s">
        <v>17</v>
      </c>
    </row>
    <row r="10" spans="2:12">
      <c r="B10" s="11"/>
      <c r="C10" s="9" t="s">
        <v>1851</v>
      </c>
      <c r="D10" s="82" t="s">
        <v>1687</v>
      </c>
      <c r="E10" s="11" t="s">
        <v>1617</v>
      </c>
      <c r="F10" s="17" t="s">
        <v>1691</v>
      </c>
      <c r="G10" s="135"/>
      <c r="H10" s="14"/>
    </row>
    <row r="12" spans="2:12">
      <c r="B12" s="4" t="s">
        <v>32</v>
      </c>
    </row>
    <row r="13" spans="2:12">
      <c r="B13" s="124" t="s">
        <v>32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</row>
    <row r="14" spans="2:12">
      <c r="B14" s="7" t="s">
        <v>33</v>
      </c>
      <c r="C14" s="7" t="s">
        <v>34</v>
      </c>
      <c r="D14" s="7" t="s">
        <v>35</v>
      </c>
      <c r="E14" s="7" t="s">
        <v>36</v>
      </c>
      <c r="F14" s="12" t="s">
        <v>37</v>
      </c>
      <c r="G14" s="12" t="s">
        <v>38</v>
      </c>
      <c r="H14" s="7" t="s">
        <v>39</v>
      </c>
      <c r="I14" s="7" t="s">
        <v>14</v>
      </c>
      <c r="J14" s="7" t="s">
        <v>40</v>
      </c>
      <c r="K14" s="7" t="s">
        <v>41</v>
      </c>
      <c r="L14" s="7" t="s">
        <v>42</v>
      </c>
    </row>
    <row r="15" spans="2:12" s="1" customFormat="1">
      <c r="B15" s="22" t="s">
        <v>1168</v>
      </c>
      <c r="C15" s="22" t="s">
        <v>43</v>
      </c>
      <c r="D15" s="9" t="s">
        <v>1267</v>
      </c>
      <c r="E15" s="16" t="s">
        <v>55</v>
      </c>
      <c r="F15" s="17" t="s">
        <v>1168</v>
      </c>
      <c r="G15" s="17" t="s">
        <v>994</v>
      </c>
      <c r="H15" s="18"/>
      <c r="I15" s="19"/>
      <c r="J15" s="19" t="s">
        <v>60</v>
      </c>
      <c r="K15" s="19" t="s">
        <v>44</v>
      </c>
      <c r="L15" s="19" t="s">
        <v>44</v>
      </c>
    </row>
    <row r="16" spans="2:12" s="1" customFormat="1">
      <c r="B16" s="22" t="s">
        <v>1067</v>
      </c>
      <c r="C16" s="22" t="s">
        <v>46</v>
      </c>
      <c r="D16" s="9" t="s">
        <v>1160</v>
      </c>
      <c r="E16" s="16" t="s">
        <v>55</v>
      </c>
      <c r="F16" s="17" t="s">
        <v>1067</v>
      </c>
      <c r="G16" s="17" t="s">
        <v>994</v>
      </c>
      <c r="H16" s="18"/>
      <c r="I16" s="19"/>
      <c r="J16" s="19" t="s">
        <v>60</v>
      </c>
      <c r="K16" s="19" t="s">
        <v>44</v>
      </c>
      <c r="L16" s="19" t="s">
        <v>44</v>
      </c>
    </row>
    <row r="17" spans="1:12" s="1" customFormat="1">
      <c r="B17" s="22" t="s">
        <v>24</v>
      </c>
      <c r="C17" s="22" t="s">
        <v>46</v>
      </c>
      <c r="D17" s="9" t="s">
        <v>1678</v>
      </c>
      <c r="E17" s="16" t="s">
        <v>55</v>
      </c>
      <c r="F17" s="17" t="s">
        <v>24</v>
      </c>
      <c r="G17" s="17" t="s">
        <v>994</v>
      </c>
      <c r="H17" s="18"/>
      <c r="I17" s="19"/>
      <c r="J17" s="19" t="s">
        <v>60</v>
      </c>
      <c r="K17" s="19" t="s">
        <v>44</v>
      </c>
      <c r="L17" s="19" t="s">
        <v>44</v>
      </c>
    </row>
    <row r="18" spans="1:12" s="1" customFormat="1">
      <c r="A18" s="15"/>
      <c r="B18" s="22" t="s">
        <v>1270</v>
      </c>
      <c r="C18" s="22" t="s">
        <v>43</v>
      </c>
      <c r="D18" s="9" t="s">
        <v>1265</v>
      </c>
      <c r="E18" s="16" t="s">
        <v>55</v>
      </c>
      <c r="F18" s="17" t="s">
        <v>1270</v>
      </c>
      <c r="G18" s="17" t="s">
        <v>994</v>
      </c>
      <c r="H18" s="18"/>
      <c r="I18" s="20"/>
      <c r="J18" s="19" t="s">
        <v>60</v>
      </c>
      <c r="K18" s="19" t="s">
        <v>44</v>
      </c>
      <c r="L18" s="19" t="s">
        <v>44</v>
      </c>
    </row>
    <row r="19" spans="1:12" s="1" customFormat="1">
      <c r="A19" s="15"/>
      <c r="B19" s="22" t="s">
        <v>1694</v>
      </c>
      <c r="C19" s="22" t="s">
        <v>43</v>
      </c>
      <c r="D19" s="9" t="s">
        <v>1720</v>
      </c>
      <c r="E19" s="16" t="s">
        <v>55</v>
      </c>
      <c r="F19" s="17" t="s">
        <v>1694</v>
      </c>
      <c r="G19" s="17" t="s">
        <v>994</v>
      </c>
      <c r="H19" s="18"/>
      <c r="I19" s="20"/>
      <c r="J19" s="19" t="s">
        <v>60</v>
      </c>
      <c r="K19" s="19" t="s">
        <v>44</v>
      </c>
      <c r="L19" s="19" t="s">
        <v>44</v>
      </c>
    </row>
    <row r="20" spans="1:12" s="1" customFormat="1">
      <c r="A20" s="15"/>
      <c r="B20" s="22" t="s">
        <v>1695</v>
      </c>
      <c r="C20" s="22" t="s">
        <v>43</v>
      </c>
      <c r="D20" s="9" t="s">
        <v>1721</v>
      </c>
      <c r="E20" s="16" t="s">
        <v>55</v>
      </c>
      <c r="F20" s="17" t="s">
        <v>1695</v>
      </c>
      <c r="G20" s="17" t="s">
        <v>994</v>
      </c>
      <c r="H20" s="18"/>
      <c r="I20" s="20"/>
      <c r="J20" s="19" t="s">
        <v>60</v>
      </c>
      <c r="K20" s="19" t="s">
        <v>44</v>
      </c>
      <c r="L20" s="19" t="s">
        <v>44</v>
      </c>
    </row>
    <row r="21" spans="1:12" s="1" customFormat="1">
      <c r="A21" s="15"/>
      <c r="B21" s="11" t="s">
        <v>1696</v>
      </c>
      <c r="C21" s="22" t="s">
        <v>43</v>
      </c>
      <c r="D21" s="9" t="s">
        <v>1722</v>
      </c>
      <c r="E21" s="16" t="s">
        <v>55</v>
      </c>
      <c r="F21" s="17" t="s">
        <v>1696</v>
      </c>
      <c r="G21" s="17" t="s">
        <v>994</v>
      </c>
      <c r="H21" s="18"/>
      <c r="I21" s="20"/>
      <c r="J21" s="19" t="s">
        <v>60</v>
      </c>
      <c r="K21" s="19" t="s">
        <v>44</v>
      </c>
      <c r="L21" s="19" t="s">
        <v>44</v>
      </c>
    </row>
    <row r="22" spans="1:12" s="1" customFormat="1">
      <c r="A22" s="15"/>
      <c r="B22" s="11" t="s">
        <v>1697</v>
      </c>
      <c r="C22" s="22" t="s">
        <v>43</v>
      </c>
      <c r="D22" s="9" t="s">
        <v>1723</v>
      </c>
      <c r="E22" s="16" t="s">
        <v>55</v>
      </c>
      <c r="F22" s="17" t="s">
        <v>1697</v>
      </c>
      <c r="G22" s="17" t="s">
        <v>994</v>
      </c>
      <c r="H22" s="18"/>
      <c r="I22" s="20"/>
      <c r="J22" s="19" t="s">
        <v>60</v>
      </c>
      <c r="K22" s="19" t="s">
        <v>44</v>
      </c>
      <c r="L22" s="19" t="s">
        <v>44</v>
      </c>
    </row>
    <row r="23" spans="1:12" s="1" customFormat="1">
      <c r="A23" s="15"/>
      <c r="B23" s="11" t="s">
        <v>1698</v>
      </c>
      <c r="C23" s="22" t="s">
        <v>56</v>
      </c>
      <c r="D23" s="9" t="s">
        <v>1724</v>
      </c>
      <c r="E23" s="16" t="s">
        <v>55</v>
      </c>
      <c r="F23" s="17" t="s">
        <v>1698</v>
      </c>
      <c r="G23" s="17" t="s">
        <v>994</v>
      </c>
      <c r="H23" s="18"/>
      <c r="I23" s="20"/>
      <c r="J23" s="19" t="s">
        <v>60</v>
      </c>
      <c r="K23" s="19" t="s">
        <v>44</v>
      </c>
      <c r="L23" s="19" t="s">
        <v>44</v>
      </c>
    </row>
    <row r="24" spans="1:12" s="1" customFormat="1">
      <c r="A24" s="15"/>
      <c r="B24" s="11" t="s">
        <v>1699</v>
      </c>
      <c r="C24" s="22" t="s">
        <v>56</v>
      </c>
      <c r="D24" s="9" t="s">
        <v>1725</v>
      </c>
      <c r="E24" s="16" t="s">
        <v>55</v>
      </c>
      <c r="F24" s="17" t="s">
        <v>1699</v>
      </c>
      <c r="G24" s="17" t="s">
        <v>994</v>
      </c>
      <c r="H24" s="18"/>
      <c r="I24" s="20"/>
      <c r="J24" s="19" t="s">
        <v>60</v>
      </c>
      <c r="K24" s="19" t="s">
        <v>44</v>
      </c>
      <c r="L24" s="19" t="s">
        <v>44</v>
      </c>
    </row>
    <row r="25" spans="1:12" s="1" customFormat="1">
      <c r="A25" s="15"/>
      <c r="B25" s="11" t="s">
        <v>1069</v>
      </c>
      <c r="C25" s="11" t="s">
        <v>43</v>
      </c>
      <c r="D25" s="9" t="s">
        <v>1178</v>
      </c>
      <c r="E25" s="16" t="s">
        <v>55</v>
      </c>
      <c r="F25" s="17" t="s">
        <v>1069</v>
      </c>
      <c r="G25" s="17" t="s">
        <v>994</v>
      </c>
      <c r="H25" s="18"/>
      <c r="I25" s="35"/>
      <c r="J25" s="19" t="s">
        <v>60</v>
      </c>
      <c r="K25" s="19" t="s">
        <v>44</v>
      </c>
      <c r="L25" s="19" t="s">
        <v>44</v>
      </c>
    </row>
    <row r="26" spans="1:12" s="1" customFormat="1">
      <c r="A26" s="15"/>
      <c r="B26" s="11" t="s">
        <v>85</v>
      </c>
      <c r="C26" s="11" t="s">
        <v>46</v>
      </c>
      <c r="D26" s="9" t="s">
        <v>107</v>
      </c>
      <c r="E26" s="16" t="s">
        <v>256</v>
      </c>
      <c r="F26" s="17" t="s">
        <v>85</v>
      </c>
      <c r="G26" s="17" t="s">
        <v>994</v>
      </c>
      <c r="H26" s="18"/>
      <c r="I26" s="20"/>
      <c r="J26" s="19" t="s">
        <v>60</v>
      </c>
      <c r="K26" s="19" t="s">
        <v>44</v>
      </c>
      <c r="L26" s="19" t="s">
        <v>44</v>
      </c>
    </row>
    <row r="27" spans="1:12" s="1" customFormat="1">
      <c r="A27" s="15"/>
      <c r="B27" s="11" t="s">
        <v>1383</v>
      </c>
      <c r="C27" s="11" t="s">
        <v>45</v>
      </c>
      <c r="D27" s="9" t="s">
        <v>348</v>
      </c>
      <c r="E27" s="16" t="s">
        <v>256</v>
      </c>
      <c r="F27" s="17"/>
      <c r="G27" s="17" t="s">
        <v>1667</v>
      </c>
      <c r="H27" s="18"/>
      <c r="I27" s="20"/>
      <c r="J27" s="19" t="s">
        <v>1186</v>
      </c>
      <c r="K27" s="19" t="s">
        <v>202</v>
      </c>
      <c r="L27" s="19" t="s">
        <v>67</v>
      </c>
    </row>
    <row r="28" spans="1:12" s="1" customFormat="1">
      <c r="A28" s="15"/>
      <c r="B28" s="11" t="s">
        <v>296</v>
      </c>
      <c r="C28" s="11" t="s">
        <v>45</v>
      </c>
      <c r="D28" s="9" t="s">
        <v>1185</v>
      </c>
      <c r="E28" s="16" t="s">
        <v>256</v>
      </c>
      <c r="F28" s="17"/>
      <c r="G28" s="17" t="s">
        <v>1200</v>
      </c>
      <c r="H28" s="18"/>
      <c r="I28" s="20"/>
      <c r="J28" s="19" t="s">
        <v>1186</v>
      </c>
      <c r="K28" s="19" t="s">
        <v>204</v>
      </c>
      <c r="L28" s="19" t="s">
        <v>67</v>
      </c>
    </row>
    <row r="29" spans="1:12" s="1" customFormat="1">
      <c r="A29" s="15"/>
      <c r="B29" s="11" t="s">
        <v>297</v>
      </c>
      <c r="C29" s="11" t="s">
        <v>45</v>
      </c>
      <c r="D29" s="9" t="s">
        <v>160</v>
      </c>
      <c r="E29" s="16" t="s">
        <v>256</v>
      </c>
      <c r="F29" s="17"/>
      <c r="G29" s="17" t="s">
        <v>1201</v>
      </c>
      <c r="H29" s="18"/>
      <c r="I29" s="20"/>
      <c r="J29" s="19" t="s">
        <v>1186</v>
      </c>
      <c r="K29" s="19" t="s">
        <v>204</v>
      </c>
      <c r="L29" s="19" t="s">
        <v>67</v>
      </c>
    </row>
    <row r="30" spans="1:12" s="1" customFormat="1">
      <c r="B30" s="22" t="s">
        <v>1188</v>
      </c>
      <c r="C30" s="62" t="s">
        <v>45</v>
      </c>
      <c r="D30" s="9" t="s">
        <v>1189</v>
      </c>
      <c r="E30" s="16" t="s">
        <v>256</v>
      </c>
      <c r="F30" s="17"/>
      <c r="G30" s="17" t="s">
        <v>1211</v>
      </c>
      <c r="H30" s="18"/>
      <c r="I30" s="19"/>
      <c r="J30" s="19" t="s">
        <v>1186</v>
      </c>
      <c r="K30" s="19" t="s">
        <v>202</v>
      </c>
      <c r="L30" s="19" t="s">
        <v>67</v>
      </c>
    </row>
    <row r="31" spans="1:12" s="1" customFormat="1">
      <c r="B31" s="22" t="s">
        <v>1190</v>
      </c>
      <c r="C31" s="62" t="s">
        <v>45</v>
      </c>
      <c r="D31" s="9" t="s">
        <v>1191</v>
      </c>
      <c r="E31" s="16" t="s">
        <v>256</v>
      </c>
      <c r="F31" s="17"/>
      <c r="G31" s="17" t="s">
        <v>1210</v>
      </c>
      <c r="H31" s="18"/>
      <c r="I31" s="19"/>
      <c r="J31" s="19" t="s">
        <v>1186</v>
      </c>
      <c r="K31" s="19" t="s">
        <v>202</v>
      </c>
      <c r="L31" s="19" t="s">
        <v>67</v>
      </c>
    </row>
    <row r="32" spans="1:12" s="15" customFormat="1">
      <c r="B32" s="22" t="s">
        <v>159</v>
      </c>
      <c r="C32" s="11" t="s">
        <v>45</v>
      </c>
      <c r="D32" s="9" t="s">
        <v>1773</v>
      </c>
      <c r="E32" s="16" t="s">
        <v>256</v>
      </c>
      <c r="F32" s="17"/>
      <c r="G32" s="17" t="s">
        <v>1868</v>
      </c>
      <c r="H32" s="18"/>
      <c r="I32" s="20"/>
      <c r="J32" s="19" t="s">
        <v>1186</v>
      </c>
      <c r="K32" s="19" t="s">
        <v>202</v>
      </c>
      <c r="L32" s="19" t="s">
        <v>67</v>
      </c>
    </row>
    <row r="33" spans="1:12" s="1" customFormat="1">
      <c r="A33" s="15"/>
      <c r="B33" s="11" t="s">
        <v>1647</v>
      </c>
      <c r="C33" s="11" t="s">
        <v>45</v>
      </c>
      <c r="D33" s="9" t="s">
        <v>1862</v>
      </c>
      <c r="E33" s="16" t="s">
        <v>256</v>
      </c>
      <c r="F33" s="17"/>
      <c r="G33" s="17" t="s">
        <v>1867</v>
      </c>
      <c r="H33" s="18"/>
      <c r="I33" s="17"/>
      <c r="J33" s="19" t="s">
        <v>1186</v>
      </c>
      <c r="K33" s="19" t="s">
        <v>202</v>
      </c>
      <c r="L33" s="19" t="s">
        <v>67</v>
      </c>
    </row>
    <row r="34" spans="1:12" s="1" customFormat="1">
      <c r="A34" s="15"/>
      <c r="B34" s="11" t="s">
        <v>1648</v>
      </c>
      <c r="C34" s="11" t="s">
        <v>45</v>
      </c>
      <c r="D34" s="9" t="s">
        <v>1863</v>
      </c>
      <c r="E34" s="16" t="s">
        <v>256</v>
      </c>
      <c r="F34" s="17"/>
      <c r="G34" s="17" t="s">
        <v>1155</v>
      </c>
      <c r="H34" s="18"/>
      <c r="I34" s="17"/>
      <c r="J34" s="19" t="s">
        <v>1186</v>
      </c>
      <c r="K34" s="19" t="s">
        <v>903</v>
      </c>
      <c r="L34" s="19" t="s">
        <v>67</v>
      </c>
    </row>
    <row r="35" spans="1:12" s="1" customFormat="1">
      <c r="A35" s="15"/>
      <c r="B35" s="11" t="s">
        <v>1649</v>
      </c>
      <c r="C35" s="11" t="s">
        <v>45</v>
      </c>
      <c r="D35" s="9" t="s">
        <v>1865</v>
      </c>
      <c r="E35" s="16" t="s">
        <v>256</v>
      </c>
      <c r="F35" s="17"/>
      <c r="G35" s="17" t="s">
        <v>1156</v>
      </c>
      <c r="H35" s="18"/>
      <c r="I35" s="17"/>
      <c r="J35" s="19" t="s">
        <v>1186</v>
      </c>
      <c r="K35" s="19" t="s">
        <v>903</v>
      </c>
      <c r="L35" s="19" t="s">
        <v>67</v>
      </c>
    </row>
    <row r="36" spans="1:12" s="1" customFormat="1">
      <c r="A36" s="15"/>
      <c r="B36" s="22" t="s">
        <v>1650</v>
      </c>
      <c r="C36" s="22" t="s">
        <v>45</v>
      </c>
      <c r="D36" s="9" t="s">
        <v>1864</v>
      </c>
      <c r="E36" s="16" t="s">
        <v>256</v>
      </c>
      <c r="F36" s="17"/>
      <c r="G36" s="17" t="s">
        <v>1157</v>
      </c>
      <c r="H36" s="18"/>
      <c r="I36" s="17"/>
      <c r="J36" s="19" t="s">
        <v>1186</v>
      </c>
      <c r="K36" s="19" t="s">
        <v>903</v>
      </c>
      <c r="L36" s="19" t="s">
        <v>67</v>
      </c>
    </row>
    <row r="37" spans="1:12" s="1" customFormat="1">
      <c r="A37" s="15"/>
      <c r="B37" s="11" t="s">
        <v>642</v>
      </c>
      <c r="C37" s="11" t="s">
        <v>45</v>
      </c>
      <c r="D37" s="9" t="s">
        <v>497</v>
      </c>
      <c r="E37" s="16" t="s">
        <v>256</v>
      </c>
      <c r="F37" s="17"/>
      <c r="G37" s="17" t="s">
        <v>768</v>
      </c>
      <c r="H37" s="18"/>
      <c r="I37" s="17"/>
      <c r="J37" s="19" t="s">
        <v>1186</v>
      </c>
      <c r="K37" s="19" t="s">
        <v>903</v>
      </c>
      <c r="L37" s="19" t="s">
        <v>67</v>
      </c>
    </row>
    <row r="38" spans="1:12" s="1" customFormat="1">
      <c r="A38" s="15"/>
      <c r="B38" s="11" t="s">
        <v>1965</v>
      </c>
      <c r="C38" s="11" t="s">
        <v>45</v>
      </c>
      <c r="D38" s="9" t="s">
        <v>1776</v>
      </c>
      <c r="E38" s="16" t="s">
        <v>256</v>
      </c>
      <c r="F38" s="17"/>
      <c r="G38" s="17" t="s">
        <v>1124</v>
      </c>
      <c r="H38" s="18"/>
      <c r="I38" s="17"/>
      <c r="J38" s="19" t="s">
        <v>1186</v>
      </c>
      <c r="K38" s="19" t="s">
        <v>903</v>
      </c>
      <c r="L38" s="19" t="s">
        <v>67</v>
      </c>
    </row>
    <row r="39" spans="1:12" s="1" customFormat="1">
      <c r="A39" s="15"/>
      <c r="B39" s="11" t="s">
        <v>1468</v>
      </c>
      <c r="C39" s="11" t="s">
        <v>45</v>
      </c>
      <c r="D39" s="9" t="s">
        <v>1861</v>
      </c>
      <c r="E39" s="16" t="s">
        <v>256</v>
      </c>
      <c r="F39" s="17"/>
      <c r="G39" s="17" t="s">
        <v>1125</v>
      </c>
      <c r="H39" s="18"/>
      <c r="I39" s="17"/>
      <c r="J39" s="19" t="s">
        <v>1186</v>
      </c>
      <c r="K39" s="19" t="s">
        <v>903</v>
      </c>
      <c r="L39" s="19" t="s">
        <v>67</v>
      </c>
    </row>
    <row r="40" spans="1:12" s="1" customFormat="1">
      <c r="A40" s="15"/>
      <c r="B40" s="11" t="s">
        <v>1643</v>
      </c>
      <c r="C40" s="11" t="s">
        <v>45</v>
      </c>
      <c r="D40" s="9" t="s">
        <v>1769</v>
      </c>
      <c r="E40" s="16" t="s">
        <v>256</v>
      </c>
      <c r="F40" s="17"/>
      <c r="G40" s="17" t="s">
        <v>1105</v>
      </c>
      <c r="H40" s="18"/>
      <c r="I40" s="17"/>
      <c r="J40" s="19" t="s">
        <v>1186</v>
      </c>
      <c r="K40" s="19" t="s">
        <v>44</v>
      </c>
      <c r="L40" s="19" t="s">
        <v>67</v>
      </c>
    </row>
    <row r="41" spans="1:12" s="1" customFormat="1">
      <c r="A41" s="15"/>
      <c r="B41" s="11" t="s">
        <v>1964</v>
      </c>
      <c r="C41" s="11" t="s">
        <v>45</v>
      </c>
      <c r="D41" s="9" t="s">
        <v>1770</v>
      </c>
      <c r="E41" s="16" t="s">
        <v>256</v>
      </c>
      <c r="F41" s="17"/>
      <c r="G41" s="17" t="s">
        <v>1104</v>
      </c>
      <c r="H41" s="18"/>
      <c r="I41" s="17"/>
      <c r="J41" s="19" t="s">
        <v>1186</v>
      </c>
      <c r="K41" s="19" t="s">
        <v>44</v>
      </c>
      <c r="L41" s="19" t="s">
        <v>67</v>
      </c>
    </row>
    <row r="42" spans="1:12" s="1" customFormat="1">
      <c r="A42" s="15"/>
      <c r="B42" s="11" t="s">
        <v>1708</v>
      </c>
      <c r="C42" s="11" t="s">
        <v>45</v>
      </c>
      <c r="D42" s="9" t="s">
        <v>1767</v>
      </c>
      <c r="E42" s="16" t="s">
        <v>256</v>
      </c>
      <c r="F42" s="17"/>
      <c r="G42" s="17" t="s">
        <v>1668</v>
      </c>
      <c r="H42" s="18"/>
      <c r="I42" s="17"/>
      <c r="J42" s="19" t="s">
        <v>1186</v>
      </c>
      <c r="K42" s="19" t="s">
        <v>202</v>
      </c>
      <c r="L42" s="19" t="s">
        <v>67</v>
      </c>
    </row>
    <row r="43" spans="1:12" s="1" customFormat="1">
      <c r="A43" s="15"/>
      <c r="B43" s="11" t="s">
        <v>1420</v>
      </c>
      <c r="C43" s="11" t="s">
        <v>45</v>
      </c>
      <c r="D43" s="9" t="s">
        <v>1758</v>
      </c>
      <c r="E43" s="16" t="s">
        <v>256</v>
      </c>
      <c r="F43" s="17"/>
      <c r="G43" s="17" t="s">
        <v>1103</v>
      </c>
      <c r="H43" s="18"/>
      <c r="I43" s="17"/>
      <c r="J43" s="19" t="s">
        <v>1186</v>
      </c>
      <c r="K43" s="19" t="s">
        <v>202</v>
      </c>
      <c r="L43" s="19" t="s">
        <v>67</v>
      </c>
    </row>
    <row r="44" spans="1:12" s="1" customFormat="1">
      <c r="A44" s="15"/>
      <c r="B44" s="11" t="s">
        <v>1657</v>
      </c>
      <c r="C44" s="11" t="s">
        <v>45</v>
      </c>
      <c r="D44" s="9" t="s">
        <v>1761</v>
      </c>
      <c r="E44" s="16" t="s">
        <v>256</v>
      </c>
      <c r="F44" s="17"/>
      <c r="G44" s="17" t="s">
        <v>1788</v>
      </c>
      <c r="H44" s="18"/>
      <c r="I44" s="17"/>
      <c r="J44" s="19" t="s">
        <v>1186</v>
      </c>
      <c r="K44" s="19" t="s">
        <v>44</v>
      </c>
      <c r="L44" s="19">
        <v>0</v>
      </c>
    </row>
    <row r="45" spans="1:12" s="1" customFormat="1">
      <c r="A45" s="15"/>
      <c r="B45" s="11" t="s">
        <v>1658</v>
      </c>
      <c r="C45" s="11" t="s">
        <v>45</v>
      </c>
      <c r="D45" s="9" t="s">
        <v>1763</v>
      </c>
      <c r="E45" s="16" t="s">
        <v>256</v>
      </c>
      <c r="F45" s="17"/>
      <c r="G45" s="17" t="s">
        <v>1788</v>
      </c>
      <c r="H45" s="18"/>
      <c r="I45" s="17"/>
      <c r="J45" s="19" t="s">
        <v>1186</v>
      </c>
      <c r="K45" s="19" t="s">
        <v>44</v>
      </c>
      <c r="L45" s="19">
        <v>0</v>
      </c>
    </row>
    <row r="46" spans="1:12" s="1" customFormat="1">
      <c r="A46" s="15"/>
      <c r="B46" s="11" t="s">
        <v>1659</v>
      </c>
      <c r="C46" s="11" t="s">
        <v>45</v>
      </c>
      <c r="D46" s="9" t="s">
        <v>1764</v>
      </c>
      <c r="E46" s="16" t="s">
        <v>256</v>
      </c>
      <c r="F46" s="17"/>
      <c r="G46" s="17" t="s">
        <v>1788</v>
      </c>
      <c r="H46" s="18"/>
      <c r="I46" s="17"/>
      <c r="J46" s="19" t="s">
        <v>1186</v>
      </c>
      <c r="K46" s="19" t="s">
        <v>44</v>
      </c>
      <c r="L46" s="19">
        <v>0</v>
      </c>
    </row>
    <row r="47" spans="1:12" s="1" customFormat="1">
      <c r="A47" s="15"/>
      <c r="B47" s="11" t="s">
        <v>1660</v>
      </c>
      <c r="C47" s="11" t="s">
        <v>45</v>
      </c>
      <c r="D47" s="9" t="s">
        <v>1765</v>
      </c>
      <c r="E47" s="16" t="s">
        <v>256</v>
      </c>
      <c r="F47" s="17"/>
      <c r="G47" s="17" t="s">
        <v>1788</v>
      </c>
      <c r="H47" s="18"/>
      <c r="I47" s="17"/>
      <c r="J47" s="19" t="s">
        <v>1186</v>
      </c>
      <c r="K47" s="19" t="s">
        <v>44</v>
      </c>
      <c r="L47" s="19">
        <v>0</v>
      </c>
    </row>
    <row r="48" spans="1:12" s="1" customFormat="1">
      <c r="A48" s="15"/>
      <c r="B48" s="11" t="s">
        <v>1661</v>
      </c>
      <c r="C48" s="11" t="s">
        <v>45</v>
      </c>
      <c r="D48" s="9" t="s">
        <v>1766</v>
      </c>
      <c r="E48" s="16" t="s">
        <v>256</v>
      </c>
      <c r="F48" s="17"/>
      <c r="G48" s="17" t="s">
        <v>1788</v>
      </c>
      <c r="H48" s="18"/>
      <c r="I48" s="17"/>
      <c r="J48" s="19" t="s">
        <v>1186</v>
      </c>
      <c r="K48" s="19" t="s">
        <v>44</v>
      </c>
      <c r="L48" s="19">
        <v>0</v>
      </c>
    </row>
    <row r="49" spans="1:12" s="1" customFormat="1">
      <c r="A49" s="15"/>
      <c r="B49" s="11" t="s">
        <v>1651</v>
      </c>
      <c r="C49" s="11" t="s">
        <v>45</v>
      </c>
      <c r="D49" s="9" t="s">
        <v>1726</v>
      </c>
      <c r="E49" s="16" t="s">
        <v>256</v>
      </c>
      <c r="F49" s="17"/>
      <c r="G49" s="17" t="s">
        <v>1780</v>
      </c>
      <c r="H49" s="18"/>
      <c r="I49" s="17"/>
      <c r="J49" s="19" t="s">
        <v>1186</v>
      </c>
      <c r="K49" s="19" t="s">
        <v>202</v>
      </c>
      <c r="L49" s="19" t="s">
        <v>67</v>
      </c>
    </row>
    <row r="50" spans="1:12" s="1" customFormat="1">
      <c r="A50" s="15"/>
      <c r="B50" s="11" t="s">
        <v>286</v>
      </c>
      <c r="C50" s="11" t="s">
        <v>45</v>
      </c>
      <c r="D50" s="9" t="s">
        <v>148</v>
      </c>
      <c r="E50" s="16" t="s">
        <v>256</v>
      </c>
      <c r="F50" s="17"/>
      <c r="G50" s="17" t="s">
        <v>1127</v>
      </c>
      <c r="H50" s="18"/>
      <c r="I50" s="17"/>
      <c r="J50" s="19" t="s">
        <v>1186</v>
      </c>
      <c r="K50" s="19" t="s">
        <v>44</v>
      </c>
      <c r="L50" s="19" t="s">
        <v>67</v>
      </c>
    </row>
    <row r="51" spans="1:12" s="1" customFormat="1">
      <c r="A51" s="15"/>
      <c r="B51" s="11" t="s">
        <v>287</v>
      </c>
      <c r="C51" s="11" t="s">
        <v>45</v>
      </c>
      <c r="D51" s="9" t="s">
        <v>149</v>
      </c>
      <c r="E51" s="16" t="s">
        <v>256</v>
      </c>
      <c r="F51" s="17"/>
      <c r="G51" s="17" t="s">
        <v>1128</v>
      </c>
      <c r="H51" s="18"/>
      <c r="I51" s="17"/>
      <c r="J51" s="19" t="s">
        <v>1186</v>
      </c>
      <c r="K51" s="19" t="s">
        <v>44</v>
      </c>
      <c r="L51" s="19" t="s">
        <v>67</v>
      </c>
    </row>
    <row r="52" spans="1:12" s="1" customFormat="1">
      <c r="A52" s="15"/>
      <c r="B52" s="11" t="s">
        <v>288</v>
      </c>
      <c r="C52" s="11" t="s">
        <v>45</v>
      </c>
      <c r="D52" s="9" t="s">
        <v>150</v>
      </c>
      <c r="E52" s="16" t="s">
        <v>256</v>
      </c>
      <c r="F52" s="17"/>
      <c r="G52" s="17" t="s">
        <v>1129</v>
      </c>
      <c r="H52" s="18"/>
      <c r="I52" s="17"/>
      <c r="J52" s="19" t="s">
        <v>1186</v>
      </c>
      <c r="K52" s="19" t="s">
        <v>44</v>
      </c>
      <c r="L52" s="19" t="s">
        <v>67</v>
      </c>
    </row>
    <row r="53" spans="1:12" s="1" customFormat="1">
      <c r="A53" s="15"/>
      <c r="B53" s="11" t="s">
        <v>289</v>
      </c>
      <c r="C53" s="11" t="s">
        <v>45</v>
      </c>
      <c r="D53" s="9" t="s">
        <v>151</v>
      </c>
      <c r="E53" s="16" t="s">
        <v>256</v>
      </c>
      <c r="F53" s="17"/>
      <c r="G53" s="17" t="s">
        <v>1130</v>
      </c>
      <c r="H53" s="18"/>
      <c r="I53" s="17"/>
      <c r="J53" s="19" t="s">
        <v>1186</v>
      </c>
      <c r="K53" s="19" t="s">
        <v>44</v>
      </c>
      <c r="L53" s="19" t="s">
        <v>67</v>
      </c>
    </row>
    <row r="54" spans="1:12" s="1" customFormat="1">
      <c r="A54" s="15"/>
      <c r="B54" s="11" t="s">
        <v>290</v>
      </c>
      <c r="C54" s="11" t="s">
        <v>45</v>
      </c>
      <c r="D54" s="9" t="s">
        <v>152</v>
      </c>
      <c r="E54" s="16" t="s">
        <v>256</v>
      </c>
      <c r="F54" s="17"/>
      <c r="G54" s="17" t="s">
        <v>1131</v>
      </c>
      <c r="H54" s="18"/>
      <c r="I54" s="17"/>
      <c r="J54" s="19" t="s">
        <v>1186</v>
      </c>
      <c r="K54" s="19" t="s">
        <v>44</v>
      </c>
      <c r="L54" s="19" t="s">
        <v>67</v>
      </c>
    </row>
    <row r="55" spans="1:12" s="1" customFormat="1">
      <c r="A55" s="15"/>
      <c r="B55" s="11" t="s">
        <v>1591</v>
      </c>
      <c r="C55" s="11" t="s">
        <v>45</v>
      </c>
      <c r="D55" s="9" t="s">
        <v>1727</v>
      </c>
      <c r="E55" s="16" t="s">
        <v>256</v>
      </c>
      <c r="F55" s="17"/>
      <c r="G55" s="17" t="s">
        <v>1627</v>
      </c>
      <c r="H55" s="18"/>
      <c r="I55" s="17"/>
      <c r="J55" s="19" t="s">
        <v>1186</v>
      </c>
      <c r="K55" s="19" t="s">
        <v>202</v>
      </c>
      <c r="L55" s="19" t="s">
        <v>67</v>
      </c>
    </row>
    <row r="56" spans="1:12" s="1" customFormat="1">
      <c r="A56" s="15"/>
      <c r="B56" s="11" t="s">
        <v>291</v>
      </c>
      <c r="C56" s="11" t="s">
        <v>45</v>
      </c>
      <c r="D56" s="9" t="s">
        <v>154</v>
      </c>
      <c r="E56" s="16" t="s">
        <v>256</v>
      </c>
      <c r="F56" s="17"/>
      <c r="G56" s="17" t="s">
        <v>1133</v>
      </c>
      <c r="H56" s="18"/>
      <c r="I56" s="17"/>
      <c r="J56" s="19" t="s">
        <v>1186</v>
      </c>
      <c r="K56" s="19" t="s">
        <v>44</v>
      </c>
      <c r="L56" s="19" t="s">
        <v>67</v>
      </c>
    </row>
    <row r="57" spans="1:12" s="1" customFormat="1">
      <c r="A57" s="15"/>
      <c r="B57" s="11" t="s">
        <v>292</v>
      </c>
      <c r="C57" s="11" t="s">
        <v>45</v>
      </c>
      <c r="D57" s="9" t="s">
        <v>155</v>
      </c>
      <c r="E57" s="16" t="s">
        <v>256</v>
      </c>
      <c r="F57" s="17"/>
      <c r="G57" s="17" t="s">
        <v>1134</v>
      </c>
      <c r="H57" s="18"/>
      <c r="I57" s="17"/>
      <c r="J57" s="19" t="s">
        <v>1186</v>
      </c>
      <c r="K57" s="19" t="s">
        <v>44</v>
      </c>
      <c r="L57" s="19" t="s">
        <v>67</v>
      </c>
    </row>
    <row r="58" spans="1:12" s="1" customFormat="1">
      <c r="A58" s="15"/>
      <c r="B58" s="11" t="s">
        <v>293</v>
      </c>
      <c r="C58" s="11" t="s">
        <v>45</v>
      </c>
      <c r="D58" s="9" t="s">
        <v>156</v>
      </c>
      <c r="E58" s="16" t="s">
        <v>256</v>
      </c>
      <c r="F58" s="17"/>
      <c r="G58" s="17" t="s">
        <v>1135</v>
      </c>
      <c r="H58" s="18"/>
      <c r="I58" s="17"/>
      <c r="J58" s="19" t="s">
        <v>1186</v>
      </c>
      <c r="K58" s="19" t="s">
        <v>44</v>
      </c>
      <c r="L58" s="19" t="s">
        <v>67</v>
      </c>
    </row>
    <row r="59" spans="1:12" s="1" customFormat="1">
      <c r="A59" s="15"/>
      <c r="B59" s="11" t="s">
        <v>294</v>
      </c>
      <c r="C59" s="11" t="s">
        <v>45</v>
      </c>
      <c r="D59" s="9" t="s">
        <v>157</v>
      </c>
      <c r="E59" s="16" t="s">
        <v>256</v>
      </c>
      <c r="F59" s="17"/>
      <c r="G59" s="17" t="s">
        <v>1136</v>
      </c>
      <c r="H59" s="18"/>
      <c r="I59" s="17"/>
      <c r="J59" s="19" t="s">
        <v>1186</v>
      </c>
      <c r="K59" s="19" t="s">
        <v>44</v>
      </c>
      <c r="L59" s="19" t="s">
        <v>67</v>
      </c>
    </row>
    <row r="60" spans="1:12" s="1" customFormat="1">
      <c r="A60" s="15"/>
      <c r="B60" s="11" t="s">
        <v>295</v>
      </c>
      <c r="C60" s="11" t="s">
        <v>45</v>
      </c>
      <c r="D60" s="9" t="s">
        <v>158</v>
      </c>
      <c r="E60" s="16" t="s">
        <v>256</v>
      </c>
      <c r="F60" s="17"/>
      <c r="G60" s="17" t="s">
        <v>1137</v>
      </c>
      <c r="H60" s="18"/>
      <c r="I60" s="17"/>
      <c r="J60" s="19" t="s">
        <v>1186</v>
      </c>
      <c r="K60" s="19" t="s">
        <v>44</v>
      </c>
      <c r="L60" s="19" t="s">
        <v>67</v>
      </c>
    </row>
    <row r="61" spans="1:12" s="1" customFormat="1">
      <c r="A61" s="15"/>
      <c r="B61" s="11" t="s">
        <v>1625</v>
      </c>
      <c r="C61" s="11" t="s">
        <v>45</v>
      </c>
      <c r="D61" s="9" t="s">
        <v>1728</v>
      </c>
      <c r="E61" s="16" t="s">
        <v>256</v>
      </c>
      <c r="F61" s="17"/>
      <c r="G61" s="17" t="s">
        <v>1866</v>
      </c>
      <c r="H61" s="18"/>
      <c r="I61" s="17"/>
      <c r="J61" s="19" t="s">
        <v>1186</v>
      </c>
      <c r="K61" s="19" t="s">
        <v>202</v>
      </c>
      <c r="L61" s="19" t="s">
        <v>67</v>
      </c>
    </row>
    <row r="62" spans="1:12" s="1" customFormat="1">
      <c r="A62" s="15"/>
      <c r="B62" s="11" t="s">
        <v>1469</v>
      </c>
      <c r="C62" s="11" t="s">
        <v>45</v>
      </c>
      <c r="D62" s="9" t="s">
        <v>1750</v>
      </c>
      <c r="E62" s="16" t="s">
        <v>256</v>
      </c>
      <c r="F62" s="17"/>
      <c r="G62" s="17" t="s">
        <v>1138</v>
      </c>
      <c r="H62" s="18"/>
      <c r="I62" s="17"/>
      <c r="J62" s="19" t="s">
        <v>1186</v>
      </c>
      <c r="K62" s="19" t="s">
        <v>44</v>
      </c>
      <c r="L62" s="19" t="s">
        <v>67</v>
      </c>
    </row>
    <row r="63" spans="1:12" s="1" customFormat="1">
      <c r="A63" s="15"/>
      <c r="B63" s="11" t="s">
        <v>1470</v>
      </c>
      <c r="C63" s="11" t="s">
        <v>45</v>
      </c>
      <c r="D63" s="9" t="s">
        <v>1752</v>
      </c>
      <c r="E63" s="16" t="s">
        <v>256</v>
      </c>
      <c r="F63" s="17"/>
      <c r="G63" s="17" t="s">
        <v>1139</v>
      </c>
      <c r="H63" s="18"/>
      <c r="I63" s="17"/>
      <c r="J63" s="19" t="s">
        <v>1186</v>
      </c>
      <c r="K63" s="19" t="s">
        <v>44</v>
      </c>
      <c r="L63" s="19" t="s">
        <v>67</v>
      </c>
    </row>
    <row r="64" spans="1:12" s="1" customFormat="1">
      <c r="A64" s="15"/>
      <c r="B64" s="11" t="s">
        <v>1471</v>
      </c>
      <c r="C64" s="11" t="s">
        <v>45</v>
      </c>
      <c r="D64" s="9" t="s">
        <v>1753</v>
      </c>
      <c r="E64" s="16" t="s">
        <v>256</v>
      </c>
      <c r="F64" s="17"/>
      <c r="G64" s="17" t="s">
        <v>1140</v>
      </c>
      <c r="H64" s="18"/>
      <c r="I64" s="17"/>
      <c r="J64" s="19" t="s">
        <v>1186</v>
      </c>
      <c r="K64" s="19" t="s">
        <v>44</v>
      </c>
      <c r="L64" s="19" t="s">
        <v>67</v>
      </c>
    </row>
    <row r="65" spans="1:14" s="1" customFormat="1">
      <c r="A65" s="15"/>
      <c r="B65" s="11" t="s">
        <v>1472</v>
      </c>
      <c r="C65" s="11" t="s">
        <v>45</v>
      </c>
      <c r="D65" s="9" t="s">
        <v>1754</v>
      </c>
      <c r="E65" s="16" t="s">
        <v>256</v>
      </c>
      <c r="F65" s="17"/>
      <c r="G65" s="17" t="s">
        <v>1141</v>
      </c>
      <c r="H65" s="18"/>
      <c r="I65" s="17"/>
      <c r="J65" s="19" t="s">
        <v>1186</v>
      </c>
      <c r="K65" s="19" t="s">
        <v>44</v>
      </c>
      <c r="L65" s="19" t="s">
        <v>67</v>
      </c>
    </row>
    <row r="66" spans="1:14" s="1" customFormat="1">
      <c r="A66" s="15"/>
      <c r="B66" s="11" t="s">
        <v>1473</v>
      </c>
      <c r="C66" s="11" t="s">
        <v>45</v>
      </c>
      <c r="D66" s="9" t="s">
        <v>1755</v>
      </c>
      <c r="E66" s="16" t="s">
        <v>256</v>
      </c>
      <c r="F66" s="17"/>
      <c r="G66" s="17" t="s">
        <v>1142</v>
      </c>
      <c r="H66" s="18"/>
      <c r="I66" s="17"/>
      <c r="J66" s="19" t="s">
        <v>1186</v>
      </c>
      <c r="K66" s="19" t="s">
        <v>44</v>
      </c>
      <c r="L66" s="19" t="s">
        <v>67</v>
      </c>
    </row>
    <row r="67" spans="1:14" s="1" customFormat="1">
      <c r="A67" s="15"/>
      <c r="B67" s="11" t="s">
        <v>1652</v>
      </c>
      <c r="C67" s="11" t="s">
        <v>45</v>
      </c>
      <c r="D67" s="9" t="s">
        <v>1854</v>
      </c>
      <c r="E67" s="16" t="s">
        <v>256</v>
      </c>
      <c r="F67" s="17"/>
      <c r="G67" s="17" t="s">
        <v>1866</v>
      </c>
      <c r="H67" s="18"/>
      <c r="I67" s="17"/>
      <c r="J67" s="19" t="s">
        <v>1186</v>
      </c>
      <c r="K67" s="19" t="s">
        <v>202</v>
      </c>
      <c r="L67" s="19" t="s">
        <v>67</v>
      </c>
    </row>
    <row r="68" spans="1:14" s="1" customFormat="1">
      <c r="A68" s="15"/>
      <c r="B68" s="11" t="s">
        <v>1855</v>
      </c>
      <c r="C68" s="69" t="s">
        <v>45</v>
      </c>
      <c r="D68" s="9" t="s">
        <v>1856</v>
      </c>
      <c r="E68" s="16" t="s">
        <v>256</v>
      </c>
      <c r="F68" s="17"/>
      <c r="G68" s="17" t="s">
        <v>1138</v>
      </c>
      <c r="H68" s="18"/>
      <c r="I68" s="17"/>
      <c r="J68" s="19" t="s">
        <v>1186</v>
      </c>
      <c r="K68" s="19" t="s">
        <v>44</v>
      </c>
      <c r="L68" s="19" t="s">
        <v>67</v>
      </c>
    </row>
    <row r="69" spans="1:14" s="1" customFormat="1">
      <c r="A69" s="15"/>
      <c r="B69" s="11" t="s">
        <v>1653</v>
      </c>
      <c r="C69" s="69" t="s">
        <v>45</v>
      </c>
      <c r="D69" s="9" t="s">
        <v>1857</v>
      </c>
      <c r="E69" s="16" t="s">
        <v>256</v>
      </c>
      <c r="F69" s="17"/>
      <c r="G69" s="17" t="s">
        <v>1139</v>
      </c>
      <c r="H69" s="18"/>
      <c r="I69" s="17"/>
      <c r="J69" s="19" t="s">
        <v>1186</v>
      </c>
      <c r="K69" s="19" t="s">
        <v>44</v>
      </c>
      <c r="L69" s="19" t="s">
        <v>67</v>
      </c>
    </row>
    <row r="70" spans="1:14" s="1" customFormat="1">
      <c r="A70" s="15"/>
      <c r="B70" s="11" t="s">
        <v>1654</v>
      </c>
      <c r="C70" s="69" t="s">
        <v>45</v>
      </c>
      <c r="D70" s="9" t="s">
        <v>1858</v>
      </c>
      <c r="E70" s="16" t="s">
        <v>256</v>
      </c>
      <c r="F70" s="17"/>
      <c r="G70" s="17" t="s">
        <v>1140</v>
      </c>
      <c r="H70" s="18"/>
      <c r="I70" s="17"/>
      <c r="J70" s="19" t="s">
        <v>1186</v>
      </c>
      <c r="K70" s="19" t="s">
        <v>44</v>
      </c>
      <c r="L70" s="19" t="s">
        <v>67</v>
      </c>
    </row>
    <row r="71" spans="1:14" s="1" customFormat="1">
      <c r="A71" s="15"/>
      <c r="B71" s="11" t="s">
        <v>1655</v>
      </c>
      <c r="C71" s="69" t="s">
        <v>45</v>
      </c>
      <c r="D71" s="9" t="s">
        <v>1859</v>
      </c>
      <c r="E71" s="16" t="s">
        <v>256</v>
      </c>
      <c r="F71" s="17"/>
      <c r="G71" s="17" t="s">
        <v>1141</v>
      </c>
      <c r="H71" s="18"/>
      <c r="I71" s="17"/>
      <c r="J71" s="19" t="s">
        <v>1186</v>
      </c>
      <c r="K71" s="19" t="s">
        <v>44</v>
      </c>
      <c r="L71" s="19" t="s">
        <v>67</v>
      </c>
    </row>
    <row r="72" spans="1:14" s="1" customFormat="1">
      <c r="A72" s="15"/>
      <c r="B72" s="11" t="s">
        <v>1656</v>
      </c>
      <c r="C72" s="69" t="s">
        <v>45</v>
      </c>
      <c r="D72" s="9" t="s">
        <v>1860</v>
      </c>
      <c r="E72" s="16" t="s">
        <v>256</v>
      </c>
      <c r="F72" s="17"/>
      <c r="G72" s="17" t="s">
        <v>1142</v>
      </c>
      <c r="H72" s="18"/>
      <c r="I72" s="17"/>
      <c r="J72" s="19" t="s">
        <v>1186</v>
      </c>
      <c r="K72" s="19" t="s">
        <v>44</v>
      </c>
      <c r="L72" s="19" t="s">
        <v>67</v>
      </c>
    </row>
    <row r="73" spans="1:14" s="3" customFormat="1">
      <c r="B73" s="23" t="s">
        <v>47</v>
      </c>
      <c r="C73" s="24" t="s">
        <v>46</v>
      </c>
      <c r="D73" s="21" t="s">
        <v>48</v>
      </c>
      <c r="E73" s="44"/>
      <c r="F73" s="44"/>
      <c r="G73" s="44" t="s">
        <v>282</v>
      </c>
      <c r="H73" s="23" t="s">
        <v>282</v>
      </c>
      <c r="I73" s="23"/>
      <c r="J73" s="23"/>
      <c r="K73" s="23"/>
      <c r="L73" s="23"/>
      <c r="M73" s="23"/>
      <c r="N73" s="23"/>
    </row>
    <row r="74" spans="1:14" s="3" customFormat="1">
      <c r="B74" s="23" t="s">
        <v>49</v>
      </c>
      <c r="C74" s="24" t="s">
        <v>43</v>
      </c>
      <c r="D74" s="21" t="s">
        <v>50</v>
      </c>
      <c r="E74" s="44"/>
      <c r="F74" s="44"/>
      <c r="G74" s="44" t="s">
        <v>282</v>
      </c>
      <c r="H74" s="23" t="s">
        <v>282</v>
      </c>
      <c r="I74" s="23"/>
      <c r="J74" s="23"/>
      <c r="K74" s="23"/>
      <c r="L74" s="23"/>
      <c r="M74" s="23"/>
      <c r="N74" s="23"/>
    </row>
  </sheetData>
  <autoFilter ref="A14:N74" xr:uid="{00000000-0009-0000-0000-00000B000000}"/>
  <mergeCells count="5">
    <mergeCell ref="B2:H2"/>
    <mergeCell ref="B3:H3"/>
    <mergeCell ref="B7:H7"/>
    <mergeCell ref="G9:G10"/>
    <mergeCell ref="B13:L13"/>
  </mergeCells>
  <phoneticPr fontId="16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C0DE-BA04-43B5-ADD6-60E20B6847C9}">
  <sheetPr codeName="Sheet40"/>
  <dimension ref="A1:Q44"/>
  <sheetViews>
    <sheetView zoomScale="85" zoomScaleNormal="85" workbookViewId="0">
      <pane ySplit="5" topLeftCell="A6" activePane="bottomLeft" state="frozen"/>
      <selection activeCell="G45" sqref="G45"/>
      <selection pane="bottomLeft" activeCell="B1" sqref="B1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0.441406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1869</v>
      </c>
      <c r="D5" s="82" t="s">
        <v>1870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1347</v>
      </c>
      <c r="D9" s="10" t="s">
        <v>1348</v>
      </c>
      <c r="E9" s="11" t="s">
        <v>55</v>
      </c>
      <c r="F9" s="17"/>
      <c r="G9" s="17" t="s">
        <v>1889</v>
      </c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9" t="s">
        <v>1321</v>
      </c>
      <c r="C14" s="9" t="s">
        <v>43</v>
      </c>
      <c r="D14" s="9" t="s">
        <v>1169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132</v>
      </c>
    </row>
    <row r="15" spans="1:14" s="1" customFormat="1">
      <c r="A15" s="15"/>
      <c r="B15" s="9" t="s">
        <v>77</v>
      </c>
      <c r="C15" s="9" t="s">
        <v>46</v>
      </c>
      <c r="D15" s="9" t="s">
        <v>1323</v>
      </c>
      <c r="E15" s="16" t="s">
        <v>128</v>
      </c>
      <c r="F15" s="17" t="s">
        <v>1879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132</v>
      </c>
    </row>
    <row r="16" spans="1:14" s="1" customFormat="1">
      <c r="A16" s="15"/>
      <c r="B16" s="9" t="s">
        <v>79</v>
      </c>
      <c r="C16" s="9" t="s">
        <v>43</v>
      </c>
      <c r="D16" s="9" t="s">
        <v>104</v>
      </c>
      <c r="E16" s="16" t="s">
        <v>128</v>
      </c>
      <c r="F16" s="17"/>
      <c r="G16" s="17" t="s">
        <v>1334</v>
      </c>
      <c r="H16" s="18"/>
      <c r="I16" s="20"/>
      <c r="J16" s="19" t="s">
        <v>131</v>
      </c>
      <c r="K16" s="19" t="s">
        <v>132</v>
      </c>
      <c r="L16" s="19" t="s">
        <v>132</v>
      </c>
    </row>
    <row r="17" spans="1:12" s="1" customFormat="1">
      <c r="A17" s="15"/>
      <c r="B17" s="9" t="s">
        <v>1324</v>
      </c>
      <c r="C17" s="9" t="s">
        <v>43</v>
      </c>
      <c r="D17" s="9" t="s">
        <v>1325</v>
      </c>
      <c r="E17" s="16" t="s">
        <v>128</v>
      </c>
      <c r="F17" s="9"/>
      <c r="G17" s="17" t="s">
        <v>1334</v>
      </c>
      <c r="H17" s="18"/>
      <c r="I17" s="20"/>
      <c r="J17" s="19" t="s">
        <v>131</v>
      </c>
      <c r="K17" s="19" t="s">
        <v>132</v>
      </c>
      <c r="L17" s="19" t="s">
        <v>132</v>
      </c>
    </row>
    <row r="18" spans="1:12" s="1" customFormat="1">
      <c r="A18" s="15"/>
      <c r="B18" s="9" t="s">
        <v>78</v>
      </c>
      <c r="C18" s="9" t="s">
        <v>43</v>
      </c>
      <c r="D18" s="9" t="s">
        <v>103</v>
      </c>
      <c r="E18" s="16" t="s">
        <v>128</v>
      </c>
      <c r="F18" s="9"/>
      <c r="G18" s="17" t="s">
        <v>1334</v>
      </c>
      <c r="H18" s="18"/>
      <c r="I18" s="20"/>
      <c r="J18" s="19" t="s">
        <v>131</v>
      </c>
      <c r="K18" s="19" t="s">
        <v>132</v>
      </c>
      <c r="L18" s="19" t="s">
        <v>132</v>
      </c>
    </row>
    <row r="19" spans="1:12" s="1" customFormat="1">
      <c r="A19" s="15"/>
      <c r="B19" s="9" t="s">
        <v>1174</v>
      </c>
      <c r="C19" s="9" t="s">
        <v>45</v>
      </c>
      <c r="D19" s="9" t="s">
        <v>1175</v>
      </c>
      <c r="E19" s="16" t="s">
        <v>128</v>
      </c>
      <c r="F19" s="9"/>
      <c r="G19" s="17" t="s">
        <v>1613</v>
      </c>
      <c r="H19" s="18"/>
      <c r="I19" s="20"/>
      <c r="J19" s="19" t="s">
        <v>131</v>
      </c>
      <c r="K19" s="19" t="s">
        <v>132</v>
      </c>
      <c r="L19" s="19" t="s">
        <v>132</v>
      </c>
    </row>
    <row r="20" spans="1:12" s="1" customFormat="1">
      <c r="A20" s="15"/>
      <c r="B20" s="9" t="s">
        <v>1176</v>
      </c>
      <c r="C20" s="9" t="s">
        <v>45</v>
      </c>
      <c r="D20" s="9" t="s">
        <v>1177</v>
      </c>
      <c r="E20" s="16" t="s">
        <v>128</v>
      </c>
      <c r="F20" s="9"/>
      <c r="G20" s="17" t="s">
        <v>1614</v>
      </c>
      <c r="H20" s="18"/>
      <c r="I20" s="20"/>
      <c r="J20" s="19" t="s">
        <v>131</v>
      </c>
      <c r="K20" s="19" t="s">
        <v>132</v>
      </c>
      <c r="L20" s="19" t="s">
        <v>132</v>
      </c>
    </row>
    <row r="21" spans="1:12" s="1" customFormat="1">
      <c r="A21" s="15"/>
      <c r="B21" s="9" t="s">
        <v>64</v>
      </c>
      <c r="C21" s="9" t="s">
        <v>46</v>
      </c>
      <c r="D21" s="9" t="s">
        <v>1170</v>
      </c>
      <c r="E21" s="16" t="s">
        <v>128</v>
      </c>
      <c r="F21" s="9" t="s">
        <v>138</v>
      </c>
      <c r="G21" s="17" t="s">
        <v>129</v>
      </c>
      <c r="H21" s="98"/>
      <c r="I21" s="20"/>
      <c r="J21" s="19" t="s">
        <v>131</v>
      </c>
      <c r="K21" s="19" t="s">
        <v>132</v>
      </c>
      <c r="L21" s="19" t="s">
        <v>132</v>
      </c>
    </row>
    <row r="22" spans="1:12" s="1" customFormat="1">
      <c r="A22" s="15"/>
      <c r="B22" s="9" t="s">
        <v>65</v>
      </c>
      <c r="C22" s="9" t="s">
        <v>46</v>
      </c>
      <c r="D22" s="9" t="s">
        <v>1171</v>
      </c>
      <c r="E22" s="16" t="s">
        <v>128</v>
      </c>
      <c r="F22" s="9" t="s">
        <v>123</v>
      </c>
      <c r="G22" s="17" t="s">
        <v>129</v>
      </c>
      <c r="H22" s="98"/>
      <c r="I22" s="35"/>
      <c r="J22" s="19" t="s">
        <v>131</v>
      </c>
      <c r="K22" s="19" t="s">
        <v>132</v>
      </c>
      <c r="L22" s="19" t="s">
        <v>132</v>
      </c>
    </row>
    <row r="23" spans="1:12" s="1" customFormat="1">
      <c r="A23" s="15"/>
      <c r="B23" s="9" t="s">
        <v>1326</v>
      </c>
      <c r="C23" s="9" t="s">
        <v>46</v>
      </c>
      <c r="D23" s="9" t="s">
        <v>1327</v>
      </c>
      <c r="E23" s="16" t="s">
        <v>128</v>
      </c>
      <c r="F23" s="17" t="s">
        <v>124</v>
      </c>
      <c r="G23" s="17" t="s">
        <v>129</v>
      </c>
      <c r="H23" s="98"/>
      <c r="I23" s="17"/>
      <c r="J23" s="19" t="s">
        <v>131</v>
      </c>
      <c r="K23" s="19" t="s">
        <v>132</v>
      </c>
      <c r="L23" s="19" t="s">
        <v>132</v>
      </c>
    </row>
    <row r="24" spans="1:12" s="1" customFormat="1">
      <c r="A24" s="15"/>
      <c r="B24" s="9" t="s">
        <v>1383</v>
      </c>
      <c r="C24" s="9" t="s">
        <v>45</v>
      </c>
      <c r="D24" s="9" t="s">
        <v>1802</v>
      </c>
      <c r="E24" s="16" t="s">
        <v>128</v>
      </c>
      <c r="F24" s="17"/>
      <c r="G24" s="17" t="s">
        <v>1624</v>
      </c>
      <c r="H24" s="98"/>
      <c r="I24" s="17"/>
      <c r="J24" s="19" t="s">
        <v>133</v>
      </c>
      <c r="K24" s="19" t="s">
        <v>203</v>
      </c>
      <c r="L24" s="19" t="s">
        <v>134</v>
      </c>
    </row>
    <row r="25" spans="1:12" s="1" customFormat="1">
      <c r="A25" s="15"/>
      <c r="B25" s="9" t="s">
        <v>296</v>
      </c>
      <c r="C25" s="9" t="s">
        <v>45</v>
      </c>
      <c r="D25" s="9" t="s">
        <v>1185</v>
      </c>
      <c r="E25" s="16" t="s">
        <v>128</v>
      </c>
      <c r="F25" s="17"/>
      <c r="G25" s="17" t="s">
        <v>1882</v>
      </c>
      <c r="H25" s="98"/>
      <c r="I25" s="17"/>
      <c r="J25" s="19" t="s">
        <v>133</v>
      </c>
      <c r="K25" s="19" t="s">
        <v>1899</v>
      </c>
      <c r="L25" s="19" t="s">
        <v>134</v>
      </c>
    </row>
    <row r="26" spans="1:12" s="1" customFormat="1">
      <c r="A26" s="15"/>
      <c r="B26" s="9" t="s">
        <v>297</v>
      </c>
      <c r="C26" s="9" t="s">
        <v>45</v>
      </c>
      <c r="D26" s="9" t="s">
        <v>160</v>
      </c>
      <c r="E26" s="16" t="s">
        <v>128</v>
      </c>
      <c r="F26" s="17"/>
      <c r="G26" s="17" t="s">
        <v>1883</v>
      </c>
      <c r="H26" s="98"/>
      <c r="I26" s="17"/>
      <c r="J26" s="19" t="s">
        <v>133</v>
      </c>
      <c r="K26" s="19" t="s">
        <v>1899</v>
      </c>
      <c r="L26" s="19" t="s">
        <v>134</v>
      </c>
    </row>
    <row r="27" spans="1:12" s="1" customFormat="1">
      <c r="A27" s="15"/>
      <c r="B27" s="9" t="s">
        <v>1702</v>
      </c>
      <c r="C27" s="9" t="s">
        <v>45</v>
      </c>
      <c r="D27" s="9" t="s">
        <v>859</v>
      </c>
      <c r="E27" s="16" t="s">
        <v>128</v>
      </c>
      <c r="F27" s="17"/>
      <c r="G27" s="17" t="s">
        <v>1456</v>
      </c>
      <c r="H27" s="98"/>
      <c r="I27" s="17"/>
      <c r="J27" s="19" t="s">
        <v>133</v>
      </c>
      <c r="K27" s="19" t="s">
        <v>903</v>
      </c>
      <c r="L27" s="19" t="s">
        <v>134</v>
      </c>
    </row>
    <row r="28" spans="1:12" s="1" customFormat="1">
      <c r="A28" s="15"/>
      <c r="B28" s="9" t="s">
        <v>1703</v>
      </c>
      <c r="C28" s="9" t="s">
        <v>45</v>
      </c>
      <c r="D28" s="9" t="s">
        <v>860</v>
      </c>
      <c r="E28" s="16" t="s">
        <v>128</v>
      </c>
      <c r="F28" s="17"/>
      <c r="G28" s="17" t="s">
        <v>1457</v>
      </c>
      <c r="H28" s="98"/>
      <c r="I28" s="17"/>
      <c r="J28" s="19" t="s">
        <v>133</v>
      </c>
      <c r="K28" s="19" t="s">
        <v>903</v>
      </c>
      <c r="L28" s="19" t="s">
        <v>134</v>
      </c>
    </row>
    <row r="29" spans="1:12" s="1" customFormat="1">
      <c r="A29" s="15"/>
      <c r="B29" s="9" t="s">
        <v>1704</v>
      </c>
      <c r="C29" s="9" t="s">
        <v>45</v>
      </c>
      <c r="D29" s="9" t="s">
        <v>861</v>
      </c>
      <c r="E29" s="16" t="s">
        <v>128</v>
      </c>
      <c r="F29" s="17"/>
      <c r="G29" s="17" t="s">
        <v>1458</v>
      </c>
      <c r="H29" s="98"/>
      <c r="I29" s="17"/>
      <c r="J29" s="19" t="s">
        <v>133</v>
      </c>
      <c r="K29" s="19" t="s">
        <v>903</v>
      </c>
      <c r="L29" s="19" t="s">
        <v>134</v>
      </c>
    </row>
    <row r="30" spans="1:12" s="1" customFormat="1">
      <c r="A30" s="15"/>
      <c r="B30" s="9" t="s">
        <v>1705</v>
      </c>
      <c r="C30" s="9" t="s">
        <v>45</v>
      </c>
      <c r="D30" s="9" t="s">
        <v>862</v>
      </c>
      <c r="E30" s="16" t="s">
        <v>128</v>
      </c>
      <c r="F30" s="17"/>
      <c r="G30" s="17" t="s">
        <v>1459</v>
      </c>
      <c r="H30" s="98"/>
      <c r="I30" s="17"/>
      <c r="J30" s="19" t="s">
        <v>133</v>
      </c>
      <c r="K30" s="19" t="s">
        <v>903</v>
      </c>
      <c r="L30" s="19" t="s">
        <v>134</v>
      </c>
    </row>
    <row r="31" spans="1:12" s="1" customFormat="1">
      <c r="A31" s="15"/>
      <c r="B31" s="9" t="s">
        <v>1706</v>
      </c>
      <c r="C31" s="9" t="s">
        <v>45</v>
      </c>
      <c r="D31" s="9" t="s">
        <v>863</v>
      </c>
      <c r="E31" s="16" t="s">
        <v>128</v>
      </c>
      <c r="F31" s="17"/>
      <c r="G31" s="17" t="s">
        <v>1460</v>
      </c>
      <c r="H31" s="98"/>
      <c r="I31" s="17"/>
      <c r="J31" s="19" t="s">
        <v>133</v>
      </c>
      <c r="K31" s="19" t="s">
        <v>903</v>
      </c>
      <c r="L31" s="19" t="s">
        <v>134</v>
      </c>
    </row>
    <row r="32" spans="1:12" s="1" customFormat="1">
      <c r="A32" s="15"/>
      <c r="B32" s="9" t="s">
        <v>1707</v>
      </c>
      <c r="C32" s="9" t="s">
        <v>45</v>
      </c>
      <c r="D32" s="9" t="s">
        <v>864</v>
      </c>
      <c r="E32" s="16" t="s">
        <v>128</v>
      </c>
      <c r="F32" s="17"/>
      <c r="G32" s="17" t="s">
        <v>1461</v>
      </c>
      <c r="H32" s="98"/>
      <c r="I32" s="17"/>
      <c r="J32" s="19" t="s">
        <v>133</v>
      </c>
      <c r="K32" s="19" t="s">
        <v>903</v>
      </c>
      <c r="L32" s="19" t="s">
        <v>134</v>
      </c>
    </row>
    <row r="33" spans="1:17" s="1" customFormat="1">
      <c r="A33" s="15"/>
      <c r="B33" s="9" t="s">
        <v>1651</v>
      </c>
      <c r="C33" s="9" t="s">
        <v>45</v>
      </c>
      <c r="D33" s="9" t="s">
        <v>1726</v>
      </c>
      <c r="E33" s="16" t="s">
        <v>128</v>
      </c>
      <c r="F33" s="17"/>
      <c r="G33" s="17" t="s">
        <v>1081</v>
      </c>
      <c r="H33" s="98"/>
      <c r="I33" s="17"/>
      <c r="J33" s="19" t="s">
        <v>133</v>
      </c>
      <c r="K33" s="19" t="s">
        <v>203</v>
      </c>
      <c r="L33" s="19" t="s">
        <v>134</v>
      </c>
    </row>
    <row r="34" spans="1:17" s="1" customFormat="1">
      <c r="A34" s="15"/>
      <c r="B34" s="9" t="s">
        <v>1591</v>
      </c>
      <c r="C34" s="9" t="s">
        <v>45</v>
      </c>
      <c r="D34" s="9" t="s">
        <v>1727</v>
      </c>
      <c r="E34" s="16" t="s">
        <v>128</v>
      </c>
      <c r="F34" s="17"/>
      <c r="G34" s="17" t="s">
        <v>1082</v>
      </c>
      <c r="H34" s="98"/>
      <c r="I34" s="17"/>
      <c r="J34" s="19" t="s">
        <v>133</v>
      </c>
      <c r="K34" s="19" t="s">
        <v>203</v>
      </c>
      <c r="L34" s="19" t="s">
        <v>134</v>
      </c>
    </row>
    <row r="35" spans="1:17" s="1" customFormat="1">
      <c r="A35" s="15"/>
      <c r="B35" s="9" t="s">
        <v>1663</v>
      </c>
      <c r="C35" s="9" t="s">
        <v>45</v>
      </c>
      <c r="D35" s="9" t="s">
        <v>1813</v>
      </c>
      <c r="E35" s="16" t="s">
        <v>128</v>
      </c>
      <c r="F35" s="17"/>
      <c r="G35" s="17" t="s">
        <v>1415</v>
      </c>
      <c r="H35" s="98"/>
      <c r="I35" s="17"/>
      <c r="J35" s="19" t="s">
        <v>133</v>
      </c>
      <c r="K35" s="19" t="s">
        <v>203</v>
      </c>
      <c r="L35" s="19" t="s">
        <v>134</v>
      </c>
    </row>
    <row r="36" spans="1:17" s="1" customFormat="1">
      <c r="A36" s="15"/>
      <c r="B36" s="9" t="s">
        <v>1665</v>
      </c>
      <c r="C36" s="9" t="s">
        <v>45</v>
      </c>
      <c r="D36" s="9" t="s">
        <v>1814</v>
      </c>
      <c r="E36" s="16" t="s">
        <v>128</v>
      </c>
      <c r="F36" s="17"/>
      <c r="G36" s="17" t="s">
        <v>1416</v>
      </c>
      <c r="H36" s="98"/>
      <c r="I36" s="17"/>
      <c r="J36" s="19" t="s">
        <v>133</v>
      </c>
      <c r="K36" s="19" t="s">
        <v>203</v>
      </c>
      <c r="L36" s="19" t="s">
        <v>134</v>
      </c>
    </row>
    <row r="37" spans="1:17" s="1" customFormat="1">
      <c r="A37" s="15"/>
      <c r="B37" s="9" t="s">
        <v>642</v>
      </c>
      <c r="C37" s="9" t="s">
        <v>45</v>
      </c>
      <c r="D37" s="9" t="s">
        <v>643</v>
      </c>
      <c r="E37" s="16" t="s">
        <v>128</v>
      </c>
      <c r="F37" s="17"/>
      <c r="G37" s="17" t="s">
        <v>1438</v>
      </c>
      <c r="H37" s="98"/>
      <c r="I37" s="17"/>
      <c r="J37" s="19" t="s">
        <v>133</v>
      </c>
      <c r="K37" s="19" t="s">
        <v>903</v>
      </c>
      <c r="L37" s="19" t="s">
        <v>134</v>
      </c>
    </row>
    <row r="38" spans="1:17" s="1" customFormat="1">
      <c r="A38" s="15"/>
      <c r="B38" s="9" t="s">
        <v>644</v>
      </c>
      <c r="C38" s="9" t="s">
        <v>45</v>
      </c>
      <c r="D38" s="9" t="s">
        <v>1187</v>
      </c>
      <c r="E38" s="16" t="s">
        <v>128</v>
      </c>
      <c r="F38" s="17"/>
      <c r="G38" s="17" t="s">
        <v>1439</v>
      </c>
      <c r="H38" s="98"/>
      <c r="I38" s="17"/>
      <c r="J38" s="19" t="s">
        <v>133</v>
      </c>
      <c r="K38" s="19" t="s">
        <v>903</v>
      </c>
      <c r="L38" s="19" t="s">
        <v>134</v>
      </c>
    </row>
    <row r="39" spans="1:17" s="1" customFormat="1">
      <c r="A39" s="15"/>
      <c r="B39" s="9" t="s">
        <v>1468</v>
      </c>
      <c r="C39" s="9" t="s">
        <v>45</v>
      </c>
      <c r="D39" s="9" t="s">
        <v>1803</v>
      </c>
      <c r="E39" s="16" t="s">
        <v>128</v>
      </c>
      <c r="F39" s="17"/>
      <c r="G39" s="17" t="s">
        <v>1440</v>
      </c>
      <c r="H39" s="98"/>
      <c r="I39" s="17"/>
      <c r="J39" s="19" t="s">
        <v>133</v>
      </c>
      <c r="K39" s="19" t="s">
        <v>903</v>
      </c>
      <c r="L39" s="19" t="s">
        <v>134</v>
      </c>
    </row>
    <row r="40" spans="1:17" s="1" customFormat="1">
      <c r="A40" s="15"/>
      <c r="B40" s="9" t="s">
        <v>1873</v>
      </c>
      <c r="C40" s="9" t="s">
        <v>45</v>
      </c>
      <c r="D40" s="9" t="s">
        <v>1874</v>
      </c>
      <c r="E40" s="16" t="s">
        <v>128</v>
      </c>
      <c r="F40" s="17"/>
      <c r="G40" s="17" t="s">
        <v>1884</v>
      </c>
      <c r="H40" s="98"/>
      <c r="I40" s="17"/>
      <c r="J40" s="19" t="s">
        <v>133</v>
      </c>
      <c r="K40" s="19" t="s">
        <v>1899</v>
      </c>
      <c r="L40" s="19" t="s">
        <v>134</v>
      </c>
    </row>
    <row r="41" spans="1:17" s="1" customFormat="1">
      <c r="A41" s="15"/>
      <c r="B41" s="9" t="s">
        <v>1875</v>
      </c>
      <c r="C41" s="9" t="s">
        <v>56</v>
      </c>
      <c r="D41" s="9" t="s">
        <v>1876</v>
      </c>
      <c r="E41" s="16" t="s">
        <v>128</v>
      </c>
      <c r="F41" s="17"/>
      <c r="G41" s="17" t="s">
        <v>1885</v>
      </c>
      <c r="H41" s="98"/>
      <c r="I41" s="17"/>
      <c r="J41" s="19" t="s">
        <v>133</v>
      </c>
      <c r="K41" s="19" t="s">
        <v>132</v>
      </c>
      <c r="L41" s="19" t="s">
        <v>1337</v>
      </c>
    </row>
    <row r="42" spans="1:17" s="1" customFormat="1">
      <c r="A42" s="15"/>
      <c r="B42" s="9" t="s">
        <v>1877</v>
      </c>
      <c r="C42" s="9" t="s">
        <v>56</v>
      </c>
      <c r="D42" s="9" t="s">
        <v>1878</v>
      </c>
      <c r="E42" s="16" t="s">
        <v>128</v>
      </c>
      <c r="F42" s="17"/>
      <c r="G42" s="17" t="s">
        <v>1334</v>
      </c>
      <c r="H42" s="98"/>
      <c r="I42" s="17"/>
      <c r="J42" s="19" t="s">
        <v>133</v>
      </c>
      <c r="K42" s="19" t="s">
        <v>132</v>
      </c>
      <c r="L42" s="19"/>
    </row>
    <row r="43" spans="1:17" s="3" customFormat="1">
      <c r="B43" s="23" t="s">
        <v>47</v>
      </c>
      <c r="C43" s="24" t="s">
        <v>46</v>
      </c>
      <c r="D43" s="21" t="s">
        <v>48</v>
      </c>
      <c r="E43" s="44"/>
      <c r="F43" s="44"/>
      <c r="G43" s="44" t="s">
        <v>282</v>
      </c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17" s="3" customFormat="1">
      <c r="B44" s="23" t="s">
        <v>49</v>
      </c>
      <c r="C44" s="24" t="s">
        <v>43</v>
      </c>
      <c r="D44" s="21" t="s">
        <v>50</v>
      </c>
      <c r="E44" s="44"/>
      <c r="F44" s="44"/>
      <c r="G44" s="44" t="s">
        <v>282</v>
      </c>
      <c r="H44" s="23" t="s">
        <v>282</v>
      </c>
      <c r="I44" s="23"/>
      <c r="J44" s="23"/>
      <c r="K44" s="23"/>
      <c r="L44" s="23"/>
      <c r="M44" s="23"/>
      <c r="N44" s="23"/>
      <c r="O44" s="23"/>
      <c r="P44" s="23"/>
      <c r="Q44" s="23"/>
    </row>
  </sheetData>
  <autoFilter ref="A13:Q44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C628-3BDE-439C-8F14-2F9DAF0154D8}">
  <sheetPr codeName="Sheet41"/>
  <dimension ref="A1:Q40"/>
  <sheetViews>
    <sheetView zoomScale="85" zoomScaleNormal="85" workbookViewId="0">
      <pane ySplit="5" topLeftCell="A6" activePane="bottomLeft" state="frozen"/>
      <selection activeCell="G45" sqref="G45"/>
      <selection pane="bottomLeft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8.8867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1886</v>
      </c>
      <c r="D5" s="82" t="s">
        <v>1887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1888</v>
      </c>
      <c r="D9" s="10" t="s">
        <v>1890</v>
      </c>
      <c r="E9" s="11" t="s">
        <v>55</v>
      </c>
      <c r="F9" s="17"/>
      <c r="G9" s="17" t="s">
        <v>1889</v>
      </c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9" t="s">
        <v>1321</v>
      </c>
      <c r="C14" s="9" t="s">
        <v>43</v>
      </c>
      <c r="D14" s="9" t="s">
        <v>1169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132</v>
      </c>
    </row>
    <row r="15" spans="1:14" s="1" customFormat="1">
      <c r="A15" s="15"/>
      <c r="B15" s="9" t="s">
        <v>77</v>
      </c>
      <c r="C15" s="9" t="s">
        <v>46</v>
      </c>
      <c r="D15" s="9" t="s">
        <v>1323</v>
      </c>
      <c r="E15" s="16" t="s">
        <v>128</v>
      </c>
      <c r="F15" s="17" t="s">
        <v>1879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132</v>
      </c>
    </row>
    <row r="16" spans="1:14" s="1" customFormat="1">
      <c r="A16" s="15"/>
      <c r="B16" s="9" t="s">
        <v>79</v>
      </c>
      <c r="C16" s="9" t="s">
        <v>43</v>
      </c>
      <c r="D16" s="9" t="s">
        <v>104</v>
      </c>
      <c r="E16" s="16" t="s">
        <v>128</v>
      </c>
      <c r="F16" s="17"/>
      <c r="G16" s="17" t="s">
        <v>1334</v>
      </c>
      <c r="H16" s="18"/>
      <c r="I16" s="20"/>
      <c r="J16" s="19" t="s">
        <v>131</v>
      </c>
      <c r="K16" s="19" t="s">
        <v>132</v>
      </c>
      <c r="L16" s="19" t="s">
        <v>132</v>
      </c>
    </row>
    <row r="17" spans="1:12" s="1" customFormat="1">
      <c r="A17" s="15"/>
      <c r="B17" s="9" t="s">
        <v>1324</v>
      </c>
      <c r="C17" s="9" t="s">
        <v>43</v>
      </c>
      <c r="D17" s="9" t="s">
        <v>1325</v>
      </c>
      <c r="E17" s="16" t="s">
        <v>128</v>
      </c>
      <c r="F17" s="9"/>
      <c r="G17" s="17" t="s">
        <v>1334</v>
      </c>
      <c r="H17" s="18"/>
      <c r="I17" s="20"/>
      <c r="J17" s="19" t="s">
        <v>131</v>
      </c>
      <c r="K17" s="19" t="s">
        <v>132</v>
      </c>
      <c r="L17" s="19" t="s">
        <v>132</v>
      </c>
    </row>
    <row r="18" spans="1:12" s="1" customFormat="1">
      <c r="A18" s="15"/>
      <c r="B18" s="9" t="s">
        <v>78</v>
      </c>
      <c r="C18" s="9" t="s">
        <v>43</v>
      </c>
      <c r="D18" s="9" t="s">
        <v>103</v>
      </c>
      <c r="E18" s="16" t="s">
        <v>128</v>
      </c>
      <c r="F18" s="9"/>
      <c r="G18" s="17" t="s">
        <v>1334</v>
      </c>
      <c r="H18" s="18"/>
      <c r="I18" s="20"/>
      <c r="J18" s="19" t="s">
        <v>131</v>
      </c>
      <c r="K18" s="19" t="s">
        <v>132</v>
      </c>
      <c r="L18" s="19" t="s">
        <v>132</v>
      </c>
    </row>
    <row r="19" spans="1:12" s="1" customFormat="1">
      <c r="A19" s="15"/>
      <c r="B19" s="9" t="s">
        <v>1174</v>
      </c>
      <c r="C19" s="9" t="s">
        <v>45</v>
      </c>
      <c r="D19" s="9" t="s">
        <v>1175</v>
      </c>
      <c r="E19" s="16" t="s">
        <v>128</v>
      </c>
      <c r="F19" s="9"/>
      <c r="G19" s="17" t="s">
        <v>1613</v>
      </c>
      <c r="H19" s="18"/>
      <c r="I19" s="20"/>
      <c r="J19" s="19" t="s">
        <v>131</v>
      </c>
      <c r="K19" s="19" t="s">
        <v>132</v>
      </c>
      <c r="L19" s="19" t="s">
        <v>132</v>
      </c>
    </row>
    <row r="20" spans="1:12" s="1" customFormat="1">
      <c r="A20" s="15"/>
      <c r="B20" s="9" t="s">
        <v>1176</v>
      </c>
      <c r="C20" s="9" t="s">
        <v>45</v>
      </c>
      <c r="D20" s="9" t="s">
        <v>1177</v>
      </c>
      <c r="E20" s="16" t="s">
        <v>128</v>
      </c>
      <c r="F20" s="9"/>
      <c r="G20" s="17" t="s">
        <v>1614</v>
      </c>
      <c r="H20" s="18"/>
      <c r="I20" s="20"/>
      <c r="J20" s="19" t="s">
        <v>131</v>
      </c>
      <c r="K20" s="19" t="s">
        <v>132</v>
      </c>
      <c r="L20" s="19" t="s">
        <v>132</v>
      </c>
    </row>
    <row r="21" spans="1:12" s="1" customFormat="1">
      <c r="A21" s="15"/>
      <c r="B21" s="9" t="s">
        <v>64</v>
      </c>
      <c r="C21" s="9" t="s">
        <v>46</v>
      </c>
      <c r="D21" s="9" t="s">
        <v>1170</v>
      </c>
      <c r="E21" s="16" t="s">
        <v>128</v>
      </c>
      <c r="F21" s="9" t="s">
        <v>138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132</v>
      </c>
    </row>
    <row r="22" spans="1:12" s="1" customFormat="1">
      <c r="A22" s="15"/>
      <c r="B22" s="9" t="s">
        <v>65</v>
      </c>
      <c r="C22" s="9" t="s">
        <v>46</v>
      </c>
      <c r="D22" s="9" t="s">
        <v>1171</v>
      </c>
      <c r="E22" s="16" t="s">
        <v>128</v>
      </c>
      <c r="F22" s="9" t="s">
        <v>123</v>
      </c>
      <c r="G22" s="17" t="s">
        <v>129</v>
      </c>
      <c r="H22" s="18"/>
      <c r="I22" s="35"/>
      <c r="J22" s="19" t="s">
        <v>131</v>
      </c>
      <c r="K22" s="19" t="s">
        <v>132</v>
      </c>
      <c r="L22" s="19" t="s">
        <v>132</v>
      </c>
    </row>
    <row r="23" spans="1:12" s="1" customFormat="1">
      <c r="A23" s="15"/>
      <c r="B23" s="9" t="s">
        <v>1326</v>
      </c>
      <c r="C23" s="9" t="s">
        <v>46</v>
      </c>
      <c r="D23" s="9" t="s">
        <v>1327</v>
      </c>
      <c r="E23" s="16" t="s">
        <v>128</v>
      </c>
      <c r="F23" s="17" t="s">
        <v>124</v>
      </c>
      <c r="G23" s="17" t="s">
        <v>129</v>
      </c>
      <c r="H23" s="18"/>
      <c r="I23" s="17"/>
      <c r="J23" s="19" t="s">
        <v>131</v>
      </c>
      <c r="K23" s="19" t="s">
        <v>132</v>
      </c>
      <c r="L23" s="19" t="s">
        <v>132</v>
      </c>
    </row>
    <row r="24" spans="1:12" s="1" customFormat="1">
      <c r="A24" s="15"/>
      <c r="B24" s="9" t="s">
        <v>296</v>
      </c>
      <c r="C24" s="9" t="s">
        <v>45</v>
      </c>
      <c r="D24" s="9" t="s">
        <v>1185</v>
      </c>
      <c r="E24" s="16" t="s">
        <v>128</v>
      </c>
      <c r="F24" s="17"/>
      <c r="G24" s="17" t="s">
        <v>1427</v>
      </c>
      <c r="H24" s="18"/>
      <c r="I24" s="17"/>
      <c r="J24" s="19" t="s">
        <v>133</v>
      </c>
      <c r="K24" s="19" t="s">
        <v>1899</v>
      </c>
      <c r="L24" s="19" t="s">
        <v>134</v>
      </c>
    </row>
    <row r="25" spans="1:12" s="1" customFormat="1">
      <c r="A25" s="15"/>
      <c r="B25" s="9" t="s">
        <v>297</v>
      </c>
      <c r="C25" s="9" t="s">
        <v>45</v>
      </c>
      <c r="D25" s="9" t="s">
        <v>160</v>
      </c>
      <c r="E25" s="16" t="s">
        <v>128</v>
      </c>
      <c r="F25" s="17"/>
      <c r="G25" s="17" t="s">
        <v>1428</v>
      </c>
      <c r="H25" s="18"/>
      <c r="I25" s="17"/>
      <c r="J25" s="19" t="s">
        <v>133</v>
      </c>
      <c r="K25" s="19" t="s">
        <v>1899</v>
      </c>
      <c r="L25" s="19" t="s">
        <v>134</v>
      </c>
    </row>
    <row r="26" spans="1:12" s="1" customFormat="1">
      <c r="A26" s="15"/>
      <c r="B26" s="9" t="s">
        <v>642</v>
      </c>
      <c r="C26" s="9" t="s">
        <v>45</v>
      </c>
      <c r="D26" s="9" t="s">
        <v>643</v>
      </c>
      <c r="E26" s="16" t="s">
        <v>128</v>
      </c>
      <c r="F26" s="17"/>
      <c r="G26" s="17" t="s">
        <v>1438</v>
      </c>
      <c r="H26" s="18"/>
      <c r="I26" s="17"/>
      <c r="J26" s="19" t="s">
        <v>133</v>
      </c>
      <c r="K26" s="19" t="s">
        <v>903</v>
      </c>
      <c r="L26" s="19" t="s">
        <v>134</v>
      </c>
    </row>
    <row r="27" spans="1:12" s="1" customFormat="1">
      <c r="A27" s="15"/>
      <c r="B27" s="9" t="s">
        <v>644</v>
      </c>
      <c r="C27" s="9" t="s">
        <v>45</v>
      </c>
      <c r="D27" s="9" t="s">
        <v>1187</v>
      </c>
      <c r="E27" s="16" t="s">
        <v>128</v>
      </c>
      <c r="F27" s="17"/>
      <c r="G27" s="17" t="s">
        <v>1439</v>
      </c>
      <c r="H27" s="18"/>
      <c r="I27" s="17"/>
      <c r="J27" s="19" t="s">
        <v>133</v>
      </c>
      <c r="K27" s="19" t="s">
        <v>903</v>
      </c>
      <c r="L27" s="19" t="s">
        <v>134</v>
      </c>
    </row>
    <row r="28" spans="1:12" s="1" customFormat="1">
      <c r="A28" s="15"/>
      <c r="B28" s="9" t="s">
        <v>1468</v>
      </c>
      <c r="C28" s="9" t="s">
        <v>45</v>
      </c>
      <c r="D28" s="9" t="s">
        <v>1803</v>
      </c>
      <c r="E28" s="16" t="s">
        <v>128</v>
      </c>
      <c r="F28" s="17"/>
      <c r="G28" s="17" t="s">
        <v>1440</v>
      </c>
      <c r="H28" s="18"/>
      <c r="I28" s="17"/>
      <c r="J28" s="19" t="s">
        <v>133</v>
      </c>
      <c r="K28" s="19" t="s">
        <v>903</v>
      </c>
      <c r="L28" s="19" t="s">
        <v>134</v>
      </c>
    </row>
    <row r="29" spans="1:12" s="1" customFormat="1">
      <c r="A29" s="15"/>
      <c r="B29" s="9" t="s">
        <v>1891</v>
      </c>
      <c r="C29" s="9" t="s">
        <v>45</v>
      </c>
      <c r="D29" s="9" t="s">
        <v>1903</v>
      </c>
      <c r="E29" s="16" t="s">
        <v>128</v>
      </c>
      <c r="F29" s="17"/>
      <c r="G29" s="17" t="s">
        <v>1334</v>
      </c>
      <c r="H29" s="98"/>
      <c r="I29" s="17"/>
      <c r="J29" s="19" t="s">
        <v>133</v>
      </c>
      <c r="K29" s="19" t="s">
        <v>132</v>
      </c>
      <c r="L29" s="19" t="s">
        <v>132</v>
      </c>
    </row>
    <row r="30" spans="1:12" s="1" customFormat="1">
      <c r="A30" s="15"/>
      <c r="B30" s="9" t="s">
        <v>1892</v>
      </c>
      <c r="C30" s="9" t="s">
        <v>45</v>
      </c>
      <c r="D30" s="9" t="s">
        <v>1904</v>
      </c>
      <c r="E30" s="16" t="s">
        <v>128</v>
      </c>
      <c r="F30" s="17"/>
      <c r="G30" s="17" t="s">
        <v>1334</v>
      </c>
      <c r="H30" s="98"/>
      <c r="I30" s="17"/>
      <c r="J30" s="19" t="s">
        <v>133</v>
      </c>
      <c r="K30" s="19" t="s">
        <v>132</v>
      </c>
      <c r="L30" s="19" t="s">
        <v>132</v>
      </c>
    </row>
    <row r="31" spans="1:12" s="1" customFormat="1">
      <c r="A31" s="15"/>
      <c r="B31" s="9" t="s">
        <v>1893</v>
      </c>
      <c r="C31" s="9" t="s">
        <v>45</v>
      </c>
      <c r="D31" s="9" t="s">
        <v>1905</v>
      </c>
      <c r="E31" s="16" t="s">
        <v>128</v>
      </c>
      <c r="F31" s="17"/>
      <c r="G31" s="17" t="s">
        <v>1334</v>
      </c>
      <c r="H31" s="98"/>
      <c r="I31" s="17"/>
      <c r="J31" s="19" t="s">
        <v>133</v>
      </c>
      <c r="K31" s="19" t="s">
        <v>132</v>
      </c>
      <c r="L31" s="19" t="s">
        <v>132</v>
      </c>
    </row>
    <row r="32" spans="1:12" s="1" customFormat="1">
      <c r="A32" s="15"/>
      <c r="B32" s="9" t="s">
        <v>1894</v>
      </c>
      <c r="C32" s="9" t="s">
        <v>45</v>
      </c>
      <c r="D32" s="9" t="s">
        <v>1906</v>
      </c>
      <c r="E32" s="16" t="s">
        <v>128</v>
      </c>
      <c r="F32" s="17"/>
      <c r="G32" s="17" t="s">
        <v>1334</v>
      </c>
      <c r="H32" s="98"/>
      <c r="I32" s="17"/>
      <c r="J32" s="19" t="s">
        <v>133</v>
      </c>
      <c r="K32" s="19" t="s">
        <v>132</v>
      </c>
      <c r="L32" s="19" t="s">
        <v>132</v>
      </c>
    </row>
    <row r="33" spans="1:17" s="1" customFormat="1">
      <c r="A33" s="15"/>
      <c r="B33" s="9" t="s">
        <v>1651</v>
      </c>
      <c r="C33" s="9" t="s">
        <v>45</v>
      </c>
      <c r="D33" s="9" t="s">
        <v>1726</v>
      </c>
      <c r="E33" s="16" t="s">
        <v>128</v>
      </c>
      <c r="F33" s="17"/>
      <c r="G33" s="17" t="s">
        <v>1780</v>
      </c>
      <c r="H33" s="98"/>
      <c r="I33" s="17"/>
      <c r="J33" s="19" t="s">
        <v>133</v>
      </c>
      <c r="K33" s="19" t="s">
        <v>203</v>
      </c>
      <c r="L33" s="19" t="s">
        <v>134</v>
      </c>
    </row>
    <row r="34" spans="1:17" s="1" customFormat="1">
      <c r="A34" s="15"/>
      <c r="B34" s="9" t="s">
        <v>1591</v>
      </c>
      <c r="C34" s="9" t="s">
        <v>45</v>
      </c>
      <c r="D34" s="9" t="s">
        <v>1727</v>
      </c>
      <c r="E34" s="16" t="s">
        <v>128</v>
      </c>
      <c r="F34" s="17"/>
      <c r="G34" s="17" t="s">
        <v>1627</v>
      </c>
      <c r="H34" s="98"/>
      <c r="I34" s="17"/>
      <c r="J34" s="19" t="s">
        <v>133</v>
      </c>
      <c r="K34" s="19" t="s">
        <v>203</v>
      </c>
      <c r="L34" s="19" t="s">
        <v>134</v>
      </c>
    </row>
    <row r="35" spans="1:17" s="1" customFormat="1">
      <c r="A35" s="15"/>
      <c r="B35" s="9" t="s">
        <v>1895</v>
      </c>
      <c r="C35" s="9" t="s">
        <v>45</v>
      </c>
      <c r="D35" s="9" t="s">
        <v>1907</v>
      </c>
      <c r="E35" s="16" t="s">
        <v>128</v>
      </c>
      <c r="F35" s="17"/>
      <c r="G35" s="17" t="s">
        <v>1901</v>
      </c>
      <c r="H35" s="98"/>
      <c r="I35" s="17"/>
      <c r="J35" s="19" t="s">
        <v>133</v>
      </c>
      <c r="K35" s="19" t="s">
        <v>903</v>
      </c>
      <c r="L35" s="19" t="s">
        <v>134</v>
      </c>
    </row>
    <row r="36" spans="1:17" s="1" customFormat="1">
      <c r="A36" s="15"/>
      <c r="B36" s="9" t="s">
        <v>1896</v>
      </c>
      <c r="C36" s="9" t="s">
        <v>45</v>
      </c>
      <c r="D36" s="9" t="s">
        <v>1908</v>
      </c>
      <c r="E36" s="16" t="s">
        <v>128</v>
      </c>
      <c r="F36" s="17"/>
      <c r="G36" s="17" t="s">
        <v>1900</v>
      </c>
      <c r="H36" s="98"/>
      <c r="I36" s="17"/>
      <c r="J36" s="19" t="s">
        <v>133</v>
      </c>
      <c r="K36" s="19" t="s">
        <v>903</v>
      </c>
      <c r="L36" s="19" t="s">
        <v>134</v>
      </c>
    </row>
    <row r="37" spans="1:17" s="1" customFormat="1">
      <c r="A37" s="15"/>
      <c r="B37" s="9" t="s">
        <v>1897</v>
      </c>
      <c r="C37" s="9" t="s">
        <v>56</v>
      </c>
      <c r="D37" s="9" t="s">
        <v>1909</v>
      </c>
      <c r="E37" s="16" t="s">
        <v>128</v>
      </c>
      <c r="F37" s="17"/>
      <c r="G37" s="17" t="s">
        <v>1902</v>
      </c>
      <c r="H37" s="98"/>
      <c r="I37" s="17"/>
      <c r="J37" s="19" t="s">
        <v>133</v>
      </c>
      <c r="K37" s="19" t="s">
        <v>132</v>
      </c>
      <c r="L37" s="19" t="s">
        <v>1337</v>
      </c>
    </row>
    <row r="38" spans="1:17" s="1" customFormat="1">
      <c r="A38" s="15"/>
      <c r="B38" s="9" t="s">
        <v>1898</v>
      </c>
      <c r="C38" s="9" t="s">
        <v>45</v>
      </c>
      <c r="D38" s="9" t="s">
        <v>1910</v>
      </c>
      <c r="E38" s="16" t="s">
        <v>128</v>
      </c>
      <c r="F38" s="17"/>
      <c r="G38" s="17" t="s">
        <v>1884</v>
      </c>
      <c r="H38" s="98"/>
      <c r="I38" s="17"/>
      <c r="J38" s="19" t="s">
        <v>133</v>
      </c>
      <c r="K38" s="19" t="s">
        <v>1899</v>
      </c>
      <c r="L38" s="19" t="s">
        <v>134</v>
      </c>
    </row>
    <row r="39" spans="1:17" s="3" customFormat="1">
      <c r="B39" s="23" t="s">
        <v>47</v>
      </c>
      <c r="C39" s="24" t="s">
        <v>46</v>
      </c>
      <c r="D39" s="21" t="s">
        <v>48</v>
      </c>
      <c r="E39" s="44"/>
      <c r="F39" s="44"/>
      <c r="G39" s="44" t="s">
        <v>282</v>
      </c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s="3" customFormat="1">
      <c r="B40" s="23" t="s">
        <v>49</v>
      </c>
      <c r="C40" s="24" t="s">
        <v>43</v>
      </c>
      <c r="D40" s="21" t="s">
        <v>50</v>
      </c>
      <c r="E40" s="44"/>
      <c r="F40" s="44"/>
      <c r="G40" s="44" t="s">
        <v>282</v>
      </c>
      <c r="H40" s="23" t="s">
        <v>282</v>
      </c>
      <c r="I40" s="23"/>
      <c r="J40" s="23"/>
      <c r="K40" s="23"/>
      <c r="L40" s="23"/>
      <c r="M40" s="23"/>
      <c r="N40" s="23"/>
      <c r="O40" s="23"/>
      <c r="P40" s="23"/>
      <c r="Q40" s="23"/>
    </row>
  </sheetData>
  <autoFilter ref="A13:Q40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CD98-6729-4F7B-9234-967E33888AB1}">
  <sheetPr codeName="Sheet42"/>
  <dimension ref="A1:N37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1.66406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128"/>
      <c r="C2" s="128"/>
      <c r="D2" s="128"/>
      <c r="E2" s="128"/>
      <c r="F2" s="128"/>
      <c r="G2" s="128"/>
      <c r="H2" s="128"/>
    </row>
    <row r="3" spans="1:12">
      <c r="B3" s="124" t="s">
        <v>18</v>
      </c>
      <c r="C3" s="124"/>
      <c r="D3" s="124"/>
      <c r="E3" s="124"/>
      <c r="F3" s="124"/>
      <c r="G3" s="124"/>
      <c r="H3" s="124"/>
    </row>
    <row r="4" spans="1:12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2">
      <c r="B5" s="8" t="s">
        <v>69</v>
      </c>
      <c r="C5" s="9" t="s">
        <v>1911</v>
      </c>
      <c r="D5" s="82" t="s">
        <v>1912</v>
      </c>
      <c r="E5" s="11" t="s">
        <v>90</v>
      </c>
      <c r="F5" s="42"/>
      <c r="G5" s="11"/>
      <c r="H5" s="11"/>
    </row>
    <row r="6" spans="1:12">
      <c r="B6" s="6"/>
      <c r="C6" s="6"/>
      <c r="D6" s="6"/>
      <c r="E6" s="6"/>
      <c r="F6" s="43"/>
      <c r="G6" s="43"/>
      <c r="H6" s="6"/>
    </row>
    <row r="7" spans="1:12">
      <c r="B7" s="124" t="s">
        <v>25</v>
      </c>
      <c r="C7" s="124"/>
      <c r="D7" s="124"/>
      <c r="E7" s="124"/>
      <c r="F7" s="124"/>
      <c r="G7" s="124"/>
      <c r="H7" s="124"/>
    </row>
    <row r="8" spans="1:12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2">
      <c r="B9" s="11"/>
      <c r="C9" s="9" t="s">
        <v>1368</v>
      </c>
      <c r="D9" s="10" t="s">
        <v>1369</v>
      </c>
      <c r="E9" s="11" t="s">
        <v>55</v>
      </c>
      <c r="F9" s="17"/>
      <c r="G9" s="17" t="s">
        <v>1889</v>
      </c>
      <c r="H9" s="14" t="s">
        <v>17</v>
      </c>
    </row>
    <row r="11" spans="1:12">
      <c r="B11" s="4" t="s">
        <v>32</v>
      </c>
    </row>
    <row r="12" spans="1:12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2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2" s="1" customFormat="1">
      <c r="B14" s="9" t="s">
        <v>1321</v>
      </c>
      <c r="C14" s="9" t="s">
        <v>43</v>
      </c>
      <c r="D14" s="9" t="s">
        <v>1169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132</v>
      </c>
    </row>
    <row r="15" spans="1:12" s="1" customFormat="1">
      <c r="A15" s="15"/>
      <c r="B15" s="9" t="s">
        <v>77</v>
      </c>
      <c r="C15" s="9" t="s">
        <v>46</v>
      </c>
      <c r="D15" s="9" t="s">
        <v>1323</v>
      </c>
      <c r="E15" s="16" t="s">
        <v>128</v>
      </c>
      <c r="F15" s="17" t="s">
        <v>1879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132</v>
      </c>
    </row>
    <row r="16" spans="1:12" s="1" customFormat="1">
      <c r="A16" s="15"/>
      <c r="B16" s="9" t="s">
        <v>79</v>
      </c>
      <c r="C16" s="9" t="s">
        <v>43</v>
      </c>
      <c r="D16" s="9" t="s">
        <v>104</v>
      </c>
      <c r="E16" s="16" t="s">
        <v>128</v>
      </c>
      <c r="F16" s="17"/>
      <c r="G16" s="17" t="s">
        <v>1334</v>
      </c>
      <c r="H16" s="18"/>
      <c r="I16" s="19"/>
      <c r="J16" s="19" t="s">
        <v>131</v>
      </c>
      <c r="K16" s="19" t="s">
        <v>132</v>
      </c>
      <c r="L16" s="19" t="s">
        <v>132</v>
      </c>
    </row>
    <row r="17" spans="1:12" s="1" customFormat="1">
      <c r="A17" s="15"/>
      <c r="B17" s="9" t="s">
        <v>1324</v>
      </c>
      <c r="C17" s="9" t="s">
        <v>43</v>
      </c>
      <c r="D17" s="9" t="s">
        <v>1325</v>
      </c>
      <c r="E17" s="16" t="s">
        <v>128</v>
      </c>
      <c r="F17" s="9"/>
      <c r="G17" s="17" t="s">
        <v>1334</v>
      </c>
      <c r="H17" s="18"/>
      <c r="I17" s="19"/>
      <c r="J17" s="19" t="s">
        <v>131</v>
      </c>
      <c r="K17" s="19" t="s">
        <v>132</v>
      </c>
      <c r="L17" s="19" t="s">
        <v>132</v>
      </c>
    </row>
    <row r="18" spans="1:12" s="1" customFormat="1">
      <c r="A18" s="15"/>
      <c r="B18" s="9" t="s">
        <v>78</v>
      </c>
      <c r="C18" s="9" t="s">
        <v>43</v>
      </c>
      <c r="D18" s="9" t="s">
        <v>103</v>
      </c>
      <c r="E18" s="16" t="s">
        <v>128</v>
      </c>
      <c r="F18" s="9"/>
      <c r="G18" s="17" t="s">
        <v>1334</v>
      </c>
      <c r="H18" s="18"/>
      <c r="I18" s="19"/>
      <c r="J18" s="19" t="s">
        <v>131</v>
      </c>
      <c r="K18" s="19" t="s">
        <v>132</v>
      </c>
      <c r="L18" s="19" t="s">
        <v>132</v>
      </c>
    </row>
    <row r="19" spans="1:12" s="1" customFormat="1">
      <c r="A19" s="15"/>
      <c r="B19" s="9" t="s">
        <v>1174</v>
      </c>
      <c r="C19" s="9" t="s">
        <v>45</v>
      </c>
      <c r="D19" s="9" t="s">
        <v>1175</v>
      </c>
      <c r="E19" s="16" t="s">
        <v>128</v>
      </c>
      <c r="F19" s="9"/>
      <c r="G19" s="17" t="s">
        <v>1613</v>
      </c>
      <c r="H19" s="18"/>
      <c r="I19" s="19"/>
      <c r="J19" s="19" t="s">
        <v>131</v>
      </c>
      <c r="K19" s="19" t="s">
        <v>132</v>
      </c>
      <c r="L19" s="19" t="s">
        <v>132</v>
      </c>
    </row>
    <row r="20" spans="1:12" s="1" customFormat="1">
      <c r="A20" s="15"/>
      <c r="B20" s="9" t="s">
        <v>1176</v>
      </c>
      <c r="C20" s="9" t="s">
        <v>45</v>
      </c>
      <c r="D20" s="9" t="s">
        <v>1177</v>
      </c>
      <c r="E20" s="16" t="s">
        <v>128</v>
      </c>
      <c r="F20" s="9"/>
      <c r="G20" s="17" t="s">
        <v>1614</v>
      </c>
      <c r="H20" s="18"/>
      <c r="I20" s="19"/>
      <c r="J20" s="19" t="s">
        <v>131</v>
      </c>
      <c r="K20" s="19" t="s">
        <v>132</v>
      </c>
      <c r="L20" s="19" t="s">
        <v>132</v>
      </c>
    </row>
    <row r="21" spans="1:12" s="1" customFormat="1">
      <c r="A21" s="15"/>
      <c r="B21" s="9" t="s">
        <v>64</v>
      </c>
      <c r="C21" s="9" t="s">
        <v>46</v>
      </c>
      <c r="D21" s="9" t="s">
        <v>1170</v>
      </c>
      <c r="E21" s="16" t="s">
        <v>128</v>
      </c>
      <c r="F21" s="9" t="s">
        <v>138</v>
      </c>
      <c r="G21" s="17" t="s">
        <v>129</v>
      </c>
      <c r="H21" s="18"/>
      <c r="I21" s="19"/>
      <c r="J21" s="19" t="s">
        <v>131</v>
      </c>
      <c r="K21" s="19" t="s">
        <v>132</v>
      </c>
      <c r="L21" s="19" t="s">
        <v>132</v>
      </c>
    </row>
    <row r="22" spans="1:12" s="1" customFormat="1">
      <c r="A22" s="15"/>
      <c r="B22" s="9" t="s">
        <v>65</v>
      </c>
      <c r="C22" s="9" t="s">
        <v>46</v>
      </c>
      <c r="D22" s="9" t="s">
        <v>1171</v>
      </c>
      <c r="E22" s="16" t="s">
        <v>128</v>
      </c>
      <c r="F22" s="9" t="s">
        <v>123</v>
      </c>
      <c r="G22" s="17" t="s">
        <v>129</v>
      </c>
      <c r="H22" s="18"/>
      <c r="I22" s="19"/>
      <c r="J22" s="19" t="s">
        <v>131</v>
      </c>
      <c r="K22" s="19" t="s">
        <v>132</v>
      </c>
      <c r="L22" s="19" t="s">
        <v>132</v>
      </c>
    </row>
    <row r="23" spans="1:12" s="1" customFormat="1">
      <c r="A23" s="15"/>
      <c r="B23" s="9" t="s">
        <v>1326</v>
      </c>
      <c r="C23" s="9" t="s">
        <v>46</v>
      </c>
      <c r="D23" s="9" t="s">
        <v>1327</v>
      </c>
      <c r="E23" s="16" t="s">
        <v>128</v>
      </c>
      <c r="F23" s="17" t="s">
        <v>124</v>
      </c>
      <c r="G23" s="17" t="s">
        <v>129</v>
      </c>
      <c r="H23" s="18"/>
      <c r="I23" s="19"/>
      <c r="J23" s="19" t="s">
        <v>131</v>
      </c>
      <c r="K23" s="19" t="s">
        <v>132</v>
      </c>
      <c r="L23" s="19" t="s">
        <v>132</v>
      </c>
    </row>
    <row r="24" spans="1:12" s="1" customFormat="1">
      <c r="A24" s="15"/>
      <c r="B24" s="9" t="s">
        <v>296</v>
      </c>
      <c r="C24" s="9" t="s">
        <v>45</v>
      </c>
      <c r="D24" s="9" t="s">
        <v>1185</v>
      </c>
      <c r="E24" s="16" t="s">
        <v>128</v>
      </c>
      <c r="F24" s="17"/>
      <c r="G24" s="17" t="s">
        <v>1427</v>
      </c>
      <c r="H24" s="18"/>
      <c r="I24" s="19"/>
      <c r="J24" s="19" t="s">
        <v>133</v>
      </c>
      <c r="K24" s="19" t="s">
        <v>1899</v>
      </c>
      <c r="L24" s="19" t="s">
        <v>134</v>
      </c>
    </row>
    <row r="25" spans="1:12" s="1" customFormat="1">
      <c r="A25" s="15"/>
      <c r="B25" s="9" t="s">
        <v>297</v>
      </c>
      <c r="C25" s="9" t="s">
        <v>45</v>
      </c>
      <c r="D25" s="9" t="s">
        <v>160</v>
      </c>
      <c r="E25" s="16" t="s">
        <v>128</v>
      </c>
      <c r="F25" s="17"/>
      <c r="G25" s="17" t="s">
        <v>1428</v>
      </c>
      <c r="H25" s="18"/>
      <c r="I25" s="19"/>
      <c r="J25" s="19" t="s">
        <v>133</v>
      </c>
      <c r="K25" s="19" t="s">
        <v>1899</v>
      </c>
      <c r="L25" s="19" t="s">
        <v>134</v>
      </c>
    </row>
    <row r="26" spans="1:12" s="1" customFormat="1">
      <c r="A26" s="15"/>
      <c r="B26" s="9" t="s">
        <v>642</v>
      </c>
      <c r="C26" s="9" t="s">
        <v>45</v>
      </c>
      <c r="D26" s="9" t="s">
        <v>643</v>
      </c>
      <c r="E26" s="16" t="s">
        <v>128</v>
      </c>
      <c r="F26" s="17"/>
      <c r="G26" s="17" t="s">
        <v>1438</v>
      </c>
      <c r="H26" s="18"/>
      <c r="I26" s="19"/>
      <c r="J26" s="19" t="s">
        <v>133</v>
      </c>
      <c r="K26" s="19" t="s">
        <v>903</v>
      </c>
      <c r="L26" s="19" t="s">
        <v>134</v>
      </c>
    </row>
    <row r="27" spans="1:12" s="1" customFormat="1">
      <c r="A27" s="15"/>
      <c r="B27" s="9" t="s">
        <v>644</v>
      </c>
      <c r="C27" s="9" t="s">
        <v>45</v>
      </c>
      <c r="D27" s="9" t="s">
        <v>1187</v>
      </c>
      <c r="E27" s="16" t="s">
        <v>128</v>
      </c>
      <c r="F27" s="17"/>
      <c r="G27" s="17" t="s">
        <v>1439</v>
      </c>
      <c r="H27" s="18"/>
      <c r="I27" s="19"/>
      <c r="J27" s="19" t="s">
        <v>133</v>
      </c>
      <c r="K27" s="19" t="s">
        <v>903</v>
      </c>
      <c r="L27" s="19" t="s">
        <v>134</v>
      </c>
    </row>
    <row r="28" spans="1:12" s="1" customFormat="1">
      <c r="A28" s="15"/>
      <c r="B28" s="9" t="s">
        <v>1468</v>
      </c>
      <c r="C28" s="9" t="s">
        <v>45</v>
      </c>
      <c r="D28" s="9" t="s">
        <v>1803</v>
      </c>
      <c r="E28" s="16" t="s">
        <v>128</v>
      </c>
      <c r="F28" s="17"/>
      <c r="G28" s="17" t="s">
        <v>1440</v>
      </c>
      <c r="H28" s="18"/>
      <c r="I28" s="19"/>
      <c r="J28" s="19" t="s">
        <v>133</v>
      </c>
      <c r="K28" s="19" t="s">
        <v>903</v>
      </c>
      <c r="L28" s="19" t="s">
        <v>134</v>
      </c>
    </row>
    <row r="29" spans="1:12" s="1" customFormat="1">
      <c r="A29" s="15"/>
      <c r="B29" s="9" t="s">
        <v>1648</v>
      </c>
      <c r="C29" s="9" t="s">
        <v>45</v>
      </c>
      <c r="D29" s="9" t="s">
        <v>865</v>
      </c>
      <c r="E29" s="16" t="s">
        <v>55</v>
      </c>
      <c r="F29" s="17"/>
      <c r="G29" s="17" t="s">
        <v>1915</v>
      </c>
      <c r="H29" s="98"/>
      <c r="I29" s="19"/>
      <c r="J29" s="19" t="s">
        <v>133</v>
      </c>
      <c r="K29" s="19" t="s">
        <v>132</v>
      </c>
      <c r="L29" s="19" t="s">
        <v>132</v>
      </c>
    </row>
    <row r="30" spans="1:12" s="1" customFormat="1">
      <c r="A30" s="15"/>
      <c r="B30" s="9" t="s">
        <v>1649</v>
      </c>
      <c r="C30" s="9" t="s">
        <v>45</v>
      </c>
      <c r="D30" s="9" t="s">
        <v>866</v>
      </c>
      <c r="E30" s="16" t="s">
        <v>55</v>
      </c>
      <c r="F30" s="17"/>
      <c r="G30" s="17" t="s">
        <v>1916</v>
      </c>
      <c r="H30" s="98"/>
      <c r="I30" s="19"/>
      <c r="J30" s="19" t="s">
        <v>133</v>
      </c>
      <c r="K30" s="19" t="s">
        <v>132</v>
      </c>
      <c r="L30" s="19" t="s">
        <v>132</v>
      </c>
    </row>
    <row r="31" spans="1:12" s="1" customFormat="1">
      <c r="A31" s="15"/>
      <c r="B31" s="9" t="s">
        <v>1650</v>
      </c>
      <c r="C31" s="9" t="s">
        <v>45</v>
      </c>
      <c r="D31" s="9" t="s">
        <v>867</v>
      </c>
      <c r="E31" s="16" t="s">
        <v>55</v>
      </c>
      <c r="F31" s="17"/>
      <c r="G31" s="17" t="s">
        <v>1917</v>
      </c>
      <c r="H31" s="98"/>
      <c r="I31" s="19"/>
      <c r="J31" s="19" t="s">
        <v>133</v>
      </c>
      <c r="K31" s="19" t="s">
        <v>132</v>
      </c>
      <c r="L31" s="19" t="s">
        <v>132</v>
      </c>
    </row>
    <row r="32" spans="1:12" s="1" customFormat="1">
      <c r="A32" s="15"/>
      <c r="B32" s="9" t="s">
        <v>1651</v>
      </c>
      <c r="C32" s="9" t="s">
        <v>45</v>
      </c>
      <c r="D32" s="9" t="s">
        <v>1726</v>
      </c>
      <c r="E32" s="16" t="s">
        <v>128</v>
      </c>
      <c r="F32" s="17"/>
      <c r="G32" s="17" t="s">
        <v>1780</v>
      </c>
      <c r="H32" s="98"/>
      <c r="I32" s="19"/>
      <c r="J32" s="19" t="s">
        <v>133</v>
      </c>
      <c r="K32" s="19" t="s">
        <v>132</v>
      </c>
      <c r="L32" s="19" t="s">
        <v>132</v>
      </c>
    </row>
    <row r="33" spans="1:14" s="1" customFormat="1">
      <c r="A33" s="15"/>
      <c r="B33" s="9" t="s">
        <v>1591</v>
      </c>
      <c r="C33" s="9" t="s">
        <v>45</v>
      </c>
      <c r="D33" s="9" t="s">
        <v>1727</v>
      </c>
      <c r="E33" s="16" t="s">
        <v>128</v>
      </c>
      <c r="F33" s="17"/>
      <c r="G33" s="17" t="s">
        <v>1627</v>
      </c>
      <c r="H33" s="98"/>
      <c r="I33" s="19"/>
      <c r="J33" s="19" t="s">
        <v>133</v>
      </c>
      <c r="K33" s="19" t="s">
        <v>203</v>
      </c>
      <c r="L33" s="19" t="s">
        <v>134</v>
      </c>
    </row>
    <row r="34" spans="1:14" s="1" customFormat="1">
      <c r="A34" s="15"/>
      <c r="B34" s="19" t="s">
        <v>1913</v>
      </c>
      <c r="C34" s="19" t="s">
        <v>45</v>
      </c>
      <c r="D34" s="19" t="s">
        <v>1918</v>
      </c>
      <c r="E34" s="16" t="s">
        <v>128</v>
      </c>
      <c r="F34" s="19"/>
      <c r="G34" s="17" t="s">
        <v>1884</v>
      </c>
      <c r="H34" s="98"/>
      <c r="I34" s="19"/>
      <c r="J34" s="19" t="s">
        <v>133</v>
      </c>
      <c r="K34" s="19" t="s">
        <v>203</v>
      </c>
      <c r="L34" s="19" t="s">
        <v>134</v>
      </c>
    </row>
    <row r="35" spans="1:14" s="1" customFormat="1">
      <c r="A35" s="15"/>
      <c r="B35" s="19" t="s">
        <v>1914</v>
      </c>
      <c r="C35" s="19" t="s">
        <v>56</v>
      </c>
      <c r="D35" s="9" t="s">
        <v>1907</v>
      </c>
      <c r="E35" s="16" t="s">
        <v>128</v>
      </c>
      <c r="F35" s="17"/>
      <c r="G35" s="17" t="s">
        <v>1919</v>
      </c>
      <c r="H35" s="98"/>
      <c r="I35" s="19"/>
      <c r="J35" s="19" t="s">
        <v>133</v>
      </c>
      <c r="K35" s="19" t="s">
        <v>903</v>
      </c>
      <c r="L35" s="19" t="s">
        <v>134</v>
      </c>
    </row>
    <row r="36" spans="1:14" s="3" customFormat="1">
      <c r="B36" s="23" t="s">
        <v>47</v>
      </c>
      <c r="C36" s="24" t="s">
        <v>46</v>
      </c>
      <c r="D36" s="21" t="s">
        <v>48</v>
      </c>
      <c r="E36" s="44"/>
      <c r="F36" s="44"/>
      <c r="G36" s="44" t="s">
        <v>282</v>
      </c>
      <c r="H36" s="23"/>
      <c r="I36" s="23"/>
      <c r="J36" s="23"/>
      <c r="K36" s="23"/>
      <c r="L36" s="23"/>
      <c r="M36" s="23"/>
      <c r="N36" s="23"/>
    </row>
    <row r="37" spans="1:14" s="3" customFormat="1">
      <c r="B37" s="23" t="s">
        <v>49</v>
      </c>
      <c r="C37" s="24" t="s">
        <v>43</v>
      </c>
      <c r="D37" s="21" t="s">
        <v>50</v>
      </c>
      <c r="E37" s="44"/>
      <c r="F37" s="44"/>
      <c r="G37" s="44" t="s">
        <v>282</v>
      </c>
      <c r="H37" s="23" t="s">
        <v>282</v>
      </c>
      <c r="I37" s="23"/>
      <c r="J37" s="23"/>
      <c r="K37" s="23"/>
      <c r="L37" s="23"/>
      <c r="M37" s="23"/>
      <c r="N37" s="23"/>
    </row>
  </sheetData>
  <autoFilter ref="A13:N37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04EC-F4BC-4305-88B6-F41EEB4E93AA}">
  <sheetPr codeName="Sheet46"/>
  <dimension ref="A1:Q45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1.5546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1937</v>
      </c>
      <c r="D5" s="10" t="s">
        <v>1931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1586</v>
      </c>
      <c r="D9" s="10" t="s">
        <v>1587</v>
      </c>
      <c r="E9" s="11" t="s">
        <v>55</v>
      </c>
      <c r="F9" s="17"/>
      <c r="G9" s="72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77</v>
      </c>
      <c r="C14" s="22" t="s">
        <v>46</v>
      </c>
      <c r="D14" s="9" t="s">
        <v>329</v>
      </c>
      <c r="E14" s="16"/>
      <c r="F14" s="17" t="s">
        <v>77</v>
      </c>
      <c r="G14" s="17" t="s">
        <v>129</v>
      </c>
      <c r="H14" s="18"/>
      <c r="I14" s="19"/>
      <c r="J14" s="19" t="s">
        <v>131</v>
      </c>
      <c r="K14" s="19" t="s">
        <v>44</v>
      </c>
      <c r="L14" s="19" t="s">
        <v>677</v>
      </c>
    </row>
    <row r="15" spans="1:14" s="1" customFormat="1">
      <c r="B15" s="22" t="s">
        <v>1168</v>
      </c>
      <c r="C15" s="22" t="s">
        <v>43</v>
      </c>
      <c r="D15" s="9" t="s">
        <v>1169</v>
      </c>
      <c r="E15" s="16"/>
      <c r="F15" s="17" t="s">
        <v>118</v>
      </c>
      <c r="G15" s="17" t="s">
        <v>129</v>
      </c>
      <c r="H15" s="18"/>
      <c r="I15" s="19"/>
      <c r="J15" s="19" t="s">
        <v>131</v>
      </c>
      <c r="K15" s="19" t="s">
        <v>44</v>
      </c>
      <c r="L15" s="19" t="s">
        <v>674</v>
      </c>
    </row>
    <row r="16" spans="1:14" s="1" customFormat="1">
      <c r="A16" s="15"/>
      <c r="B16" s="22" t="s">
        <v>80</v>
      </c>
      <c r="C16" s="22" t="s">
        <v>46</v>
      </c>
      <c r="D16" s="9" t="s">
        <v>341</v>
      </c>
      <c r="E16" s="16"/>
      <c r="F16" s="17" t="s">
        <v>80</v>
      </c>
      <c r="G16" s="17" t="s">
        <v>1334</v>
      </c>
      <c r="H16" s="18"/>
      <c r="I16" s="20"/>
      <c r="J16" s="19" t="s">
        <v>131</v>
      </c>
      <c r="K16" s="19" t="s">
        <v>44</v>
      </c>
      <c r="L16" s="19" t="s">
        <v>44</v>
      </c>
    </row>
    <row r="17" spans="1:13" s="1" customFormat="1">
      <c r="A17" s="15"/>
      <c r="B17" s="22" t="s">
        <v>1174</v>
      </c>
      <c r="C17" s="22" t="s">
        <v>46</v>
      </c>
      <c r="D17" s="9" t="s">
        <v>1596</v>
      </c>
      <c r="E17" s="16"/>
      <c r="F17" s="17" t="s">
        <v>1174</v>
      </c>
      <c r="G17" s="17" t="s">
        <v>129</v>
      </c>
      <c r="H17" s="18"/>
      <c r="I17" s="20"/>
      <c r="J17" s="19" t="s">
        <v>131</v>
      </c>
      <c r="K17" s="19" t="s">
        <v>44</v>
      </c>
      <c r="L17" s="19" t="s">
        <v>44</v>
      </c>
    </row>
    <row r="18" spans="1:13" s="1" customFormat="1">
      <c r="A18" s="15"/>
      <c r="B18" s="22" t="s">
        <v>1176</v>
      </c>
      <c r="C18" s="22" t="s">
        <v>43</v>
      </c>
      <c r="D18" s="9" t="s">
        <v>1177</v>
      </c>
      <c r="E18" s="16"/>
      <c r="F18" s="17" t="s">
        <v>1176</v>
      </c>
      <c r="G18" s="17" t="s">
        <v>129</v>
      </c>
      <c r="H18" s="18"/>
      <c r="I18" s="20"/>
      <c r="J18" s="19" t="s">
        <v>131</v>
      </c>
      <c r="K18" s="19" t="s">
        <v>44</v>
      </c>
      <c r="L18" s="19" t="s">
        <v>44</v>
      </c>
    </row>
    <row r="19" spans="1:13" s="1" customFormat="1">
      <c r="A19" s="15"/>
      <c r="B19" s="11" t="s">
        <v>1069</v>
      </c>
      <c r="C19" s="22" t="s">
        <v>43</v>
      </c>
      <c r="D19" s="9" t="s">
        <v>1178</v>
      </c>
      <c r="E19" s="16"/>
      <c r="F19" s="17" t="s">
        <v>1069</v>
      </c>
      <c r="G19" s="17" t="s">
        <v>129</v>
      </c>
      <c r="H19" s="18"/>
      <c r="I19" s="20"/>
      <c r="J19" s="19" t="s">
        <v>131</v>
      </c>
      <c r="K19" s="19" t="s">
        <v>44</v>
      </c>
      <c r="L19" s="19" t="s">
        <v>44</v>
      </c>
    </row>
    <row r="20" spans="1:13" s="1" customFormat="1">
      <c r="A20" s="15"/>
      <c r="B20" s="11" t="s">
        <v>1588</v>
      </c>
      <c r="C20" s="22" t="s">
        <v>43</v>
      </c>
      <c r="D20" s="9" t="s">
        <v>1597</v>
      </c>
      <c r="E20" s="16"/>
      <c r="F20" s="17" t="s">
        <v>1588</v>
      </c>
      <c r="G20" s="17" t="s">
        <v>129</v>
      </c>
      <c r="H20" s="18"/>
      <c r="I20" s="20"/>
      <c r="J20" s="19" t="s">
        <v>131</v>
      </c>
      <c r="K20" s="19" t="s">
        <v>44</v>
      </c>
      <c r="L20" s="19" t="s">
        <v>44</v>
      </c>
    </row>
    <row r="21" spans="1:13" s="1" customFormat="1">
      <c r="A21" s="15"/>
      <c r="B21" s="11" t="s">
        <v>1068</v>
      </c>
      <c r="C21" s="22" t="s">
        <v>43</v>
      </c>
      <c r="D21" s="9" t="s">
        <v>1598</v>
      </c>
      <c r="E21" s="16"/>
      <c r="F21" s="17" t="s">
        <v>1068</v>
      </c>
      <c r="G21" s="17" t="s">
        <v>129</v>
      </c>
      <c r="H21" s="18"/>
      <c r="I21" s="20"/>
      <c r="J21" s="19" t="s">
        <v>131</v>
      </c>
      <c r="K21" s="19" t="s">
        <v>44</v>
      </c>
      <c r="L21" s="19" t="s">
        <v>679</v>
      </c>
    </row>
    <row r="22" spans="1:13" s="1" customFormat="1">
      <c r="A22" s="15"/>
      <c r="B22" s="11" t="s">
        <v>64</v>
      </c>
      <c r="C22" s="22" t="s">
        <v>43</v>
      </c>
      <c r="D22" s="9" t="s">
        <v>63</v>
      </c>
      <c r="E22" s="16"/>
      <c r="F22" s="17" t="s">
        <v>64</v>
      </c>
      <c r="G22" s="17" t="s">
        <v>129</v>
      </c>
      <c r="H22" s="18"/>
      <c r="I22" s="20"/>
      <c r="J22" s="19" t="s">
        <v>131</v>
      </c>
      <c r="K22" s="19" t="s">
        <v>44</v>
      </c>
      <c r="L22" s="19" t="s">
        <v>44</v>
      </c>
    </row>
    <row r="23" spans="1:13" s="1" customFormat="1">
      <c r="A23" s="15"/>
      <c r="B23" s="11" t="s">
        <v>61</v>
      </c>
      <c r="C23" s="11" t="s">
        <v>43</v>
      </c>
      <c r="D23" s="9" t="s">
        <v>1599</v>
      </c>
      <c r="E23" s="16"/>
      <c r="F23" s="17" t="s">
        <v>61</v>
      </c>
      <c r="G23" s="17" t="s">
        <v>129</v>
      </c>
      <c r="H23" s="18"/>
      <c r="I23" s="20"/>
      <c r="J23" s="19" t="s">
        <v>131</v>
      </c>
      <c r="K23" s="19" t="s">
        <v>44</v>
      </c>
      <c r="L23" s="19" t="s">
        <v>679</v>
      </c>
    </row>
    <row r="24" spans="1:13" s="1" customFormat="1">
      <c r="A24" s="15"/>
      <c r="B24" s="11" t="s">
        <v>65</v>
      </c>
      <c r="C24" s="11" t="s">
        <v>43</v>
      </c>
      <c r="D24" s="9" t="s">
        <v>102</v>
      </c>
      <c r="E24" s="16"/>
      <c r="F24" s="17" t="s">
        <v>65</v>
      </c>
      <c r="G24" s="17" t="s">
        <v>129</v>
      </c>
      <c r="H24" s="18"/>
      <c r="I24" s="20"/>
      <c r="J24" s="19" t="s">
        <v>131</v>
      </c>
      <c r="K24" s="19" t="s">
        <v>44</v>
      </c>
      <c r="L24" s="19" t="s">
        <v>44</v>
      </c>
    </row>
    <row r="25" spans="1:13" s="1" customFormat="1">
      <c r="A25" s="15"/>
      <c r="B25" s="11" t="s">
        <v>62</v>
      </c>
      <c r="C25" s="11" t="s">
        <v>46</v>
      </c>
      <c r="D25" s="9" t="s">
        <v>1600</v>
      </c>
      <c r="E25" s="16"/>
      <c r="F25" s="17" t="s">
        <v>62</v>
      </c>
      <c r="G25" s="17" t="s">
        <v>129</v>
      </c>
      <c r="H25" s="18"/>
      <c r="I25" s="20"/>
      <c r="J25" s="19" t="s">
        <v>131</v>
      </c>
      <c r="K25" s="19" t="s">
        <v>44</v>
      </c>
      <c r="L25" s="19" t="s">
        <v>679</v>
      </c>
    </row>
    <row r="26" spans="1:13" s="15" customFormat="1">
      <c r="B26" s="22" t="s">
        <v>66</v>
      </c>
      <c r="C26" s="11" t="s">
        <v>43</v>
      </c>
      <c r="D26" s="9" t="s">
        <v>68</v>
      </c>
      <c r="E26" s="16"/>
      <c r="F26" s="17" t="s">
        <v>66</v>
      </c>
      <c r="G26" s="17" t="s">
        <v>129</v>
      </c>
      <c r="H26" s="18"/>
      <c r="I26" s="20"/>
      <c r="J26" s="19" t="s">
        <v>131</v>
      </c>
      <c r="K26" s="19" t="s">
        <v>44</v>
      </c>
      <c r="L26" s="19" t="s">
        <v>44</v>
      </c>
      <c r="M26" s="1"/>
    </row>
    <row r="27" spans="1:13" s="1" customFormat="1">
      <c r="A27" s="15"/>
      <c r="B27" s="11" t="s">
        <v>1589</v>
      </c>
      <c r="C27" s="11" t="s">
        <v>45</v>
      </c>
      <c r="D27" s="9" t="s">
        <v>1602</v>
      </c>
      <c r="E27" s="16"/>
      <c r="F27" s="17"/>
      <c r="G27" s="17" t="s">
        <v>1957</v>
      </c>
      <c r="H27" s="18"/>
      <c r="I27" s="17"/>
      <c r="J27" s="19" t="s">
        <v>133</v>
      </c>
      <c r="K27" s="19" t="s">
        <v>1640</v>
      </c>
      <c r="L27" s="19" t="s">
        <v>67</v>
      </c>
    </row>
    <row r="28" spans="1:13" s="1" customFormat="1">
      <c r="A28" s="15"/>
      <c r="B28" s="11" t="s">
        <v>1938</v>
      </c>
      <c r="C28" s="11" t="s">
        <v>45</v>
      </c>
      <c r="D28" s="9" t="s">
        <v>1942</v>
      </c>
      <c r="E28" s="16"/>
      <c r="F28" s="17"/>
      <c r="G28" s="17" t="s">
        <v>1948</v>
      </c>
      <c r="H28" s="18"/>
      <c r="I28" s="17"/>
      <c r="J28" s="19" t="s">
        <v>133</v>
      </c>
      <c r="K28" s="19" t="s">
        <v>132</v>
      </c>
      <c r="L28" s="19" t="s">
        <v>67</v>
      </c>
    </row>
    <row r="29" spans="1:13" s="1" customFormat="1">
      <c r="A29" s="15"/>
      <c r="B29" s="11" t="s">
        <v>1939</v>
      </c>
      <c r="C29" s="11" t="s">
        <v>56</v>
      </c>
      <c r="D29" s="9" t="s">
        <v>1943</v>
      </c>
      <c r="E29" s="16"/>
      <c r="F29" s="9"/>
      <c r="G29" s="17" t="s">
        <v>1958</v>
      </c>
      <c r="H29" s="18"/>
      <c r="I29" s="20"/>
      <c r="J29" s="19" t="s">
        <v>133</v>
      </c>
      <c r="K29" s="19" t="s">
        <v>132</v>
      </c>
      <c r="L29" s="19" t="s">
        <v>67</v>
      </c>
    </row>
    <row r="30" spans="1:13" s="1" customFormat="1">
      <c r="A30" s="15"/>
      <c r="B30" s="11" t="s">
        <v>1383</v>
      </c>
      <c r="C30" s="11" t="s">
        <v>56</v>
      </c>
      <c r="D30" s="9" t="s">
        <v>1601</v>
      </c>
      <c r="E30" s="16"/>
      <c r="F30" s="9"/>
      <c r="G30" s="17" t="s">
        <v>1426</v>
      </c>
      <c r="H30" s="18"/>
      <c r="I30" s="20"/>
      <c r="J30" s="19" t="s">
        <v>133</v>
      </c>
      <c r="K30" s="19" t="s">
        <v>202</v>
      </c>
      <c r="L30" s="19" t="s">
        <v>67</v>
      </c>
    </row>
    <row r="31" spans="1:13" s="1" customFormat="1">
      <c r="A31" s="15"/>
      <c r="B31" s="11" t="s">
        <v>1590</v>
      </c>
      <c r="C31" s="11" t="s">
        <v>56</v>
      </c>
      <c r="D31" s="9" t="s">
        <v>1603</v>
      </c>
      <c r="E31" s="16"/>
      <c r="F31" s="9"/>
      <c r="G31" s="17" t="s">
        <v>1949</v>
      </c>
      <c r="H31" s="18"/>
      <c r="I31" s="20"/>
      <c r="J31" s="19" t="s">
        <v>133</v>
      </c>
      <c r="K31" s="19" t="s">
        <v>202</v>
      </c>
      <c r="L31" s="19" t="s">
        <v>67</v>
      </c>
    </row>
    <row r="32" spans="1:13" s="1" customFormat="1">
      <c r="A32" s="15"/>
      <c r="B32" s="11" t="s">
        <v>1190</v>
      </c>
      <c r="C32" s="11" t="s">
        <v>56</v>
      </c>
      <c r="D32" s="9" t="s">
        <v>1604</v>
      </c>
      <c r="E32" s="16"/>
      <c r="F32" s="9"/>
      <c r="G32" s="17" t="s">
        <v>1950</v>
      </c>
      <c r="H32" s="18"/>
      <c r="I32" s="20"/>
      <c r="J32" s="19" t="s">
        <v>133</v>
      </c>
      <c r="K32" s="19" t="s">
        <v>202</v>
      </c>
      <c r="L32" s="19" t="s">
        <v>67</v>
      </c>
    </row>
    <row r="33" spans="1:17" s="1" customFormat="1">
      <c r="A33" s="15"/>
      <c r="B33" s="11" t="s">
        <v>1591</v>
      </c>
      <c r="C33" s="11" t="s">
        <v>56</v>
      </c>
      <c r="D33" s="9" t="s">
        <v>1605</v>
      </c>
      <c r="E33" s="16"/>
      <c r="F33" s="9"/>
      <c r="G33" s="17" t="s">
        <v>3198</v>
      </c>
      <c r="H33" s="18"/>
      <c r="I33" s="20"/>
      <c r="J33" s="19" t="s">
        <v>133</v>
      </c>
      <c r="K33" s="19" t="s">
        <v>202</v>
      </c>
      <c r="L33" s="19" t="s">
        <v>67</v>
      </c>
    </row>
    <row r="34" spans="1:17" s="1" customFormat="1">
      <c r="A34" s="15"/>
      <c r="B34" s="11" t="s">
        <v>3199</v>
      </c>
      <c r="C34" s="11" t="s">
        <v>45</v>
      </c>
      <c r="D34" s="9" t="s">
        <v>1944</v>
      </c>
      <c r="E34" s="16"/>
      <c r="F34" s="9"/>
      <c r="G34" s="17" t="s">
        <v>1951</v>
      </c>
      <c r="H34" s="18"/>
      <c r="I34" s="20"/>
      <c r="J34" s="19" t="s">
        <v>133</v>
      </c>
      <c r="K34" s="19" t="s">
        <v>1849</v>
      </c>
      <c r="L34" s="19" t="s">
        <v>67</v>
      </c>
    </row>
    <row r="35" spans="1:17" s="1" customFormat="1">
      <c r="A35" s="15"/>
      <c r="B35" s="11" t="s">
        <v>3200</v>
      </c>
      <c r="C35" s="11" t="s">
        <v>45</v>
      </c>
      <c r="D35" s="9" t="s">
        <v>1945</v>
      </c>
      <c r="E35" s="16"/>
      <c r="F35" s="9"/>
      <c r="G35" s="17" t="s">
        <v>1952</v>
      </c>
      <c r="H35" s="18"/>
      <c r="I35" s="20"/>
      <c r="J35" s="19" t="s">
        <v>133</v>
      </c>
      <c r="K35" s="19" t="s">
        <v>1849</v>
      </c>
      <c r="L35" s="19" t="s">
        <v>67</v>
      </c>
    </row>
    <row r="36" spans="1:17" s="1" customFormat="1">
      <c r="A36" s="15"/>
      <c r="B36" s="11" t="s">
        <v>300</v>
      </c>
      <c r="C36" s="11" t="s">
        <v>45</v>
      </c>
      <c r="D36" s="9" t="s">
        <v>364</v>
      </c>
      <c r="E36" s="16"/>
      <c r="F36" s="9"/>
      <c r="G36" s="17" t="s">
        <v>1431</v>
      </c>
      <c r="H36" s="18"/>
      <c r="I36" s="20"/>
      <c r="J36" s="19" t="s">
        <v>133</v>
      </c>
      <c r="K36" s="19" t="s">
        <v>1849</v>
      </c>
      <c r="L36" s="19" t="s">
        <v>67</v>
      </c>
    </row>
    <row r="37" spans="1:17" s="1" customFormat="1">
      <c r="A37" s="15"/>
      <c r="B37" s="11" t="s">
        <v>301</v>
      </c>
      <c r="C37" s="11" t="s">
        <v>45</v>
      </c>
      <c r="D37" s="9" t="s">
        <v>366</v>
      </c>
      <c r="E37" s="16"/>
      <c r="F37" s="9"/>
      <c r="G37" s="17" t="s">
        <v>1432</v>
      </c>
      <c r="H37" s="18"/>
      <c r="I37" s="20"/>
      <c r="J37" s="19" t="s">
        <v>133</v>
      </c>
      <c r="K37" s="19" t="s">
        <v>1849</v>
      </c>
      <c r="L37" s="19" t="s">
        <v>67</v>
      </c>
    </row>
    <row r="38" spans="1:17" s="1" customFormat="1">
      <c r="A38" s="15"/>
      <c r="B38" s="11" t="s">
        <v>299</v>
      </c>
      <c r="C38" s="11" t="s">
        <v>45</v>
      </c>
      <c r="D38" s="9" t="s">
        <v>162</v>
      </c>
      <c r="E38" s="16"/>
      <c r="F38" s="9"/>
      <c r="G38" s="17" t="s">
        <v>1429</v>
      </c>
      <c r="H38" s="18"/>
      <c r="I38" s="20"/>
      <c r="J38" s="19" t="s">
        <v>133</v>
      </c>
      <c r="K38" s="19" t="s">
        <v>1849</v>
      </c>
      <c r="L38" s="19" t="s">
        <v>67</v>
      </c>
    </row>
    <row r="39" spans="1:17" s="1" customFormat="1">
      <c r="A39" s="15"/>
      <c r="B39" s="11" t="s">
        <v>298</v>
      </c>
      <c r="C39" s="11" t="s">
        <v>45</v>
      </c>
      <c r="D39" s="9" t="s">
        <v>161</v>
      </c>
      <c r="E39" s="16"/>
      <c r="F39" s="9"/>
      <c r="G39" s="17" t="s">
        <v>1430</v>
      </c>
      <c r="H39" s="18"/>
      <c r="I39" s="20"/>
      <c r="J39" s="19" t="s">
        <v>133</v>
      </c>
      <c r="K39" s="19" t="s">
        <v>1849</v>
      </c>
      <c r="L39" s="19" t="s">
        <v>67</v>
      </c>
    </row>
    <row r="40" spans="1:17" s="1" customFormat="1">
      <c r="A40" s="15"/>
      <c r="B40" s="11" t="s">
        <v>1940</v>
      </c>
      <c r="C40" s="11" t="s">
        <v>56</v>
      </c>
      <c r="D40" s="9" t="s">
        <v>1946</v>
      </c>
      <c r="E40" s="16"/>
      <c r="F40" s="9"/>
      <c r="G40" s="17" t="s">
        <v>1953</v>
      </c>
      <c r="H40" s="18"/>
      <c r="I40" s="20"/>
      <c r="J40" s="19" t="s">
        <v>133</v>
      </c>
      <c r="K40" s="19" t="s">
        <v>44</v>
      </c>
      <c r="L40" s="19" t="s">
        <v>1292</v>
      </c>
    </row>
    <row r="41" spans="1:17" s="1" customFormat="1">
      <c r="A41" s="15"/>
      <c r="B41" s="11" t="s">
        <v>1941</v>
      </c>
      <c r="C41" s="11" t="s">
        <v>56</v>
      </c>
      <c r="D41" s="9" t="s">
        <v>1947</v>
      </c>
      <c r="E41" s="16"/>
      <c r="F41" s="9"/>
      <c r="G41" s="17" t="s">
        <v>1954</v>
      </c>
      <c r="H41" s="18"/>
      <c r="I41" s="20"/>
      <c r="J41" s="19" t="s">
        <v>133</v>
      </c>
      <c r="K41" s="19" t="s">
        <v>44</v>
      </c>
      <c r="L41" s="19" t="s">
        <v>1292</v>
      </c>
    </row>
    <row r="42" spans="1:17" s="1" customFormat="1">
      <c r="A42" s="15"/>
      <c r="B42" s="11" t="s">
        <v>1594</v>
      </c>
      <c r="C42" s="11" t="s">
        <v>56</v>
      </c>
      <c r="D42" s="9" t="s">
        <v>1608</v>
      </c>
      <c r="E42" s="16"/>
      <c r="F42" s="9"/>
      <c r="G42" s="17" t="s">
        <v>1955</v>
      </c>
      <c r="H42" s="18"/>
      <c r="I42" s="20"/>
      <c r="J42" s="19" t="s">
        <v>133</v>
      </c>
      <c r="K42" s="19" t="s">
        <v>44</v>
      </c>
      <c r="L42" s="19" t="s">
        <v>1292</v>
      </c>
    </row>
    <row r="43" spans="1:17" s="1" customFormat="1">
      <c r="A43" s="15"/>
      <c r="B43" s="11" t="s">
        <v>1595</v>
      </c>
      <c r="C43" s="69" t="s">
        <v>56</v>
      </c>
      <c r="D43" s="9" t="s">
        <v>1609</v>
      </c>
      <c r="E43" s="16"/>
      <c r="F43" s="9"/>
      <c r="G43" s="17" t="s">
        <v>1956</v>
      </c>
      <c r="H43" s="18"/>
      <c r="I43" s="20"/>
      <c r="J43" s="19" t="s">
        <v>133</v>
      </c>
      <c r="K43" s="19" t="s">
        <v>44</v>
      </c>
      <c r="L43" s="19" t="s">
        <v>1292</v>
      </c>
    </row>
    <row r="44" spans="1:17" s="3" customFormat="1">
      <c r="B44" s="23" t="s">
        <v>47</v>
      </c>
      <c r="C44" s="24" t="s">
        <v>46</v>
      </c>
      <c r="D44" s="21" t="s">
        <v>48</v>
      </c>
      <c r="E44" s="44"/>
      <c r="F44" s="44"/>
      <c r="G44" s="44" t="s">
        <v>282</v>
      </c>
      <c r="H44" s="23" t="s">
        <v>282</v>
      </c>
      <c r="I44" s="23"/>
      <c r="J44" s="23"/>
      <c r="K44" s="23"/>
      <c r="L44" s="23"/>
      <c r="M44" s="23"/>
      <c r="N44" s="23"/>
      <c r="O44" s="23"/>
      <c r="P44" s="23"/>
      <c r="Q44" s="23"/>
    </row>
    <row r="45" spans="1:17" s="3" customFormat="1">
      <c r="B45" s="23" t="s">
        <v>49</v>
      </c>
      <c r="C45" s="24" t="s">
        <v>43</v>
      </c>
      <c r="D45" s="21" t="s">
        <v>50</v>
      </c>
      <c r="E45" s="44"/>
      <c r="F45" s="44"/>
      <c r="G45" s="44" t="s">
        <v>282</v>
      </c>
      <c r="H45" s="23" t="s">
        <v>282</v>
      </c>
      <c r="I45" s="23"/>
      <c r="J45" s="23"/>
      <c r="K45" s="23"/>
      <c r="L45" s="23"/>
      <c r="M45" s="23"/>
      <c r="N45" s="23"/>
      <c r="O45" s="23"/>
      <c r="P45" s="23"/>
      <c r="Q45" s="23"/>
    </row>
  </sheetData>
  <autoFilter ref="A13:Q45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4DC3-A1C4-4A53-B172-07F410FC9C3F}">
  <sheetPr codeName="Sheet51"/>
  <dimension ref="A1:Q83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3.109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9" t="s">
        <v>1930</v>
      </c>
      <c r="D5" s="82" t="s">
        <v>1935</v>
      </c>
      <c r="E5" s="11" t="s">
        <v>1338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1929</v>
      </c>
      <c r="D9" s="82" t="s">
        <v>1829</v>
      </c>
      <c r="E9" s="11" t="s">
        <v>128</v>
      </c>
      <c r="F9" s="17"/>
      <c r="G9" s="13"/>
      <c r="H9" s="14" t="s">
        <v>17</v>
      </c>
    </row>
    <row r="11" spans="2:14">
      <c r="B11" s="4" t="s">
        <v>32</v>
      </c>
    </row>
    <row r="12" spans="2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2:14" s="1" customFormat="1">
      <c r="B14" s="22" t="s">
        <v>1168</v>
      </c>
      <c r="C14" s="22" t="s">
        <v>43</v>
      </c>
      <c r="D14" s="9" t="s">
        <v>1265</v>
      </c>
      <c r="E14" s="11" t="s">
        <v>128</v>
      </c>
      <c r="F14" s="11" t="s">
        <v>49</v>
      </c>
      <c r="G14" s="17" t="s">
        <v>994</v>
      </c>
      <c r="H14" s="18"/>
      <c r="I14" s="19"/>
      <c r="J14" s="19" t="s">
        <v>60</v>
      </c>
      <c r="K14" s="19" t="s">
        <v>44</v>
      </c>
      <c r="L14" s="19" t="s">
        <v>44</v>
      </c>
    </row>
    <row r="15" spans="2:14" s="1" customFormat="1">
      <c r="B15" s="22" t="s">
        <v>77</v>
      </c>
      <c r="C15" s="22" t="s">
        <v>46</v>
      </c>
      <c r="D15" s="9" t="s">
        <v>329</v>
      </c>
      <c r="E15" s="11" t="s">
        <v>128</v>
      </c>
      <c r="F15" s="11" t="s">
        <v>77</v>
      </c>
      <c r="G15" s="17" t="s">
        <v>994</v>
      </c>
      <c r="H15" s="18"/>
      <c r="I15" s="19"/>
      <c r="J15" s="19" t="s">
        <v>60</v>
      </c>
      <c r="K15" s="19" t="s">
        <v>44</v>
      </c>
      <c r="L15" s="19" t="s">
        <v>44</v>
      </c>
    </row>
    <row r="16" spans="2:14" s="1" customFormat="1">
      <c r="B16" s="22" t="s">
        <v>80</v>
      </c>
      <c r="C16" s="22" t="s">
        <v>46</v>
      </c>
      <c r="D16" s="9" t="s">
        <v>1795</v>
      </c>
      <c r="E16" s="11" t="s">
        <v>128</v>
      </c>
      <c r="F16" s="11" t="s">
        <v>80</v>
      </c>
      <c r="G16" s="17" t="s">
        <v>994</v>
      </c>
      <c r="H16" s="18"/>
      <c r="I16" s="19"/>
      <c r="J16" s="19" t="s">
        <v>60</v>
      </c>
      <c r="K16" s="19" t="s">
        <v>44</v>
      </c>
      <c r="L16" s="19" t="s">
        <v>44</v>
      </c>
    </row>
    <row r="17" spans="1:15" s="1" customFormat="1">
      <c r="A17" s="15"/>
      <c r="B17" s="22" t="s">
        <v>1069</v>
      </c>
      <c r="C17" s="22" t="s">
        <v>43</v>
      </c>
      <c r="D17" s="9" t="s">
        <v>1178</v>
      </c>
      <c r="E17" s="11" t="s">
        <v>128</v>
      </c>
      <c r="F17" s="11" t="s">
        <v>1069</v>
      </c>
      <c r="G17" s="17" t="s">
        <v>994</v>
      </c>
      <c r="H17" s="18"/>
      <c r="I17" s="19"/>
      <c r="J17" s="19" t="s">
        <v>60</v>
      </c>
      <c r="K17" s="19" t="s">
        <v>44</v>
      </c>
      <c r="L17" s="19" t="s">
        <v>44</v>
      </c>
    </row>
    <row r="18" spans="1:15" s="1" customFormat="1">
      <c r="A18" s="15"/>
      <c r="B18" s="22" t="s">
        <v>1068</v>
      </c>
      <c r="C18" s="22" t="s">
        <v>46</v>
      </c>
      <c r="D18" s="9" t="s">
        <v>1267</v>
      </c>
      <c r="E18" s="11" t="s">
        <v>128</v>
      </c>
      <c r="F18" s="11" t="s">
        <v>47</v>
      </c>
      <c r="G18" s="17" t="s">
        <v>994</v>
      </c>
      <c r="H18" s="18"/>
      <c r="I18" s="19"/>
      <c r="J18" s="19" t="s">
        <v>60</v>
      </c>
      <c r="K18" s="19" t="s">
        <v>44</v>
      </c>
      <c r="L18" s="19" t="s">
        <v>44</v>
      </c>
    </row>
    <row r="19" spans="1:15" s="1" customFormat="1">
      <c r="A19" s="15"/>
      <c r="B19" s="22" t="s">
        <v>64</v>
      </c>
      <c r="C19" s="22" t="s">
        <v>43</v>
      </c>
      <c r="D19" s="9" t="s">
        <v>63</v>
      </c>
      <c r="E19" s="11" t="s">
        <v>128</v>
      </c>
      <c r="F19" s="11" t="s">
        <v>64</v>
      </c>
      <c r="G19" s="17" t="s">
        <v>994</v>
      </c>
      <c r="H19" s="18"/>
      <c r="I19" s="19"/>
      <c r="J19" s="19" t="s">
        <v>60</v>
      </c>
      <c r="K19" s="19" t="s">
        <v>44</v>
      </c>
      <c r="L19" s="19" t="s">
        <v>44</v>
      </c>
    </row>
    <row r="20" spans="1:15" s="1" customFormat="1">
      <c r="A20" s="15"/>
      <c r="B20" s="11" t="s">
        <v>61</v>
      </c>
      <c r="C20" s="22" t="s">
        <v>46</v>
      </c>
      <c r="D20" s="9" t="s">
        <v>1796</v>
      </c>
      <c r="E20" s="11" t="s">
        <v>128</v>
      </c>
      <c r="F20" s="11" t="s">
        <v>61</v>
      </c>
      <c r="G20" s="17" t="s">
        <v>994</v>
      </c>
      <c r="H20" s="18"/>
      <c r="I20" s="19"/>
      <c r="J20" s="19" t="s">
        <v>60</v>
      </c>
      <c r="K20" s="19" t="s">
        <v>44</v>
      </c>
      <c r="L20" s="19" t="s">
        <v>44</v>
      </c>
    </row>
    <row r="21" spans="1:15" s="1" customFormat="1">
      <c r="A21" s="15"/>
      <c r="B21" s="11" t="s">
        <v>65</v>
      </c>
      <c r="C21" s="22" t="s">
        <v>43</v>
      </c>
      <c r="D21" s="9" t="s">
        <v>1797</v>
      </c>
      <c r="E21" s="11" t="s">
        <v>128</v>
      </c>
      <c r="F21" s="11" t="s">
        <v>65</v>
      </c>
      <c r="G21" s="17" t="s">
        <v>994</v>
      </c>
      <c r="H21" s="18"/>
      <c r="I21" s="19"/>
      <c r="J21" s="19" t="s">
        <v>60</v>
      </c>
      <c r="K21" s="19" t="s">
        <v>44</v>
      </c>
      <c r="L21" s="19" t="s">
        <v>44</v>
      </c>
    </row>
    <row r="22" spans="1:15" s="1" customFormat="1">
      <c r="A22" s="15"/>
      <c r="B22" s="11" t="s">
        <v>62</v>
      </c>
      <c r="C22" s="22" t="s">
        <v>46</v>
      </c>
      <c r="D22" s="9" t="s">
        <v>1268</v>
      </c>
      <c r="E22" s="11" t="s">
        <v>128</v>
      </c>
      <c r="F22" s="11" t="s">
        <v>62</v>
      </c>
      <c r="G22" s="17" t="s">
        <v>994</v>
      </c>
      <c r="H22" s="18"/>
      <c r="I22" s="19"/>
      <c r="J22" s="19" t="s">
        <v>60</v>
      </c>
      <c r="K22" s="19" t="s">
        <v>44</v>
      </c>
      <c r="L22" s="19" t="s">
        <v>44</v>
      </c>
    </row>
    <row r="23" spans="1:15" s="1" customFormat="1">
      <c r="A23" s="15"/>
      <c r="B23" s="11" t="s">
        <v>66</v>
      </c>
      <c r="C23" s="22" t="s">
        <v>43</v>
      </c>
      <c r="D23" s="9" t="s">
        <v>68</v>
      </c>
      <c r="E23" s="11" t="s">
        <v>128</v>
      </c>
      <c r="F23" s="11" t="s">
        <v>66</v>
      </c>
      <c r="G23" s="17" t="s">
        <v>994</v>
      </c>
      <c r="H23" s="18"/>
      <c r="I23" s="19"/>
      <c r="J23" s="19" t="s">
        <v>60</v>
      </c>
      <c r="K23" s="19" t="s">
        <v>44</v>
      </c>
      <c r="L23" s="19" t="s">
        <v>44</v>
      </c>
    </row>
    <row r="24" spans="1:15" s="1" customFormat="1">
      <c r="A24" s="15"/>
      <c r="B24" s="11" t="s">
        <v>1798</v>
      </c>
      <c r="C24" s="11" t="s">
        <v>46</v>
      </c>
      <c r="D24" s="9" t="s">
        <v>1799</v>
      </c>
      <c r="E24" s="11" t="s">
        <v>128</v>
      </c>
      <c r="F24" s="11" t="s">
        <v>1798</v>
      </c>
      <c r="G24" s="17" t="s">
        <v>994</v>
      </c>
      <c r="H24" s="18"/>
      <c r="I24" s="19"/>
      <c r="J24" s="19" t="s">
        <v>60</v>
      </c>
      <c r="K24" s="19" t="s">
        <v>44</v>
      </c>
      <c r="L24" s="19" t="s">
        <v>44</v>
      </c>
    </row>
    <row r="25" spans="1:15" s="1" customFormat="1">
      <c r="A25" s="15"/>
      <c r="B25" s="11" t="s">
        <v>1800</v>
      </c>
      <c r="C25" s="11" t="s">
        <v>43</v>
      </c>
      <c r="D25" s="9" t="s">
        <v>1801</v>
      </c>
      <c r="E25" s="11" t="s">
        <v>128</v>
      </c>
      <c r="F25" s="11" t="s">
        <v>1800</v>
      </c>
      <c r="G25" s="17" t="s">
        <v>994</v>
      </c>
      <c r="H25" s="18"/>
      <c r="I25" s="19"/>
      <c r="J25" s="19" t="s">
        <v>60</v>
      </c>
      <c r="K25" s="19" t="s">
        <v>44</v>
      </c>
      <c r="L25" s="19" t="s">
        <v>44</v>
      </c>
    </row>
    <row r="26" spans="1:15" s="1" customFormat="1">
      <c r="A26" s="15"/>
      <c r="B26" s="11" t="s">
        <v>1383</v>
      </c>
      <c r="C26" s="11" t="s">
        <v>45</v>
      </c>
      <c r="D26" s="9" t="s">
        <v>1802</v>
      </c>
      <c r="E26" s="11" t="s">
        <v>128</v>
      </c>
      <c r="F26" s="11"/>
      <c r="G26" s="17" t="s">
        <v>1426</v>
      </c>
      <c r="H26" s="18"/>
      <c r="I26" s="19"/>
      <c r="J26" s="19" t="s">
        <v>1186</v>
      </c>
      <c r="K26" s="19" t="s">
        <v>202</v>
      </c>
      <c r="L26" s="19" t="s">
        <v>67</v>
      </c>
    </row>
    <row r="27" spans="1:15" s="1" customFormat="1">
      <c r="A27" s="15"/>
      <c r="B27" s="11" t="s">
        <v>296</v>
      </c>
      <c r="C27" s="11" t="s">
        <v>45</v>
      </c>
      <c r="D27" s="9" t="s">
        <v>1185</v>
      </c>
      <c r="E27" s="11" t="s">
        <v>128</v>
      </c>
      <c r="F27" s="11"/>
      <c r="G27" s="17" t="s">
        <v>1427</v>
      </c>
      <c r="H27" s="18"/>
      <c r="I27" s="19"/>
      <c r="J27" s="19" t="s">
        <v>1186</v>
      </c>
      <c r="K27" s="19" t="s">
        <v>204</v>
      </c>
      <c r="L27" s="19" t="s">
        <v>67</v>
      </c>
    </row>
    <row r="28" spans="1:15" s="1" customFormat="1">
      <c r="B28" s="22" t="s">
        <v>297</v>
      </c>
      <c r="C28" s="62" t="s">
        <v>45</v>
      </c>
      <c r="D28" s="9" t="s">
        <v>160</v>
      </c>
      <c r="E28" s="11" t="s">
        <v>128</v>
      </c>
      <c r="F28" s="11"/>
      <c r="G28" s="17" t="s">
        <v>1428</v>
      </c>
      <c r="H28" s="18"/>
      <c r="I28" s="19"/>
      <c r="J28" s="19" t="s">
        <v>1186</v>
      </c>
      <c r="K28" s="19" t="s">
        <v>204</v>
      </c>
      <c r="L28" s="19" t="s">
        <v>67</v>
      </c>
    </row>
    <row r="29" spans="1:15" s="1" customFormat="1">
      <c r="B29" s="22" t="s">
        <v>298</v>
      </c>
      <c r="C29" s="62" t="s">
        <v>45</v>
      </c>
      <c r="D29" s="9" t="s">
        <v>161</v>
      </c>
      <c r="E29" s="11" t="s">
        <v>128</v>
      </c>
      <c r="F29" s="11"/>
      <c r="G29" s="17" t="s">
        <v>1430</v>
      </c>
      <c r="H29" s="18"/>
      <c r="I29" s="19"/>
      <c r="J29" s="19" t="s">
        <v>1186</v>
      </c>
      <c r="K29" s="19" t="s">
        <v>1959</v>
      </c>
      <c r="L29" s="19" t="s">
        <v>67</v>
      </c>
    </row>
    <row r="30" spans="1:15" s="15" customFormat="1">
      <c r="B30" s="22" t="s">
        <v>299</v>
      </c>
      <c r="C30" s="11" t="s">
        <v>45</v>
      </c>
      <c r="D30" s="9" t="s">
        <v>162</v>
      </c>
      <c r="E30" s="11" t="s">
        <v>128</v>
      </c>
      <c r="F30" s="11"/>
      <c r="G30" s="17" t="s">
        <v>1429</v>
      </c>
      <c r="H30" s="18"/>
      <c r="I30" s="19"/>
      <c r="J30" s="19" t="s">
        <v>1186</v>
      </c>
      <c r="K30" s="19" t="s">
        <v>1959</v>
      </c>
      <c r="L30" s="19" t="s">
        <v>67</v>
      </c>
      <c r="M30" s="1"/>
      <c r="N30" s="1"/>
      <c r="O30" s="1"/>
    </row>
    <row r="31" spans="1:15" s="1" customFormat="1">
      <c r="A31" s="15"/>
      <c r="B31" s="11" t="s">
        <v>300</v>
      </c>
      <c r="C31" s="11" t="s">
        <v>45</v>
      </c>
      <c r="D31" s="9" t="s">
        <v>163</v>
      </c>
      <c r="E31" s="11" t="s">
        <v>128</v>
      </c>
      <c r="F31" s="11"/>
      <c r="G31" s="17" t="s">
        <v>1431</v>
      </c>
      <c r="H31" s="18"/>
      <c r="I31" s="19"/>
      <c r="J31" s="19" t="s">
        <v>1186</v>
      </c>
      <c r="K31" s="19" t="s">
        <v>1959</v>
      </c>
      <c r="L31" s="19" t="s">
        <v>67</v>
      </c>
      <c r="N31" s="15"/>
      <c r="O31" s="15"/>
    </row>
    <row r="32" spans="1:15" s="1" customFormat="1">
      <c r="A32" s="15"/>
      <c r="B32" s="11" t="s">
        <v>301</v>
      </c>
      <c r="C32" s="11" t="s">
        <v>45</v>
      </c>
      <c r="D32" s="9" t="s">
        <v>164</v>
      </c>
      <c r="E32" s="11" t="s">
        <v>128</v>
      </c>
      <c r="F32" s="11"/>
      <c r="G32" s="17" t="s">
        <v>1432</v>
      </c>
      <c r="H32" s="18"/>
      <c r="I32" s="19"/>
      <c r="J32" s="19" t="s">
        <v>1186</v>
      </c>
      <c r="K32" s="19" t="s">
        <v>1959</v>
      </c>
      <c r="L32" s="19" t="s">
        <v>67</v>
      </c>
    </row>
    <row r="33" spans="1:12" s="1" customFormat="1">
      <c r="A33" s="15"/>
      <c r="B33" s="11" t="s">
        <v>302</v>
      </c>
      <c r="C33" s="11" t="s">
        <v>45</v>
      </c>
      <c r="D33" s="9" t="s">
        <v>165</v>
      </c>
      <c r="E33" s="11" t="s">
        <v>128</v>
      </c>
      <c r="F33" s="11"/>
      <c r="G33" s="17" t="s">
        <v>1433</v>
      </c>
      <c r="H33" s="18"/>
      <c r="I33" s="19"/>
      <c r="J33" s="19" t="s">
        <v>1186</v>
      </c>
      <c r="K33" s="19" t="s">
        <v>1959</v>
      </c>
      <c r="L33" s="19" t="s">
        <v>67</v>
      </c>
    </row>
    <row r="34" spans="1:12" s="1" customFormat="1">
      <c r="A34" s="15"/>
      <c r="B34" s="22" t="s">
        <v>303</v>
      </c>
      <c r="C34" s="22" t="s">
        <v>45</v>
      </c>
      <c r="D34" s="9" t="s">
        <v>166</v>
      </c>
      <c r="E34" s="11" t="s">
        <v>128</v>
      </c>
      <c r="F34" s="11"/>
      <c r="G34" s="17" t="s">
        <v>1434</v>
      </c>
      <c r="H34" s="18"/>
      <c r="I34" s="19"/>
      <c r="J34" s="19" t="s">
        <v>1186</v>
      </c>
      <c r="K34" s="19" t="s">
        <v>1959</v>
      </c>
      <c r="L34" s="19" t="s">
        <v>67</v>
      </c>
    </row>
    <row r="35" spans="1:12" s="1" customFormat="1">
      <c r="A35" s="15"/>
      <c r="B35" s="11" t="s">
        <v>642</v>
      </c>
      <c r="C35" s="11" t="s">
        <v>45</v>
      </c>
      <c r="D35" s="9" t="s">
        <v>643</v>
      </c>
      <c r="E35" s="11" t="s">
        <v>128</v>
      </c>
      <c r="F35" s="11"/>
      <c r="G35" s="17" t="s">
        <v>1438</v>
      </c>
      <c r="H35" s="18"/>
      <c r="I35" s="19"/>
      <c r="J35" s="19" t="s">
        <v>1186</v>
      </c>
      <c r="K35" s="19" t="s">
        <v>44</v>
      </c>
      <c r="L35" s="19" t="s">
        <v>67</v>
      </c>
    </row>
    <row r="36" spans="1:12" s="1" customFormat="1">
      <c r="A36" s="15"/>
      <c r="B36" s="11" t="s">
        <v>644</v>
      </c>
      <c r="C36" s="11" t="s">
        <v>45</v>
      </c>
      <c r="D36" s="9" t="s">
        <v>1187</v>
      </c>
      <c r="E36" s="11" t="s">
        <v>128</v>
      </c>
      <c r="F36" s="11"/>
      <c r="G36" s="17" t="s">
        <v>1439</v>
      </c>
      <c r="H36" s="18"/>
      <c r="I36" s="19"/>
      <c r="J36" s="19" t="s">
        <v>1186</v>
      </c>
      <c r="K36" s="19" t="s">
        <v>44</v>
      </c>
      <c r="L36" s="19" t="s">
        <v>67</v>
      </c>
    </row>
    <row r="37" spans="1:12" s="1" customFormat="1">
      <c r="A37" s="15"/>
      <c r="B37" s="11" t="s">
        <v>1468</v>
      </c>
      <c r="C37" s="11" t="s">
        <v>45</v>
      </c>
      <c r="D37" s="9" t="s">
        <v>1803</v>
      </c>
      <c r="E37" s="11" t="s">
        <v>128</v>
      </c>
      <c r="F37" s="11"/>
      <c r="G37" s="9" t="s">
        <v>1440</v>
      </c>
      <c r="H37" s="18"/>
      <c r="I37" s="19"/>
      <c r="J37" s="19" t="s">
        <v>1186</v>
      </c>
      <c r="K37" s="19" t="s">
        <v>44</v>
      </c>
      <c r="L37" s="19" t="s">
        <v>67</v>
      </c>
    </row>
    <row r="38" spans="1:12" s="1" customFormat="1">
      <c r="A38" s="15"/>
      <c r="B38" s="11" t="s">
        <v>1645</v>
      </c>
      <c r="C38" s="11" t="s">
        <v>45</v>
      </c>
      <c r="D38" s="9" t="s">
        <v>1804</v>
      </c>
      <c r="E38" s="11" t="s">
        <v>128</v>
      </c>
      <c r="F38" s="11"/>
      <c r="G38" s="9" t="s">
        <v>1902</v>
      </c>
      <c r="H38" s="18"/>
      <c r="I38" s="19"/>
      <c r="J38" s="19" t="s">
        <v>1186</v>
      </c>
      <c r="K38" s="19" t="s">
        <v>44</v>
      </c>
      <c r="L38" s="19" t="s">
        <v>1292</v>
      </c>
    </row>
    <row r="39" spans="1:12" s="1" customFormat="1">
      <c r="A39" s="15"/>
      <c r="B39" s="11" t="s">
        <v>1646</v>
      </c>
      <c r="C39" s="11" t="s">
        <v>45</v>
      </c>
      <c r="D39" s="9" t="s">
        <v>1805</v>
      </c>
      <c r="E39" s="11" t="s">
        <v>128</v>
      </c>
      <c r="F39" s="11"/>
      <c r="G39" s="17" t="s">
        <v>1973</v>
      </c>
      <c r="H39" s="18"/>
      <c r="I39" s="17"/>
      <c r="J39" s="19" t="s">
        <v>1186</v>
      </c>
      <c r="K39" s="19" t="s">
        <v>44</v>
      </c>
      <c r="L39" s="19" t="s">
        <v>1292</v>
      </c>
    </row>
    <row r="40" spans="1:12" s="1" customFormat="1">
      <c r="A40" s="15"/>
      <c r="B40" s="11" t="s">
        <v>1702</v>
      </c>
      <c r="C40" s="11" t="s">
        <v>45</v>
      </c>
      <c r="D40" s="9" t="s">
        <v>859</v>
      </c>
      <c r="E40" s="11" t="s">
        <v>128</v>
      </c>
      <c r="F40" s="11"/>
      <c r="G40" s="17" t="s">
        <v>1456</v>
      </c>
      <c r="H40" s="18"/>
      <c r="I40" s="17"/>
      <c r="J40" s="19" t="s">
        <v>1186</v>
      </c>
      <c r="K40" s="19" t="s">
        <v>44</v>
      </c>
      <c r="L40" s="19" t="s">
        <v>67</v>
      </c>
    </row>
    <row r="41" spans="1:12" s="1" customFormat="1">
      <c r="A41" s="15"/>
      <c r="B41" s="11" t="s">
        <v>1703</v>
      </c>
      <c r="C41" s="11" t="s">
        <v>45</v>
      </c>
      <c r="D41" s="9" t="s">
        <v>860</v>
      </c>
      <c r="E41" s="11" t="s">
        <v>128</v>
      </c>
      <c r="F41" s="11"/>
      <c r="G41" s="17" t="s">
        <v>1457</v>
      </c>
      <c r="H41" s="18"/>
      <c r="I41" s="17"/>
      <c r="J41" s="19" t="s">
        <v>1186</v>
      </c>
      <c r="K41" s="19" t="s">
        <v>44</v>
      </c>
      <c r="L41" s="19" t="s">
        <v>67</v>
      </c>
    </row>
    <row r="42" spans="1:12" s="1" customFormat="1">
      <c r="A42" s="15"/>
      <c r="B42" s="11" t="s">
        <v>1704</v>
      </c>
      <c r="C42" s="11" t="s">
        <v>45</v>
      </c>
      <c r="D42" s="9" t="s">
        <v>861</v>
      </c>
      <c r="E42" s="11" t="s">
        <v>128</v>
      </c>
      <c r="F42" s="11"/>
      <c r="G42" s="17" t="s">
        <v>1458</v>
      </c>
      <c r="H42" s="18"/>
      <c r="I42" s="17"/>
      <c r="J42" s="19" t="s">
        <v>1186</v>
      </c>
      <c r="K42" s="19" t="s">
        <v>44</v>
      </c>
      <c r="L42" s="19" t="s">
        <v>67</v>
      </c>
    </row>
    <row r="43" spans="1:12" s="1" customFormat="1">
      <c r="A43" s="15"/>
      <c r="B43" s="11" t="s">
        <v>1705</v>
      </c>
      <c r="C43" s="11" t="s">
        <v>45</v>
      </c>
      <c r="D43" s="9" t="s">
        <v>862</v>
      </c>
      <c r="E43" s="11" t="s">
        <v>128</v>
      </c>
      <c r="F43" s="11"/>
      <c r="G43" s="17" t="s">
        <v>1459</v>
      </c>
      <c r="H43" s="18"/>
      <c r="I43" s="17"/>
      <c r="J43" s="19" t="s">
        <v>1186</v>
      </c>
      <c r="K43" s="19" t="s">
        <v>44</v>
      </c>
      <c r="L43" s="19" t="s">
        <v>67</v>
      </c>
    </row>
    <row r="44" spans="1:12" s="1" customFormat="1">
      <c r="A44" s="15"/>
      <c r="B44" s="11" t="s">
        <v>1706</v>
      </c>
      <c r="C44" s="11" t="s">
        <v>45</v>
      </c>
      <c r="D44" s="9" t="s">
        <v>863</v>
      </c>
      <c r="E44" s="11" t="s">
        <v>128</v>
      </c>
      <c r="F44" s="11"/>
      <c r="G44" s="17" t="s">
        <v>1460</v>
      </c>
      <c r="H44" s="18"/>
      <c r="I44" s="17"/>
      <c r="J44" s="19" t="s">
        <v>1186</v>
      </c>
      <c r="K44" s="19" t="s">
        <v>44</v>
      </c>
      <c r="L44" s="19" t="s">
        <v>67</v>
      </c>
    </row>
    <row r="45" spans="1:12" s="1" customFormat="1">
      <c r="A45" s="15"/>
      <c r="B45" s="11" t="s">
        <v>1707</v>
      </c>
      <c r="C45" s="11" t="s">
        <v>45</v>
      </c>
      <c r="D45" s="9" t="s">
        <v>864</v>
      </c>
      <c r="E45" s="11" t="s">
        <v>128</v>
      </c>
      <c r="F45" s="11"/>
      <c r="G45" s="17" t="s">
        <v>1461</v>
      </c>
      <c r="H45" s="18"/>
      <c r="I45" s="17"/>
      <c r="J45" s="19" t="s">
        <v>1186</v>
      </c>
      <c r="K45" s="19" t="s">
        <v>44</v>
      </c>
      <c r="L45" s="19" t="s">
        <v>67</v>
      </c>
    </row>
    <row r="46" spans="1:12" s="1" customFormat="1">
      <c r="A46" s="15"/>
      <c r="B46" s="11" t="s">
        <v>1651</v>
      </c>
      <c r="C46" s="11" t="s">
        <v>45</v>
      </c>
      <c r="D46" s="9" t="s">
        <v>1726</v>
      </c>
      <c r="E46" s="11" t="s">
        <v>128</v>
      </c>
      <c r="F46" s="11"/>
      <c r="G46" s="17" t="s">
        <v>1966</v>
      </c>
      <c r="H46" s="18"/>
      <c r="I46" s="17"/>
      <c r="J46" s="19" t="s">
        <v>1186</v>
      </c>
      <c r="K46" s="19" t="s">
        <v>202</v>
      </c>
      <c r="L46" s="19" t="s">
        <v>67</v>
      </c>
    </row>
    <row r="47" spans="1:12" s="1" customFormat="1">
      <c r="A47" s="15"/>
      <c r="B47" s="11" t="s">
        <v>286</v>
      </c>
      <c r="C47" s="11" t="s">
        <v>45</v>
      </c>
      <c r="D47" s="9" t="s">
        <v>148</v>
      </c>
      <c r="E47" s="11" t="s">
        <v>128</v>
      </c>
      <c r="F47" s="11"/>
      <c r="G47" s="17" t="s">
        <v>1441</v>
      </c>
      <c r="H47" s="18"/>
      <c r="I47" s="17"/>
      <c r="J47" s="19" t="s">
        <v>1186</v>
      </c>
      <c r="K47" s="19" t="s">
        <v>44</v>
      </c>
      <c r="L47" s="19" t="s">
        <v>67</v>
      </c>
    </row>
    <row r="48" spans="1:12" s="1" customFormat="1">
      <c r="A48" s="15"/>
      <c r="B48" s="11" t="s">
        <v>287</v>
      </c>
      <c r="C48" s="11" t="s">
        <v>45</v>
      </c>
      <c r="D48" s="9" t="s">
        <v>149</v>
      </c>
      <c r="E48" s="11" t="s">
        <v>128</v>
      </c>
      <c r="F48" s="11"/>
      <c r="G48" s="17" t="s">
        <v>1442</v>
      </c>
      <c r="H48" s="18"/>
      <c r="I48" s="17"/>
      <c r="J48" s="19" t="s">
        <v>1186</v>
      </c>
      <c r="K48" s="19" t="s">
        <v>44</v>
      </c>
      <c r="L48" s="19" t="s">
        <v>67</v>
      </c>
    </row>
    <row r="49" spans="1:12" s="1" customFormat="1">
      <c r="A49" s="15"/>
      <c r="B49" s="11" t="s">
        <v>288</v>
      </c>
      <c r="C49" s="11" t="s">
        <v>45</v>
      </c>
      <c r="D49" s="9" t="s">
        <v>150</v>
      </c>
      <c r="E49" s="11" t="s">
        <v>128</v>
      </c>
      <c r="F49" s="11"/>
      <c r="G49" s="17" t="s">
        <v>1443</v>
      </c>
      <c r="H49" s="18"/>
      <c r="I49" s="17"/>
      <c r="J49" s="19" t="s">
        <v>1186</v>
      </c>
      <c r="K49" s="19" t="s">
        <v>44</v>
      </c>
      <c r="L49" s="19" t="s">
        <v>67</v>
      </c>
    </row>
    <row r="50" spans="1:12" s="1" customFormat="1">
      <c r="A50" s="15"/>
      <c r="B50" s="11" t="s">
        <v>289</v>
      </c>
      <c r="C50" s="11" t="s">
        <v>45</v>
      </c>
      <c r="D50" s="9" t="s">
        <v>151</v>
      </c>
      <c r="E50" s="11" t="s">
        <v>128</v>
      </c>
      <c r="F50" s="11"/>
      <c r="G50" s="17" t="s">
        <v>1444</v>
      </c>
      <c r="H50" s="18"/>
      <c r="I50" s="17"/>
      <c r="J50" s="19" t="s">
        <v>1186</v>
      </c>
      <c r="K50" s="19" t="s">
        <v>44</v>
      </c>
      <c r="L50" s="19" t="s">
        <v>67</v>
      </c>
    </row>
    <row r="51" spans="1:12" s="1" customFormat="1">
      <c r="A51" s="15"/>
      <c r="B51" s="11" t="s">
        <v>290</v>
      </c>
      <c r="C51" s="11" t="s">
        <v>45</v>
      </c>
      <c r="D51" s="9" t="s">
        <v>152</v>
      </c>
      <c r="E51" s="11" t="s">
        <v>128</v>
      </c>
      <c r="F51" s="11"/>
      <c r="G51" s="17" t="s">
        <v>1445</v>
      </c>
      <c r="H51" s="18"/>
      <c r="I51" s="17"/>
      <c r="J51" s="19" t="s">
        <v>1186</v>
      </c>
      <c r="K51" s="19" t="s">
        <v>44</v>
      </c>
      <c r="L51" s="19" t="s">
        <v>67</v>
      </c>
    </row>
    <row r="52" spans="1:12" s="1" customFormat="1">
      <c r="A52" s="15"/>
      <c r="B52" s="11" t="s">
        <v>1591</v>
      </c>
      <c r="C52" s="11" t="s">
        <v>45</v>
      </c>
      <c r="D52" s="9" t="s">
        <v>1727</v>
      </c>
      <c r="E52" s="11" t="s">
        <v>128</v>
      </c>
      <c r="F52" s="11"/>
      <c r="G52" s="17" t="s">
        <v>1967</v>
      </c>
      <c r="H52" s="18"/>
      <c r="I52" s="17"/>
      <c r="J52" s="19" t="s">
        <v>1186</v>
      </c>
      <c r="K52" s="19" t="s">
        <v>202</v>
      </c>
      <c r="L52" s="19" t="s">
        <v>67</v>
      </c>
    </row>
    <row r="53" spans="1:12" s="1" customFormat="1">
      <c r="A53" s="15"/>
      <c r="B53" s="11" t="s">
        <v>291</v>
      </c>
      <c r="C53" s="11" t="s">
        <v>45</v>
      </c>
      <c r="D53" s="9" t="s">
        <v>154</v>
      </c>
      <c r="E53" s="11" t="s">
        <v>128</v>
      </c>
      <c r="F53" s="11"/>
      <c r="G53" s="17" t="s">
        <v>1446</v>
      </c>
      <c r="H53" s="18"/>
      <c r="I53" s="17"/>
      <c r="J53" s="19" t="s">
        <v>1186</v>
      </c>
      <c r="K53" s="19" t="s">
        <v>44</v>
      </c>
      <c r="L53" s="19" t="s">
        <v>67</v>
      </c>
    </row>
    <row r="54" spans="1:12" s="1" customFormat="1">
      <c r="A54" s="15"/>
      <c r="B54" s="11" t="s">
        <v>292</v>
      </c>
      <c r="C54" s="11" t="s">
        <v>45</v>
      </c>
      <c r="D54" s="9" t="s">
        <v>155</v>
      </c>
      <c r="E54" s="11" t="s">
        <v>128</v>
      </c>
      <c r="F54" s="11"/>
      <c r="G54" s="17" t="s">
        <v>1447</v>
      </c>
      <c r="H54" s="18"/>
      <c r="I54" s="17"/>
      <c r="J54" s="19" t="s">
        <v>1186</v>
      </c>
      <c r="K54" s="19" t="s">
        <v>44</v>
      </c>
      <c r="L54" s="19" t="s">
        <v>67</v>
      </c>
    </row>
    <row r="55" spans="1:12" s="1" customFormat="1">
      <c r="A55" s="15"/>
      <c r="B55" s="11" t="s">
        <v>293</v>
      </c>
      <c r="C55" s="11" t="s">
        <v>45</v>
      </c>
      <c r="D55" s="9" t="s">
        <v>156</v>
      </c>
      <c r="E55" s="11" t="s">
        <v>128</v>
      </c>
      <c r="F55" s="11"/>
      <c r="G55" s="17" t="s">
        <v>1448</v>
      </c>
      <c r="H55" s="18"/>
      <c r="I55" s="17"/>
      <c r="J55" s="19" t="s">
        <v>1186</v>
      </c>
      <c r="K55" s="19" t="s">
        <v>44</v>
      </c>
      <c r="L55" s="19" t="s">
        <v>67</v>
      </c>
    </row>
    <row r="56" spans="1:12" s="1" customFormat="1">
      <c r="A56" s="15"/>
      <c r="B56" s="11" t="s">
        <v>294</v>
      </c>
      <c r="C56" s="11" t="s">
        <v>45</v>
      </c>
      <c r="D56" s="9" t="s">
        <v>157</v>
      </c>
      <c r="E56" s="11" t="s">
        <v>128</v>
      </c>
      <c r="F56" s="11"/>
      <c r="G56" s="17" t="s">
        <v>1449</v>
      </c>
      <c r="H56" s="18"/>
      <c r="I56" s="17"/>
      <c r="J56" s="19" t="s">
        <v>1186</v>
      </c>
      <c r="K56" s="19" t="s">
        <v>44</v>
      </c>
      <c r="L56" s="19" t="s">
        <v>67</v>
      </c>
    </row>
    <row r="57" spans="1:12" s="1" customFormat="1">
      <c r="A57" s="15"/>
      <c r="B57" s="11" t="s">
        <v>295</v>
      </c>
      <c r="C57" s="11" t="s">
        <v>45</v>
      </c>
      <c r="D57" s="9" t="s">
        <v>158</v>
      </c>
      <c r="E57" s="11" t="s">
        <v>128</v>
      </c>
      <c r="F57" s="11"/>
      <c r="G57" s="17" t="s">
        <v>1450</v>
      </c>
      <c r="H57" s="18"/>
      <c r="I57" s="17"/>
      <c r="J57" s="19" t="s">
        <v>1186</v>
      </c>
      <c r="K57" s="19" t="s">
        <v>44</v>
      </c>
      <c r="L57" s="19" t="s">
        <v>67</v>
      </c>
    </row>
    <row r="58" spans="1:12" s="1" customFormat="1">
      <c r="A58" s="15"/>
      <c r="B58" s="11" t="s">
        <v>1625</v>
      </c>
      <c r="C58" s="11" t="s">
        <v>45</v>
      </c>
      <c r="D58" s="9" t="s">
        <v>1806</v>
      </c>
      <c r="E58" s="11" t="s">
        <v>128</v>
      </c>
      <c r="F58" s="11"/>
      <c r="G58" s="17" t="s">
        <v>1968</v>
      </c>
      <c r="H58" s="18"/>
      <c r="I58" s="17"/>
      <c r="J58" s="19" t="s">
        <v>1186</v>
      </c>
      <c r="K58" s="19" t="s">
        <v>202</v>
      </c>
      <c r="L58" s="19" t="s">
        <v>67</v>
      </c>
    </row>
    <row r="59" spans="1:12" s="1" customFormat="1">
      <c r="A59" s="15"/>
      <c r="B59" s="11" t="s">
        <v>1469</v>
      </c>
      <c r="C59" s="11" t="s">
        <v>45</v>
      </c>
      <c r="D59" s="9" t="s">
        <v>1807</v>
      </c>
      <c r="E59" s="11" t="s">
        <v>128</v>
      </c>
      <c r="F59" s="11"/>
      <c r="G59" s="17" t="s">
        <v>1451</v>
      </c>
      <c r="H59" s="18"/>
      <c r="I59" s="17"/>
      <c r="J59" s="19" t="s">
        <v>1186</v>
      </c>
      <c r="K59" s="19" t="s">
        <v>44</v>
      </c>
      <c r="L59" s="19" t="s">
        <v>67</v>
      </c>
    </row>
    <row r="60" spans="1:12" s="1" customFormat="1">
      <c r="A60" s="15"/>
      <c r="B60" s="11" t="s">
        <v>1470</v>
      </c>
      <c r="C60" s="11" t="s">
        <v>45</v>
      </c>
      <c r="D60" s="9" t="s">
        <v>1808</v>
      </c>
      <c r="E60" s="11" t="s">
        <v>128</v>
      </c>
      <c r="F60" s="11"/>
      <c r="G60" s="17" t="s">
        <v>1452</v>
      </c>
      <c r="H60" s="18"/>
      <c r="I60" s="17"/>
      <c r="J60" s="19" t="s">
        <v>1186</v>
      </c>
      <c r="K60" s="19" t="s">
        <v>44</v>
      </c>
      <c r="L60" s="19" t="s">
        <v>67</v>
      </c>
    </row>
    <row r="61" spans="1:12" s="1" customFormat="1">
      <c r="A61" s="15"/>
      <c r="B61" s="11" t="s">
        <v>1471</v>
      </c>
      <c r="C61" s="11" t="s">
        <v>45</v>
      </c>
      <c r="D61" s="9" t="s">
        <v>1809</v>
      </c>
      <c r="E61" s="11" t="s">
        <v>128</v>
      </c>
      <c r="F61" s="11"/>
      <c r="G61" s="17" t="s">
        <v>1453</v>
      </c>
      <c r="H61" s="18"/>
      <c r="I61" s="17"/>
      <c r="J61" s="19" t="s">
        <v>1186</v>
      </c>
      <c r="K61" s="19" t="s">
        <v>44</v>
      </c>
      <c r="L61" s="19" t="s">
        <v>67</v>
      </c>
    </row>
    <row r="62" spans="1:12" s="1" customFormat="1">
      <c r="A62" s="15"/>
      <c r="B62" s="11" t="s">
        <v>1472</v>
      </c>
      <c r="C62" s="11" t="s">
        <v>45</v>
      </c>
      <c r="D62" s="9" t="s">
        <v>1810</v>
      </c>
      <c r="E62" s="11" t="s">
        <v>128</v>
      </c>
      <c r="F62" s="11"/>
      <c r="G62" s="17" t="s">
        <v>1454</v>
      </c>
      <c r="H62" s="18"/>
      <c r="I62" s="17"/>
      <c r="J62" s="19" t="s">
        <v>1186</v>
      </c>
      <c r="K62" s="19" t="s">
        <v>44</v>
      </c>
      <c r="L62" s="19" t="s">
        <v>67</v>
      </c>
    </row>
    <row r="63" spans="1:12" s="1" customFormat="1">
      <c r="A63" s="15"/>
      <c r="B63" s="11" t="s">
        <v>1473</v>
      </c>
      <c r="C63" s="11" t="s">
        <v>45</v>
      </c>
      <c r="D63" s="9" t="s">
        <v>1811</v>
      </c>
      <c r="E63" s="11" t="s">
        <v>128</v>
      </c>
      <c r="F63" s="11"/>
      <c r="G63" s="17" t="s">
        <v>1455</v>
      </c>
      <c r="H63" s="18"/>
      <c r="I63" s="17"/>
      <c r="J63" s="19" t="s">
        <v>1186</v>
      </c>
      <c r="K63" s="19" t="s">
        <v>44</v>
      </c>
      <c r="L63" s="19" t="s">
        <v>67</v>
      </c>
    </row>
    <row r="64" spans="1:12" s="1" customFormat="1">
      <c r="A64" s="15"/>
      <c r="B64" s="11" t="s">
        <v>1662</v>
      </c>
      <c r="C64" s="11" t="s">
        <v>45</v>
      </c>
      <c r="D64" s="9" t="s">
        <v>1812</v>
      </c>
      <c r="E64" s="11" t="s">
        <v>128</v>
      </c>
      <c r="F64" s="11"/>
      <c r="G64" s="17" t="s">
        <v>1969</v>
      </c>
      <c r="H64" s="18"/>
      <c r="I64" s="17"/>
      <c r="J64" s="19" t="s">
        <v>1186</v>
      </c>
      <c r="K64" s="19" t="s">
        <v>202</v>
      </c>
      <c r="L64" s="19" t="s">
        <v>67</v>
      </c>
    </row>
    <row r="65" spans="1:12" s="1" customFormat="1">
      <c r="A65" s="15"/>
      <c r="B65" s="11" t="s">
        <v>1525</v>
      </c>
      <c r="C65" s="11" t="s">
        <v>45</v>
      </c>
      <c r="D65" s="9" t="s">
        <v>1526</v>
      </c>
      <c r="E65" s="11" t="s">
        <v>128</v>
      </c>
      <c r="F65" s="11"/>
      <c r="G65" s="17" t="s">
        <v>1961</v>
      </c>
      <c r="H65" s="18"/>
      <c r="I65" s="17"/>
      <c r="J65" s="19" t="s">
        <v>1186</v>
      </c>
      <c r="K65" s="19" t="s">
        <v>1640</v>
      </c>
      <c r="L65" s="19" t="s">
        <v>67</v>
      </c>
    </row>
    <row r="66" spans="1:12" s="1" customFormat="1">
      <c r="A66" s="15"/>
      <c r="B66" s="11" t="s">
        <v>1527</v>
      </c>
      <c r="C66" s="11" t="s">
        <v>45</v>
      </c>
      <c r="D66" s="9" t="s">
        <v>1528</v>
      </c>
      <c r="E66" s="11" t="s">
        <v>128</v>
      </c>
      <c r="F66" s="11"/>
      <c r="G66" s="17" t="s">
        <v>1572</v>
      </c>
      <c r="H66" s="18"/>
      <c r="I66" s="17"/>
      <c r="J66" s="19" t="s">
        <v>1186</v>
      </c>
      <c r="K66" s="19" t="s">
        <v>1640</v>
      </c>
      <c r="L66" s="19" t="s">
        <v>67</v>
      </c>
    </row>
    <row r="67" spans="1:12" s="1" customFormat="1">
      <c r="A67" s="15"/>
      <c r="B67" s="11" t="s">
        <v>1529</v>
      </c>
      <c r="C67" s="11" t="s">
        <v>45</v>
      </c>
      <c r="D67" s="9" t="s">
        <v>1530</v>
      </c>
      <c r="E67" s="11" t="s">
        <v>128</v>
      </c>
      <c r="F67" s="11"/>
      <c r="G67" s="17" t="s">
        <v>1573</v>
      </c>
      <c r="H67" s="18"/>
      <c r="I67" s="17"/>
      <c r="J67" s="19" t="s">
        <v>1186</v>
      </c>
      <c r="K67" s="19" t="s">
        <v>1640</v>
      </c>
      <c r="L67" s="19" t="s">
        <v>67</v>
      </c>
    </row>
    <row r="68" spans="1:12" s="1" customFormat="1">
      <c r="A68" s="15"/>
      <c r="B68" s="11" t="s">
        <v>1531</v>
      </c>
      <c r="C68" s="11" t="s">
        <v>45</v>
      </c>
      <c r="D68" s="9" t="s">
        <v>1532</v>
      </c>
      <c r="E68" s="11" t="s">
        <v>128</v>
      </c>
      <c r="F68" s="11"/>
      <c r="G68" s="17" t="s">
        <v>1574</v>
      </c>
      <c r="H68" s="18"/>
      <c r="I68" s="17"/>
      <c r="J68" s="19" t="s">
        <v>1186</v>
      </c>
      <c r="K68" s="19" t="s">
        <v>1640</v>
      </c>
      <c r="L68" s="19" t="s">
        <v>67</v>
      </c>
    </row>
    <row r="69" spans="1:12" s="1" customFormat="1">
      <c r="A69" s="15"/>
      <c r="B69" s="11" t="s">
        <v>1533</v>
      </c>
      <c r="C69" s="11" t="s">
        <v>45</v>
      </c>
      <c r="D69" s="9" t="s">
        <v>1534</v>
      </c>
      <c r="E69" s="11" t="s">
        <v>128</v>
      </c>
      <c r="F69" s="11"/>
      <c r="G69" s="17" t="s">
        <v>1575</v>
      </c>
      <c r="H69" s="18"/>
      <c r="I69" s="17"/>
      <c r="J69" s="19" t="s">
        <v>1186</v>
      </c>
      <c r="K69" s="19" t="s">
        <v>1640</v>
      </c>
      <c r="L69" s="19" t="s">
        <v>67</v>
      </c>
    </row>
    <row r="70" spans="1:12" s="1" customFormat="1">
      <c r="A70" s="15"/>
      <c r="B70" s="11" t="s">
        <v>1663</v>
      </c>
      <c r="C70" s="11" t="s">
        <v>45</v>
      </c>
      <c r="D70" s="9" t="s">
        <v>1813</v>
      </c>
      <c r="E70" s="11" t="s">
        <v>128</v>
      </c>
      <c r="F70" s="11"/>
      <c r="G70" s="17" t="s">
        <v>1970</v>
      </c>
      <c r="H70" s="18"/>
      <c r="I70" s="17"/>
      <c r="J70" s="19" t="s">
        <v>1186</v>
      </c>
      <c r="K70" s="19" t="s">
        <v>202</v>
      </c>
      <c r="L70" s="19" t="s">
        <v>67</v>
      </c>
    </row>
    <row r="71" spans="1:12" s="1" customFormat="1">
      <c r="A71" s="15"/>
      <c r="B71" s="11" t="s">
        <v>1664</v>
      </c>
      <c r="C71" s="11" t="s">
        <v>45</v>
      </c>
      <c r="D71" s="9" t="s">
        <v>1540</v>
      </c>
      <c r="E71" s="11" t="s">
        <v>128</v>
      </c>
      <c r="F71" s="11"/>
      <c r="G71" s="17" t="s">
        <v>1962</v>
      </c>
      <c r="H71" s="18"/>
      <c r="I71" s="17"/>
      <c r="J71" s="19" t="s">
        <v>1186</v>
      </c>
      <c r="K71" s="19" t="s">
        <v>1640</v>
      </c>
      <c r="L71" s="19" t="s">
        <v>67</v>
      </c>
    </row>
    <row r="72" spans="1:12" s="1" customFormat="1">
      <c r="A72" s="15"/>
      <c r="B72" s="11" t="s">
        <v>1541</v>
      </c>
      <c r="C72" s="11" t="s">
        <v>45</v>
      </c>
      <c r="D72" s="9" t="s">
        <v>1542</v>
      </c>
      <c r="E72" s="11" t="s">
        <v>128</v>
      </c>
      <c r="F72" s="11"/>
      <c r="G72" s="17" t="s">
        <v>1577</v>
      </c>
      <c r="H72" s="18"/>
      <c r="I72" s="17"/>
      <c r="J72" s="19" t="s">
        <v>1186</v>
      </c>
      <c r="K72" s="19" t="s">
        <v>1640</v>
      </c>
      <c r="L72" s="19" t="s">
        <v>67</v>
      </c>
    </row>
    <row r="73" spans="1:12" s="1" customFormat="1">
      <c r="A73" s="15"/>
      <c r="B73" s="11" t="s">
        <v>1543</v>
      </c>
      <c r="C73" s="11" t="s">
        <v>45</v>
      </c>
      <c r="D73" s="9" t="s">
        <v>1544</v>
      </c>
      <c r="E73" s="11" t="s">
        <v>128</v>
      </c>
      <c r="F73" s="11"/>
      <c r="G73" s="17" t="s">
        <v>1578</v>
      </c>
      <c r="H73" s="18"/>
      <c r="I73" s="17"/>
      <c r="J73" s="19" t="s">
        <v>1186</v>
      </c>
      <c r="K73" s="19" t="s">
        <v>1640</v>
      </c>
      <c r="L73" s="19" t="s">
        <v>67</v>
      </c>
    </row>
    <row r="74" spans="1:12" s="1" customFormat="1">
      <c r="A74" s="15"/>
      <c r="B74" s="11" t="s">
        <v>1545</v>
      </c>
      <c r="C74" s="11" t="s">
        <v>45</v>
      </c>
      <c r="D74" s="9" t="s">
        <v>1546</v>
      </c>
      <c r="E74" s="11" t="s">
        <v>128</v>
      </c>
      <c r="F74" s="11"/>
      <c r="G74" s="17" t="s">
        <v>1579</v>
      </c>
      <c r="H74" s="18"/>
      <c r="I74" s="17"/>
      <c r="J74" s="19" t="s">
        <v>1186</v>
      </c>
      <c r="K74" s="19" t="s">
        <v>1640</v>
      </c>
      <c r="L74" s="19" t="s">
        <v>67</v>
      </c>
    </row>
    <row r="75" spans="1:12" s="1" customFormat="1">
      <c r="A75" s="15"/>
      <c r="B75" s="11" t="s">
        <v>1547</v>
      </c>
      <c r="C75" s="11" t="s">
        <v>45</v>
      </c>
      <c r="D75" s="9" t="s">
        <v>1548</v>
      </c>
      <c r="E75" s="11" t="s">
        <v>128</v>
      </c>
      <c r="F75" s="11"/>
      <c r="G75" s="17" t="s">
        <v>1580</v>
      </c>
      <c r="H75" s="18"/>
      <c r="I75" s="17"/>
      <c r="J75" s="19" t="s">
        <v>1186</v>
      </c>
      <c r="K75" s="19" t="s">
        <v>1640</v>
      </c>
      <c r="L75" s="19" t="s">
        <v>67</v>
      </c>
    </row>
    <row r="76" spans="1:12" s="1" customFormat="1">
      <c r="A76" s="15"/>
      <c r="B76" s="11" t="s">
        <v>1665</v>
      </c>
      <c r="C76" s="11" t="s">
        <v>45</v>
      </c>
      <c r="D76" s="9" t="s">
        <v>1814</v>
      </c>
      <c r="E76" s="11" t="s">
        <v>128</v>
      </c>
      <c r="F76" s="11"/>
      <c r="G76" s="17" t="s">
        <v>1971</v>
      </c>
      <c r="H76" s="18"/>
      <c r="I76" s="17"/>
      <c r="J76" s="19" t="s">
        <v>1186</v>
      </c>
      <c r="K76" s="19" t="s">
        <v>202</v>
      </c>
      <c r="L76" s="19" t="s">
        <v>67</v>
      </c>
    </row>
    <row r="77" spans="1:12" s="1" customFormat="1">
      <c r="A77" s="15"/>
      <c r="B77" s="11" t="s">
        <v>1666</v>
      </c>
      <c r="C77" s="11" t="s">
        <v>45</v>
      </c>
      <c r="D77" s="9" t="s">
        <v>1555</v>
      </c>
      <c r="E77" s="11" t="s">
        <v>128</v>
      </c>
      <c r="F77" s="11"/>
      <c r="G77" s="17" t="s">
        <v>1963</v>
      </c>
      <c r="H77" s="18"/>
      <c r="I77" s="17"/>
      <c r="J77" s="19" t="s">
        <v>1186</v>
      </c>
      <c r="K77" s="19" t="s">
        <v>1640</v>
      </c>
      <c r="L77" s="19" t="s">
        <v>67</v>
      </c>
    </row>
    <row r="78" spans="1:12" s="1" customFormat="1">
      <c r="A78" s="15"/>
      <c r="B78" s="11" t="s">
        <v>1556</v>
      </c>
      <c r="C78" s="11" t="s">
        <v>45</v>
      </c>
      <c r="D78" s="9" t="s">
        <v>1557</v>
      </c>
      <c r="E78" s="11" t="s">
        <v>128</v>
      </c>
      <c r="F78" s="11"/>
      <c r="G78" s="17" t="s">
        <v>1582</v>
      </c>
      <c r="H78" s="18"/>
      <c r="I78" s="17"/>
      <c r="J78" s="19" t="s">
        <v>1186</v>
      </c>
      <c r="K78" s="19" t="s">
        <v>1640</v>
      </c>
      <c r="L78" s="19" t="s">
        <v>67</v>
      </c>
    </row>
    <row r="79" spans="1:12" s="1" customFormat="1">
      <c r="A79" s="15"/>
      <c r="B79" s="11" t="s">
        <v>1558</v>
      </c>
      <c r="C79" s="11" t="s">
        <v>45</v>
      </c>
      <c r="D79" s="9" t="s">
        <v>1559</v>
      </c>
      <c r="E79" s="11" t="s">
        <v>128</v>
      </c>
      <c r="F79" s="11"/>
      <c r="G79" s="17" t="s">
        <v>1583</v>
      </c>
      <c r="H79" s="18"/>
      <c r="I79" s="17"/>
      <c r="J79" s="19" t="s">
        <v>1186</v>
      </c>
      <c r="K79" s="19" t="s">
        <v>1640</v>
      </c>
      <c r="L79" s="19" t="s">
        <v>67</v>
      </c>
    </row>
    <row r="80" spans="1:12" s="1" customFormat="1">
      <c r="A80" s="15"/>
      <c r="B80" s="11" t="s">
        <v>1560</v>
      </c>
      <c r="C80" s="69" t="s">
        <v>45</v>
      </c>
      <c r="D80" s="9" t="s">
        <v>1561</v>
      </c>
      <c r="E80" s="11" t="s">
        <v>128</v>
      </c>
      <c r="F80" s="11"/>
      <c r="G80" s="17" t="s">
        <v>1584</v>
      </c>
      <c r="H80" s="18"/>
      <c r="I80" s="17"/>
      <c r="J80" s="19" t="s">
        <v>1186</v>
      </c>
      <c r="K80" s="19" t="s">
        <v>1640</v>
      </c>
      <c r="L80" s="19" t="s">
        <v>67</v>
      </c>
    </row>
    <row r="81" spans="1:17" s="1" customFormat="1">
      <c r="A81" s="15"/>
      <c r="B81" s="11" t="s">
        <v>1562</v>
      </c>
      <c r="C81" s="69" t="s">
        <v>45</v>
      </c>
      <c r="D81" s="9" t="s">
        <v>1563</v>
      </c>
      <c r="E81" s="11" t="s">
        <v>128</v>
      </c>
      <c r="F81" s="11"/>
      <c r="G81" s="17" t="s">
        <v>1585</v>
      </c>
      <c r="H81" s="18"/>
      <c r="I81" s="17"/>
      <c r="J81" s="19" t="s">
        <v>1186</v>
      </c>
      <c r="K81" s="19" t="s">
        <v>1640</v>
      </c>
      <c r="L81" s="19" t="s">
        <v>67</v>
      </c>
    </row>
    <row r="82" spans="1:17" s="3" customFormat="1">
      <c r="B82" s="23" t="s">
        <v>47</v>
      </c>
      <c r="C82" s="24" t="s">
        <v>46</v>
      </c>
      <c r="D82" s="21" t="s">
        <v>48</v>
      </c>
      <c r="E82" s="44"/>
      <c r="F82" s="44"/>
      <c r="G82" s="44" t="s">
        <v>282</v>
      </c>
      <c r="H82" s="23" t="s">
        <v>282</v>
      </c>
      <c r="I82" s="23"/>
      <c r="J82" s="23"/>
      <c r="K82" s="23"/>
      <c r="L82" s="23"/>
      <c r="M82" s="23"/>
      <c r="N82" s="23"/>
      <c r="O82" s="23"/>
      <c r="P82" s="23"/>
      <c r="Q82" s="23"/>
    </row>
    <row r="83" spans="1:17" s="3" customFormat="1">
      <c r="B83" s="23" t="s">
        <v>49</v>
      </c>
      <c r="C83" s="24" t="s">
        <v>43</v>
      </c>
      <c r="D83" s="21" t="s">
        <v>50</v>
      </c>
      <c r="E83" s="44"/>
      <c r="F83" s="44"/>
      <c r="G83" s="44" t="s">
        <v>282</v>
      </c>
      <c r="H83" s="23" t="s">
        <v>282</v>
      </c>
      <c r="I83" s="23"/>
      <c r="J83" s="23"/>
      <c r="K83" s="23"/>
      <c r="L83" s="23"/>
      <c r="M83" s="23"/>
      <c r="N83" s="23"/>
      <c r="O83" s="23"/>
      <c r="P83" s="23"/>
      <c r="Q83" s="23"/>
    </row>
  </sheetData>
  <autoFilter ref="A13:Q83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781A-2873-43F7-8474-049F1F358CF3}">
  <dimension ref="A1:Q130"/>
  <sheetViews>
    <sheetView zoomScale="85" zoomScaleNormal="85" workbookViewId="0">
      <pane ySplit="5" topLeftCell="A6" activePane="bottomLeft" state="frozen"/>
      <selection activeCell="H43" sqref="H43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2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1977</v>
      </c>
      <c r="D5" s="10" t="s">
        <v>1371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1370</v>
      </c>
      <c r="D9" s="10" t="s">
        <v>1979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3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1068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3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61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62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64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3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65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66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95</v>
      </c>
      <c r="C23" s="11" t="s">
        <v>93</v>
      </c>
      <c r="D23" s="9" t="s">
        <v>114</v>
      </c>
      <c r="E23" s="16" t="s">
        <v>128</v>
      </c>
      <c r="F23" s="9" t="s">
        <v>1069</v>
      </c>
      <c r="G23" s="17" t="s">
        <v>129</v>
      </c>
      <c r="H23" s="18"/>
      <c r="I23" s="35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78</v>
      </c>
      <c r="C24" s="11" t="s">
        <v>93</v>
      </c>
      <c r="D24" s="9" t="s">
        <v>103</v>
      </c>
      <c r="E24" s="16" t="s">
        <v>128</v>
      </c>
      <c r="F24" s="17" t="s">
        <v>78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3" s="1" customFormat="1">
      <c r="B25" s="22" t="s">
        <v>86</v>
      </c>
      <c r="C25" s="11" t="s">
        <v>43</v>
      </c>
      <c r="D25" s="9" t="s">
        <v>108</v>
      </c>
      <c r="E25" s="16" t="s">
        <v>128</v>
      </c>
      <c r="F25" s="17" t="s">
        <v>86</v>
      </c>
      <c r="G25" s="17" t="s">
        <v>129</v>
      </c>
      <c r="H25" s="18"/>
      <c r="I25" s="19"/>
      <c r="J25" s="19" t="s">
        <v>131</v>
      </c>
      <c r="K25" s="19" t="s">
        <v>132</v>
      </c>
      <c r="L25" s="19" t="s">
        <v>44</v>
      </c>
    </row>
    <row r="26" spans="1:13" s="1" customFormat="1">
      <c r="A26" s="15"/>
      <c r="B26" s="11" t="s">
        <v>81</v>
      </c>
      <c r="C26" s="11" t="s">
        <v>43</v>
      </c>
      <c r="D26" s="9" t="s">
        <v>57</v>
      </c>
      <c r="E26" s="16" t="s">
        <v>128</v>
      </c>
      <c r="F26" s="17" t="s">
        <v>81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58</v>
      </c>
      <c r="C27" s="11" t="s">
        <v>43</v>
      </c>
      <c r="D27" s="9" t="s">
        <v>59</v>
      </c>
      <c r="E27" s="16" t="s">
        <v>128</v>
      </c>
      <c r="F27" s="9" t="s">
        <v>58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A28" s="15"/>
      <c r="B28" s="11" t="s">
        <v>82</v>
      </c>
      <c r="C28" s="11" t="s">
        <v>43</v>
      </c>
      <c r="D28" s="9" t="s">
        <v>105</v>
      </c>
      <c r="E28" s="16" t="s">
        <v>128</v>
      </c>
      <c r="F28" s="17" t="s">
        <v>82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3" s="15" customFormat="1">
      <c r="B29" s="22" t="s">
        <v>87</v>
      </c>
      <c r="C29" s="11" t="s">
        <v>43</v>
      </c>
      <c r="D29" s="9" t="s">
        <v>109</v>
      </c>
      <c r="E29" s="16" t="s">
        <v>128</v>
      </c>
      <c r="F29" s="17" t="s">
        <v>87</v>
      </c>
      <c r="G29" s="17" t="s">
        <v>129</v>
      </c>
      <c r="H29" s="18"/>
      <c r="I29" s="20"/>
      <c r="J29" s="19" t="s">
        <v>131</v>
      </c>
      <c r="K29" s="19" t="s">
        <v>132</v>
      </c>
      <c r="L29" s="19" t="s">
        <v>679</v>
      </c>
      <c r="M29" s="1"/>
    </row>
    <row r="30" spans="1:13" s="1" customFormat="1">
      <c r="A30" s="15"/>
      <c r="B30" s="11" t="s">
        <v>1072</v>
      </c>
      <c r="C30" s="11" t="s">
        <v>45</v>
      </c>
      <c r="D30" s="9" t="s">
        <v>146</v>
      </c>
      <c r="E30" s="16" t="s">
        <v>128</v>
      </c>
      <c r="F30" s="17"/>
      <c r="G30" s="17" t="s">
        <v>1073</v>
      </c>
      <c r="H30" s="18"/>
      <c r="I30" s="17"/>
      <c r="J30" s="19" t="s">
        <v>133</v>
      </c>
      <c r="K30" s="19" t="s">
        <v>132</v>
      </c>
      <c r="L30" s="19" t="s">
        <v>134</v>
      </c>
    </row>
    <row r="31" spans="1:13" s="1" customFormat="1">
      <c r="A31" s="15"/>
      <c r="B31" s="11" t="s">
        <v>189</v>
      </c>
      <c r="C31" s="11" t="s">
        <v>45</v>
      </c>
      <c r="D31" s="9" t="s">
        <v>190</v>
      </c>
      <c r="E31" s="16" t="s">
        <v>128</v>
      </c>
      <c r="F31" s="17"/>
      <c r="G31" s="17" t="s">
        <v>1259</v>
      </c>
      <c r="H31" s="18"/>
      <c r="I31" s="17"/>
      <c r="J31" s="19" t="s">
        <v>133</v>
      </c>
      <c r="K31" s="19" t="s">
        <v>132</v>
      </c>
      <c r="L31" s="19" t="s">
        <v>134</v>
      </c>
    </row>
    <row r="32" spans="1:13" s="1" customFormat="1">
      <c r="A32" s="15"/>
      <c r="B32" s="11" t="s">
        <v>192</v>
      </c>
      <c r="C32" s="11" t="s">
        <v>45</v>
      </c>
      <c r="D32" s="9" t="s">
        <v>193</v>
      </c>
      <c r="E32" s="16" t="s">
        <v>128</v>
      </c>
      <c r="F32" s="17"/>
      <c r="G32" s="17" t="s">
        <v>1074</v>
      </c>
      <c r="H32" s="18"/>
      <c r="I32" s="17"/>
      <c r="J32" s="19" t="s">
        <v>133</v>
      </c>
      <c r="K32" s="19" t="s">
        <v>132</v>
      </c>
      <c r="L32" s="19" t="s">
        <v>134</v>
      </c>
    </row>
    <row r="33" spans="1:12" s="1" customFormat="1">
      <c r="A33" s="15"/>
      <c r="B33" s="22" t="s">
        <v>255</v>
      </c>
      <c r="C33" s="22" t="s">
        <v>45</v>
      </c>
      <c r="D33" s="9" t="s">
        <v>348</v>
      </c>
      <c r="E33" s="16" t="s">
        <v>128</v>
      </c>
      <c r="F33" s="17"/>
      <c r="G33" s="17" t="s">
        <v>257</v>
      </c>
      <c r="H33" s="18"/>
      <c r="I33" s="17"/>
      <c r="J33" s="19" t="s">
        <v>133</v>
      </c>
      <c r="K33" s="19" t="s">
        <v>203</v>
      </c>
      <c r="L33" s="19" t="s">
        <v>134</v>
      </c>
    </row>
    <row r="34" spans="1:12" s="1" customFormat="1">
      <c r="A34" s="15"/>
      <c r="B34" s="11" t="s">
        <v>207</v>
      </c>
      <c r="C34" s="11" t="s">
        <v>45</v>
      </c>
      <c r="D34" s="9" t="s">
        <v>759</v>
      </c>
      <c r="E34" s="16" t="s">
        <v>128</v>
      </c>
      <c r="F34" s="72"/>
      <c r="G34" s="17" t="s">
        <v>320</v>
      </c>
      <c r="H34" s="18"/>
      <c r="I34" s="17"/>
      <c r="J34" s="19" t="s">
        <v>133</v>
      </c>
      <c r="K34" s="19" t="s">
        <v>204</v>
      </c>
      <c r="L34" s="19" t="s">
        <v>134</v>
      </c>
    </row>
    <row r="35" spans="1:12" s="1" customFormat="1">
      <c r="A35" s="15"/>
      <c r="B35" s="11" t="s">
        <v>208</v>
      </c>
      <c r="C35" s="11" t="s">
        <v>45</v>
      </c>
      <c r="D35" s="9" t="s">
        <v>160</v>
      </c>
      <c r="E35" s="16" t="s">
        <v>128</v>
      </c>
      <c r="F35" s="72"/>
      <c r="G35" s="17" t="s">
        <v>319</v>
      </c>
      <c r="H35" s="18"/>
      <c r="I35" s="17"/>
      <c r="J35" s="19" t="s">
        <v>133</v>
      </c>
      <c r="K35" s="19" t="s">
        <v>204</v>
      </c>
      <c r="L35" s="19" t="s">
        <v>134</v>
      </c>
    </row>
    <row r="36" spans="1:12" s="1" customFormat="1">
      <c r="A36" s="15"/>
      <c r="B36" s="11" t="s">
        <v>763</v>
      </c>
      <c r="C36" s="11" t="s">
        <v>45</v>
      </c>
      <c r="D36" s="9" t="s">
        <v>181</v>
      </c>
      <c r="E36" s="16" t="s">
        <v>128</v>
      </c>
      <c r="F36" s="72"/>
      <c r="G36" s="9" t="s">
        <v>1076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805</v>
      </c>
      <c r="C37" s="11" t="s">
        <v>45</v>
      </c>
      <c r="D37" s="9" t="s">
        <v>184</v>
      </c>
      <c r="E37" s="16" t="s">
        <v>128</v>
      </c>
      <c r="F37" s="72"/>
      <c r="G37" s="17" t="s">
        <v>1110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210</v>
      </c>
      <c r="C38" s="11" t="s">
        <v>45</v>
      </c>
      <c r="D38" s="9" t="s">
        <v>1056</v>
      </c>
      <c r="E38" s="16" t="s">
        <v>128</v>
      </c>
      <c r="F38" s="72"/>
      <c r="G38" s="17" t="s">
        <v>224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209</v>
      </c>
      <c r="C39" s="11" t="s">
        <v>45</v>
      </c>
      <c r="D39" s="9" t="s">
        <v>1055</v>
      </c>
      <c r="E39" s="16" t="s">
        <v>128</v>
      </c>
      <c r="F39" s="72"/>
      <c r="G39" s="17" t="s">
        <v>223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211</v>
      </c>
      <c r="C40" s="11" t="s">
        <v>45</v>
      </c>
      <c r="D40" s="9" t="s">
        <v>163</v>
      </c>
      <c r="E40" s="16" t="s">
        <v>128</v>
      </c>
      <c r="F40" s="72"/>
      <c r="G40" s="17" t="s">
        <v>225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212</v>
      </c>
      <c r="C41" s="11" t="s">
        <v>45</v>
      </c>
      <c r="D41" s="9" t="s">
        <v>164</v>
      </c>
      <c r="E41" s="16" t="s">
        <v>128</v>
      </c>
      <c r="F41" s="72"/>
      <c r="G41" s="17" t="s">
        <v>226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213</v>
      </c>
      <c r="C42" s="11" t="s">
        <v>45</v>
      </c>
      <c r="D42" s="9" t="s">
        <v>165</v>
      </c>
      <c r="E42" s="16" t="s">
        <v>128</v>
      </c>
      <c r="F42" s="72"/>
      <c r="G42" s="17" t="s">
        <v>1114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214</v>
      </c>
      <c r="C43" s="11" t="s">
        <v>45</v>
      </c>
      <c r="D43" s="9" t="s">
        <v>166</v>
      </c>
      <c r="E43" s="16" t="s">
        <v>128</v>
      </c>
      <c r="F43" s="72"/>
      <c r="G43" s="17" t="s">
        <v>1115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217</v>
      </c>
      <c r="C44" s="11" t="s">
        <v>45</v>
      </c>
      <c r="D44" s="9" t="s">
        <v>171</v>
      </c>
      <c r="E44" s="16" t="s">
        <v>128</v>
      </c>
      <c r="F44" s="72"/>
      <c r="G44" s="17" t="s">
        <v>1116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218</v>
      </c>
      <c r="C45" s="11" t="s">
        <v>45</v>
      </c>
      <c r="D45" s="9" t="s">
        <v>172</v>
      </c>
      <c r="E45" s="16" t="s">
        <v>128</v>
      </c>
      <c r="F45" s="72"/>
      <c r="G45" s="17" t="s">
        <v>1117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219</v>
      </c>
      <c r="C46" s="11" t="s">
        <v>45</v>
      </c>
      <c r="D46" s="9" t="s">
        <v>173</v>
      </c>
      <c r="E46" s="16" t="s">
        <v>128</v>
      </c>
      <c r="F46" s="72"/>
      <c r="G46" s="17" t="s">
        <v>1118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220</v>
      </c>
      <c r="C47" s="11" t="s">
        <v>45</v>
      </c>
      <c r="D47" s="9" t="s">
        <v>174</v>
      </c>
      <c r="E47" s="16" t="s">
        <v>128</v>
      </c>
      <c r="F47" s="72"/>
      <c r="G47" s="17" t="s">
        <v>1119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215</v>
      </c>
      <c r="C48" s="11" t="s">
        <v>45</v>
      </c>
      <c r="D48" s="9" t="s">
        <v>1260</v>
      </c>
      <c r="E48" s="16" t="s">
        <v>128</v>
      </c>
      <c r="F48" s="72"/>
      <c r="G48" s="17" t="s">
        <v>227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216</v>
      </c>
      <c r="C49" s="11" t="s">
        <v>45</v>
      </c>
      <c r="D49" s="9" t="s">
        <v>1261</v>
      </c>
      <c r="E49" s="16" t="s">
        <v>128</v>
      </c>
      <c r="F49" s="72"/>
      <c r="G49" s="17" t="s">
        <v>228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316</v>
      </c>
      <c r="C50" s="11" t="s">
        <v>45</v>
      </c>
      <c r="D50" s="9" t="s">
        <v>167</v>
      </c>
      <c r="E50" s="16" t="s">
        <v>128</v>
      </c>
      <c r="F50" s="72"/>
      <c r="G50" s="17" t="s">
        <v>772</v>
      </c>
      <c r="H50" s="18"/>
      <c r="I50" s="17"/>
      <c r="J50" s="19" t="s">
        <v>133</v>
      </c>
      <c r="K50" s="19" t="s">
        <v>202</v>
      </c>
      <c r="L50" s="19" t="s">
        <v>67</v>
      </c>
    </row>
    <row r="51" spans="1:12" s="1" customFormat="1">
      <c r="A51" s="15"/>
      <c r="B51" s="11" t="s">
        <v>809</v>
      </c>
      <c r="C51" s="11" t="s">
        <v>45</v>
      </c>
      <c r="D51" s="9" t="s">
        <v>175</v>
      </c>
      <c r="E51" s="16" t="s">
        <v>128</v>
      </c>
      <c r="F51" s="72"/>
      <c r="G51" s="17" t="s">
        <v>1120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317</v>
      </c>
      <c r="C52" s="11" t="s">
        <v>45</v>
      </c>
      <c r="D52" s="9" t="s">
        <v>168</v>
      </c>
      <c r="E52" s="16" t="s">
        <v>128</v>
      </c>
      <c r="F52" s="72"/>
      <c r="G52" s="17" t="s">
        <v>1487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810</v>
      </c>
      <c r="C53" s="11" t="s">
        <v>45</v>
      </c>
      <c r="D53" s="9" t="s">
        <v>176</v>
      </c>
      <c r="E53" s="16" t="s">
        <v>128</v>
      </c>
      <c r="F53" s="72"/>
      <c r="G53" s="17" t="s">
        <v>1121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1213</v>
      </c>
      <c r="C54" s="11" t="s">
        <v>45</v>
      </c>
      <c r="D54" s="9" t="s">
        <v>178</v>
      </c>
      <c r="E54" s="16" t="s">
        <v>128</v>
      </c>
      <c r="F54" s="72"/>
      <c r="G54" s="17" t="s">
        <v>1215</v>
      </c>
      <c r="H54" s="18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11" t="s">
        <v>221</v>
      </c>
      <c r="C55" s="11" t="s">
        <v>45</v>
      </c>
      <c r="D55" s="9" t="s">
        <v>177</v>
      </c>
      <c r="E55" s="16" t="s">
        <v>128</v>
      </c>
      <c r="F55" s="72"/>
      <c r="G55" s="17" t="s">
        <v>1256</v>
      </c>
      <c r="H55" s="18"/>
      <c r="I55" s="17"/>
      <c r="J55" s="19" t="s">
        <v>133</v>
      </c>
      <c r="K55" s="19" t="s">
        <v>204</v>
      </c>
      <c r="L55" s="19" t="s">
        <v>67</v>
      </c>
    </row>
    <row r="56" spans="1:12" s="1" customFormat="1">
      <c r="A56" s="15"/>
      <c r="B56" s="11" t="s">
        <v>1212</v>
      </c>
      <c r="C56" s="11" t="s">
        <v>45</v>
      </c>
      <c r="D56" s="9" t="s">
        <v>180</v>
      </c>
      <c r="E56" s="16" t="s">
        <v>128</v>
      </c>
      <c r="F56" s="72"/>
      <c r="G56" s="17" t="s">
        <v>1214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222</v>
      </c>
      <c r="C57" s="11" t="s">
        <v>45</v>
      </c>
      <c r="D57" s="9" t="s">
        <v>179</v>
      </c>
      <c r="E57" s="16" t="s">
        <v>128</v>
      </c>
      <c r="F57" s="72"/>
      <c r="G57" s="17" t="s">
        <v>1123</v>
      </c>
      <c r="H57" s="18"/>
      <c r="I57" s="17"/>
      <c r="J57" s="19" t="s">
        <v>133</v>
      </c>
      <c r="K57" s="19" t="s">
        <v>204</v>
      </c>
      <c r="L57" s="19" t="s">
        <v>67</v>
      </c>
    </row>
    <row r="58" spans="1:12" s="1" customFormat="1">
      <c r="A58" s="15"/>
      <c r="B58" s="11" t="s">
        <v>811</v>
      </c>
      <c r="C58" s="11" t="s">
        <v>45</v>
      </c>
      <c r="D58" s="9" t="s">
        <v>643</v>
      </c>
      <c r="E58" s="16" t="s">
        <v>128</v>
      </c>
      <c r="F58" s="72"/>
      <c r="G58" s="17" t="s">
        <v>768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812</v>
      </c>
      <c r="C59" s="11" t="s">
        <v>45</v>
      </c>
      <c r="D59" s="9" t="s">
        <v>813</v>
      </c>
      <c r="E59" s="16" t="s">
        <v>128</v>
      </c>
      <c r="F59" s="72"/>
      <c r="G59" s="17" t="s">
        <v>1124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814</v>
      </c>
      <c r="C60" s="11" t="s">
        <v>45</v>
      </c>
      <c r="D60" s="9" t="s">
        <v>500</v>
      </c>
      <c r="E60" s="16" t="s">
        <v>128</v>
      </c>
      <c r="F60" s="72"/>
      <c r="G60" s="17" t="s">
        <v>1125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205</v>
      </c>
      <c r="C61" s="11" t="s">
        <v>45</v>
      </c>
      <c r="D61" s="9" t="s">
        <v>147</v>
      </c>
      <c r="E61" s="16" t="s">
        <v>128</v>
      </c>
      <c r="F61" s="72"/>
      <c r="G61" s="17" t="s">
        <v>1126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206</v>
      </c>
      <c r="C62" s="11" t="s">
        <v>280</v>
      </c>
      <c r="D62" s="9" t="s">
        <v>820</v>
      </c>
      <c r="E62" s="16" t="s">
        <v>128</v>
      </c>
      <c r="F62" s="72"/>
      <c r="G62" s="17" t="s">
        <v>1081</v>
      </c>
      <c r="H62" s="18"/>
      <c r="I62" s="17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11" t="s">
        <v>1022</v>
      </c>
      <c r="C63" s="11" t="s">
        <v>45</v>
      </c>
      <c r="D63" s="9" t="s">
        <v>1018</v>
      </c>
      <c r="E63" s="16" t="s">
        <v>128</v>
      </c>
      <c r="F63" s="72"/>
      <c r="G63" s="17" t="s">
        <v>1127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1014</v>
      </c>
      <c r="C64" s="11" t="s">
        <v>45</v>
      </c>
      <c r="D64" s="9" t="s">
        <v>1019</v>
      </c>
      <c r="E64" s="16" t="s">
        <v>128</v>
      </c>
      <c r="F64" s="72"/>
      <c r="G64" s="17" t="s">
        <v>1128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1015</v>
      </c>
      <c r="C65" s="11" t="s">
        <v>45</v>
      </c>
      <c r="D65" s="9" t="s">
        <v>1020</v>
      </c>
      <c r="E65" s="16" t="s">
        <v>128</v>
      </c>
      <c r="F65" s="72"/>
      <c r="G65" s="17" t="s">
        <v>1129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1016</v>
      </c>
      <c r="C66" s="11" t="s">
        <v>45</v>
      </c>
      <c r="D66" s="9" t="s">
        <v>1021</v>
      </c>
      <c r="E66" s="16" t="s">
        <v>128</v>
      </c>
      <c r="F66" s="72"/>
      <c r="G66" s="17" t="s">
        <v>1130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1017</v>
      </c>
      <c r="C67" s="11" t="s">
        <v>45</v>
      </c>
      <c r="D67" s="9" t="s">
        <v>1042</v>
      </c>
      <c r="E67" s="16" t="s">
        <v>128</v>
      </c>
      <c r="F67" s="72"/>
      <c r="G67" s="17" t="s">
        <v>1131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1049</v>
      </c>
      <c r="C68" s="11" t="s">
        <v>45</v>
      </c>
      <c r="D68" s="9" t="s">
        <v>153</v>
      </c>
      <c r="E68" s="16" t="s">
        <v>128</v>
      </c>
      <c r="F68" s="72"/>
      <c r="G68" s="17" t="s">
        <v>1262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823</v>
      </c>
      <c r="C69" s="11" t="s">
        <v>280</v>
      </c>
      <c r="D69" s="9" t="s">
        <v>1474</v>
      </c>
      <c r="E69" s="16" t="s">
        <v>128</v>
      </c>
      <c r="F69" s="72"/>
      <c r="G69" s="17" t="s">
        <v>1082</v>
      </c>
      <c r="H69" s="18"/>
      <c r="I69" s="17"/>
      <c r="J69" s="19" t="s">
        <v>133</v>
      </c>
      <c r="K69" s="19" t="s">
        <v>202</v>
      </c>
      <c r="L69" s="19" t="s">
        <v>67</v>
      </c>
    </row>
    <row r="70" spans="1:12" s="1" customFormat="1">
      <c r="A70" s="15"/>
      <c r="B70" s="11" t="s">
        <v>1030</v>
      </c>
      <c r="C70" s="11" t="s">
        <v>45</v>
      </c>
      <c r="D70" s="9" t="s">
        <v>1026</v>
      </c>
      <c r="E70" s="16" t="s">
        <v>128</v>
      </c>
      <c r="F70" s="72"/>
      <c r="G70" s="17" t="s">
        <v>1133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1023</v>
      </c>
      <c r="C71" s="11" t="s">
        <v>45</v>
      </c>
      <c r="D71" s="9" t="s">
        <v>1027</v>
      </c>
      <c r="E71" s="16" t="s">
        <v>128</v>
      </c>
      <c r="F71" s="72"/>
      <c r="G71" s="17" t="s">
        <v>1134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1024</v>
      </c>
      <c r="C72" s="11" t="s">
        <v>45</v>
      </c>
      <c r="D72" s="9" t="s">
        <v>1028</v>
      </c>
      <c r="E72" s="16" t="s">
        <v>128</v>
      </c>
      <c r="F72" s="72"/>
      <c r="G72" s="17" t="s">
        <v>1135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1032</v>
      </c>
      <c r="C73" s="11" t="s">
        <v>45</v>
      </c>
      <c r="D73" s="9" t="s">
        <v>1029</v>
      </c>
      <c r="E73" s="16" t="s">
        <v>128</v>
      </c>
      <c r="F73" s="72"/>
      <c r="G73" s="17" t="s">
        <v>1136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1025</v>
      </c>
      <c r="C74" s="11" t="s">
        <v>45</v>
      </c>
      <c r="D74" s="9" t="s">
        <v>1043</v>
      </c>
      <c r="E74" s="16" t="s">
        <v>128</v>
      </c>
      <c r="F74" s="72"/>
      <c r="G74" s="17" t="s">
        <v>1137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1084</v>
      </c>
      <c r="C75" s="11" t="s">
        <v>280</v>
      </c>
      <c r="D75" s="9" t="s">
        <v>1086</v>
      </c>
      <c r="E75" s="16" t="s">
        <v>128</v>
      </c>
      <c r="F75" s="72"/>
      <c r="G75" s="17" t="s">
        <v>1087</v>
      </c>
      <c r="H75" s="18"/>
      <c r="I75" s="17"/>
      <c r="J75" s="19" t="s">
        <v>133</v>
      </c>
      <c r="K75" s="19" t="s">
        <v>202</v>
      </c>
      <c r="L75" s="19" t="s">
        <v>67</v>
      </c>
    </row>
    <row r="76" spans="1:12" s="1" customFormat="1">
      <c r="A76" s="15"/>
      <c r="B76" s="11" t="s">
        <v>1083</v>
      </c>
      <c r="C76" s="11" t="s">
        <v>280</v>
      </c>
      <c r="D76" s="9" t="s">
        <v>841</v>
      </c>
      <c r="E76" s="16" t="s">
        <v>128</v>
      </c>
      <c r="F76" s="72"/>
      <c r="G76" s="17" t="s">
        <v>1866</v>
      </c>
      <c r="H76" s="18"/>
      <c r="I76" s="17"/>
      <c r="J76" s="19" t="s">
        <v>133</v>
      </c>
      <c r="K76" s="19" t="s">
        <v>202</v>
      </c>
      <c r="L76" s="19" t="s">
        <v>67</v>
      </c>
    </row>
    <row r="77" spans="1:12" s="1" customFormat="1">
      <c r="A77" s="15"/>
      <c r="B77" s="11" t="s">
        <v>1033</v>
      </c>
      <c r="C77" s="11" t="s">
        <v>45</v>
      </c>
      <c r="D77" s="9" t="s">
        <v>1038</v>
      </c>
      <c r="E77" s="16" t="s">
        <v>128</v>
      </c>
      <c r="F77" s="72"/>
      <c r="G77" s="17" t="s">
        <v>1138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1034</v>
      </c>
      <c r="C78" s="11" t="s">
        <v>45</v>
      </c>
      <c r="D78" s="9" t="s">
        <v>1039</v>
      </c>
      <c r="E78" s="16" t="s">
        <v>128</v>
      </c>
      <c r="F78" s="72"/>
      <c r="G78" s="17" t="s">
        <v>1139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1035</v>
      </c>
      <c r="C79" s="11" t="s">
        <v>45</v>
      </c>
      <c r="D79" s="9" t="s">
        <v>1040</v>
      </c>
      <c r="E79" s="16" t="s">
        <v>128</v>
      </c>
      <c r="F79" s="72"/>
      <c r="G79" s="17" t="s">
        <v>1140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1036</v>
      </c>
      <c r="C80" s="11" t="s">
        <v>45</v>
      </c>
      <c r="D80" s="9" t="s">
        <v>1041</v>
      </c>
      <c r="E80" s="16" t="s">
        <v>128</v>
      </c>
      <c r="F80" s="72"/>
      <c r="G80" s="17" t="s">
        <v>1141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1037</v>
      </c>
      <c r="C81" s="11" t="s">
        <v>45</v>
      </c>
      <c r="D81" s="9" t="s">
        <v>1044</v>
      </c>
      <c r="E81" s="16" t="s">
        <v>128</v>
      </c>
      <c r="F81" s="72"/>
      <c r="G81" s="17" t="s">
        <v>1142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816</v>
      </c>
      <c r="C82" s="11" t="s">
        <v>280</v>
      </c>
      <c r="D82" s="9" t="s">
        <v>839</v>
      </c>
      <c r="E82" s="16" t="s">
        <v>128</v>
      </c>
      <c r="F82" s="72"/>
      <c r="G82" s="17" t="s">
        <v>1088</v>
      </c>
      <c r="H82" s="18"/>
      <c r="I82" s="17"/>
      <c r="J82" s="19" t="s">
        <v>133</v>
      </c>
      <c r="K82" s="19" t="s">
        <v>202</v>
      </c>
      <c r="L82" s="19" t="s">
        <v>67</v>
      </c>
    </row>
    <row r="83" spans="1:12" s="1" customFormat="1">
      <c r="A83" s="15"/>
      <c r="B83" s="11" t="s">
        <v>817</v>
      </c>
      <c r="C83" s="11" t="s">
        <v>45</v>
      </c>
      <c r="D83" s="9" t="s">
        <v>658</v>
      </c>
      <c r="E83" s="16" t="s">
        <v>128</v>
      </c>
      <c r="F83" s="72"/>
      <c r="G83" s="17" t="s">
        <v>1090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818</v>
      </c>
      <c r="C84" s="11" t="s">
        <v>280</v>
      </c>
      <c r="D84" s="9" t="s">
        <v>842</v>
      </c>
      <c r="E84" s="16" t="s">
        <v>128</v>
      </c>
      <c r="F84" s="72"/>
      <c r="G84" s="17" t="s">
        <v>1091</v>
      </c>
      <c r="H84" s="18"/>
      <c r="I84" s="17"/>
      <c r="J84" s="19" t="s">
        <v>133</v>
      </c>
      <c r="K84" s="19" t="s">
        <v>202</v>
      </c>
      <c r="L84" s="19" t="s">
        <v>67</v>
      </c>
    </row>
    <row r="85" spans="1:12" s="1" customFormat="1">
      <c r="A85" s="15"/>
      <c r="B85" s="11" t="s">
        <v>819</v>
      </c>
      <c r="C85" s="11" t="s">
        <v>45</v>
      </c>
      <c r="D85" s="9" t="s">
        <v>660</v>
      </c>
      <c r="E85" s="16" t="s">
        <v>128</v>
      </c>
      <c r="F85" s="72"/>
      <c r="G85" s="17" t="s">
        <v>1093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829</v>
      </c>
      <c r="C86" s="11" t="s">
        <v>280</v>
      </c>
      <c r="D86" s="9" t="s">
        <v>505</v>
      </c>
      <c r="E86" s="16" t="s">
        <v>128</v>
      </c>
      <c r="F86" s="72"/>
      <c r="G86" s="17" t="s">
        <v>1094</v>
      </c>
      <c r="H86" s="18"/>
      <c r="I86" s="17"/>
      <c r="J86" s="19" t="s">
        <v>133</v>
      </c>
      <c r="K86" s="19" t="s">
        <v>203</v>
      </c>
      <c r="L86" s="19" t="s">
        <v>67</v>
      </c>
    </row>
    <row r="87" spans="1:12" s="1" customFormat="1">
      <c r="A87" s="15"/>
      <c r="B87" s="11" t="s">
        <v>1570</v>
      </c>
      <c r="C87" s="11" t="s">
        <v>45</v>
      </c>
      <c r="D87" s="9" t="s">
        <v>1526</v>
      </c>
      <c r="E87" s="16" t="s">
        <v>128</v>
      </c>
      <c r="F87" s="72"/>
      <c r="G87" s="17" t="s">
        <v>1571</v>
      </c>
      <c r="H87" s="18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11" t="s">
        <v>1527</v>
      </c>
      <c r="C88" s="11" t="s">
        <v>45</v>
      </c>
      <c r="D88" s="9" t="s">
        <v>1528</v>
      </c>
      <c r="E88" s="16" t="s">
        <v>128</v>
      </c>
      <c r="F88" s="72"/>
      <c r="G88" s="17" t="s">
        <v>1572</v>
      </c>
      <c r="H88" s="18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11" t="s">
        <v>1529</v>
      </c>
      <c r="C89" s="11" t="s">
        <v>45</v>
      </c>
      <c r="D89" s="9" t="s">
        <v>1530</v>
      </c>
      <c r="E89" s="16" t="s">
        <v>128</v>
      </c>
      <c r="F89" s="72"/>
      <c r="G89" s="17" t="s">
        <v>1573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11" t="s">
        <v>1531</v>
      </c>
      <c r="C90" s="11" t="s">
        <v>45</v>
      </c>
      <c r="D90" s="9" t="s">
        <v>1532</v>
      </c>
      <c r="E90" s="16" t="s">
        <v>128</v>
      </c>
      <c r="F90" s="72"/>
      <c r="G90" s="17" t="s">
        <v>1574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1533</v>
      </c>
      <c r="C91" s="11" t="s">
        <v>45</v>
      </c>
      <c r="D91" s="9" t="s">
        <v>1534</v>
      </c>
      <c r="E91" s="16" t="s">
        <v>128</v>
      </c>
      <c r="F91" s="72"/>
      <c r="G91" s="17" t="s">
        <v>1575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799</v>
      </c>
      <c r="C92" s="11" t="s">
        <v>280</v>
      </c>
      <c r="D92" s="9" t="s">
        <v>506</v>
      </c>
      <c r="E92" s="16" t="s">
        <v>128</v>
      </c>
      <c r="F92" s="72"/>
      <c r="G92" s="17" t="s">
        <v>1095</v>
      </c>
      <c r="H92" s="18"/>
      <c r="I92" s="17"/>
      <c r="J92" s="19" t="s">
        <v>133</v>
      </c>
      <c r="K92" s="19" t="s">
        <v>203</v>
      </c>
      <c r="L92" s="19" t="s">
        <v>67</v>
      </c>
    </row>
    <row r="93" spans="1:12" s="1" customFormat="1">
      <c r="A93" s="15"/>
      <c r="B93" s="11" t="s">
        <v>1549</v>
      </c>
      <c r="C93" s="11" t="s">
        <v>45</v>
      </c>
      <c r="D93" s="9" t="s">
        <v>1540</v>
      </c>
      <c r="E93" s="16" t="s">
        <v>128</v>
      </c>
      <c r="F93" s="72"/>
      <c r="G93" s="17" t="s">
        <v>1576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1541</v>
      </c>
      <c r="C94" s="11" t="s">
        <v>45</v>
      </c>
      <c r="D94" s="9" t="s">
        <v>1542</v>
      </c>
      <c r="E94" s="16" t="s">
        <v>128</v>
      </c>
      <c r="F94" s="72"/>
      <c r="G94" s="17" t="s">
        <v>1577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11" t="s">
        <v>1543</v>
      </c>
      <c r="C95" s="11" t="s">
        <v>45</v>
      </c>
      <c r="D95" s="9" t="s">
        <v>1544</v>
      </c>
      <c r="E95" s="16" t="s">
        <v>128</v>
      </c>
      <c r="F95" s="72"/>
      <c r="G95" s="17" t="s">
        <v>1578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1545</v>
      </c>
      <c r="C96" s="11" t="s">
        <v>45</v>
      </c>
      <c r="D96" s="9" t="s">
        <v>1546</v>
      </c>
      <c r="E96" s="16" t="s">
        <v>128</v>
      </c>
      <c r="F96" s="72"/>
      <c r="G96" s="17" t="s">
        <v>1579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11" t="s">
        <v>1547</v>
      </c>
      <c r="C97" s="11" t="s">
        <v>45</v>
      </c>
      <c r="D97" s="9" t="s">
        <v>1548</v>
      </c>
      <c r="E97" s="16" t="s">
        <v>128</v>
      </c>
      <c r="F97" s="72"/>
      <c r="G97" s="17" t="s">
        <v>1580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11" t="s">
        <v>830</v>
      </c>
      <c r="C98" s="11" t="s">
        <v>45</v>
      </c>
      <c r="D98" s="9" t="s">
        <v>837</v>
      </c>
      <c r="E98" s="16" t="s">
        <v>128</v>
      </c>
      <c r="F98" s="72"/>
      <c r="G98" s="17" t="s">
        <v>1097</v>
      </c>
      <c r="H98" s="18"/>
      <c r="I98" s="17"/>
      <c r="J98" s="19" t="s">
        <v>133</v>
      </c>
      <c r="K98" s="19" t="s">
        <v>44</v>
      </c>
      <c r="L98" s="19" t="s">
        <v>67</v>
      </c>
    </row>
    <row r="99" spans="1:12" s="1" customFormat="1">
      <c r="A99" s="15"/>
      <c r="B99" s="11" t="s">
        <v>623</v>
      </c>
      <c r="C99" s="11" t="s">
        <v>280</v>
      </c>
      <c r="D99" s="9" t="s">
        <v>836</v>
      </c>
      <c r="E99" s="16" t="s">
        <v>128</v>
      </c>
      <c r="F99" s="72"/>
      <c r="G99" s="17" t="s">
        <v>1099</v>
      </c>
      <c r="H99" s="18"/>
      <c r="I99" s="17"/>
      <c r="J99" s="19" t="s">
        <v>133</v>
      </c>
      <c r="K99" s="19" t="s">
        <v>202</v>
      </c>
      <c r="L99" s="19" t="s">
        <v>67</v>
      </c>
    </row>
    <row r="100" spans="1:12" s="1" customFormat="1">
      <c r="A100" s="15"/>
      <c r="B100" s="95" t="s">
        <v>1564</v>
      </c>
      <c r="C100" s="95" t="s">
        <v>45</v>
      </c>
      <c r="D100" s="96" t="s">
        <v>1555</v>
      </c>
      <c r="E100" s="16" t="s">
        <v>128</v>
      </c>
      <c r="F100" s="72"/>
      <c r="G100" s="17" t="s">
        <v>1581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2" s="1" customFormat="1">
      <c r="A101" s="15"/>
      <c r="B101" s="95" t="s">
        <v>1556</v>
      </c>
      <c r="C101" s="95" t="s">
        <v>45</v>
      </c>
      <c r="D101" s="96" t="s">
        <v>1557</v>
      </c>
      <c r="E101" s="16" t="s">
        <v>128</v>
      </c>
      <c r="F101" s="72"/>
      <c r="G101" s="17" t="s">
        <v>1582</v>
      </c>
      <c r="H101" s="18"/>
      <c r="I101" s="17"/>
      <c r="J101" s="19" t="s">
        <v>133</v>
      </c>
      <c r="K101" s="19" t="s">
        <v>903</v>
      </c>
      <c r="L101" s="19" t="s">
        <v>67</v>
      </c>
    </row>
    <row r="102" spans="1:12" s="1" customFormat="1">
      <c r="A102" s="15"/>
      <c r="B102" s="95" t="s">
        <v>1558</v>
      </c>
      <c r="C102" s="95" t="s">
        <v>45</v>
      </c>
      <c r="D102" s="96" t="s">
        <v>1559</v>
      </c>
      <c r="E102" s="16" t="s">
        <v>128</v>
      </c>
      <c r="F102" s="72"/>
      <c r="G102" s="17" t="s">
        <v>1583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A103" s="15"/>
      <c r="B103" s="95" t="s">
        <v>1560</v>
      </c>
      <c r="C103" s="95" t="s">
        <v>45</v>
      </c>
      <c r="D103" s="96" t="s">
        <v>1561</v>
      </c>
      <c r="E103" s="16" t="s">
        <v>128</v>
      </c>
      <c r="F103" s="72"/>
      <c r="G103" s="17" t="s">
        <v>1584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A104" s="15"/>
      <c r="B104" s="95" t="s">
        <v>1562</v>
      </c>
      <c r="C104" s="95" t="s">
        <v>45</v>
      </c>
      <c r="D104" s="96" t="s">
        <v>1563</v>
      </c>
      <c r="E104" s="16" t="s">
        <v>128</v>
      </c>
      <c r="F104" s="72"/>
      <c r="G104" s="17" t="s">
        <v>1585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A105" s="15"/>
      <c r="B105" s="11" t="s">
        <v>831</v>
      </c>
      <c r="C105" s="11" t="s">
        <v>45</v>
      </c>
      <c r="D105" s="9" t="s">
        <v>825</v>
      </c>
      <c r="E105" s="16" t="s">
        <v>128</v>
      </c>
      <c r="F105" s="72"/>
      <c r="G105" s="17" t="s">
        <v>1100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A106" s="15"/>
      <c r="B106" s="11" t="s">
        <v>1098</v>
      </c>
      <c r="C106" s="11" t="s">
        <v>280</v>
      </c>
      <c r="D106" s="9" t="s">
        <v>826</v>
      </c>
      <c r="E106" s="16" t="s">
        <v>128</v>
      </c>
      <c r="F106" s="72"/>
      <c r="G106" s="17" t="s">
        <v>1101</v>
      </c>
      <c r="H106" s="18"/>
      <c r="I106" s="17"/>
      <c r="J106" s="19" t="s">
        <v>133</v>
      </c>
      <c r="K106" s="19" t="s">
        <v>202</v>
      </c>
      <c r="L106" s="19" t="s">
        <v>67</v>
      </c>
    </row>
    <row r="107" spans="1:12" s="1" customFormat="1">
      <c r="A107" s="15"/>
      <c r="B107" s="11" t="s">
        <v>834</v>
      </c>
      <c r="C107" s="11" t="s">
        <v>280</v>
      </c>
      <c r="D107" s="9" t="s">
        <v>833</v>
      </c>
      <c r="E107" s="16" t="s">
        <v>128</v>
      </c>
      <c r="F107" s="72"/>
      <c r="G107" s="17" t="s">
        <v>1102</v>
      </c>
      <c r="H107" s="18"/>
      <c r="I107" s="17"/>
      <c r="J107" s="19" t="s">
        <v>133</v>
      </c>
      <c r="K107" s="19" t="s">
        <v>202</v>
      </c>
      <c r="L107" s="19" t="s">
        <v>67</v>
      </c>
    </row>
    <row r="108" spans="1:12" s="1" customFormat="1">
      <c r="A108" s="15"/>
      <c r="B108" s="11" t="s">
        <v>535</v>
      </c>
      <c r="C108" s="11" t="s">
        <v>280</v>
      </c>
      <c r="D108" s="9" t="s">
        <v>534</v>
      </c>
      <c r="E108" s="16" t="s">
        <v>128</v>
      </c>
      <c r="F108" s="72"/>
      <c r="G108" s="17" t="s">
        <v>1103</v>
      </c>
      <c r="H108" s="18"/>
      <c r="I108" s="17"/>
      <c r="J108" s="19" t="s">
        <v>133</v>
      </c>
      <c r="K108" s="19" t="s">
        <v>202</v>
      </c>
      <c r="L108" s="19" t="s">
        <v>67</v>
      </c>
    </row>
    <row r="109" spans="1:12" s="1" customFormat="1">
      <c r="A109" s="15"/>
      <c r="B109" s="11" t="s">
        <v>848</v>
      </c>
      <c r="C109" s="11" t="s">
        <v>45</v>
      </c>
      <c r="D109" s="9" t="s">
        <v>850</v>
      </c>
      <c r="E109" s="16" t="s">
        <v>128</v>
      </c>
      <c r="F109" s="72"/>
      <c r="G109" s="17" t="s">
        <v>1104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11" t="s">
        <v>849</v>
      </c>
      <c r="C110" s="11" t="s">
        <v>45</v>
      </c>
      <c r="D110" s="9" t="s">
        <v>116</v>
      </c>
      <c r="E110" s="16" t="s">
        <v>128</v>
      </c>
      <c r="F110" s="72"/>
      <c r="G110" s="17" t="s">
        <v>1105</v>
      </c>
      <c r="H110" s="18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11" t="s">
        <v>854</v>
      </c>
      <c r="C111" s="11" t="s">
        <v>280</v>
      </c>
      <c r="D111" s="9" t="s">
        <v>502</v>
      </c>
      <c r="E111" s="16" t="s">
        <v>128</v>
      </c>
      <c r="F111" s="72"/>
      <c r="G111" s="17" t="s">
        <v>1107</v>
      </c>
      <c r="H111" s="18"/>
      <c r="I111" s="17"/>
      <c r="J111" s="19" t="s">
        <v>133</v>
      </c>
      <c r="K111" s="19" t="s">
        <v>202</v>
      </c>
      <c r="L111" s="19" t="s">
        <v>67</v>
      </c>
    </row>
    <row r="112" spans="1:12" s="1" customFormat="1">
      <c r="A112" s="15"/>
      <c r="B112" s="11" t="s">
        <v>856</v>
      </c>
      <c r="C112" s="11" t="s">
        <v>45</v>
      </c>
      <c r="D112" s="9" t="s">
        <v>857</v>
      </c>
      <c r="E112" s="16" t="s">
        <v>128</v>
      </c>
      <c r="F112" s="72"/>
      <c r="G112" s="17" t="s">
        <v>1106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7" s="1" customFormat="1">
      <c r="A113" s="15"/>
      <c r="B113" s="11" t="s">
        <v>315</v>
      </c>
      <c r="C113" s="11" t="s">
        <v>45</v>
      </c>
      <c r="D113" s="9" t="s">
        <v>112</v>
      </c>
      <c r="E113" s="16" t="s">
        <v>128</v>
      </c>
      <c r="F113" s="72"/>
      <c r="G113" s="17" t="s">
        <v>1145</v>
      </c>
      <c r="H113" s="18"/>
      <c r="I113" s="17"/>
      <c r="J113" s="19" t="s">
        <v>133</v>
      </c>
      <c r="K113" s="19" t="s">
        <v>44</v>
      </c>
      <c r="L113" s="19" t="s">
        <v>67</v>
      </c>
    </row>
    <row r="114" spans="1:17" s="1" customFormat="1">
      <c r="A114" s="15"/>
      <c r="B114" s="11" t="s">
        <v>868</v>
      </c>
      <c r="C114" s="11" t="s">
        <v>45</v>
      </c>
      <c r="D114" s="9" t="s">
        <v>859</v>
      </c>
      <c r="E114" s="16" t="s">
        <v>128</v>
      </c>
      <c r="F114" s="72"/>
      <c r="G114" s="17" t="s">
        <v>1146</v>
      </c>
      <c r="H114" s="18"/>
      <c r="I114" s="17"/>
      <c r="J114" s="19" t="s">
        <v>133</v>
      </c>
      <c r="K114" s="19" t="s">
        <v>44</v>
      </c>
      <c r="L114" s="19" t="s">
        <v>67</v>
      </c>
    </row>
    <row r="115" spans="1:17" s="1" customFormat="1">
      <c r="A115" s="15"/>
      <c r="B115" s="11" t="s">
        <v>869</v>
      </c>
      <c r="C115" s="11" t="s">
        <v>45</v>
      </c>
      <c r="D115" s="9" t="s">
        <v>860</v>
      </c>
      <c r="E115" s="16" t="s">
        <v>128</v>
      </c>
      <c r="F115" s="72"/>
      <c r="G115" s="17" t="s">
        <v>1147</v>
      </c>
      <c r="H115" s="18"/>
      <c r="I115" s="17"/>
      <c r="J115" s="19" t="s">
        <v>133</v>
      </c>
      <c r="K115" s="19" t="s">
        <v>44</v>
      </c>
      <c r="L115" s="19" t="s">
        <v>67</v>
      </c>
    </row>
    <row r="116" spans="1:17" s="1" customFormat="1">
      <c r="A116" s="15"/>
      <c r="B116" s="11" t="s">
        <v>870</v>
      </c>
      <c r="C116" s="11" t="s">
        <v>45</v>
      </c>
      <c r="D116" s="9" t="s">
        <v>861</v>
      </c>
      <c r="E116" s="16" t="s">
        <v>128</v>
      </c>
      <c r="F116" s="72"/>
      <c r="G116" s="17" t="s">
        <v>1148</v>
      </c>
      <c r="H116" s="18"/>
      <c r="I116" s="17"/>
      <c r="J116" s="19" t="s">
        <v>133</v>
      </c>
      <c r="K116" s="19" t="s">
        <v>44</v>
      </c>
      <c r="L116" s="19" t="s">
        <v>67</v>
      </c>
    </row>
    <row r="117" spans="1:17" s="1" customFormat="1">
      <c r="A117" s="15"/>
      <c r="B117" s="11" t="s">
        <v>871</v>
      </c>
      <c r="C117" s="11" t="s">
        <v>45</v>
      </c>
      <c r="D117" s="9" t="s">
        <v>880</v>
      </c>
      <c r="E117" s="16" t="s">
        <v>128</v>
      </c>
      <c r="F117" s="72"/>
      <c r="G117" s="17" t="s">
        <v>1149</v>
      </c>
      <c r="H117" s="18"/>
      <c r="I117" s="17"/>
      <c r="J117" s="19" t="s">
        <v>133</v>
      </c>
      <c r="K117" s="19" t="s">
        <v>44</v>
      </c>
      <c r="L117" s="19" t="s">
        <v>67</v>
      </c>
    </row>
    <row r="118" spans="1:17" s="1" customFormat="1">
      <c r="A118" s="15"/>
      <c r="B118" s="11" t="s">
        <v>872</v>
      </c>
      <c r="C118" s="11" t="s">
        <v>45</v>
      </c>
      <c r="D118" s="9" t="s">
        <v>881</v>
      </c>
      <c r="E118" s="16" t="s">
        <v>128</v>
      </c>
      <c r="F118" s="72"/>
      <c r="G118" s="17" t="s">
        <v>1150</v>
      </c>
      <c r="H118" s="18"/>
      <c r="I118" s="17"/>
      <c r="J118" s="19" t="s">
        <v>133</v>
      </c>
      <c r="K118" s="19" t="s">
        <v>44</v>
      </c>
      <c r="L118" s="19" t="s">
        <v>67</v>
      </c>
    </row>
    <row r="119" spans="1:17" s="1" customFormat="1">
      <c r="A119" s="15"/>
      <c r="B119" s="11" t="s">
        <v>873</v>
      </c>
      <c r="C119" s="11" t="s">
        <v>45</v>
      </c>
      <c r="D119" s="9" t="s">
        <v>882</v>
      </c>
      <c r="E119" s="16" t="s">
        <v>128</v>
      </c>
      <c r="F119" s="72"/>
      <c r="G119" s="17" t="s">
        <v>1151</v>
      </c>
      <c r="H119" s="18"/>
      <c r="I119" s="17"/>
      <c r="J119" s="19" t="s">
        <v>133</v>
      </c>
      <c r="K119" s="19" t="s">
        <v>44</v>
      </c>
      <c r="L119" s="19" t="s">
        <v>67</v>
      </c>
    </row>
    <row r="120" spans="1:17" s="1" customFormat="1">
      <c r="A120" s="15"/>
      <c r="B120" s="11" t="s">
        <v>874</v>
      </c>
      <c r="C120" s="11" t="s">
        <v>45</v>
      </c>
      <c r="D120" s="9" t="s">
        <v>862</v>
      </c>
      <c r="E120" s="16" t="s">
        <v>128</v>
      </c>
      <c r="F120" s="72"/>
      <c r="G120" s="17" t="s">
        <v>1152</v>
      </c>
      <c r="H120" s="18"/>
      <c r="I120" s="17"/>
      <c r="J120" s="19" t="s">
        <v>133</v>
      </c>
      <c r="K120" s="19" t="s">
        <v>44</v>
      </c>
      <c r="L120" s="19" t="s">
        <v>67</v>
      </c>
    </row>
    <row r="121" spans="1:17" s="1" customFormat="1">
      <c r="A121" s="15"/>
      <c r="B121" s="11" t="s">
        <v>875</v>
      </c>
      <c r="C121" s="11" t="s">
        <v>45</v>
      </c>
      <c r="D121" s="9" t="s">
        <v>863</v>
      </c>
      <c r="E121" s="16" t="s">
        <v>128</v>
      </c>
      <c r="F121" s="72"/>
      <c r="G121" s="17" t="s">
        <v>1153</v>
      </c>
      <c r="H121" s="18"/>
      <c r="I121" s="17"/>
      <c r="J121" s="19" t="s">
        <v>133</v>
      </c>
      <c r="K121" s="19" t="s">
        <v>44</v>
      </c>
      <c r="L121" s="19" t="s">
        <v>67</v>
      </c>
    </row>
    <row r="122" spans="1:17" s="1" customFormat="1">
      <c r="A122" s="15"/>
      <c r="B122" s="11" t="s">
        <v>876</v>
      </c>
      <c r="C122" s="11" t="s">
        <v>45</v>
      </c>
      <c r="D122" s="9" t="s">
        <v>864</v>
      </c>
      <c r="E122" s="16" t="s">
        <v>128</v>
      </c>
      <c r="F122" s="72"/>
      <c r="G122" s="17" t="s">
        <v>1154</v>
      </c>
      <c r="H122" s="18"/>
      <c r="I122" s="17"/>
      <c r="J122" s="19" t="s">
        <v>133</v>
      </c>
      <c r="K122" s="19" t="s">
        <v>44</v>
      </c>
      <c r="L122" s="19" t="s">
        <v>67</v>
      </c>
    </row>
    <row r="123" spans="1:17" s="1" customFormat="1">
      <c r="A123" s="15"/>
      <c r="B123" s="11" t="s">
        <v>877</v>
      </c>
      <c r="C123" s="11" t="s">
        <v>45</v>
      </c>
      <c r="D123" s="9" t="s">
        <v>865</v>
      </c>
      <c r="E123" s="16" t="s">
        <v>128</v>
      </c>
      <c r="F123" s="72"/>
      <c r="G123" s="17" t="s">
        <v>1155</v>
      </c>
      <c r="H123" s="18"/>
      <c r="I123" s="17"/>
      <c r="J123" s="19" t="s">
        <v>133</v>
      </c>
      <c r="K123" s="19" t="s">
        <v>44</v>
      </c>
      <c r="L123" s="19" t="s">
        <v>67</v>
      </c>
    </row>
    <row r="124" spans="1:17" s="1" customFormat="1">
      <c r="A124" s="15"/>
      <c r="B124" s="11" t="s">
        <v>878</v>
      </c>
      <c r="C124" s="11" t="s">
        <v>45</v>
      </c>
      <c r="D124" s="9" t="s">
        <v>866</v>
      </c>
      <c r="E124" s="16" t="s">
        <v>128</v>
      </c>
      <c r="F124" s="72"/>
      <c r="G124" s="17" t="s">
        <v>1156</v>
      </c>
      <c r="H124" s="18"/>
      <c r="I124" s="17"/>
      <c r="J124" s="19" t="s">
        <v>133</v>
      </c>
      <c r="K124" s="19" t="s">
        <v>44</v>
      </c>
      <c r="L124" s="19" t="s">
        <v>67</v>
      </c>
    </row>
    <row r="125" spans="1:17" s="1" customFormat="1">
      <c r="A125" s="15"/>
      <c r="B125" s="11" t="s">
        <v>879</v>
      </c>
      <c r="C125" s="11" t="s">
        <v>45</v>
      </c>
      <c r="D125" s="9" t="s">
        <v>867</v>
      </c>
      <c r="E125" s="16" t="s">
        <v>128</v>
      </c>
      <c r="F125" s="72"/>
      <c r="G125" s="17" t="s">
        <v>1157</v>
      </c>
      <c r="H125" s="18"/>
      <c r="I125" s="17"/>
      <c r="J125" s="19" t="s">
        <v>133</v>
      </c>
      <c r="K125" s="19" t="s">
        <v>44</v>
      </c>
      <c r="L125" s="19" t="s">
        <v>67</v>
      </c>
    </row>
    <row r="126" spans="1:17" s="1" customFormat="1">
      <c r="A126" s="15"/>
      <c r="B126" s="11" t="s">
        <v>1280</v>
      </c>
      <c r="C126" s="11" t="s">
        <v>43</v>
      </c>
      <c r="D126" s="9" t="s">
        <v>1281</v>
      </c>
      <c r="E126" s="16" t="s">
        <v>128</v>
      </c>
      <c r="F126" s="72"/>
      <c r="G126" s="17" t="s">
        <v>1282</v>
      </c>
      <c r="H126" s="18"/>
      <c r="I126" s="87">
        <v>20250415101139</v>
      </c>
      <c r="J126" s="19" t="s">
        <v>133</v>
      </c>
      <c r="K126" s="19" t="s">
        <v>44</v>
      </c>
      <c r="L126" s="19" t="s">
        <v>1306</v>
      </c>
    </row>
    <row r="127" spans="1:17" s="1" customFormat="1">
      <c r="A127" s="15"/>
      <c r="B127" s="11" t="s">
        <v>1283</v>
      </c>
      <c r="C127" s="11" t="s">
        <v>43</v>
      </c>
      <c r="D127" s="9" t="s">
        <v>1284</v>
      </c>
      <c r="E127" s="16" t="s">
        <v>128</v>
      </c>
      <c r="F127" s="72"/>
      <c r="G127" s="17" t="s">
        <v>1285</v>
      </c>
      <c r="H127" s="18"/>
      <c r="I127" s="87">
        <v>20250415101024</v>
      </c>
      <c r="J127" s="19" t="s">
        <v>133</v>
      </c>
      <c r="K127" s="19" t="s">
        <v>44</v>
      </c>
      <c r="L127" s="19" t="s">
        <v>1306</v>
      </c>
    </row>
    <row r="128" spans="1:17" s="3" customFormat="1">
      <c r="B128" s="23" t="s">
        <v>47</v>
      </c>
      <c r="C128" s="24" t="s">
        <v>46</v>
      </c>
      <c r="D128" s="21" t="s">
        <v>48</v>
      </c>
      <c r="E128" s="44"/>
      <c r="F128" s="44"/>
      <c r="G128" s="44" t="s">
        <v>282</v>
      </c>
      <c r="H128" s="23" t="s">
        <v>282</v>
      </c>
      <c r="I128" s="23"/>
      <c r="J128" s="23"/>
      <c r="K128" s="23"/>
      <c r="L128" s="23"/>
      <c r="M128" s="23"/>
      <c r="N128" s="23"/>
      <c r="O128" s="23"/>
      <c r="P128" s="23"/>
      <c r="Q128" s="23"/>
    </row>
    <row r="129" spans="2:17" s="3" customFormat="1">
      <c r="B129" s="23" t="s">
        <v>49</v>
      </c>
      <c r="C129" s="24" t="s">
        <v>43</v>
      </c>
      <c r="D129" s="21" t="s">
        <v>50</v>
      </c>
      <c r="E129" s="44"/>
      <c r="F129" s="44"/>
      <c r="G129" s="44" t="s">
        <v>282</v>
      </c>
      <c r="H129" s="23" t="s">
        <v>282</v>
      </c>
      <c r="I129" s="23"/>
      <c r="J129" s="23"/>
      <c r="K129" s="23"/>
      <c r="L129" s="23"/>
      <c r="M129" s="23"/>
      <c r="N129" s="23"/>
      <c r="O129" s="23"/>
      <c r="P129" s="23"/>
      <c r="Q129" s="23"/>
    </row>
    <row r="130" spans="2:17" s="3" customFormat="1">
      <c r="B130" s="23" t="s">
        <v>51</v>
      </c>
      <c r="C130" s="24" t="s">
        <v>46</v>
      </c>
      <c r="D130" s="21" t="s">
        <v>52</v>
      </c>
      <c r="E130" s="44"/>
      <c r="F130" s="44"/>
      <c r="G130" s="44" t="s">
        <v>282</v>
      </c>
      <c r="H130" s="23" t="s">
        <v>282</v>
      </c>
      <c r="I130" s="23"/>
      <c r="J130" s="23"/>
      <c r="K130" s="23"/>
      <c r="L130" s="23"/>
      <c r="M130" s="23"/>
      <c r="N130" s="23"/>
      <c r="O130" s="23"/>
      <c r="P130" s="23"/>
      <c r="Q130" s="23"/>
    </row>
  </sheetData>
  <autoFilter ref="A13:Q130" xr:uid="{00000000-0009-0000-0000-00000B000000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1CD8-8E71-46BF-AA24-3BF81EBA8EB3}">
  <dimension ref="A1:Q132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6.44140625" style="4" bestFit="1" customWidth="1"/>
    <col min="4" max="4" width="32.21875" style="4" customWidth="1"/>
    <col min="5" max="5" width="10.109375" style="4" customWidth="1"/>
    <col min="6" max="6" width="17.5546875" style="4" customWidth="1"/>
    <col min="7" max="7" width="31.77734375" style="4" customWidth="1"/>
    <col min="8" max="8" width="8.66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 ht="2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243</v>
      </c>
      <c r="C5" s="9" t="s">
        <v>3257</v>
      </c>
      <c r="D5" s="10" t="s">
        <v>1981</v>
      </c>
      <c r="E5" s="11" t="s">
        <v>92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1983</v>
      </c>
      <c r="D9" s="10" t="s">
        <v>2659</v>
      </c>
      <c r="E9" s="11" t="s">
        <v>55</v>
      </c>
      <c r="F9" s="17"/>
      <c r="G9" s="17"/>
      <c r="H9" s="14" t="s">
        <v>17</v>
      </c>
    </row>
    <row r="10" spans="2:14">
      <c r="B10" s="11"/>
      <c r="C10" s="9" t="s">
        <v>73</v>
      </c>
      <c r="D10" s="9" t="s">
        <v>263</v>
      </c>
      <c r="E10" s="11" t="s">
        <v>75</v>
      </c>
      <c r="F10" s="17"/>
      <c r="G10" s="17" t="s">
        <v>633</v>
      </c>
      <c r="H10" s="14"/>
    </row>
    <row r="11" spans="2:14">
      <c r="B11" s="11"/>
      <c r="C11" s="9" t="s">
        <v>325</v>
      </c>
      <c r="D11" s="9" t="s">
        <v>327</v>
      </c>
      <c r="E11" s="11" t="s">
        <v>328</v>
      </c>
      <c r="F11" s="17"/>
      <c r="G11" s="17" t="s">
        <v>634</v>
      </c>
      <c r="H11" s="14"/>
    </row>
    <row r="12" spans="2:14">
      <c r="B12" s="11"/>
      <c r="C12" s="9" t="s">
        <v>326</v>
      </c>
      <c r="D12" s="9" t="s">
        <v>74</v>
      </c>
      <c r="E12" s="11" t="s">
        <v>76</v>
      </c>
      <c r="F12" s="17"/>
      <c r="G12" s="17" t="s">
        <v>635</v>
      </c>
      <c r="H12" s="14"/>
    </row>
    <row r="14" spans="2:14">
      <c r="B14" s="4" t="s">
        <v>32</v>
      </c>
    </row>
    <row r="15" spans="2:14">
      <c r="B15" s="124" t="s">
        <v>32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</row>
    <row r="16" spans="2:14" ht="24">
      <c r="B16" s="7" t="s">
        <v>33</v>
      </c>
      <c r="C16" s="7" t="s">
        <v>34</v>
      </c>
      <c r="D16" s="7" t="s">
        <v>35</v>
      </c>
      <c r="E16" s="7" t="s">
        <v>36</v>
      </c>
      <c r="F16" s="12" t="s">
        <v>37</v>
      </c>
      <c r="G16" s="12" t="s">
        <v>38</v>
      </c>
      <c r="H16" s="7" t="s">
        <v>39</v>
      </c>
      <c r="I16" s="7" t="s">
        <v>14</v>
      </c>
      <c r="J16" s="7" t="s">
        <v>40</v>
      </c>
      <c r="K16" s="7" t="s">
        <v>41</v>
      </c>
      <c r="L16" s="7" t="s">
        <v>42</v>
      </c>
    </row>
    <row r="17" spans="2:12" s="1" customFormat="1">
      <c r="B17" s="22" t="s">
        <v>77</v>
      </c>
      <c r="C17" s="22" t="s">
        <v>46</v>
      </c>
      <c r="D17" s="9" t="s">
        <v>329</v>
      </c>
      <c r="E17" s="100" t="s">
        <v>128</v>
      </c>
      <c r="F17" s="17"/>
      <c r="G17" s="17" t="s">
        <v>129</v>
      </c>
      <c r="H17" s="98"/>
      <c r="I17" s="19"/>
      <c r="J17" s="19" t="s">
        <v>259</v>
      </c>
      <c r="K17" s="19" t="s">
        <v>132</v>
      </c>
      <c r="L17" s="19" t="s">
        <v>132</v>
      </c>
    </row>
    <row r="18" spans="2:12" s="1" customFormat="1">
      <c r="B18" s="22" t="s">
        <v>81</v>
      </c>
      <c r="C18" s="22" t="s">
        <v>43</v>
      </c>
      <c r="D18" s="9" t="s">
        <v>330</v>
      </c>
      <c r="E18" s="100" t="s">
        <v>128</v>
      </c>
      <c r="F18" s="17"/>
      <c r="G18" s="17" t="s">
        <v>129</v>
      </c>
      <c r="H18" s="98"/>
      <c r="I18" s="19"/>
      <c r="J18" s="19" t="s">
        <v>259</v>
      </c>
      <c r="K18" s="19" t="s">
        <v>132</v>
      </c>
      <c r="L18" s="19" t="s">
        <v>132</v>
      </c>
    </row>
    <row r="19" spans="2:12" s="1" customFormat="1">
      <c r="B19" s="22" t="s">
        <v>58</v>
      </c>
      <c r="C19" s="22" t="s">
        <v>43</v>
      </c>
      <c r="D19" s="9" t="s">
        <v>59</v>
      </c>
      <c r="E19" s="100" t="s">
        <v>128</v>
      </c>
      <c r="F19" s="17"/>
      <c r="G19" s="17" t="s">
        <v>191</v>
      </c>
      <c r="H19" s="98"/>
      <c r="I19" s="19"/>
      <c r="J19" s="19" t="s">
        <v>259</v>
      </c>
      <c r="K19" s="19" t="s">
        <v>132</v>
      </c>
      <c r="L19" s="19" t="s">
        <v>132</v>
      </c>
    </row>
    <row r="20" spans="2:12" s="1" customFormat="1">
      <c r="B20" s="22" t="s">
        <v>82</v>
      </c>
      <c r="C20" s="22" t="s">
        <v>43</v>
      </c>
      <c r="D20" s="9" t="s">
        <v>283</v>
      </c>
      <c r="E20" s="100" t="s">
        <v>128</v>
      </c>
      <c r="F20" s="17" t="s">
        <v>82</v>
      </c>
      <c r="G20" s="17" t="s">
        <v>129</v>
      </c>
      <c r="H20" s="98"/>
      <c r="I20" s="19"/>
      <c r="J20" s="19" t="s">
        <v>259</v>
      </c>
      <c r="K20" s="19" t="s">
        <v>132</v>
      </c>
      <c r="L20" s="19" t="s">
        <v>132</v>
      </c>
    </row>
    <row r="21" spans="2:12" s="1" customFormat="1">
      <c r="B21" s="22" t="s">
        <v>83</v>
      </c>
      <c r="C21" s="22" t="s">
        <v>43</v>
      </c>
      <c r="D21" s="9" t="s">
        <v>284</v>
      </c>
      <c r="E21" s="100" t="s">
        <v>128</v>
      </c>
      <c r="F21" s="17" t="s">
        <v>83</v>
      </c>
      <c r="G21" s="17" t="s">
        <v>129</v>
      </c>
      <c r="H21" s="98"/>
      <c r="I21" s="19"/>
      <c r="J21" s="19" t="s">
        <v>259</v>
      </c>
      <c r="K21" s="19" t="s">
        <v>132</v>
      </c>
      <c r="L21" s="19" t="s">
        <v>132</v>
      </c>
    </row>
    <row r="22" spans="2:12" s="1" customFormat="1">
      <c r="B22" s="22" t="s">
        <v>331</v>
      </c>
      <c r="C22" s="22" t="s">
        <v>43</v>
      </c>
      <c r="D22" s="9" t="s">
        <v>332</v>
      </c>
      <c r="E22" s="100" t="s">
        <v>128</v>
      </c>
      <c r="F22" s="17" t="s">
        <v>331</v>
      </c>
      <c r="G22" s="17" t="s">
        <v>129</v>
      </c>
      <c r="H22" s="98"/>
      <c r="I22" s="19"/>
      <c r="J22" s="19" t="s">
        <v>259</v>
      </c>
      <c r="K22" s="19" t="s">
        <v>132</v>
      </c>
      <c r="L22" s="19" t="s">
        <v>132</v>
      </c>
    </row>
    <row r="23" spans="2:12" s="1" customFormat="1">
      <c r="B23" s="22" t="s">
        <v>333</v>
      </c>
      <c r="C23" s="22" t="s">
        <v>46</v>
      </c>
      <c r="D23" s="9" t="s">
        <v>334</v>
      </c>
      <c r="E23" s="100" t="s">
        <v>128</v>
      </c>
      <c r="F23" s="17" t="s">
        <v>333</v>
      </c>
      <c r="G23" s="17" t="s">
        <v>129</v>
      </c>
      <c r="H23" s="98"/>
      <c r="I23" s="19"/>
      <c r="J23" s="19" t="s">
        <v>259</v>
      </c>
      <c r="K23" s="19" t="s">
        <v>132</v>
      </c>
      <c r="L23" s="19" t="s">
        <v>132</v>
      </c>
    </row>
    <row r="24" spans="2:12" s="1" customFormat="1">
      <c r="B24" s="22" t="s">
        <v>335</v>
      </c>
      <c r="C24" s="22" t="s">
        <v>43</v>
      </c>
      <c r="D24" s="9" t="s">
        <v>336</v>
      </c>
      <c r="E24" s="100" t="s">
        <v>128</v>
      </c>
      <c r="F24" s="17" t="s">
        <v>335</v>
      </c>
      <c r="G24" s="17" t="s">
        <v>129</v>
      </c>
      <c r="H24" s="98"/>
      <c r="I24" s="19"/>
      <c r="J24" s="19" t="s">
        <v>259</v>
      </c>
      <c r="K24" s="19" t="s">
        <v>132</v>
      </c>
      <c r="L24" s="19" t="s">
        <v>132</v>
      </c>
    </row>
    <row r="25" spans="2:12" s="1" customFormat="1">
      <c r="B25" s="22" t="s">
        <v>337</v>
      </c>
      <c r="C25" s="22" t="s">
        <v>46</v>
      </c>
      <c r="D25" s="9" t="s">
        <v>338</v>
      </c>
      <c r="E25" s="100" t="s">
        <v>128</v>
      </c>
      <c r="F25" s="17" t="s">
        <v>337</v>
      </c>
      <c r="G25" s="17" t="s">
        <v>129</v>
      </c>
      <c r="H25" s="98"/>
      <c r="I25" s="19"/>
      <c r="J25" s="19" t="s">
        <v>259</v>
      </c>
      <c r="K25" s="19" t="s">
        <v>132</v>
      </c>
      <c r="L25" s="19" t="s">
        <v>132</v>
      </c>
    </row>
    <row r="26" spans="2:12" s="1" customFormat="1">
      <c r="B26" s="22" t="s">
        <v>84</v>
      </c>
      <c r="C26" s="22" t="s">
        <v>43</v>
      </c>
      <c r="D26" s="9" t="s">
        <v>106</v>
      </c>
      <c r="E26" s="100" t="s">
        <v>128</v>
      </c>
      <c r="F26" s="17" t="s">
        <v>84</v>
      </c>
      <c r="G26" s="17" t="s">
        <v>129</v>
      </c>
      <c r="H26" s="98"/>
      <c r="I26" s="19"/>
      <c r="J26" s="19" t="s">
        <v>259</v>
      </c>
      <c r="K26" s="19" t="s">
        <v>132</v>
      </c>
      <c r="L26" s="19" t="s">
        <v>132</v>
      </c>
    </row>
    <row r="27" spans="2:12" s="1" customFormat="1" ht="26.4">
      <c r="B27" s="22" t="s">
        <v>908</v>
      </c>
      <c r="C27" s="22" t="s">
        <v>43</v>
      </c>
      <c r="D27" s="9" t="s">
        <v>340</v>
      </c>
      <c r="E27" s="100" t="s">
        <v>128</v>
      </c>
      <c r="F27" s="17" t="s">
        <v>339</v>
      </c>
      <c r="G27" s="17" t="s">
        <v>129</v>
      </c>
      <c r="H27" s="98"/>
      <c r="I27" s="64" t="s">
        <v>511</v>
      </c>
      <c r="J27" s="19" t="s">
        <v>259</v>
      </c>
      <c r="K27" s="19" t="s">
        <v>132</v>
      </c>
      <c r="L27" s="19" t="s">
        <v>132</v>
      </c>
    </row>
    <row r="28" spans="2:12" s="1" customFormat="1">
      <c r="B28" s="22" t="s">
        <v>78</v>
      </c>
      <c r="C28" s="22" t="s">
        <v>43</v>
      </c>
      <c r="D28" s="9" t="s">
        <v>103</v>
      </c>
      <c r="E28" s="100" t="s">
        <v>128</v>
      </c>
      <c r="F28" s="17" t="s">
        <v>78</v>
      </c>
      <c r="G28" s="17" t="s">
        <v>129</v>
      </c>
      <c r="H28" s="98"/>
      <c r="I28" s="20" t="s">
        <v>512</v>
      </c>
      <c r="J28" s="19" t="s">
        <v>259</v>
      </c>
      <c r="K28" s="19" t="s">
        <v>132</v>
      </c>
      <c r="L28" s="19" t="s">
        <v>132</v>
      </c>
    </row>
    <row r="29" spans="2:12" s="1" customFormat="1">
      <c r="B29" s="22" t="s">
        <v>79</v>
      </c>
      <c r="C29" s="22" t="s">
        <v>43</v>
      </c>
      <c r="D29" s="9" t="s">
        <v>104</v>
      </c>
      <c r="E29" s="100" t="s">
        <v>128</v>
      </c>
      <c r="F29" s="17" t="s">
        <v>79</v>
      </c>
      <c r="G29" s="17" t="s">
        <v>129</v>
      </c>
      <c r="H29" s="98"/>
      <c r="I29" s="19"/>
      <c r="J29" s="19" t="s">
        <v>259</v>
      </c>
      <c r="K29" s="19" t="s">
        <v>132</v>
      </c>
      <c r="L29" s="19" t="s">
        <v>132</v>
      </c>
    </row>
    <row r="30" spans="2:12" s="1" customFormat="1">
      <c r="B30" s="22" t="s">
        <v>80</v>
      </c>
      <c r="C30" s="22" t="s">
        <v>46</v>
      </c>
      <c r="D30" s="9" t="s">
        <v>341</v>
      </c>
      <c r="E30" s="100" t="s">
        <v>128</v>
      </c>
      <c r="F30" s="17" t="s">
        <v>80</v>
      </c>
      <c r="G30" s="17" t="s">
        <v>129</v>
      </c>
      <c r="H30" s="98"/>
      <c r="I30" s="19"/>
      <c r="J30" s="19" t="s">
        <v>259</v>
      </c>
      <c r="K30" s="19" t="s">
        <v>132</v>
      </c>
      <c r="L30" s="19" t="s">
        <v>132</v>
      </c>
    </row>
    <row r="31" spans="2:12" s="1" customFormat="1">
      <c r="B31" s="22" t="s">
        <v>342</v>
      </c>
      <c r="C31" s="22" t="s">
        <v>46</v>
      </c>
      <c r="D31" s="9" t="s">
        <v>343</v>
      </c>
      <c r="E31" s="100" t="s">
        <v>128</v>
      </c>
      <c r="F31" s="17" t="s">
        <v>342</v>
      </c>
      <c r="G31" s="17" t="s">
        <v>129</v>
      </c>
      <c r="H31" s="98"/>
      <c r="I31" s="19"/>
      <c r="J31" s="19" t="s">
        <v>259</v>
      </c>
      <c r="K31" s="19" t="s">
        <v>132</v>
      </c>
      <c r="L31" s="19" t="s">
        <v>132</v>
      </c>
    </row>
    <row r="32" spans="2:12" s="1" customFormat="1">
      <c r="B32" s="22" t="s">
        <v>904</v>
      </c>
      <c r="C32" s="22" t="s">
        <v>43</v>
      </c>
      <c r="D32" s="9" t="s">
        <v>107</v>
      </c>
      <c r="E32" s="100" t="s">
        <v>128</v>
      </c>
      <c r="F32" s="17"/>
      <c r="G32" s="17" t="s">
        <v>129</v>
      </c>
      <c r="H32" s="98"/>
      <c r="I32" s="19"/>
      <c r="J32" s="19" t="s">
        <v>259</v>
      </c>
      <c r="K32" s="19" t="s">
        <v>132</v>
      </c>
      <c r="L32" s="19" t="s">
        <v>132</v>
      </c>
    </row>
    <row r="33" spans="2:12" s="1" customFormat="1">
      <c r="B33" s="22" t="s">
        <v>1302</v>
      </c>
      <c r="C33" s="22" t="s">
        <v>43</v>
      </c>
      <c r="D33" s="9" t="s">
        <v>345</v>
      </c>
      <c r="E33" s="100" t="s">
        <v>128</v>
      </c>
      <c r="F33" s="17" t="s">
        <v>344</v>
      </c>
      <c r="G33" s="17" t="s">
        <v>129</v>
      </c>
      <c r="H33" s="98"/>
      <c r="I33" s="19"/>
      <c r="J33" s="19" t="s">
        <v>259</v>
      </c>
      <c r="K33" s="19" t="s">
        <v>132</v>
      </c>
      <c r="L33" s="19" t="s">
        <v>132</v>
      </c>
    </row>
    <row r="34" spans="2:12" s="1" customFormat="1">
      <c r="B34" s="22" t="s">
        <v>1303</v>
      </c>
      <c r="C34" s="22" t="s">
        <v>43</v>
      </c>
      <c r="D34" s="9" t="s">
        <v>347</v>
      </c>
      <c r="E34" s="100" t="s">
        <v>128</v>
      </c>
      <c r="F34" s="17" t="s">
        <v>346</v>
      </c>
      <c r="G34" s="17" t="s">
        <v>129</v>
      </c>
      <c r="H34" s="98"/>
      <c r="I34" s="19"/>
      <c r="J34" s="19" t="s">
        <v>259</v>
      </c>
      <c r="K34" s="19" t="s">
        <v>132</v>
      </c>
      <c r="L34" s="19" t="s">
        <v>132</v>
      </c>
    </row>
    <row r="35" spans="2:12" s="1" customFormat="1">
      <c r="B35" s="22" t="s">
        <v>254</v>
      </c>
      <c r="C35" s="22" t="s">
        <v>45</v>
      </c>
      <c r="D35" s="9" t="s">
        <v>348</v>
      </c>
      <c r="E35" s="100" t="s">
        <v>128</v>
      </c>
      <c r="F35" s="17" t="s">
        <v>254</v>
      </c>
      <c r="G35" s="17" t="s">
        <v>129</v>
      </c>
      <c r="H35" s="98"/>
      <c r="I35" s="19"/>
      <c r="J35" s="19" t="s">
        <v>259</v>
      </c>
      <c r="K35" s="19" t="s">
        <v>132</v>
      </c>
      <c r="L35" s="19" t="s">
        <v>132</v>
      </c>
    </row>
    <row r="36" spans="2:12" s="1" customFormat="1">
      <c r="B36" s="22" t="s">
        <v>349</v>
      </c>
      <c r="C36" s="22" t="s">
        <v>45</v>
      </c>
      <c r="D36" s="9" t="s">
        <v>350</v>
      </c>
      <c r="E36" s="100" t="s">
        <v>128</v>
      </c>
      <c r="F36" s="17" t="s">
        <v>349</v>
      </c>
      <c r="G36" s="17" t="s">
        <v>129</v>
      </c>
      <c r="H36" s="98"/>
      <c r="I36" s="19"/>
      <c r="J36" s="19" t="s">
        <v>259</v>
      </c>
      <c r="K36" s="19" t="s">
        <v>132</v>
      </c>
      <c r="L36" s="19" t="s">
        <v>132</v>
      </c>
    </row>
    <row r="37" spans="2:12" s="1" customFormat="1">
      <c r="B37" s="22" t="s">
        <v>351</v>
      </c>
      <c r="C37" s="22" t="s">
        <v>45</v>
      </c>
      <c r="D37" s="9" t="s">
        <v>352</v>
      </c>
      <c r="E37" s="100" t="s">
        <v>128</v>
      </c>
      <c r="F37" s="17" t="s">
        <v>351</v>
      </c>
      <c r="G37" s="17" t="s">
        <v>129</v>
      </c>
      <c r="H37" s="98"/>
      <c r="I37" s="19"/>
      <c r="J37" s="19" t="s">
        <v>259</v>
      </c>
      <c r="K37" s="19" t="s">
        <v>132</v>
      </c>
      <c r="L37" s="19" t="s">
        <v>132</v>
      </c>
    </row>
    <row r="38" spans="2:12" s="1" customFormat="1">
      <c r="B38" s="22" t="s">
        <v>353</v>
      </c>
      <c r="C38" s="22" t="s">
        <v>45</v>
      </c>
      <c r="D38" s="9" t="s">
        <v>161</v>
      </c>
      <c r="E38" s="100" t="s">
        <v>128</v>
      </c>
      <c r="F38" s="17" t="s">
        <v>353</v>
      </c>
      <c r="G38" s="17" t="s">
        <v>129</v>
      </c>
      <c r="H38" s="98"/>
      <c r="I38" s="19"/>
      <c r="J38" s="19" t="s">
        <v>259</v>
      </c>
      <c r="K38" s="19" t="s">
        <v>132</v>
      </c>
      <c r="L38" s="19" t="s">
        <v>132</v>
      </c>
    </row>
    <row r="39" spans="2:12" s="1" customFormat="1">
      <c r="B39" s="22" t="s">
        <v>354</v>
      </c>
      <c r="C39" s="22" t="s">
        <v>45</v>
      </c>
      <c r="D39" s="9" t="s">
        <v>162</v>
      </c>
      <c r="E39" s="100" t="s">
        <v>128</v>
      </c>
      <c r="F39" s="17" t="s">
        <v>354</v>
      </c>
      <c r="G39" s="17" t="s">
        <v>129</v>
      </c>
      <c r="H39" s="98"/>
      <c r="I39" s="19"/>
      <c r="J39" s="19" t="s">
        <v>259</v>
      </c>
      <c r="K39" s="19" t="s">
        <v>132</v>
      </c>
      <c r="L39" s="19" t="s">
        <v>132</v>
      </c>
    </row>
    <row r="40" spans="2:12" s="1" customFormat="1">
      <c r="B40" s="22" t="s">
        <v>355</v>
      </c>
      <c r="C40" s="22" t="s">
        <v>43</v>
      </c>
      <c r="D40" s="9" t="s">
        <v>356</v>
      </c>
      <c r="E40" s="100" t="s">
        <v>128</v>
      </c>
      <c r="F40" s="17" t="s">
        <v>355</v>
      </c>
      <c r="G40" s="17" t="s">
        <v>129</v>
      </c>
      <c r="H40" s="98"/>
      <c r="I40" s="19"/>
      <c r="J40" s="19" t="s">
        <v>259</v>
      </c>
      <c r="K40" s="19" t="s">
        <v>132</v>
      </c>
      <c r="L40" s="19" t="s">
        <v>132</v>
      </c>
    </row>
    <row r="41" spans="2:12" s="1" customFormat="1">
      <c r="B41" s="22" t="s">
        <v>357</v>
      </c>
      <c r="C41" s="22" t="s">
        <v>46</v>
      </c>
      <c r="D41" s="9" t="s">
        <v>358</v>
      </c>
      <c r="E41" s="100" t="s">
        <v>128</v>
      </c>
      <c r="F41" s="17" t="s">
        <v>357</v>
      </c>
      <c r="G41" s="17" t="s">
        <v>129</v>
      </c>
      <c r="H41" s="98"/>
      <c r="I41" s="19"/>
      <c r="J41" s="19" t="s">
        <v>259</v>
      </c>
      <c r="K41" s="19" t="s">
        <v>132</v>
      </c>
      <c r="L41" s="19" t="s">
        <v>132</v>
      </c>
    </row>
    <row r="42" spans="2:12" s="1" customFormat="1">
      <c r="B42" s="22" t="s">
        <v>86</v>
      </c>
      <c r="C42" s="22" t="s">
        <v>43</v>
      </c>
      <c r="D42" s="9" t="s">
        <v>108</v>
      </c>
      <c r="E42" s="100" t="s">
        <v>128</v>
      </c>
      <c r="F42" s="17" t="s">
        <v>86</v>
      </c>
      <c r="G42" s="17" t="s">
        <v>129</v>
      </c>
      <c r="H42" s="98"/>
      <c r="I42" s="19"/>
      <c r="J42" s="19" t="s">
        <v>259</v>
      </c>
      <c r="K42" s="19" t="s">
        <v>132</v>
      </c>
      <c r="L42" s="19" t="s">
        <v>132</v>
      </c>
    </row>
    <row r="43" spans="2:12" s="1" customFormat="1">
      <c r="B43" s="22" t="s">
        <v>359</v>
      </c>
      <c r="C43" s="22" t="s">
        <v>46</v>
      </c>
      <c r="D43" s="9" t="s">
        <v>360</v>
      </c>
      <c r="E43" s="100" t="s">
        <v>128</v>
      </c>
      <c r="F43" s="17" t="s">
        <v>359</v>
      </c>
      <c r="G43" s="17" t="s">
        <v>129</v>
      </c>
      <c r="H43" s="98"/>
      <c r="I43" s="19"/>
      <c r="J43" s="19" t="s">
        <v>259</v>
      </c>
      <c r="K43" s="19" t="s">
        <v>132</v>
      </c>
      <c r="L43" s="19" t="s">
        <v>132</v>
      </c>
    </row>
    <row r="44" spans="2:12" s="1" customFormat="1">
      <c r="B44" s="22" t="s">
        <v>361</v>
      </c>
      <c r="C44" s="22" t="s">
        <v>46</v>
      </c>
      <c r="D44" s="9" t="s">
        <v>362</v>
      </c>
      <c r="E44" s="100" t="s">
        <v>128</v>
      </c>
      <c r="F44" s="17" t="s">
        <v>361</v>
      </c>
      <c r="G44" s="17" t="s">
        <v>129</v>
      </c>
      <c r="H44" s="98"/>
      <c r="I44" s="19"/>
      <c r="J44" s="19" t="s">
        <v>259</v>
      </c>
      <c r="K44" s="19" t="s">
        <v>132</v>
      </c>
      <c r="L44" s="19" t="s">
        <v>132</v>
      </c>
    </row>
    <row r="45" spans="2:12" s="1" customFormat="1">
      <c r="B45" s="22" t="s">
        <v>87</v>
      </c>
      <c r="C45" s="22" t="s">
        <v>43</v>
      </c>
      <c r="D45" s="9" t="s">
        <v>109</v>
      </c>
      <c r="E45" s="100" t="s">
        <v>128</v>
      </c>
      <c r="F45" s="17" t="s">
        <v>87</v>
      </c>
      <c r="G45" s="17" t="s">
        <v>129</v>
      </c>
      <c r="H45" s="98"/>
      <c r="I45" s="19"/>
      <c r="J45" s="19" t="s">
        <v>259</v>
      </c>
      <c r="K45" s="19" t="s">
        <v>132</v>
      </c>
      <c r="L45" s="19" t="s">
        <v>132</v>
      </c>
    </row>
    <row r="46" spans="2:12" s="1" customFormat="1">
      <c r="B46" s="22" t="s">
        <v>117</v>
      </c>
      <c r="C46" s="22" t="s">
        <v>46</v>
      </c>
      <c r="D46" s="9" t="s">
        <v>285</v>
      </c>
      <c r="E46" s="100" t="s">
        <v>128</v>
      </c>
      <c r="F46" s="17" t="s">
        <v>117</v>
      </c>
      <c r="G46" s="17" t="s">
        <v>129</v>
      </c>
      <c r="H46" s="98"/>
      <c r="I46" s="19"/>
      <c r="J46" s="19" t="s">
        <v>259</v>
      </c>
      <c r="K46" s="19" t="s">
        <v>132</v>
      </c>
      <c r="L46" s="19" t="s">
        <v>132</v>
      </c>
    </row>
    <row r="47" spans="2:12" s="1" customFormat="1">
      <c r="B47" s="22" t="s">
        <v>363</v>
      </c>
      <c r="C47" s="22" t="s">
        <v>45</v>
      </c>
      <c r="D47" s="9" t="s">
        <v>364</v>
      </c>
      <c r="E47" s="100" t="s">
        <v>128</v>
      </c>
      <c r="F47" s="17" t="s">
        <v>363</v>
      </c>
      <c r="G47" s="17" t="s">
        <v>129</v>
      </c>
      <c r="H47" s="98"/>
      <c r="I47" s="19"/>
      <c r="J47" s="19" t="s">
        <v>259</v>
      </c>
      <c r="K47" s="19" t="s">
        <v>132</v>
      </c>
      <c r="L47" s="19" t="s">
        <v>132</v>
      </c>
    </row>
    <row r="48" spans="2:12" s="1" customFormat="1">
      <c r="B48" s="22" t="s">
        <v>365</v>
      </c>
      <c r="C48" s="22" t="s">
        <v>45</v>
      </c>
      <c r="D48" s="9" t="s">
        <v>366</v>
      </c>
      <c r="E48" s="100" t="s">
        <v>128</v>
      </c>
      <c r="F48" s="17" t="s">
        <v>365</v>
      </c>
      <c r="G48" s="17" t="s">
        <v>129</v>
      </c>
      <c r="H48" s="98"/>
      <c r="I48" s="19"/>
      <c r="J48" s="19" t="s">
        <v>259</v>
      </c>
      <c r="K48" s="19" t="s">
        <v>132</v>
      </c>
      <c r="L48" s="19" t="s">
        <v>132</v>
      </c>
    </row>
    <row r="49" spans="2:12" s="1" customFormat="1">
      <c r="B49" s="22" t="s">
        <v>367</v>
      </c>
      <c r="C49" s="22" t="s">
        <v>45</v>
      </c>
      <c r="D49" s="9" t="s">
        <v>368</v>
      </c>
      <c r="E49" s="100" t="s">
        <v>128</v>
      </c>
      <c r="F49" s="17" t="s">
        <v>367</v>
      </c>
      <c r="G49" s="17" t="s">
        <v>129</v>
      </c>
      <c r="H49" s="98"/>
      <c r="I49" s="19"/>
      <c r="J49" s="19" t="s">
        <v>259</v>
      </c>
      <c r="K49" s="19" t="s">
        <v>132</v>
      </c>
      <c r="L49" s="19" t="s">
        <v>132</v>
      </c>
    </row>
    <row r="50" spans="2:12" s="1" customFormat="1">
      <c r="B50" s="22" t="s">
        <v>369</v>
      </c>
      <c r="C50" s="22" t="s">
        <v>45</v>
      </c>
      <c r="D50" s="9" t="s">
        <v>370</v>
      </c>
      <c r="E50" s="100" t="s">
        <v>128</v>
      </c>
      <c r="F50" s="17" t="s">
        <v>369</v>
      </c>
      <c r="G50" s="17" t="s">
        <v>129</v>
      </c>
      <c r="H50" s="98"/>
      <c r="I50" s="19"/>
      <c r="J50" s="19" t="s">
        <v>259</v>
      </c>
      <c r="K50" s="19" t="s">
        <v>132</v>
      </c>
      <c r="L50" s="19" t="s">
        <v>132</v>
      </c>
    </row>
    <row r="51" spans="2:12" s="1" customFormat="1">
      <c r="B51" s="22" t="s">
        <v>371</v>
      </c>
      <c r="C51" s="22" t="s">
        <v>45</v>
      </c>
      <c r="D51" s="9" t="s">
        <v>372</v>
      </c>
      <c r="E51" s="100" t="s">
        <v>128</v>
      </c>
      <c r="F51" s="17"/>
      <c r="G51" s="17" t="s">
        <v>526</v>
      </c>
      <c r="H51" s="98"/>
      <c r="I51" s="19"/>
      <c r="J51" s="19" t="s">
        <v>259</v>
      </c>
      <c r="K51" s="19" t="s">
        <v>203</v>
      </c>
      <c r="L51" s="19" t="s">
        <v>627</v>
      </c>
    </row>
    <row r="52" spans="2:12" s="1" customFormat="1">
      <c r="B52" s="22" t="s">
        <v>373</v>
      </c>
      <c r="C52" s="22" t="s">
        <v>45</v>
      </c>
      <c r="D52" s="9" t="s">
        <v>374</v>
      </c>
      <c r="E52" s="100" t="s">
        <v>128</v>
      </c>
      <c r="F52" s="17"/>
      <c r="G52" s="17" t="s">
        <v>3258</v>
      </c>
      <c r="H52" s="98"/>
      <c r="I52" s="19"/>
      <c r="J52" s="19" t="s">
        <v>259</v>
      </c>
      <c r="K52" s="19" t="s">
        <v>203</v>
      </c>
      <c r="L52" s="19" t="s">
        <v>627</v>
      </c>
    </row>
    <row r="53" spans="2:12" s="1" customFormat="1">
      <c r="B53" s="22" t="s">
        <v>375</v>
      </c>
      <c r="C53" s="22" t="s">
        <v>45</v>
      </c>
      <c r="D53" s="9" t="s">
        <v>1260</v>
      </c>
      <c r="E53" s="100" t="s">
        <v>128</v>
      </c>
      <c r="F53" s="17" t="s">
        <v>375</v>
      </c>
      <c r="G53" s="17" t="s">
        <v>129</v>
      </c>
      <c r="H53" s="98"/>
      <c r="I53" s="19"/>
      <c r="J53" s="19" t="s">
        <v>259</v>
      </c>
      <c r="K53" s="19" t="s">
        <v>132</v>
      </c>
      <c r="L53" s="19" t="s">
        <v>132</v>
      </c>
    </row>
    <row r="54" spans="2:12" s="1" customFormat="1">
      <c r="B54" s="22" t="s">
        <v>376</v>
      </c>
      <c r="C54" s="22" t="s">
        <v>45</v>
      </c>
      <c r="D54" s="9" t="s">
        <v>1261</v>
      </c>
      <c r="E54" s="100" t="s">
        <v>128</v>
      </c>
      <c r="F54" s="17" t="s">
        <v>376</v>
      </c>
      <c r="G54" s="17" t="s">
        <v>129</v>
      </c>
      <c r="H54" s="98"/>
      <c r="I54" s="19"/>
      <c r="J54" s="19" t="s">
        <v>259</v>
      </c>
      <c r="K54" s="19" t="s">
        <v>132</v>
      </c>
      <c r="L54" s="19" t="s">
        <v>132</v>
      </c>
    </row>
    <row r="55" spans="2:12" s="1" customFormat="1">
      <c r="B55" s="22" t="s">
        <v>377</v>
      </c>
      <c r="C55" s="22" t="s">
        <v>45</v>
      </c>
      <c r="D55" s="9" t="s">
        <v>518</v>
      </c>
      <c r="E55" s="100" t="s">
        <v>128</v>
      </c>
      <c r="F55" s="17" t="s">
        <v>377</v>
      </c>
      <c r="G55" s="17" t="s">
        <v>527</v>
      </c>
      <c r="H55" s="98"/>
      <c r="I55" s="19"/>
      <c r="J55" s="19" t="s">
        <v>259</v>
      </c>
      <c r="K55" s="19" t="s">
        <v>203</v>
      </c>
      <c r="L55" s="19" t="s">
        <v>628</v>
      </c>
    </row>
    <row r="56" spans="2:12" s="1" customFormat="1">
      <c r="B56" s="22" t="s">
        <v>378</v>
      </c>
      <c r="C56" s="22" t="s">
        <v>45</v>
      </c>
      <c r="D56" s="9" t="s">
        <v>519</v>
      </c>
      <c r="E56" s="100" t="s">
        <v>128</v>
      </c>
      <c r="F56" s="17" t="s">
        <v>378</v>
      </c>
      <c r="G56" s="17" t="s">
        <v>528</v>
      </c>
      <c r="H56" s="98"/>
      <c r="I56" s="19"/>
      <c r="J56" s="19" t="s">
        <v>259</v>
      </c>
      <c r="K56" s="19" t="s">
        <v>203</v>
      </c>
      <c r="L56" s="19" t="s">
        <v>628</v>
      </c>
    </row>
    <row r="57" spans="2:12" s="1" customFormat="1">
      <c r="B57" s="22" t="s">
        <v>379</v>
      </c>
      <c r="C57" s="22" t="s">
        <v>46</v>
      </c>
      <c r="D57" s="9" t="s">
        <v>380</v>
      </c>
      <c r="E57" s="100" t="s">
        <v>128</v>
      </c>
      <c r="F57" s="17" t="s">
        <v>379</v>
      </c>
      <c r="G57" s="17" t="s">
        <v>129</v>
      </c>
      <c r="H57" s="98"/>
      <c r="I57" s="19"/>
      <c r="J57" s="19" t="s">
        <v>259</v>
      </c>
      <c r="K57" s="19" t="s">
        <v>132</v>
      </c>
      <c r="L57" s="19" t="s">
        <v>132</v>
      </c>
    </row>
    <row r="58" spans="2:12" s="1" customFormat="1">
      <c r="B58" s="22" t="s">
        <v>381</v>
      </c>
      <c r="C58" s="22" t="s">
        <v>46</v>
      </c>
      <c r="D58" s="9" t="s">
        <v>382</v>
      </c>
      <c r="E58" s="100" t="s">
        <v>128</v>
      </c>
      <c r="F58" s="17" t="s">
        <v>381</v>
      </c>
      <c r="G58" s="17" t="s">
        <v>129</v>
      </c>
      <c r="H58" s="98"/>
      <c r="I58" s="19"/>
      <c r="J58" s="19" t="s">
        <v>259</v>
      </c>
      <c r="K58" s="19" t="s">
        <v>132</v>
      </c>
      <c r="L58" s="19" t="s">
        <v>132</v>
      </c>
    </row>
    <row r="59" spans="2:12" s="1" customFormat="1">
      <c r="B59" s="22" t="s">
        <v>383</v>
      </c>
      <c r="C59" s="22" t="s">
        <v>46</v>
      </c>
      <c r="D59" s="9" t="s">
        <v>384</v>
      </c>
      <c r="E59" s="100" t="s">
        <v>128</v>
      </c>
      <c r="F59" s="17" t="s">
        <v>383</v>
      </c>
      <c r="G59" s="17" t="s">
        <v>129</v>
      </c>
      <c r="H59" s="98"/>
      <c r="I59" s="19"/>
      <c r="J59" s="19" t="s">
        <v>259</v>
      </c>
      <c r="K59" s="19" t="s">
        <v>132</v>
      </c>
      <c r="L59" s="19" t="s">
        <v>132</v>
      </c>
    </row>
    <row r="60" spans="2:12" s="1" customFormat="1">
      <c r="B60" s="22" t="s">
        <v>385</v>
      </c>
      <c r="C60" s="22" t="s">
        <v>46</v>
      </c>
      <c r="D60" s="9" t="s">
        <v>386</v>
      </c>
      <c r="E60" s="100" t="s">
        <v>128</v>
      </c>
      <c r="F60" s="17" t="s">
        <v>385</v>
      </c>
      <c r="G60" s="17" t="s">
        <v>129</v>
      </c>
      <c r="H60" s="98"/>
      <c r="I60" s="19"/>
      <c r="J60" s="19" t="s">
        <v>259</v>
      </c>
      <c r="K60" s="19" t="s">
        <v>132</v>
      </c>
      <c r="L60" s="19" t="s">
        <v>132</v>
      </c>
    </row>
    <row r="61" spans="2:12" s="1" customFormat="1">
      <c r="B61" s="22" t="s">
        <v>88</v>
      </c>
      <c r="C61" s="22" t="s">
        <v>46</v>
      </c>
      <c r="D61" s="9" t="s">
        <v>110</v>
      </c>
      <c r="E61" s="100" t="s">
        <v>128</v>
      </c>
      <c r="F61" s="17" t="s">
        <v>88</v>
      </c>
      <c r="G61" s="17" t="s">
        <v>129</v>
      </c>
      <c r="H61" s="98"/>
      <c r="I61" s="19"/>
      <c r="J61" s="19" t="s">
        <v>259</v>
      </c>
      <c r="K61" s="19" t="s">
        <v>132</v>
      </c>
      <c r="L61" s="19" t="s">
        <v>132</v>
      </c>
    </row>
    <row r="62" spans="2:12" s="1" customFormat="1">
      <c r="B62" s="22" t="s">
        <v>89</v>
      </c>
      <c r="C62" s="22" t="s">
        <v>46</v>
      </c>
      <c r="D62" s="9" t="s">
        <v>111</v>
      </c>
      <c r="E62" s="100" t="s">
        <v>128</v>
      </c>
      <c r="F62" s="17" t="s">
        <v>89</v>
      </c>
      <c r="G62" s="17" t="s">
        <v>129</v>
      </c>
      <c r="H62" s="98"/>
      <c r="I62" s="19"/>
      <c r="J62" s="19" t="s">
        <v>259</v>
      </c>
      <c r="K62" s="19" t="s">
        <v>132</v>
      </c>
      <c r="L62" s="19" t="s">
        <v>132</v>
      </c>
    </row>
    <row r="63" spans="2:12" s="1" customFormat="1">
      <c r="B63" s="22" t="s">
        <v>264</v>
      </c>
      <c r="C63" s="22" t="s">
        <v>45</v>
      </c>
      <c r="D63" s="13" t="s">
        <v>264</v>
      </c>
      <c r="E63" s="100" t="s">
        <v>128</v>
      </c>
      <c r="F63" s="17" t="s">
        <v>264</v>
      </c>
      <c r="G63" s="17" t="s">
        <v>129</v>
      </c>
      <c r="H63" s="98"/>
      <c r="I63" s="19"/>
      <c r="J63" s="19" t="s">
        <v>259</v>
      </c>
      <c r="K63" s="19" t="s">
        <v>132</v>
      </c>
      <c r="L63" s="19" t="s">
        <v>132</v>
      </c>
    </row>
    <row r="64" spans="2:12" s="1" customFormat="1">
      <c r="B64" s="22" t="s">
        <v>265</v>
      </c>
      <c r="C64" s="22" t="s">
        <v>45</v>
      </c>
      <c r="D64" s="13" t="s">
        <v>265</v>
      </c>
      <c r="E64" s="100" t="s">
        <v>128</v>
      </c>
      <c r="F64" s="17" t="s">
        <v>265</v>
      </c>
      <c r="G64" s="17" t="s">
        <v>129</v>
      </c>
      <c r="H64" s="98"/>
      <c r="I64" s="19"/>
      <c r="J64" s="19" t="s">
        <v>259</v>
      </c>
      <c r="K64" s="19" t="s">
        <v>132</v>
      </c>
      <c r="L64" s="19" t="s">
        <v>132</v>
      </c>
    </row>
    <row r="65" spans="2:12" s="1" customFormat="1">
      <c r="B65" s="22" t="s">
        <v>142</v>
      </c>
      <c r="C65" s="22" t="s">
        <v>46</v>
      </c>
      <c r="D65" s="9" t="s">
        <v>509</v>
      </c>
      <c r="E65" s="100" t="s">
        <v>128</v>
      </c>
      <c r="F65" s="17" t="s">
        <v>387</v>
      </c>
      <c r="G65" s="17" t="s">
        <v>129</v>
      </c>
      <c r="H65" s="98"/>
      <c r="I65" s="19"/>
      <c r="J65" s="19" t="s">
        <v>259</v>
      </c>
      <c r="K65" s="19" t="s">
        <v>132</v>
      </c>
      <c r="L65" s="19" t="s">
        <v>132</v>
      </c>
    </row>
    <row r="66" spans="2:12" s="1" customFormat="1">
      <c r="B66" s="22" t="s">
        <v>388</v>
      </c>
      <c r="C66" s="22" t="s">
        <v>46</v>
      </c>
      <c r="D66" s="9" t="s">
        <v>389</v>
      </c>
      <c r="E66" s="100" t="s">
        <v>128</v>
      </c>
      <c r="F66" s="17" t="s">
        <v>388</v>
      </c>
      <c r="G66" s="17" t="s">
        <v>129</v>
      </c>
      <c r="H66" s="98"/>
      <c r="I66" s="19"/>
      <c r="J66" s="19" t="s">
        <v>259</v>
      </c>
      <c r="K66" s="19" t="s">
        <v>132</v>
      </c>
      <c r="L66" s="19" t="s">
        <v>132</v>
      </c>
    </row>
    <row r="67" spans="2:12" s="1" customFormat="1">
      <c r="B67" s="22" t="s">
        <v>390</v>
      </c>
      <c r="C67" s="22" t="s">
        <v>46</v>
      </c>
      <c r="D67" s="9" t="s">
        <v>391</v>
      </c>
      <c r="E67" s="100" t="s">
        <v>128</v>
      </c>
      <c r="F67" s="17" t="s">
        <v>390</v>
      </c>
      <c r="G67" s="17" t="s">
        <v>129</v>
      </c>
      <c r="H67" s="98"/>
      <c r="I67" s="19"/>
      <c r="J67" s="19" t="s">
        <v>259</v>
      </c>
      <c r="K67" s="19" t="s">
        <v>132</v>
      </c>
      <c r="L67" s="19" t="s">
        <v>132</v>
      </c>
    </row>
    <row r="68" spans="2:12" s="1" customFormat="1">
      <c r="B68" s="22" t="s">
        <v>392</v>
      </c>
      <c r="C68" s="22" t="s">
        <v>46</v>
      </c>
      <c r="D68" s="9" t="s">
        <v>393</v>
      </c>
      <c r="E68" s="100" t="s">
        <v>128</v>
      </c>
      <c r="F68" s="17" t="s">
        <v>392</v>
      </c>
      <c r="G68" s="17" t="s">
        <v>129</v>
      </c>
      <c r="H68" s="98"/>
      <c r="I68" s="19"/>
      <c r="J68" s="19" t="s">
        <v>259</v>
      </c>
      <c r="K68" s="19" t="s">
        <v>132</v>
      </c>
      <c r="L68" s="19" t="s">
        <v>132</v>
      </c>
    </row>
    <row r="69" spans="2:12" s="1" customFormat="1">
      <c r="B69" s="22" t="s">
        <v>394</v>
      </c>
      <c r="C69" s="22" t="s">
        <v>46</v>
      </c>
      <c r="D69" s="9" t="s">
        <v>395</v>
      </c>
      <c r="E69" s="100" t="s">
        <v>128</v>
      </c>
      <c r="F69" s="17" t="s">
        <v>394</v>
      </c>
      <c r="G69" s="17" t="s">
        <v>129</v>
      </c>
      <c r="H69" s="98"/>
      <c r="I69" s="19"/>
      <c r="J69" s="19" t="s">
        <v>259</v>
      </c>
      <c r="K69" s="19" t="s">
        <v>132</v>
      </c>
      <c r="L69" s="19" t="s">
        <v>132</v>
      </c>
    </row>
    <row r="70" spans="2:12" s="1" customFormat="1">
      <c r="B70" s="22" t="s">
        <v>396</v>
      </c>
      <c r="C70" s="22" t="s">
        <v>46</v>
      </c>
      <c r="D70" s="9" t="s">
        <v>397</v>
      </c>
      <c r="E70" s="100" t="s">
        <v>128</v>
      </c>
      <c r="F70" s="17" t="s">
        <v>396</v>
      </c>
      <c r="G70" s="17" t="s">
        <v>129</v>
      </c>
      <c r="H70" s="98"/>
      <c r="I70" s="19"/>
      <c r="J70" s="19" t="s">
        <v>259</v>
      </c>
      <c r="K70" s="19" t="s">
        <v>132</v>
      </c>
      <c r="L70" s="19" t="s">
        <v>132</v>
      </c>
    </row>
    <row r="71" spans="2:12" s="1" customFormat="1">
      <c r="B71" s="22" t="s">
        <v>398</v>
      </c>
      <c r="C71" s="22" t="s">
        <v>46</v>
      </c>
      <c r="D71" s="9" t="s">
        <v>399</v>
      </c>
      <c r="E71" s="100" t="s">
        <v>128</v>
      </c>
      <c r="F71" s="17" t="s">
        <v>398</v>
      </c>
      <c r="G71" s="17" t="s">
        <v>129</v>
      </c>
      <c r="H71" s="98"/>
      <c r="I71" s="19"/>
      <c r="J71" s="19" t="s">
        <v>259</v>
      </c>
      <c r="K71" s="19" t="s">
        <v>132</v>
      </c>
      <c r="L71" s="19" t="s">
        <v>132</v>
      </c>
    </row>
    <row r="72" spans="2:12" s="1" customFormat="1">
      <c r="B72" s="22" t="s">
        <v>400</v>
      </c>
      <c r="C72" s="22" t="s">
        <v>46</v>
      </c>
      <c r="D72" s="9" t="s">
        <v>401</v>
      </c>
      <c r="E72" s="100" t="s">
        <v>128</v>
      </c>
      <c r="F72" s="17" t="s">
        <v>400</v>
      </c>
      <c r="G72" s="17" t="s">
        <v>129</v>
      </c>
      <c r="H72" s="98"/>
      <c r="I72" s="19"/>
      <c r="J72" s="19" t="s">
        <v>259</v>
      </c>
      <c r="K72" s="19" t="s">
        <v>132</v>
      </c>
      <c r="L72" s="19" t="s">
        <v>132</v>
      </c>
    </row>
    <row r="73" spans="2:12" s="1" customFormat="1">
      <c r="B73" s="22" t="s">
        <v>402</v>
      </c>
      <c r="C73" s="22" t="s">
        <v>46</v>
      </c>
      <c r="D73" s="9" t="s">
        <v>403</v>
      </c>
      <c r="E73" s="100" t="s">
        <v>128</v>
      </c>
      <c r="F73" s="17" t="s">
        <v>402</v>
      </c>
      <c r="G73" s="17" t="s">
        <v>129</v>
      </c>
      <c r="H73" s="98"/>
      <c r="I73" s="19"/>
      <c r="J73" s="19" t="s">
        <v>259</v>
      </c>
      <c r="K73" s="19" t="s">
        <v>132</v>
      </c>
      <c r="L73" s="19" t="s">
        <v>132</v>
      </c>
    </row>
    <row r="74" spans="2:12" s="1" customFormat="1">
      <c r="B74" s="22" t="s">
        <v>404</v>
      </c>
      <c r="C74" s="22" t="s">
        <v>45</v>
      </c>
      <c r="D74" s="9" t="s">
        <v>167</v>
      </c>
      <c r="E74" s="100" t="s">
        <v>128</v>
      </c>
      <c r="F74" s="17" t="s">
        <v>404</v>
      </c>
      <c r="G74" s="17" t="s">
        <v>129</v>
      </c>
      <c r="H74" s="98"/>
      <c r="I74" s="19"/>
      <c r="J74" s="19" t="s">
        <v>259</v>
      </c>
      <c r="K74" s="19" t="s">
        <v>132</v>
      </c>
      <c r="L74" s="19" t="s">
        <v>132</v>
      </c>
    </row>
    <row r="75" spans="2:12" s="1" customFormat="1">
      <c r="B75" s="22" t="s">
        <v>317</v>
      </c>
      <c r="C75" s="22" t="s">
        <v>45</v>
      </c>
      <c r="D75" s="9" t="s">
        <v>168</v>
      </c>
      <c r="E75" s="100" t="s">
        <v>128</v>
      </c>
      <c r="F75" s="17" t="s">
        <v>405</v>
      </c>
      <c r="G75" s="17" t="s">
        <v>129</v>
      </c>
      <c r="H75" s="98"/>
      <c r="I75" s="19"/>
      <c r="J75" s="19" t="s">
        <v>259</v>
      </c>
      <c r="K75" s="19" t="s">
        <v>132</v>
      </c>
      <c r="L75" s="19" t="s">
        <v>132</v>
      </c>
    </row>
    <row r="76" spans="2:12" s="1" customFormat="1">
      <c r="B76" s="22" t="s">
        <v>406</v>
      </c>
      <c r="C76" s="22" t="s">
        <v>46</v>
      </c>
      <c r="D76" s="9" t="s">
        <v>407</v>
      </c>
      <c r="E76" s="100" t="s">
        <v>128</v>
      </c>
      <c r="F76" s="17" t="s">
        <v>406</v>
      </c>
      <c r="G76" s="17" t="s">
        <v>129</v>
      </c>
      <c r="H76" s="98"/>
      <c r="I76" s="19"/>
      <c r="J76" s="19" t="s">
        <v>259</v>
      </c>
      <c r="K76" s="19" t="s">
        <v>132</v>
      </c>
      <c r="L76" s="19" t="s">
        <v>132</v>
      </c>
    </row>
    <row r="77" spans="2:12" s="1" customFormat="1">
      <c r="B77" s="22" t="s">
        <v>408</v>
      </c>
      <c r="C77" s="22" t="s">
        <v>46</v>
      </c>
      <c r="D77" s="9" t="s">
        <v>409</v>
      </c>
      <c r="E77" s="100" t="s">
        <v>128</v>
      </c>
      <c r="F77" s="17" t="s">
        <v>408</v>
      </c>
      <c r="G77" s="17" t="s">
        <v>129</v>
      </c>
      <c r="H77" s="98"/>
      <c r="I77" s="19"/>
      <c r="J77" s="19" t="s">
        <v>259</v>
      </c>
      <c r="K77" s="19" t="s">
        <v>132</v>
      </c>
      <c r="L77" s="19" t="s">
        <v>132</v>
      </c>
    </row>
    <row r="78" spans="2:12" s="1" customFormat="1">
      <c r="B78" s="22" t="s">
        <v>410</v>
      </c>
      <c r="C78" s="22" t="s">
        <v>46</v>
      </c>
      <c r="D78" s="9" t="s">
        <v>411</v>
      </c>
      <c r="E78" s="100" t="s">
        <v>128</v>
      </c>
      <c r="F78" s="17" t="s">
        <v>410</v>
      </c>
      <c r="G78" s="17" t="s">
        <v>129</v>
      </c>
      <c r="H78" s="98"/>
      <c r="I78" s="19"/>
      <c r="J78" s="19" t="s">
        <v>259</v>
      </c>
      <c r="K78" s="19" t="s">
        <v>132</v>
      </c>
      <c r="L78" s="19" t="s">
        <v>132</v>
      </c>
    </row>
    <row r="79" spans="2:12" s="1" customFormat="1">
      <c r="B79" s="22" t="s">
        <v>412</v>
      </c>
      <c r="C79" s="22" t="s">
        <v>46</v>
      </c>
      <c r="D79" s="9" t="s">
        <v>413</v>
      </c>
      <c r="E79" s="100" t="s">
        <v>128</v>
      </c>
      <c r="F79" s="17" t="s">
        <v>412</v>
      </c>
      <c r="G79" s="17" t="s">
        <v>129</v>
      </c>
      <c r="H79" s="98"/>
      <c r="I79" s="19"/>
      <c r="J79" s="19" t="s">
        <v>259</v>
      </c>
      <c r="K79" s="19" t="s">
        <v>132</v>
      </c>
      <c r="L79" s="19" t="s">
        <v>132</v>
      </c>
    </row>
    <row r="80" spans="2:12" s="1" customFormat="1">
      <c r="B80" s="22" t="s">
        <v>414</v>
      </c>
      <c r="C80" s="22" t="s">
        <v>46</v>
      </c>
      <c r="D80" s="9" t="s">
        <v>415</v>
      </c>
      <c r="E80" s="100" t="s">
        <v>128</v>
      </c>
      <c r="F80" s="17" t="s">
        <v>414</v>
      </c>
      <c r="G80" s="17" t="s">
        <v>129</v>
      </c>
      <c r="H80" s="98"/>
      <c r="I80" s="19"/>
      <c r="J80" s="19" t="s">
        <v>259</v>
      </c>
      <c r="K80" s="19" t="s">
        <v>132</v>
      </c>
      <c r="L80" s="19" t="s">
        <v>132</v>
      </c>
    </row>
    <row r="81" spans="2:12" s="1" customFormat="1">
      <c r="B81" s="22" t="s">
        <v>416</v>
      </c>
      <c r="C81" s="22" t="s">
        <v>46</v>
      </c>
      <c r="D81" s="9" t="s">
        <v>417</v>
      </c>
      <c r="E81" s="100" t="s">
        <v>128</v>
      </c>
      <c r="F81" s="17" t="s">
        <v>416</v>
      </c>
      <c r="G81" s="17" t="s">
        <v>129</v>
      </c>
      <c r="H81" s="98"/>
      <c r="I81" s="19"/>
      <c r="J81" s="19" t="s">
        <v>259</v>
      </c>
      <c r="K81" s="19" t="s">
        <v>132</v>
      </c>
      <c r="L81" s="19" t="s">
        <v>132</v>
      </c>
    </row>
    <row r="82" spans="2:12" s="1" customFormat="1">
      <c r="B82" s="22" t="s">
        <v>418</v>
      </c>
      <c r="C82" s="22" t="s">
        <v>46</v>
      </c>
      <c r="D82" s="9" t="s">
        <v>419</v>
      </c>
      <c r="E82" s="100" t="s">
        <v>128</v>
      </c>
      <c r="F82" s="17" t="s">
        <v>418</v>
      </c>
      <c r="G82" s="17" t="s">
        <v>129</v>
      </c>
      <c r="H82" s="98"/>
      <c r="I82" s="19"/>
      <c r="J82" s="19" t="s">
        <v>259</v>
      </c>
      <c r="K82" s="19" t="s">
        <v>132</v>
      </c>
      <c r="L82" s="19" t="s">
        <v>132</v>
      </c>
    </row>
    <row r="83" spans="2:12" s="1" customFormat="1">
      <c r="B83" s="22" t="s">
        <v>420</v>
      </c>
      <c r="C83" s="22" t="s">
        <v>46</v>
      </c>
      <c r="D83" s="9" t="s">
        <v>421</v>
      </c>
      <c r="E83" s="100" t="s">
        <v>128</v>
      </c>
      <c r="F83" s="17" t="s">
        <v>420</v>
      </c>
      <c r="G83" s="17" t="s">
        <v>129</v>
      </c>
      <c r="H83" s="98"/>
      <c r="I83" s="19"/>
      <c r="J83" s="19" t="s">
        <v>259</v>
      </c>
      <c r="K83" s="19" t="s">
        <v>132</v>
      </c>
      <c r="L83" s="19" t="s">
        <v>132</v>
      </c>
    </row>
    <row r="84" spans="2:12" s="1" customFormat="1">
      <c r="B84" s="22" t="s">
        <v>422</v>
      </c>
      <c r="C84" s="22" t="s">
        <v>46</v>
      </c>
      <c r="D84" s="9" t="s">
        <v>423</v>
      </c>
      <c r="E84" s="100" t="s">
        <v>128</v>
      </c>
      <c r="F84" s="17" t="s">
        <v>422</v>
      </c>
      <c r="G84" s="17" t="s">
        <v>129</v>
      </c>
      <c r="H84" s="98"/>
      <c r="I84" s="19"/>
      <c r="J84" s="19" t="s">
        <v>259</v>
      </c>
      <c r="K84" s="19" t="s">
        <v>132</v>
      </c>
      <c r="L84" s="19" t="s">
        <v>132</v>
      </c>
    </row>
    <row r="85" spans="2:12" s="1" customFormat="1">
      <c r="B85" s="22" t="s">
        <v>424</v>
      </c>
      <c r="C85" s="22" t="s">
        <v>46</v>
      </c>
      <c r="D85" s="9" t="s">
        <v>425</v>
      </c>
      <c r="E85" s="100" t="s">
        <v>128</v>
      </c>
      <c r="F85" s="17" t="s">
        <v>424</v>
      </c>
      <c r="G85" s="17" t="s">
        <v>129</v>
      </c>
      <c r="H85" s="98"/>
      <c r="I85" s="19"/>
      <c r="J85" s="19" t="s">
        <v>259</v>
      </c>
      <c r="K85" s="19" t="s">
        <v>132</v>
      </c>
      <c r="L85" s="19" t="s">
        <v>132</v>
      </c>
    </row>
    <row r="86" spans="2:12" s="1" customFormat="1">
      <c r="B86" s="22" t="s">
        <v>426</v>
      </c>
      <c r="C86" s="22" t="s">
        <v>46</v>
      </c>
      <c r="D86" s="9" t="s">
        <v>427</v>
      </c>
      <c r="E86" s="100" t="s">
        <v>128</v>
      </c>
      <c r="F86" s="17" t="s">
        <v>426</v>
      </c>
      <c r="G86" s="17" t="s">
        <v>129</v>
      </c>
      <c r="H86" s="98"/>
      <c r="I86" s="19"/>
      <c r="J86" s="19" t="s">
        <v>259</v>
      </c>
      <c r="K86" s="19" t="s">
        <v>132</v>
      </c>
      <c r="L86" s="19" t="s">
        <v>132</v>
      </c>
    </row>
    <row r="87" spans="2:12" s="1" customFormat="1">
      <c r="B87" s="22" t="s">
        <v>428</v>
      </c>
      <c r="C87" s="22" t="s">
        <v>46</v>
      </c>
      <c r="D87" s="9" t="s">
        <v>429</v>
      </c>
      <c r="E87" s="100" t="s">
        <v>128</v>
      </c>
      <c r="F87" s="17" t="s">
        <v>428</v>
      </c>
      <c r="G87" s="17" t="s">
        <v>129</v>
      </c>
      <c r="H87" s="98"/>
      <c r="I87" s="19"/>
      <c r="J87" s="19" t="s">
        <v>259</v>
      </c>
      <c r="K87" s="19" t="s">
        <v>132</v>
      </c>
      <c r="L87" s="19" t="s">
        <v>132</v>
      </c>
    </row>
    <row r="88" spans="2:12" s="1" customFormat="1">
      <c r="B88" s="22" t="s">
        <v>430</v>
      </c>
      <c r="C88" s="22" t="s">
        <v>46</v>
      </c>
      <c r="D88" s="9" t="s">
        <v>431</v>
      </c>
      <c r="E88" s="100" t="s">
        <v>128</v>
      </c>
      <c r="F88" s="17" t="s">
        <v>430</v>
      </c>
      <c r="G88" s="17" t="s">
        <v>129</v>
      </c>
      <c r="H88" s="98"/>
      <c r="I88" s="19"/>
      <c r="J88" s="19" t="s">
        <v>259</v>
      </c>
      <c r="K88" s="19" t="s">
        <v>132</v>
      </c>
      <c r="L88" s="19" t="s">
        <v>132</v>
      </c>
    </row>
    <row r="89" spans="2:12" s="1" customFormat="1">
      <c r="B89" s="22" t="s">
        <v>432</v>
      </c>
      <c r="C89" s="22" t="s">
        <v>46</v>
      </c>
      <c r="D89" s="9" t="s">
        <v>433</v>
      </c>
      <c r="E89" s="100" t="s">
        <v>128</v>
      </c>
      <c r="F89" s="17" t="s">
        <v>432</v>
      </c>
      <c r="G89" s="17" t="s">
        <v>129</v>
      </c>
      <c r="H89" s="98"/>
      <c r="I89" s="19"/>
      <c r="J89" s="19" t="s">
        <v>259</v>
      </c>
      <c r="K89" s="19" t="s">
        <v>132</v>
      </c>
      <c r="L89" s="19" t="s">
        <v>132</v>
      </c>
    </row>
    <row r="90" spans="2:12" s="1" customFormat="1">
      <c r="B90" s="22" t="s">
        <v>2025</v>
      </c>
      <c r="C90" s="22" t="s">
        <v>46</v>
      </c>
      <c r="D90" s="9" t="s">
        <v>1999</v>
      </c>
      <c r="E90" s="100" t="s">
        <v>128</v>
      </c>
      <c r="F90" s="17" t="s">
        <v>1984</v>
      </c>
      <c r="G90" s="17" t="s">
        <v>129</v>
      </c>
      <c r="H90" s="98"/>
      <c r="I90" s="19"/>
      <c r="J90" s="19" t="s">
        <v>259</v>
      </c>
      <c r="K90" s="19" t="s">
        <v>132</v>
      </c>
      <c r="L90" s="19" t="s">
        <v>132</v>
      </c>
    </row>
    <row r="91" spans="2:12" s="1" customFormat="1">
      <c r="B91" s="22" t="s">
        <v>2063</v>
      </c>
      <c r="C91" s="22" t="s">
        <v>45</v>
      </c>
      <c r="D91" s="9" t="s">
        <v>2000</v>
      </c>
      <c r="E91" s="100" t="s">
        <v>128</v>
      </c>
      <c r="F91" s="17" t="s">
        <v>1985</v>
      </c>
      <c r="G91" s="17" t="s">
        <v>129</v>
      </c>
      <c r="H91" s="98"/>
      <c r="I91" s="19"/>
      <c r="J91" s="19" t="s">
        <v>259</v>
      </c>
      <c r="K91" s="19" t="s">
        <v>132</v>
      </c>
      <c r="L91" s="19" t="s">
        <v>132</v>
      </c>
    </row>
    <row r="92" spans="2:12" s="1" customFormat="1">
      <c r="B92" s="90" t="s">
        <v>2018</v>
      </c>
      <c r="C92" s="22" t="s">
        <v>45</v>
      </c>
      <c r="D92" s="9" t="s">
        <v>2017</v>
      </c>
      <c r="E92" s="100" t="s">
        <v>128</v>
      </c>
      <c r="F92" s="17" t="s">
        <v>1986</v>
      </c>
      <c r="G92" s="17" t="s">
        <v>2029</v>
      </c>
      <c r="H92" s="98"/>
      <c r="I92" s="19"/>
      <c r="J92" s="19" t="s">
        <v>259</v>
      </c>
      <c r="K92" s="19" t="s">
        <v>132</v>
      </c>
      <c r="L92" s="19" t="s">
        <v>132</v>
      </c>
    </row>
    <row r="93" spans="2:12" s="1" customFormat="1">
      <c r="B93" s="22" t="s">
        <v>2086</v>
      </c>
      <c r="C93" s="22" t="s">
        <v>45</v>
      </c>
      <c r="D93" s="9" t="s">
        <v>2001</v>
      </c>
      <c r="E93" s="100" t="s">
        <v>128</v>
      </c>
      <c r="F93" s="17" t="s">
        <v>1987</v>
      </c>
      <c r="G93" s="17" t="s">
        <v>129</v>
      </c>
      <c r="H93" s="98"/>
      <c r="I93" s="19"/>
      <c r="J93" s="19" t="s">
        <v>259</v>
      </c>
      <c r="K93" s="19" t="s">
        <v>132</v>
      </c>
      <c r="L93" s="19" t="s">
        <v>132</v>
      </c>
    </row>
    <row r="94" spans="2:12" s="1" customFormat="1">
      <c r="B94" s="22" t="s">
        <v>2188</v>
      </c>
      <c r="C94" s="22" t="s">
        <v>45</v>
      </c>
      <c r="D94" s="9" t="s">
        <v>2002</v>
      </c>
      <c r="E94" s="100" t="s">
        <v>128</v>
      </c>
      <c r="F94" s="17" t="s">
        <v>1988</v>
      </c>
      <c r="G94" s="17" t="s">
        <v>129</v>
      </c>
      <c r="H94" s="98"/>
      <c r="I94" s="19"/>
      <c r="J94" s="19" t="s">
        <v>259</v>
      </c>
      <c r="K94" s="19" t="s">
        <v>132</v>
      </c>
      <c r="L94" s="19" t="s">
        <v>132</v>
      </c>
    </row>
    <row r="95" spans="2:12" s="1" customFormat="1">
      <c r="B95" s="22" t="s">
        <v>2187</v>
      </c>
      <c r="C95" s="22" t="s">
        <v>45</v>
      </c>
      <c r="D95" s="9" t="s">
        <v>2003</v>
      </c>
      <c r="E95" s="100" t="s">
        <v>128</v>
      </c>
      <c r="F95" s="17" t="s">
        <v>1989</v>
      </c>
      <c r="G95" s="17" t="s">
        <v>129</v>
      </c>
      <c r="H95" s="98"/>
      <c r="I95" s="19"/>
      <c r="J95" s="19" t="s">
        <v>259</v>
      </c>
      <c r="K95" s="19" t="s">
        <v>132</v>
      </c>
      <c r="L95" s="19" t="s">
        <v>132</v>
      </c>
    </row>
    <row r="96" spans="2:12" s="1" customFormat="1">
      <c r="B96" s="22" t="s">
        <v>1990</v>
      </c>
      <c r="C96" s="22" t="s">
        <v>45</v>
      </c>
      <c r="D96" s="9" t="s">
        <v>2004</v>
      </c>
      <c r="E96" s="100" t="s">
        <v>128</v>
      </c>
      <c r="F96" s="17" t="s">
        <v>1990</v>
      </c>
      <c r="G96" s="17" t="s">
        <v>129</v>
      </c>
      <c r="H96" s="98"/>
      <c r="I96" s="19"/>
      <c r="J96" s="19" t="s">
        <v>259</v>
      </c>
      <c r="K96" s="19" t="s">
        <v>132</v>
      </c>
      <c r="L96" s="19" t="s">
        <v>132</v>
      </c>
    </row>
    <row r="97" spans="2:12" s="1" customFormat="1">
      <c r="B97" s="22" t="s">
        <v>2021</v>
      </c>
      <c r="C97" s="22" t="s">
        <v>45</v>
      </c>
      <c r="D97" s="9" t="s">
        <v>2189</v>
      </c>
      <c r="E97" s="100" t="s">
        <v>128</v>
      </c>
      <c r="F97" s="17" t="s">
        <v>1991</v>
      </c>
      <c r="G97" s="17" t="s">
        <v>129</v>
      </c>
      <c r="H97" s="98"/>
      <c r="I97" s="19"/>
      <c r="J97" s="19" t="s">
        <v>259</v>
      </c>
      <c r="K97" s="19" t="s">
        <v>132</v>
      </c>
      <c r="L97" s="19" t="s">
        <v>132</v>
      </c>
    </row>
    <row r="98" spans="2:12" s="1" customFormat="1">
      <c r="B98" s="90" t="s">
        <v>2105</v>
      </c>
      <c r="C98" s="22" t="s">
        <v>45</v>
      </c>
      <c r="D98" s="9" t="s">
        <v>2005</v>
      </c>
      <c r="E98" s="100" t="s">
        <v>128</v>
      </c>
      <c r="F98" s="17"/>
      <c r="G98" s="17" t="s">
        <v>2030</v>
      </c>
      <c r="H98" s="98"/>
      <c r="I98" s="19"/>
      <c r="J98" s="19" t="s">
        <v>259</v>
      </c>
      <c r="K98" s="19" t="s">
        <v>132</v>
      </c>
      <c r="L98" s="19" t="s">
        <v>132</v>
      </c>
    </row>
    <row r="99" spans="2:12" s="1" customFormat="1">
      <c r="B99" s="22" t="s">
        <v>1992</v>
      </c>
      <c r="C99" s="22" t="s">
        <v>46</v>
      </c>
      <c r="D99" s="9" t="s">
        <v>2006</v>
      </c>
      <c r="E99" s="100" t="s">
        <v>128</v>
      </c>
      <c r="F99" s="17" t="s">
        <v>1992</v>
      </c>
      <c r="G99" s="17" t="s">
        <v>129</v>
      </c>
      <c r="H99" s="98"/>
      <c r="I99" s="19"/>
      <c r="J99" s="19" t="s">
        <v>259</v>
      </c>
      <c r="K99" s="19" t="s">
        <v>132</v>
      </c>
      <c r="L99" s="19" t="s">
        <v>132</v>
      </c>
    </row>
    <row r="100" spans="2:12" s="1" customFormat="1">
      <c r="B100" s="22" t="s">
        <v>2023</v>
      </c>
      <c r="C100" s="22" t="s">
        <v>45</v>
      </c>
      <c r="D100" s="9" t="s">
        <v>2007</v>
      </c>
      <c r="E100" s="100" t="s">
        <v>128</v>
      </c>
      <c r="F100" s="17" t="s">
        <v>1993</v>
      </c>
      <c r="G100" s="17" t="s">
        <v>129</v>
      </c>
      <c r="H100" s="98"/>
      <c r="I100" s="19"/>
      <c r="J100" s="19" t="s">
        <v>259</v>
      </c>
      <c r="K100" s="19" t="s">
        <v>132</v>
      </c>
      <c r="L100" s="19" t="s">
        <v>132</v>
      </c>
    </row>
    <row r="101" spans="2:12" s="1" customFormat="1">
      <c r="B101" s="90" t="s">
        <v>2124</v>
      </c>
      <c r="C101" s="22" t="s">
        <v>45</v>
      </c>
      <c r="D101" s="9" t="s">
        <v>2008</v>
      </c>
      <c r="E101" s="100" t="s">
        <v>128</v>
      </c>
      <c r="F101" s="17"/>
      <c r="G101" s="17" t="s">
        <v>2031</v>
      </c>
      <c r="H101" s="98"/>
      <c r="I101" s="19"/>
      <c r="J101" s="19" t="s">
        <v>259</v>
      </c>
      <c r="K101" s="19" t="s">
        <v>132</v>
      </c>
      <c r="L101" s="19" t="s">
        <v>132</v>
      </c>
    </row>
    <row r="102" spans="2:12" s="1" customFormat="1">
      <c r="B102" s="22" t="s">
        <v>436</v>
      </c>
      <c r="C102" s="22" t="s">
        <v>43</v>
      </c>
      <c r="D102" s="9" t="s">
        <v>437</v>
      </c>
      <c r="E102" s="100" t="s">
        <v>128</v>
      </c>
      <c r="F102" s="17" t="s">
        <v>436</v>
      </c>
      <c r="G102" s="17" t="s">
        <v>129</v>
      </c>
      <c r="H102" s="98"/>
      <c r="I102" s="19"/>
      <c r="J102" s="19" t="s">
        <v>259</v>
      </c>
      <c r="K102" s="19" t="s">
        <v>132</v>
      </c>
      <c r="L102" s="19" t="s">
        <v>132</v>
      </c>
    </row>
    <row r="103" spans="2:12" s="1" customFormat="1">
      <c r="B103" s="22" t="s">
        <v>440</v>
      </c>
      <c r="C103" s="22" t="s">
        <v>43</v>
      </c>
      <c r="D103" s="9" t="s">
        <v>2009</v>
      </c>
      <c r="E103" s="100" t="s">
        <v>128</v>
      </c>
      <c r="F103" s="17" t="s">
        <v>440</v>
      </c>
      <c r="G103" s="17" t="s">
        <v>129</v>
      </c>
      <c r="H103" s="98"/>
      <c r="I103" s="19"/>
      <c r="J103" s="19" t="s">
        <v>259</v>
      </c>
      <c r="K103" s="19" t="s">
        <v>132</v>
      </c>
      <c r="L103" s="19" t="s">
        <v>132</v>
      </c>
    </row>
    <row r="104" spans="2:12" s="1" customFormat="1">
      <c r="B104" s="22" t="s">
        <v>1994</v>
      </c>
      <c r="C104" s="22" t="s">
        <v>45</v>
      </c>
      <c r="D104" s="9" t="s">
        <v>2010</v>
      </c>
      <c r="E104" s="100" t="s">
        <v>128</v>
      </c>
      <c r="F104" s="17" t="s">
        <v>1994</v>
      </c>
      <c r="G104" s="17" t="s">
        <v>129</v>
      </c>
      <c r="H104" s="98"/>
      <c r="I104" s="19"/>
      <c r="J104" s="19" t="s">
        <v>259</v>
      </c>
      <c r="K104" s="19" t="s">
        <v>132</v>
      </c>
      <c r="L104" s="19" t="s">
        <v>132</v>
      </c>
    </row>
    <row r="105" spans="2:12" s="1" customFormat="1">
      <c r="B105" s="22" t="s">
        <v>2176</v>
      </c>
      <c r="C105" s="22" t="s">
        <v>45</v>
      </c>
      <c r="D105" s="9" t="s">
        <v>2011</v>
      </c>
      <c r="E105" s="100" t="s">
        <v>128</v>
      </c>
      <c r="F105" s="17" t="s">
        <v>1995</v>
      </c>
      <c r="G105" s="17" t="s">
        <v>129</v>
      </c>
      <c r="H105" s="98"/>
      <c r="I105" s="19"/>
      <c r="J105" s="19" t="s">
        <v>259</v>
      </c>
      <c r="K105" s="19" t="s">
        <v>132</v>
      </c>
      <c r="L105" s="19" t="s">
        <v>132</v>
      </c>
    </row>
    <row r="106" spans="2:12" s="1" customFormat="1">
      <c r="B106" s="22" t="s">
        <v>2028</v>
      </c>
      <c r="C106" s="22" t="s">
        <v>45</v>
      </c>
      <c r="D106" s="9" t="s">
        <v>2012</v>
      </c>
      <c r="E106" s="100" t="s">
        <v>128</v>
      </c>
      <c r="F106" s="17" t="s">
        <v>1996</v>
      </c>
      <c r="G106" s="17" t="s">
        <v>129</v>
      </c>
      <c r="H106" s="98"/>
      <c r="I106" s="19"/>
      <c r="J106" s="19" t="s">
        <v>259</v>
      </c>
      <c r="K106" s="19" t="s">
        <v>132</v>
      </c>
      <c r="L106" s="19" t="s">
        <v>132</v>
      </c>
    </row>
    <row r="107" spans="2:12" s="1" customFormat="1">
      <c r="B107" s="22" t="s">
        <v>1997</v>
      </c>
      <c r="C107" s="22" t="s">
        <v>45</v>
      </c>
      <c r="D107" s="9" t="s">
        <v>2013</v>
      </c>
      <c r="E107" s="100" t="s">
        <v>128</v>
      </c>
      <c r="F107" s="17" t="s">
        <v>1997</v>
      </c>
      <c r="G107" s="17" t="s">
        <v>129</v>
      </c>
      <c r="H107" s="98"/>
      <c r="I107" s="19"/>
      <c r="J107" s="19" t="s">
        <v>259</v>
      </c>
      <c r="K107" s="19" t="s">
        <v>132</v>
      </c>
      <c r="L107" s="19" t="s">
        <v>132</v>
      </c>
    </row>
    <row r="108" spans="2:12" s="1" customFormat="1">
      <c r="B108" s="22" t="s">
        <v>1998</v>
      </c>
      <c r="C108" s="22" t="s">
        <v>43</v>
      </c>
      <c r="D108" s="9" t="s">
        <v>2014</v>
      </c>
      <c r="E108" s="100" t="s">
        <v>128</v>
      </c>
      <c r="F108" s="17" t="s">
        <v>1998</v>
      </c>
      <c r="G108" s="17" t="s">
        <v>129</v>
      </c>
      <c r="H108" s="98"/>
      <c r="I108" s="19"/>
      <c r="J108" s="19" t="s">
        <v>259</v>
      </c>
      <c r="K108" s="19" t="s">
        <v>132</v>
      </c>
      <c r="L108" s="19" t="s">
        <v>132</v>
      </c>
    </row>
    <row r="109" spans="2:12" s="1" customFormat="1">
      <c r="B109" s="22" t="s">
        <v>95</v>
      </c>
      <c r="C109" s="22" t="s">
        <v>45</v>
      </c>
      <c r="D109" s="9" t="s">
        <v>114</v>
      </c>
      <c r="E109" s="100" t="s">
        <v>128</v>
      </c>
      <c r="F109" s="17"/>
      <c r="G109" s="17" t="s">
        <v>525</v>
      </c>
      <c r="H109" s="98"/>
      <c r="I109" s="19"/>
      <c r="J109" s="19" t="s">
        <v>259</v>
      </c>
      <c r="K109" s="19" t="s">
        <v>132</v>
      </c>
      <c r="L109" s="19" t="s">
        <v>132</v>
      </c>
    </row>
    <row r="110" spans="2:12" s="1" customFormat="1">
      <c r="B110" s="22" t="s">
        <v>61</v>
      </c>
      <c r="C110" s="22" t="s">
        <v>46</v>
      </c>
      <c r="D110" s="9" t="s">
        <v>520</v>
      </c>
      <c r="E110" s="100" t="s">
        <v>122</v>
      </c>
      <c r="F110" s="9" t="s">
        <v>123</v>
      </c>
      <c r="G110" s="17" t="s">
        <v>121</v>
      </c>
      <c r="H110" s="98"/>
      <c r="I110" s="19"/>
      <c r="J110" s="19" t="s">
        <v>259</v>
      </c>
      <c r="K110" s="19" t="s">
        <v>132</v>
      </c>
      <c r="L110" s="19" t="s">
        <v>132</v>
      </c>
    </row>
    <row r="111" spans="2:12" s="1" customFormat="1">
      <c r="B111" s="22" t="s">
        <v>62</v>
      </c>
      <c r="C111" s="22" t="s">
        <v>46</v>
      </c>
      <c r="D111" s="9" t="s">
        <v>521</v>
      </c>
      <c r="E111" s="100" t="s">
        <v>122</v>
      </c>
      <c r="F111" s="9" t="s">
        <v>124</v>
      </c>
      <c r="G111" s="17" t="s">
        <v>121</v>
      </c>
      <c r="H111" s="98"/>
      <c r="I111" s="19"/>
      <c r="J111" s="19" t="s">
        <v>259</v>
      </c>
      <c r="K111" s="19" t="s">
        <v>132</v>
      </c>
      <c r="L111" s="19" t="s">
        <v>132</v>
      </c>
    </row>
    <row r="112" spans="2:12" s="1" customFormat="1" ht="26.4">
      <c r="B112" s="22" t="s">
        <v>64</v>
      </c>
      <c r="C112" s="22" t="s">
        <v>43</v>
      </c>
      <c r="D112" s="9" t="s">
        <v>522</v>
      </c>
      <c r="E112" s="100" t="s">
        <v>122</v>
      </c>
      <c r="F112" s="13" t="s">
        <v>125</v>
      </c>
      <c r="G112" s="17" t="s">
        <v>121</v>
      </c>
      <c r="H112" s="98"/>
      <c r="I112" s="19"/>
      <c r="J112" s="19" t="s">
        <v>259</v>
      </c>
      <c r="K112" s="19" t="s">
        <v>132</v>
      </c>
      <c r="L112" s="19" t="s">
        <v>132</v>
      </c>
    </row>
    <row r="113" spans="1:12" s="1" customFormat="1" ht="26.4">
      <c r="B113" s="22" t="s">
        <v>65</v>
      </c>
      <c r="C113" s="22" t="s">
        <v>43</v>
      </c>
      <c r="D113" s="9" t="s">
        <v>523</v>
      </c>
      <c r="E113" s="100" t="s">
        <v>122</v>
      </c>
      <c r="F113" s="13" t="s">
        <v>126</v>
      </c>
      <c r="G113" s="17" t="s">
        <v>121</v>
      </c>
      <c r="H113" s="98"/>
      <c r="I113" s="19"/>
      <c r="J113" s="19" t="s">
        <v>259</v>
      </c>
      <c r="K113" s="19" t="s">
        <v>132</v>
      </c>
      <c r="L113" s="19" t="s">
        <v>132</v>
      </c>
    </row>
    <row r="114" spans="1:12" s="1" customFormat="1" ht="26.4">
      <c r="B114" s="22" t="s">
        <v>66</v>
      </c>
      <c r="C114" s="22" t="s">
        <v>43</v>
      </c>
      <c r="D114" s="9" t="s">
        <v>524</v>
      </c>
      <c r="E114" s="100" t="s">
        <v>122</v>
      </c>
      <c r="F114" s="13" t="s">
        <v>127</v>
      </c>
      <c r="G114" s="17" t="s">
        <v>121</v>
      </c>
      <c r="H114" s="98"/>
      <c r="I114" s="19"/>
      <c r="J114" s="19" t="s">
        <v>259</v>
      </c>
      <c r="K114" s="19" t="s">
        <v>132</v>
      </c>
      <c r="L114" s="19" t="s">
        <v>132</v>
      </c>
    </row>
    <row r="115" spans="1:12" s="1" customFormat="1">
      <c r="A115" s="15"/>
      <c r="B115" s="11" t="s">
        <v>1071</v>
      </c>
      <c r="C115" s="11" t="s">
        <v>43</v>
      </c>
      <c r="D115" s="9" t="s">
        <v>115</v>
      </c>
      <c r="E115" s="100" t="s">
        <v>55</v>
      </c>
      <c r="F115" s="84"/>
      <c r="G115" s="17" t="s">
        <v>2016</v>
      </c>
      <c r="H115" s="98"/>
      <c r="I115" s="17"/>
      <c r="J115" s="19" t="s">
        <v>259</v>
      </c>
      <c r="K115" s="19" t="s">
        <v>44</v>
      </c>
      <c r="L115" s="19" t="s">
        <v>44</v>
      </c>
    </row>
    <row r="116" spans="1:12" s="1" customFormat="1">
      <c r="B116" s="22" t="s">
        <v>889</v>
      </c>
      <c r="C116" s="62" t="s">
        <v>45</v>
      </c>
      <c r="D116" s="9" t="s">
        <v>503</v>
      </c>
      <c r="E116" s="16" t="s">
        <v>128</v>
      </c>
      <c r="F116" s="22"/>
      <c r="G116" s="17" t="s">
        <v>533</v>
      </c>
      <c r="H116" s="18"/>
      <c r="I116" s="88" t="s">
        <v>1380</v>
      </c>
      <c r="J116" s="19" t="s">
        <v>259</v>
      </c>
      <c r="K116" s="19" t="s">
        <v>203</v>
      </c>
      <c r="L116" s="19" t="s">
        <v>627</v>
      </c>
    </row>
    <row r="117" spans="1:12" s="1" customFormat="1">
      <c r="B117" s="22" t="s">
        <v>2019</v>
      </c>
      <c r="C117" s="22" t="s">
        <v>45</v>
      </c>
      <c r="D117" s="9" t="s">
        <v>2036</v>
      </c>
      <c r="E117" s="16" t="s">
        <v>128</v>
      </c>
      <c r="F117" s="17"/>
      <c r="G117" s="17" t="s">
        <v>2509</v>
      </c>
      <c r="H117" s="18"/>
      <c r="I117" s="19"/>
      <c r="J117" s="19" t="s">
        <v>259</v>
      </c>
      <c r="K117" s="19" t="s">
        <v>132</v>
      </c>
      <c r="L117" s="19" t="s">
        <v>132</v>
      </c>
    </row>
    <row r="118" spans="1:12" s="1" customFormat="1">
      <c r="B118" s="22" t="s">
        <v>2020</v>
      </c>
      <c r="C118" s="22" t="s">
        <v>45</v>
      </c>
      <c r="D118" s="9" t="s">
        <v>2035</v>
      </c>
      <c r="E118" s="16" t="s">
        <v>128</v>
      </c>
      <c r="F118" s="17"/>
      <c r="G118" s="17" t="s">
        <v>2032</v>
      </c>
      <c r="H118" s="18"/>
      <c r="I118" s="19"/>
      <c r="J118" s="19" t="s">
        <v>259</v>
      </c>
      <c r="K118" s="19" t="s">
        <v>132</v>
      </c>
      <c r="L118" s="19" t="s">
        <v>132</v>
      </c>
    </row>
    <row r="119" spans="1:12" s="1" customFormat="1">
      <c r="B119" s="90" t="s">
        <v>2022</v>
      </c>
      <c r="C119" s="22" t="s">
        <v>45</v>
      </c>
      <c r="D119" s="9" t="s">
        <v>2034</v>
      </c>
      <c r="E119" s="16" t="s">
        <v>128</v>
      </c>
      <c r="F119" s="17"/>
      <c r="G119" s="17" t="s">
        <v>2502</v>
      </c>
      <c r="H119" s="18"/>
      <c r="I119" s="19"/>
      <c r="J119" s="19" t="s">
        <v>259</v>
      </c>
      <c r="K119" s="19" t="s">
        <v>132</v>
      </c>
      <c r="L119" s="19" t="s">
        <v>132</v>
      </c>
    </row>
    <row r="120" spans="1:12" s="1" customFormat="1">
      <c r="B120" s="90" t="s">
        <v>2193</v>
      </c>
      <c r="C120" s="22" t="s">
        <v>280</v>
      </c>
      <c r="D120" s="9" t="s">
        <v>2195</v>
      </c>
      <c r="E120" s="16" t="s">
        <v>128</v>
      </c>
      <c r="F120" s="22"/>
      <c r="G120" s="17" t="s">
        <v>2138</v>
      </c>
      <c r="H120" s="18"/>
      <c r="I120" s="88"/>
      <c r="J120" s="19" t="s">
        <v>259</v>
      </c>
      <c r="K120" s="19" t="s">
        <v>2024</v>
      </c>
      <c r="L120" s="19" t="s">
        <v>134</v>
      </c>
    </row>
    <row r="121" spans="1:12" s="1" customFormat="1">
      <c r="B121" s="22" t="s">
        <v>2194</v>
      </c>
      <c r="C121" s="22" t="s">
        <v>280</v>
      </c>
      <c r="D121" s="9" t="s">
        <v>2196</v>
      </c>
      <c r="E121" s="16" t="s">
        <v>128</v>
      </c>
      <c r="F121" s="22"/>
      <c r="G121" s="17" t="s">
        <v>2033</v>
      </c>
      <c r="H121" s="18"/>
      <c r="I121" s="88"/>
      <c r="J121" s="19" t="s">
        <v>259</v>
      </c>
      <c r="K121" s="19" t="s">
        <v>2024</v>
      </c>
      <c r="L121" s="19" t="s">
        <v>134</v>
      </c>
    </row>
    <row r="122" spans="1:12" s="1" customFormat="1">
      <c r="B122" s="22" t="s">
        <v>2132</v>
      </c>
      <c r="C122" s="22" t="s">
        <v>280</v>
      </c>
      <c r="D122" s="9" t="s">
        <v>2134</v>
      </c>
      <c r="E122" s="16" t="s">
        <v>128</v>
      </c>
      <c r="F122" s="22"/>
      <c r="G122" s="17" t="s">
        <v>2137</v>
      </c>
      <c r="H122" s="18"/>
      <c r="I122" s="88"/>
      <c r="J122" s="19" t="s">
        <v>259</v>
      </c>
      <c r="K122" s="19" t="s">
        <v>2136</v>
      </c>
      <c r="L122" s="19" t="s">
        <v>134</v>
      </c>
    </row>
    <row r="123" spans="1:12" s="1" customFormat="1">
      <c r="B123" s="90" t="s">
        <v>2133</v>
      </c>
      <c r="C123" s="22" t="s">
        <v>280</v>
      </c>
      <c r="D123" s="9" t="s">
        <v>2135</v>
      </c>
      <c r="E123" s="16" t="s">
        <v>128</v>
      </c>
      <c r="F123" s="22"/>
      <c r="G123" s="17" t="s">
        <v>2139</v>
      </c>
      <c r="H123" s="18"/>
      <c r="I123" s="88"/>
      <c r="J123" s="19" t="s">
        <v>259</v>
      </c>
      <c r="K123" s="19" t="s">
        <v>2136</v>
      </c>
      <c r="L123" s="19" t="s">
        <v>134</v>
      </c>
    </row>
    <row r="124" spans="1:12" s="1" customFormat="1">
      <c r="B124" s="22" t="s">
        <v>2126</v>
      </c>
      <c r="C124" s="22" t="s">
        <v>45</v>
      </c>
      <c r="D124" s="9" t="s">
        <v>2128</v>
      </c>
      <c r="E124" s="16" t="s">
        <v>128</v>
      </c>
      <c r="F124" s="17"/>
      <c r="G124" s="17" t="s">
        <v>2130</v>
      </c>
      <c r="H124" s="18"/>
      <c r="I124" s="19"/>
      <c r="J124" s="19" t="s">
        <v>259</v>
      </c>
      <c r="K124" s="19" t="s">
        <v>132</v>
      </c>
      <c r="L124" s="19" t="s">
        <v>132</v>
      </c>
    </row>
    <row r="125" spans="1:12" s="1" customFormat="1">
      <c r="B125" s="22" t="s">
        <v>2127</v>
      </c>
      <c r="C125" s="22" t="s">
        <v>45</v>
      </c>
      <c r="D125" s="9" t="s">
        <v>2129</v>
      </c>
      <c r="E125" s="16" t="s">
        <v>128</v>
      </c>
      <c r="F125" s="17"/>
      <c r="G125" s="17" t="s">
        <v>2131</v>
      </c>
      <c r="H125" s="18"/>
      <c r="I125" s="19"/>
      <c r="J125" s="19" t="s">
        <v>259</v>
      </c>
      <c r="K125" s="19" t="s">
        <v>132</v>
      </c>
      <c r="L125" s="19" t="s">
        <v>132</v>
      </c>
    </row>
    <row r="126" spans="1:12" s="1" customFormat="1">
      <c r="B126" s="22" t="s">
        <v>1052</v>
      </c>
      <c r="C126" s="62" t="s">
        <v>46</v>
      </c>
      <c r="D126" s="9" t="s">
        <v>508</v>
      </c>
      <c r="E126" s="16" t="s">
        <v>128</v>
      </c>
      <c r="F126" s="22"/>
      <c r="G126" s="17" t="s">
        <v>2015</v>
      </c>
      <c r="H126" s="18"/>
      <c r="I126" s="19"/>
      <c r="J126" s="19" t="s">
        <v>259</v>
      </c>
      <c r="K126" s="19" t="s">
        <v>132</v>
      </c>
      <c r="L126" s="19" t="s">
        <v>629</v>
      </c>
    </row>
    <row r="127" spans="1:12" s="1" customFormat="1">
      <c r="B127" s="22" t="s">
        <v>197</v>
      </c>
      <c r="C127" s="62" t="s">
        <v>46</v>
      </c>
      <c r="D127" s="9" t="s">
        <v>515</v>
      </c>
      <c r="E127" s="16" t="s">
        <v>128</v>
      </c>
      <c r="F127" s="22"/>
      <c r="G127" s="17" t="s">
        <v>895</v>
      </c>
      <c r="H127" s="18"/>
      <c r="I127" s="19"/>
      <c r="J127" s="19" t="s">
        <v>259</v>
      </c>
      <c r="K127" s="19" t="s">
        <v>132</v>
      </c>
      <c r="L127" s="19" t="s">
        <v>629</v>
      </c>
    </row>
    <row r="128" spans="1:12" s="1" customFormat="1">
      <c r="B128" s="22" t="s">
        <v>199</v>
      </c>
      <c r="C128" s="62" t="s">
        <v>46</v>
      </c>
      <c r="D128" s="9" t="s">
        <v>516</v>
      </c>
      <c r="E128" s="16" t="s">
        <v>128</v>
      </c>
      <c r="F128" s="22"/>
      <c r="G128" s="17" t="s">
        <v>896</v>
      </c>
      <c r="H128" s="18"/>
      <c r="I128" s="19"/>
      <c r="J128" s="19" t="s">
        <v>259</v>
      </c>
      <c r="K128" s="19" t="s">
        <v>132</v>
      </c>
      <c r="L128" s="19" t="s">
        <v>629</v>
      </c>
    </row>
    <row r="129" spans="2:17" s="3" customFormat="1">
      <c r="B129" s="23" t="s">
        <v>47</v>
      </c>
      <c r="C129" s="24" t="s">
        <v>46</v>
      </c>
      <c r="D129" s="21" t="s">
        <v>48</v>
      </c>
      <c r="E129" s="44"/>
      <c r="F129" s="44"/>
      <c r="G129" s="44"/>
      <c r="H129" s="23"/>
      <c r="I129" s="23"/>
      <c r="J129" s="23"/>
      <c r="K129" s="23"/>
      <c r="L129" s="23"/>
      <c r="M129" s="23"/>
      <c r="N129" s="23"/>
      <c r="O129" s="23"/>
      <c r="P129" s="23"/>
      <c r="Q129" s="23"/>
    </row>
    <row r="130" spans="2:17" s="3" customFormat="1">
      <c r="B130" s="23" t="s">
        <v>49</v>
      </c>
      <c r="C130" s="24" t="s">
        <v>43</v>
      </c>
      <c r="D130" s="21" t="s">
        <v>50</v>
      </c>
      <c r="E130" s="44"/>
      <c r="F130" s="44"/>
      <c r="G130" s="44"/>
      <c r="H130" s="23"/>
      <c r="I130" s="23"/>
      <c r="J130" s="23"/>
      <c r="K130" s="23"/>
      <c r="L130" s="23"/>
      <c r="M130" s="23"/>
      <c r="N130" s="23"/>
      <c r="O130" s="23"/>
      <c r="P130" s="23"/>
      <c r="Q130" s="23"/>
    </row>
    <row r="131" spans="2:17" s="3" customFormat="1">
      <c r="B131" s="23" t="s">
        <v>51</v>
      </c>
      <c r="C131" s="24" t="s">
        <v>46</v>
      </c>
      <c r="D131" s="21" t="s">
        <v>52</v>
      </c>
      <c r="E131" s="44"/>
      <c r="F131" s="44"/>
      <c r="G131" s="44"/>
      <c r="H131" s="23"/>
      <c r="I131" s="23"/>
      <c r="J131" s="23"/>
      <c r="K131" s="23"/>
      <c r="L131" s="23"/>
      <c r="M131" s="23"/>
      <c r="N131" s="23"/>
      <c r="O131" s="23"/>
      <c r="P131" s="23"/>
      <c r="Q131" s="23"/>
    </row>
    <row r="132" spans="2:17" s="3" customFormat="1">
      <c r="B132" s="23" t="s">
        <v>120</v>
      </c>
      <c r="C132" s="24" t="s">
        <v>46</v>
      </c>
      <c r="D132" s="21" t="s">
        <v>270</v>
      </c>
      <c r="E132" s="44"/>
      <c r="F132" s="44"/>
      <c r="G132" s="44"/>
      <c r="H132" s="23"/>
      <c r="I132" s="23"/>
      <c r="J132" s="23"/>
      <c r="K132" s="23"/>
      <c r="L132" s="23"/>
      <c r="M132" s="23"/>
      <c r="N132" s="23"/>
      <c r="O132" s="23"/>
      <c r="P132" s="23"/>
      <c r="Q132" s="23"/>
    </row>
  </sheetData>
  <autoFilter ref="A16:Q132" xr:uid="{00000000-0009-0000-0000-00000B000000}"/>
  <mergeCells count="4">
    <mergeCell ref="B2:H2"/>
    <mergeCell ref="B3:H3"/>
    <mergeCell ref="B7:H7"/>
    <mergeCell ref="B15:L15"/>
  </mergeCells>
  <phoneticPr fontId="16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AAD0-4F81-4746-866B-EC6A27276870}">
  <dimension ref="A1:Q171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4.2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26" t="s">
        <v>2026</v>
      </c>
      <c r="D5" s="9" t="s">
        <v>2027</v>
      </c>
      <c r="E5" s="11" t="s">
        <v>24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26" t="s">
        <v>1980</v>
      </c>
      <c r="D9" s="9" t="s">
        <v>1982</v>
      </c>
      <c r="E9" s="11" t="s">
        <v>55</v>
      </c>
      <c r="F9" s="17"/>
      <c r="G9" s="17"/>
      <c r="H9" s="14" t="s">
        <v>17</v>
      </c>
    </row>
    <row r="11" spans="2:14">
      <c r="B11" s="4" t="s">
        <v>32</v>
      </c>
    </row>
    <row r="12" spans="2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2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2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6"/>
      <c r="I15" s="19"/>
      <c r="J15" s="19" t="s">
        <v>131</v>
      </c>
      <c r="K15" s="19" t="s">
        <v>132</v>
      </c>
      <c r="L15" s="19" t="s">
        <v>675</v>
      </c>
    </row>
    <row r="16" spans="2:14" s="1" customFormat="1">
      <c r="B16" s="22" t="s">
        <v>92</v>
      </c>
      <c r="C16" s="22" t="s">
        <v>94</v>
      </c>
      <c r="D16" s="9" t="s">
        <v>98</v>
      </c>
      <c r="E16" s="16" t="s">
        <v>128</v>
      </c>
      <c r="F16" s="17" t="s">
        <v>120</v>
      </c>
      <c r="G16" s="17" t="s">
        <v>129</v>
      </c>
      <c r="H16" s="16"/>
      <c r="I16" s="19"/>
      <c r="J16" s="19" t="s">
        <v>131</v>
      </c>
      <c r="K16" s="19" t="s">
        <v>132</v>
      </c>
      <c r="L16" s="19" t="s">
        <v>676</v>
      </c>
    </row>
    <row r="17" spans="1:12" s="1" customFormat="1">
      <c r="A17" s="15"/>
      <c r="B17" s="22" t="s">
        <v>77</v>
      </c>
      <c r="C17" s="22" t="s">
        <v>94</v>
      </c>
      <c r="D17" s="9" t="s">
        <v>113</v>
      </c>
      <c r="E17" s="16" t="s">
        <v>128</v>
      </c>
      <c r="F17" s="17" t="s">
        <v>77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677</v>
      </c>
    </row>
    <row r="18" spans="1:12" s="1" customFormat="1">
      <c r="A18" s="15"/>
      <c r="B18" s="22" t="s">
        <v>80</v>
      </c>
      <c r="C18" s="22" t="s">
        <v>94</v>
      </c>
      <c r="D18" s="9" t="s">
        <v>99</v>
      </c>
      <c r="E18" s="16" t="s">
        <v>128</v>
      </c>
      <c r="F18" s="17" t="s">
        <v>80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678</v>
      </c>
    </row>
    <row r="19" spans="1:12" s="1" customFormat="1">
      <c r="A19" s="15"/>
      <c r="B19" s="22" t="s">
        <v>136</v>
      </c>
      <c r="C19" s="22" t="s">
        <v>94</v>
      </c>
      <c r="D19" s="9" t="s">
        <v>137</v>
      </c>
      <c r="E19" s="16" t="s">
        <v>128</v>
      </c>
      <c r="F19" s="17" t="s">
        <v>138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22" t="s">
        <v>61</v>
      </c>
      <c r="C20" s="22" t="s">
        <v>94</v>
      </c>
      <c r="D20" s="9" t="s">
        <v>100</v>
      </c>
      <c r="E20" s="16" t="s">
        <v>128</v>
      </c>
      <c r="F20" s="9" t="s">
        <v>123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679</v>
      </c>
    </row>
    <row r="21" spans="1:12" s="1" customFormat="1">
      <c r="A21" s="15"/>
      <c r="B21" s="11" t="s">
        <v>62</v>
      </c>
      <c r="C21" s="22" t="s">
        <v>94</v>
      </c>
      <c r="D21" s="9" t="s">
        <v>101</v>
      </c>
      <c r="E21" s="16" t="s">
        <v>128</v>
      </c>
      <c r="F21" s="9" t="s">
        <v>124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679</v>
      </c>
    </row>
    <row r="22" spans="1:12" s="1" customFormat="1">
      <c r="A22" s="15"/>
      <c r="B22" s="11" t="s">
        <v>64</v>
      </c>
      <c r="C22" s="22" t="s">
        <v>93</v>
      </c>
      <c r="D22" s="9" t="s">
        <v>63</v>
      </c>
      <c r="E22" s="16" t="s">
        <v>128</v>
      </c>
      <c r="F22" s="9" t="s">
        <v>318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65</v>
      </c>
      <c r="C23" s="22" t="s">
        <v>93</v>
      </c>
      <c r="D23" s="9" t="s">
        <v>102</v>
      </c>
      <c r="E23" s="16" t="s">
        <v>128</v>
      </c>
      <c r="F23" s="9" t="s">
        <v>273</v>
      </c>
      <c r="G23" s="17" t="s">
        <v>129</v>
      </c>
      <c r="H23" s="16"/>
      <c r="I23" s="20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66</v>
      </c>
      <c r="C24" s="22" t="s">
        <v>93</v>
      </c>
      <c r="D24" s="9" t="s">
        <v>68</v>
      </c>
      <c r="E24" s="16" t="s">
        <v>128</v>
      </c>
      <c r="F24" s="9" t="s">
        <v>272</v>
      </c>
      <c r="G24" s="17" t="s">
        <v>129</v>
      </c>
      <c r="H24" s="16"/>
      <c r="I24" s="20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95</v>
      </c>
      <c r="C25" s="11" t="s">
        <v>93</v>
      </c>
      <c r="D25" s="9" t="s">
        <v>114</v>
      </c>
      <c r="E25" s="16" t="s">
        <v>128</v>
      </c>
      <c r="F25" s="9" t="s">
        <v>95</v>
      </c>
      <c r="G25" s="17" t="s">
        <v>129</v>
      </c>
      <c r="H25" s="16"/>
      <c r="I25" s="35"/>
      <c r="J25" s="19" t="s">
        <v>131</v>
      </c>
      <c r="K25" s="19" t="s">
        <v>132</v>
      </c>
      <c r="L25" s="19" t="s">
        <v>44</v>
      </c>
    </row>
    <row r="26" spans="1:12" s="1" customFormat="1">
      <c r="A26" s="15"/>
      <c r="B26" s="11" t="s">
        <v>78</v>
      </c>
      <c r="C26" s="11" t="s">
        <v>93</v>
      </c>
      <c r="D26" s="9" t="s">
        <v>103</v>
      </c>
      <c r="E26" s="16" t="s">
        <v>128</v>
      </c>
      <c r="F26" s="17" t="s">
        <v>78</v>
      </c>
      <c r="G26" s="17" t="s">
        <v>129</v>
      </c>
      <c r="H26" s="16"/>
      <c r="I26" s="20"/>
      <c r="J26" s="19" t="s">
        <v>131</v>
      </c>
      <c r="K26" s="19" t="s">
        <v>132</v>
      </c>
      <c r="L26" s="19" t="s">
        <v>44</v>
      </c>
    </row>
    <row r="27" spans="1:12" s="1" customFormat="1">
      <c r="A27" s="15"/>
      <c r="B27" s="11" t="s">
        <v>81</v>
      </c>
      <c r="C27" s="11" t="s">
        <v>43</v>
      </c>
      <c r="D27" s="9" t="s">
        <v>57</v>
      </c>
      <c r="E27" s="16" t="s">
        <v>128</v>
      </c>
      <c r="F27" s="17" t="s">
        <v>81</v>
      </c>
      <c r="G27" s="17" t="s">
        <v>129</v>
      </c>
      <c r="H27" s="16"/>
      <c r="I27" s="20"/>
      <c r="J27" s="19" t="s">
        <v>131</v>
      </c>
      <c r="K27" s="19" t="s">
        <v>132</v>
      </c>
      <c r="L27" s="19" t="s">
        <v>44</v>
      </c>
    </row>
    <row r="28" spans="1:12" s="1" customFormat="1">
      <c r="A28" s="15"/>
      <c r="B28" s="11" t="s">
        <v>58</v>
      </c>
      <c r="C28" s="11" t="s">
        <v>43</v>
      </c>
      <c r="D28" s="9" t="s">
        <v>59</v>
      </c>
      <c r="E28" s="16" t="s">
        <v>128</v>
      </c>
      <c r="F28" s="9" t="s">
        <v>58</v>
      </c>
      <c r="G28" s="17" t="s">
        <v>129</v>
      </c>
      <c r="H28" s="16"/>
      <c r="I28" s="20"/>
      <c r="J28" s="19" t="s">
        <v>131</v>
      </c>
      <c r="K28" s="19" t="s">
        <v>132</v>
      </c>
      <c r="L28" s="19" t="s">
        <v>44</v>
      </c>
    </row>
    <row r="29" spans="1:12" s="1" customFormat="1">
      <c r="A29" s="15"/>
      <c r="B29" s="11" t="s">
        <v>82</v>
      </c>
      <c r="C29" s="11" t="s">
        <v>43</v>
      </c>
      <c r="D29" s="9" t="s">
        <v>105</v>
      </c>
      <c r="E29" s="16" t="s">
        <v>128</v>
      </c>
      <c r="F29" s="17" t="s">
        <v>82</v>
      </c>
      <c r="G29" s="17" t="s">
        <v>129</v>
      </c>
      <c r="H29" s="16"/>
      <c r="I29" s="20"/>
      <c r="J29" s="19" t="s">
        <v>131</v>
      </c>
      <c r="K29" s="19" t="s">
        <v>132</v>
      </c>
      <c r="L29" s="19" t="s">
        <v>44</v>
      </c>
    </row>
    <row r="30" spans="1:12" s="1" customFormat="1">
      <c r="A30" s="15"/>
      <c r="B30" s="11" t="s">
        <v>83</v>
      </c>
      <c r="C30" s="11" t="s">
        <v>43</v>
      </c>
      <c r="D30" s="9" t="s">
        <v>135</v>
      </c>
      <c r="E30" s="16" t="s">
        <v>128</v>
      </c>
      <c r="F30" s="17" t="s">
        <v>83</v>
      </c>
      <c r="G30" s="17" t="s">
        <v>129</v>
      </c>
      <c r="H30" s="16"/>
      <c r="I30" s="20"/>
      <c r="J30" s="19" t="s">
        <v>131</v>
      </c>
      <c r="K30" s="19" t="s">
        <v>132</v>
      </c>
      <c r="L30" s="19" t="s">
        <v>44</v>
      </c>
    </row>
    <row r="31" spans="1:12" s="1" customFormat="1">
      <c r="A31" s="15"/>
      <c r="B31" s="22" t="s">
        <v>195</v>
      </c>
      <c r="C31" s="11" t="s">
        <v>43</v>
      </c>
      <c r="D31" s="9" t="s">
        <v>106</v>
      </c>
      <c r="E31" s="16" t="s">
        <v>128</v>
      </c>
      <c r="F31" s="17" t="s">
        <v>84</v>
      </c>
      <c r="G31" s="17" t="s">
        <v>129</v>
      </c>
      <c r="H31" s="16"/>
      <c r="I31" s="20"/>
      <c r="J31" s="19" t="s">
        <v>131</v>
      </c>
      <c r="K31" s="19" t="s">
        <v>132</v>
      </c>
      <c r="L31" s="19" t="s">
        <v>44</v>
      </c>
    </row>
    <row r="32" spans="1:12" s="1" customFormat="1">
      <c r="B32" s="22" t="s">
        <v>85</v>
      </c>
      <c r="C32" s="11" t="s">
        <v>43</v>
      </c>
      <c r="D32" s="9" t="s">
        <v>107</v>
      </c>
      <c r="E32" s="16" t="s">
        <v>128</v>
      </c>
      <c r="F32" s="17" t="s">
        <v>85</v>
      </c>
      <c r="G32" s="17" t="s">
        <v>129</v>
      </c>
      <c r="H32" s="16"/>
      <c r="I32" s="19"/>
      <c r="J32" s="19" t="s">
        <v>131</v>
      </c>
      <c r="K32" s="19" t="s">
        <v>132</v>
      </c>
      <c r="L32" s="19" t="s">
        <v>44</v>
      </c>
    </row>
    <row r="33" spans="1:13" s="1" customFormat="1">
      <c r="B33" s="22" t="s">
        <v>86</v>
      </c>
      <c r="C33" s="11" t="s">
        <v>43</v>
      </c>
      <c r="D33" s="9" t="s">
        <v>108</v>
      </c>
      <c r="E33" s="16" t="s">
        <v>128</v>
      </c>
      <c r="F33" s="17" t="s">
        <v>86</v>
      </c>
      <c r="G33" s="17" t="s">
        <v>129</v>
      </c>
      <c r="H33" s="16"/>
      <c r="I33" s="19"/>
      <c r="J33" s="19" t="s">
        <v>131</v>
      </c>
      <c r="K33" s="19" t="s">
        <v>132</v>
      </c>
      <c r="L33" s="19" t="s">
        <v>44</v>
      </c>
    </row>
    <row r="34" spans="1:13" s="15" customFormat="1">
      <c r="B34" s="22" t="s">
        <v>87</v>
      </c>
      <c r="C34" s="11" t="s">
        <v>43</v>
      </c>
      <c r="D34" s="9" t="s">
        <v>109</v>
      </c>
      <c r="E34" s="16" t="s">
        <v>128</v>
      </c>
      <c r="F34" s="17" t="s">
        <v>87</v>
      </c>
      <c r="G34" s="17" t="s">
        <v>129</v>
      </c>
      <c r="H34" s="16"/>
      <c r="I34" s="20"/>
      <c r="J34" s="19" t="s">
        <v>131</v>
      </c>
      <c r="K34" s="19" t="s">
        <v>132</v>
      </c>
      <c r="L34" s="19" t="s">
        <v>679</v>
      </c>
      <c r="M34" s="1"/>
    </row>
    <row r="35" spans="1:13" s="15" customFormat="1">
      <c r="B35" s="22" t="s">
        <v>88</v>
      </c>
      <c r="C35" s="11" t="s">
        <v>43</v>
      </c>
      <c r="D35" s="9" t="s">
        <v>110</v>
      </c>
      <c r="E35" s="16" t="s">
        <v>128</v>
      </c>
      <c r="F35" s="17" t="s">
        <v>88</v>
      </c>
      <c r="G35" s="17" t="s">
        <v>129</v>
      </c>
      <c r="H35" s="16"/>
      <c r="I35" s="20"/>
      <c r="J35" s="19" t="s">
        <v>131</v>
      </c>
      <c r="K35" s="19" t="s">
        <v>132</v>
      </c>
      <c r="L35" s="19" t="s">
        <v>44</v>
      </c>
      <c r="M35" s="1"/>
    </row>
    <row r="36" spans="1:13" s="68" customFormat="1">
      <c r="A36" s="65"/>
      <c r="B36" s="66" t="s">
        <v>89</v>
      </c>
      <c r="C36" s="11" t="s">
        <v>43</v>
      </c>
      <c r="D36" s="9" t="s">
        <v>111</v>
      </c>
      <c r="E36" s="16" t="s">
        <v>128</v>
      </c>
      <c r="F36" s="17" t="s">
        <v>89</v>
      </c>
      <c r="G36" s="17" t="s">
        <v>129</v>
      </c>
      <c r="H36" s="16"/>
      <c r="I36" s="67"/>
      <c r="J36" s="19" t="s">
        <v>131</v>
      </c>
      <c r="K36" s="19" t="s">
        <v>132</v>
      </c>
      <c r="L36" s="19" t="s">
        <v>44</v>
      </c>
      <c r="M36" s="1"/>
    </row>
    <row r="37" spans="1:13" s="1" customFormat="1">
      <c r="B37" s="66" t="s">
        <v>1992</v>
      </c>
      <c r="C37" s="22" t="s">
        <v>46</v>
      </c>
      <c r="D37" s="9" t="s">
        <v>2006</v>
      </c>
      <c r="E37" s="16" t="s">
        <v>128</v>
      </c>
      <c r="F37" s="17" t="s">
        <v>1992</v>
      </c>
      <c r="G37" s="17" t="s">
        <v>129</v>
      </c>
      <c r="H37" s="16"/>
      <c r="I37" s="19"/>
      <c r="J37" s="19" t="s">
        <v>259</v>
      </c>
      <c r="K37" s="19" t="s">
        <v>132</v>
      </c>
      <c r="L37" s="19" t="s">
        <v>132</v>
      </c>
    </row>
    <row r="38" spans="1:13" s="1" customFormat="1">
      <c r="B38" s="66" t="s">
        <v>1998</v>
      </c>
      <c r="C38" s="22" t="s">
        <v>43</v>
      </c>
      <c r="D38" s="9" t="s">
        <v>2014</v>
      </c>
      <c r="E38" s="16" t="s">
        <v>128</v>
      </c>
      <c r="F38" s="17" t="s">
        <v>1998</v>
      </c>
      <c r="G38" s="17" t="s">
        <v>129</v>
      </c>
      <c r="H38" s="16"/>
      <c r="I38" s="19"/>
      <c r="J38" s="19" t="s">
        <v>259</v>
      </c>
      <c r="K38" s="19" t="s">
        <v>132</v>
      </c>
      <c r="L38" s="19" t="s">
        <v>132</v>
      </c>
    </row>
    <row r="39" spans="1:13" s="68" customFormat="1">
      <c r="A39" s="65"/>
      <c r="B39" s="66" t="s">
        <v>117</v>
      </c>
      <c r="C39" s="11" t="s">
        <v>46</v>
      </c>
      <c r="D39" s="9" t="s">
        <v>143</v>
      </c>
      <c r="E39" s="16" t="s">
        <v>128</v>
      </c>
      <c r="F39" s="17" t="s">
        <v>117</v>
      </c>
      <c r="G39" s="17" t="s">
        <v>129</v>
      </c>
      <c r="H39" s="16"/>
      <c r="I39" s="67"/>
      <c r="J39" s="19" t="s">
        <v>131</v>
      </c>
      <c r="K39" s="19" t="s">
        <v>132</v>
      </c>
      <c r="L39" s="19" t="s">
        <v>680</v>
      </c>
      <c r="M39" s="1"/>
    </row>
    <row r="40" spans="1:13" s="68" customFormat="1">
      <c r="A40" s="65"/>
      <c r="B40" s="66" t="s">
        <v>142</v>
      </c>
      <c r="C40" s="11" t="s">
        <v>46</v>
      </c>
      <c r="D40" s="9" t="s">
        <v>144</v>
      </c>
      <c r="E40" s="16" t="s">
        <v>128</v>
      </c>
      <c r="F40" s="13" t="s">
        <v>142</v>
      </c>
      <c r="G40" s="17" t="s">
        <v>129</v>
      </c>
      <c r="H40" s="16"/>
      <c r="I40" s="67"/>
      <c r="J40" s="19" t="s">
        <v>131</v>
      </c>
      <c r="K40" s="19" t="s">
        <v>132</v>
      </c>
      <c r="L40" s="19" t="s">
        <v>44</v>
      </c>
      <c r="M40" s="1"/>
    </row>
    <row r="41" spans="1:13" s="1" customFormat="1">
      <c r="A41" s="15"/>
      <c r="B41" s="11" t="s">
        <v>139</v>
      </c>
      <c r="C41" s="11" t="s">
        <v>43</v>
      </c>
      <c r="D41" s="9" t="s">
        <v>115</v>
      </c>
      <c r="E41" s="16" t="s">
        <v>128</v>
      </c>
      <c r="F41" s="17" t="s">
        <v>139</v>
      </c>
      <c r="G41" s="17" t="s">
        <v>129</v>
      </c>
      <c r="H41" s="16"/>
      <c r="I41" s="17"/>
      <c r="J41" s="19" t="s">
        <v>131</v>
      </c>
      <c r="K41" s="19" t="s">
        <v>132</v>
      </c>
      <c r="L41" s="19" t="s">
        <v>44</v>
      </c>
    </row>
    <row r="42" spans="1:13" s="1" customFormat="1">
      <c r="A42" s="15"/>
      <c r="B42" s="11" t="s">
        <v>197</v>
      </c>
      <c r="C42" s="11" t="s">
        <v>94</v>
      </c>
      <c r="D42" s="9" t="s">
        <v>198</v>
      </c>
      <c r="E42" s="16" t="s">
        <v>128</v>
      </c>
      <c r="F42" s="17" t="s">
        <v>197</v>
      </c>
      <c r="G42" s="17" t="s">
        <v>129</v>
      </c>
      <c r="H42" s="16"/>
      <c r="I42" s="17"/>
      <c r="J42" s="19" t="s">
        <v>131</v>
      </c>
      <c r="K42" s="19" t="s">
        <v>132</v>
      </c>
      <c r="L42" s="19" t="s">
        <v>281</v>
      </c>
    </row>
    <row r="43" spans="1:13" s="1" customFormat="1">
      <c r="A43" s="15"/>
      <c r="B43" s="11" t="s">
        <v>200</v>
      </c>
      <c r="C43" s="11" t="s">
        <v>94</v>
      </c>
      <c r="D43" s="9" t="s">
        <v>201</v>
      </c>
      <c r="E43" s="16" t="s">
        <v>128</v>
      </c>
      <c r="F43" s="17" t="s">
        <v>200</v>
      </c>
      <c r="G43" s="17" t="s">
        <v>129</v>
      </c>
      <c r="H43" s="16"/>
      <c r="I43" s="17"/>
      <c r="J43" s="19" t="s">
        <v>131</v>
      </c>
      <c r="K43" s="19" t="s">
        <v>132</v>
      </c>
      <c r="L43" s="19" t="s">
        <v>281</v>
      </c>
    </row>
    <row r="44" spans="1:13" s="1" customFormat="1">
      <c r="A44" s="15"/>
      <c r="B44" s="11" t="s">
        <v>3230</v>
      </c>
      <c r="C44" s="11" t="s">
        <v>45</v>
      </c>
      <c r="D44" s="9" t="s">
        <v>146</v>
      </c>
      <c r="E44" s="16" t="s">
        <v>128</v>
      </c>
      <c r="F44" s="17"/>
      <c r="G44" s="17" t="s">
        <v>1053</v>
      </c>
      <c r="H44" s="18"/>
      <c r="I44" s="17"/>
      <c r="J44" s="19" t="s">
        <v>133</v>
      </c>
      <c r="K44" s="19" t="s">
        <v>132</v>
      </c>
      <c r="L44" s="19" t="s">
        <v>134</v>
      </c>
    </row>
    <row r="45" spans="1:13" s="1" customFormat="1">
      <c r="A45" s="15"/>
      <c r="B45" s="11" t="s">
        <v>192</v>
      </c>
      <c r="C45" s="11" t="s">
        <v>45</v>
      </c>
      <c r="D45" s="9" t="s">
        <v>193</v>
      </c>
      <c r="E45" s="16" t="s">
        <v>128</v>
      </c>
      <c r="F45" s="17"/>
      <c r="G45" s="17" t="s">
        <v>194</v>
      </c>
      <c r="H45" s="18"/>
      <c r="I45" s="17"/>
      <c r="J45" s="19" t="s">
        <v>133</v>
      </c>
      <c r="K45" s="19" t="s">
        <v>132</v>
      </c>
      <c r="L45" s="19" t="s">
        <v>134</v>
      </c>
    </row>
    <row r="46" spans="1:13" s="1" customFormat="1">
      <c r="A46" s="15"/>
      <c r="B46" s="22" t="s">
        <v>255</v>
      </c>
      <c r="C46" s="22" t="s">
        <v>45</v>
      </c>
      <c r="D46" s="9" t="s">
        <v>348</v>
      </c>
      <c r="E46" s="16" t="s">
        <v>128</v>
      </c>
      <c r="F46" s="17"/>
      <c r="G46" s="17" t="s">
        <v>257</v>
      </c>
      <c r="H46" s="18"/>
      <c r="I46" s="17"/>
      <c r="J46" s="19" t="s">
        <v>133</v>
      </c>
      <c r="K46" s="19" t="s">
        <v>203</v>
      </c>
      <c r="L46" s="19" t="s">
        <v>134</v>
      </c>
    </row>
    <row r="47" spans="1:13" s="1" customFormat="1">
      <c r="A47" s="15"/>
      <c r="B47" s="11" t="s">
        <v>207</v>
      </c>
      <c r="C47" s="11" t="s">
        <v>45</v>
      </c>
      <c r="D47" s="9" t="s">
        <v>759</v>
      </c>
      <c r="E47" s="16" t="s">
        <v>128</v>
      </c>
      <c r="F47" s="72"/>
      <c r="G47" s="17" t="s">
        <v>320</v>
      </c>
      <c r="H47" s="18"/>
      <c r="I47" s="17"/>
      <c r="J47" s="19" t="s">
        <v>133</v>
      </c>
      <c r="K47" s="19" t="s">
        <v>204</v>
      </c>
      <c r="L47" s="19" t="s">
        <v>134</v>
      </c>
    </row>
    <row r="48" spans="1:13" s="1" customFormat="1">
      <c r="A48" s="15"/>
      <c r="B48" s="11" t="s">
        <v>208</v>
      </c>
      <c r="C48" s="11" t="s">
        <v>45</v>
      </c>
      <c r="D48" s="9" t="s">
        <v>160</v>
      </c>
      <c r="E48" s="16" t="s">
        <v>128</v>
      </c>
      <c r="F48" s="72"/>
      <c r="G48" s="17" t="s">
        <v>319</v>
      </c>
      <c r="H48" s="18"/>
      <c r="I48" s="17"/>
      <c r="J48" s="19" t="s">
        <v>133</v>
      </c>
      <c r="K48" s="19" t="s">
        <v>204</v>
      </c>
      <c r="L48" s="19" t="s">
        <v>134</v>
      </c>
    </row>
    <row r="49" spans="1:12" s="1" customFormat="1">
      <c r="A49" s="15"/>
      <c r="B49" s="11" t="s">
        <v>210</v>
      </c>
      <c r="C49" s="11" t="s">
        <v>45</v>
      </c>
      <c r="D49" s="9" t="s">
        <v>1056</v>
      </c>
      <c r="E49" s="16" t="s">
        <v>128</v>
      </c>
      <c r="F49" s="72"/>
      <c r="G49" s="17" t="s">
        <v>224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209</v>
      </c>
      <c r="C50" s="11" t="s">
        <v>45</v>
      </c>
      <c r="D50" s="9" t="s">
        <v>1055</v>
      </c>
      <c r="E50" s="16" t="s">
        <v>128</v>
      </c>
      <c r="F50" s="72"/>
      <c r="G50" s="17" t="s">
        <v>223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211</v>
      </c>
      <c r="C51" s="11" t="s">
        <v>45</v>
      </c>
      <c r="D51" s="9" t="s">
        <v>163</v>
      </c>
      <c r="E51" s="16" t="s">
        <v>128</v>
      </c>
      <c r="F51" s="72"/>
      <c r="G51" s="17" t="s">
        <v>225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212</v>
      </c>
      <c r="C52" s="11" t="s">
        <v>45</v>
      </c>
      <c r="D52" s="9" t="s">
        <v>164</v>
      </c>
      <c r="E52" s="16" t="s">
        <v>128</v>
      </c>
      <c r="F52" s="72"/>
      <c r="G52" s="17" t="s">
        <v>226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213</v>
      </c>
      <c r="C53" s="11" t="s">
        <v>45</v>
      </c>
      <c r="D53" s="9" t="s">
        <v>165</v>
      </c>
      <c r="E53" s="16" t="s">
        <v>128</v>
      </c>
      <c r="F53" s="72"/>
      <c r="G53" s="17" t="s">
        <v>766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214</v>
      </c>
      <c r="C54" s="11" t="s">
        <v>45</v>
      </c>
      <c r="D54" s="9" t="s">
        <v>166</v>
      </c>
      <c r="E54" s="16" t="s">
        <v>128</v>
      </c>
      <c r="F54" s="72"/>
      <c r="G54" s="17" t="s">
        <v>767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217</v>
      </c>
      <c r="C55" s="11" t="s">
        <v>45</v>
      </c>
      <c r="D55" s="9" t="s">
        <v>171</v>
      </c>
      <c r="E55" s="16" t="s">
        <v>128</v>
      </c>
      <c r="F55" s="72"/>
      <c r="G55" s="17" t="s">
        <v>779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218</v>
      </c>
      <c r="C56" s="11" t="s">
        <v>45</v>
      </c>
      <c r="D56" s="9" t="s">
        <v>172</v>
      </c>
      <c r="E56" s="16" t="s">
        <v>128</v>
      </c>
      <c r="F56" s="72"/>
      <c r="G56" s="17" t="s">
        <v>780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219</v>
      </c>
      <c r="C57" s="11" t="s">
        <v>45</v>
      </c>
      <c r="D57" s="9" t="s">
        <v>173</v>
      </c>
      <c r="E57" s="16" t="s">
        <v>128</v>
      </c>
      <c r="F57" s="72"/>
      <c r="G57" s="17" t="s">
        <v>1047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220</v>
      </c>
      <c r="C58" s="11" t="s">
        <v>45</v>
      </c>
      <c r="D58" s="9" t="s">
        <v>174</v>
      </c>
      <c r="E58" s="16" t="s">
        <v>128</v>
      </c>
      <c r="F58" s="72"/>
      <c r="G58" s="17" t="s">
        <v>771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215</v>
      </c>
      <c r="C59" s="11" t="s">
        <v>45</v>
      </c>
      <c r="D59" s="9" t="s">
        <v>1260</v>
      </c>
      <c r="E59" s="16" t="s">
        <v>128</v>
      </c>
      <c r="F59" s="72"/>
      <c r="G59" s="17" t="s">
        <v>227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216</v>
      </c>
      <c r="C60" s="11" t="s">
        <v>45</v>
      </c>
      <c r="D60" s="9" t="s">
        <v>1261</v>
      </c>
      <c r="E60" s="16" t="s">
        <v>128</v>
      </c>
      <c r="F60" s="72"/>
      <c r="G60" s="17" t="s">
        <v>228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316</v>
      </c>
      <c r="C61" s="11" t="s">
        <v>45</v>
      </c>
      <c r="D61" s="9" t="s">
        <v>167</v>
      </c>
      <c r="E61" s="16" t="s">
        <v>128</v>
      </c>
      <c r="F61" s="72"/>
      <c r="G61" s="17" t="s">
        <v>772</v>
      </c>
      <c r="H61" s="18"/>
      <c r="I61" s="17"/>
      <c r="J61" s="19" t="s">
        <v>133</v>
      </c>
      <c r="K61" s="19" t="s">
        <v>202</v>
      </c>
      <c r="L61" s="19" t="s">
        <v>67</v>
      </c>
    </row>
    <row r="62" spans="1:12" s="1" customFormat="1">
      <c r="A62" s="15"/>
      <c r="B62" s="11" t="s">
        <v>809</v>
      </c>
      <c r="C62" s="11" t="s">
        <v>45</v>
      </c>
      <c r="D62" s="9" t="s">
        <v>175</v>
      </c>
      <c r="E62" s="16" t="s">
        <v>128</v>
      </c>
      <c r="F62" s="72"/>
      <c r="G62" s="17" t="s">
        <v>781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317</v>
      </c>
      <c r="C63" s="11" t="s">
        <v>45</v>
      </c>
      <c r="D63" s="9" t="s">
        <v>168</v>
      </c>
      <c r="E63" s="16" t="s">
        <v>128</v>
      </c>
      <c r="F63" s="72"/>
      <c r="G63" s="17" t="s">
        <v>778</v>
      </c>
      <c r="H63" s="18"/>
      <c r="I63" s="17"/>
      <c r="J63" s="19" t="s">
        <v>133</v>
      </c>
      <c r="K63" s="19" t="s">
        <v>202</v>
      </c>
      <c r="L63" s="19" t="s">
        <v>67</v>
      </c>
    </row>
    <row r="64" spans="1:12" s="1" customFormat="1">
      <c r="A64" s="15"/>
      <c r="B64" s="11" t="s">
        <v>810</v>
      </c>
      <c r="C64" s="11" t="s">
        <v>45</v>
      </c>
      <c r="D64" s="9" t="s">
        <v>176</v>
      </c>
      <c r="E64" s="16" t="s">
        <v>128</v>
      </c>
      <c r="F64" s="72"/>
      <c r="G64" s="17" t="s">
        <v>782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1213</v>
      </c>
      <c r="C65" s="11" t="s">
        <v>45</v>
      </c>
      <c r="D65" s="9" t="s">
        <v>178</v>
      </c>
      <c r="E65" s="16" t="s">
        <v>128</v>
      </c>
      <c r="F65" s="72"/>
      <c r="G65" s="17" t="s">
        <v>783</v>
      </c>
      <c r="H65" s="18"/>
      <c r="I65" s="17"/>
      <c r="J65" s="19" t="s">
        <v>133</v>
      </c>
      <c r="K65" s="19" t="s">
        <v>202</v>
      </c>
      <c r="L65" s="19" t="s">
        <v>67</v>
      </c>
    </row>
    <row r="66" spans="1:12" s="1" customFormat="1">
      <c r="A66" s="15"/>
      <c r="B66" s="11" t="s">
        <v>221</v>
      </c>
      <c r="C66" s="11" t="s">
        <v>45</v>
      </c>
      <c r="D66" s="9" t="s">
        <v>177</v>
      </c>
      <c r="E66" s="16" t="s">
        <v>128</v>
      </c>
      <c r="F66" s="72"/>
      <c r="G66" s="17" t="s">
        <v>784</v>
      </c>
      <c r="H66" s="18"/>
      <c r="I66" s="17"/>
      <c r="J66" s="19" t="s">
        <v>133</v>
      </c>
      <c r="K66" s="19" t="s">
        <v>204</v>
      </c>
      <c r="L66" s="19" t="s">
        <v>67</v>
      </c>
    </row>
    <row r="67" spans="1:12" s="1" customFormat="1">
      <c r="A67" s="15"/>
      <c r="B67" s="11" t="s">
        <v>1212</v>
      </c>
      <c r="C67" s="11" t="s">
        <v>45</v>
      </c>
      <c r="D67" s="9" t="s">
        <v>180</v>
      </c>
      <c r="E67" s="16" t="s">
        <v>128</v>
      </c>
      <c r="F67" s="72"/>
      <c r="G67" s="17" t="s">
        <v>785</v>
      </c>
      <c r="H67" s="18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" t="s">
        <v>222</v>
      </c>
      <c r="C68" s="11" t="s">
        <v>45</v>
      </c>
      <c r="D68" s="9" t="s">
        <v>179</v>
      </c>
      <c r="E68" s="16" t="s">
        <v>128</v>
      </c>
      <c r="F68" s="72"/>
      <c r="G68" s="17" t="s">
        <v>786</v>
      </c>
      <c r="H68" s="18"/>
      <c r="I68" s="17"/>
      <c r="J68" s="19" t="s">
        <v>133</v>
      </c>
      <c r="K68" s="19" t="s">
        <v>204</v>
      </c>
      <c r="L68" s="19" t="s">
        <v>67</v>
      </c>
    </row>
    <row r="69" spans="1:12" s="1" customFormat="1">
      <c r="A69" s="15"/>
      <c r="B69" s="11" t="s">
        <v>2167</v>
      </c>
      <c r="C69" s="11" t="s">
        <v>45</v>
      </c>
      <c r="D69" s="9" t="s">
        <v>2165</v>
      </c>
      <c r="E69" s="16" t="s">
        <v>128</v>
      </c>
      <c r="F69" s="72"/>
      <c r="G69" s="17" t="s">
        <v>2169</v>
      </c>
      <c r="H69" s="18"/>
      <c r="I69" s="17"/>
      <c r="J69" s="19" t="s">
        <v>133</v>
      </c>
      <c r="K69" s="19" t="s">
        <v>903</v>
      </c>
      <c r="L69" s="19" t="s">
        <v>2171</v>
      </c>
    </row>
    <row r="70" spans="1:12" s="1" customFormat="1">
      <c r="A70" s="15"/>
      <c r="B70" s="11" t="s">
        <v>2168</v>
      </c>
      <c r="C70" s="11" t="s">
        <v>45</v>
      </c>
      <c r="D70" s="9" t="s">
        <v>2166</v>
      </c>
      <c r="E70" s="16" t="s">
        <v>128</v>
      </c>
      <c r="F70" s="72"/>
      <c r="G70" s="17" t="s">
        <v>2170</v>
      </c>
      <c r="H70" s="18"/>
      <c r="I70" s="17"/>
      <c r="J70" s="19" t="s">
        <v>133</v>
      </c>
      <c r="K70" s="19" t="s">
        <v>903</v>
      </c>
      <c r="L70" s="19" t="s">
        <v>2171</v>
      </c>
    </row>
    <row r="71" spans="1:12" s="1" customFormat="1">
      <c r="A71" s="15"/>
      <c r="B71" s="11" t="s">
        <v>2179</v>
      </c>
      <c r="C71" s="11" t="s">
        <v>45</v>
      </c>
      <c r="D71" s="9" t="s">
        <v>2011</v>
      </c>
      <c r="E71" s="16" t="s">
        <v>128</v>
      </c>
      <c r="F71" s="72"/>
      <c r="G71" s="17" t="s">
        <v>2180</v>
      </c>
      <c r="H71" s="18"/>
      <c r="I71" s="17"/>
      <c r="J71" s="19" t="s">
        <v>133</v>
      </c>
      <c r="K71" s="19" t="s">
        <v>2243</v>
      </c>
      <c r="L71" s="19" t="s">
        <v>134</v>
      </c>
    </row>
    <row r="72" spans="1:12" s="1" customFormat="1">
      <c r="A72" s="15"/>
      <c r="B72" s="11" t="s">
        <v>2172</v>
      </c>
      <c r="C72" s="11" t="s">
        <v>45</v>
      </c>
      <c r="D72" s="9" t="s">
        <v>2173</v>
      </c>
      <c r="E72" s="16" t="s">
        <v>128</v>
      </c>
      <c r="F72" s="72"/>
      <c r="G72" s="17" t="s">
        <v>2177</v>
      </c>
      <c r="H72" s="18"/>
      <c r="I72" s="17"/>
      <c r="J72" s="19" t="s">
        <v>133</v>
      </c>
      <c r="K72" s="19" t="s">
        <v>2239</v>
      </c>
      <c r="L72" s="19" t="s">
        <v>134</v>
      </c>
    </row>
    <row r="73" spans="1:12" s="1" customFormat="1">
      <c r="A73" s="15"/>
      <c r="B73" s="11" t="s">
        <v>2174</v>
      </c>
      <c r="C73" s="11" t="s">
        <v>45</v>
      </c>
      <c r="D73" s="9" t="s">
        <v>2175</v>
      </c>
      <c r="E73" s="16" t="s">
        <v>128</v>
      </c>
      <c r="F73" s="72"/>
      <c r="G73" s="17" t="s">
        <v>2178</v>
      </c>
      <c r="H73" s="18"/>
      <c r="I73" s="17"/>
      <c r="J73" s="19" t="s">
        <v>133</v>
      </c>
      <c r="K73" s="19" t="s">
        <v>2239</v>
      </c>
      <c r="L73" s="19" t="s">
        <v>134</v>
      </c>
    </row>
    <row r="74" spans="1:12" s="1" customFormat="1">
      <c r="A74" s="15"/>
      <c r="B74" s="11" t="s">
        <v>2181</v>
      </c>
      <c r="C74" s="11" t="s">
        <v>45</v>
      </c>
      <c r="D74" s="9" t="s">
        <v>2507</v>
      </c>
      <c r="E74" s="16" t="s">
        <v>128</v>
      </c>
      <c r="F74" s="72"/>
      <c r="G74" s="17" t="s">
        <v>2503</v>
      </c>
      <c r="H74" s="18"/>
      <c r="I74" s="17"/>
      <c r="J74" s="19" t="s">
        <v>133</v>
      </c>
      <c r="K74" s="19" t="s">
        <v>2239</v>
      </c>
      <c r="L74" s="19" t="s">
        <v>134</v>
      </c>
    </row>
    <row r="75" spans="1:12" s="1" customFormat="1">
      <c r="A75" s="15"/>
      <c r="B75" s="11" t="s">
        <v>2183</v>
      </c>
      <c r="C75" s="11" t="s">
        <v>45</v>
      </c>
      <c r="D75" s="9" t="s">
        <v>2508</v>
      </c>
      <c r="E75" s="16" t="s">
        <v>128</v>
      </c>
      <c r="F75" s="72"/>
      <c r="G75" s="17" t="s">
        <v>2504</v>
      </c>
      <c r="H75" s="18"/>
      <c r="I75" s="17"/>
      <c r="J75" s="19" t="s">
        <v>133</v>
      </c>
      <c r="K75" s="19" t="s">
        <v>2239</v>
      </c>
      <c r="L75" s="19" t="s">
        <v>134</v>
      </c>
    </row>
    <row r="76" spans="1:12" s="1" customFormat="1">
      <c r="A76" s="15"/>
      <c r="B76" s="11" t="s">
        <v>2185</v>
      </c>
      <c r="C76" s="11" t="s">
        <v>45</v>
      </c>
      <c r="D76" s="9" t="s">
        <v>2190</v>
      </c>
      <c r="E76" s="16" t="s">
        <v>128</v>
      </c>
      <c r="F76" s="72"/>
      <c r="G76" s="17" t="s">
        <v>2505</v>
      </c>
      <c r="H76" s="18"/>
      <c r="I76" s="17"/>
      <c r="J76" s="19" t="s">
        <v>133</v>
      </c>
      <c r="K76" s="19" t="s">
        <v>2244</v>
      </c>
      <c r="L76" s="19" t="s">
        <v>134</v>
      </c>
    </row>
    <row r="77" spans="1:12" s="1" customFormat="1">
      <c r="A77" s="15"/>
      <c r="B77" s="11" t="s">
        <v>2186</v>
      </c>
      <c r="C77" s="11" t="s">
        <v>45</v>
      </c>
      <c r="D77" s="9" t="s">
        <v>2191</v>
      </c>
      <c r="E77" s="16" t="s">
        <v>128</v>
      </c>
      <c r="F77" s="72"/>
      <c r="G77" s="17" t="s">
        <v>2506</v>
      </c>
      <c r="H77" s="18"/>
      <c r="I77" s="17"/>
      <c r="J77" s="19" t="s">
        <v>133</v>
      </c>
      <c r="K77" s="19" t="s">
        <v>2243</v>
      </c>
      <c r="L77" s="19" t="s">
        <v>134</v>
      </c>
    </row>
    <row r="78" spans="1:12" s="1" customFormat="1">
      <c r="A78" s="15"/>
      <c r="B78" s="11" t="s">
        <v>2245</v>
      </c>
      <c r="C78" s="11" t="s">
        <v>45</v>
      </c>
      <c r="D78" s="9" t="s">
        <v>2189</v>
      </c>
      <c r="E78" s="16" t="s">
        <v>128</v>
      </c>
      <c r="F78" s="72"/>
      <c r="G78" s="17" t="s">
        <v>2192</v>
      </c>
      <c r="H78" s="18"/>
      <c r="I78" s="17"/>
      <c r="J78" s="19" t="s">
        <v>133</v>
      </c>
      <c r="K78" s="19" t="s">
        <v>2244</v>
      </c>
      <c r="L78" s="19" t="s">
        <v>134</v>
      </c>
    </row>
    <row r="79" spans="1:12" s="1" customFormat="1">
      <c r="A79" s="15"/>
      <c r="B79" s="11" t="s">
        <v>2159</v>
      </c>
      <c r="C79" s="95" t="s">
        <v>2039</v>
      </c>
      <c r="D79" s="9" t="s">
        <v>2161</v>
      </c>
      <c r="E79" s="16" t="s">
        <v>128</v>
      </c>
      <c r="F79" s="72"/>
      <c r="G79" s="17" t="s">
        <v>2163</v>
      </c>
      <c r="H79" s="18"/>
      <c r="I79" s="17"/>
      <c r="J79" s="19" t="s">
        <v>133</v>
      </c>
      <c r="K79" s="19" t="s">
        <v>203</v>
      </c>
      <c r="L79" s="19" t="s">
        <v>67</v>
      </c>
    </row>
    <row r="80" spans="1:12" s="1" customFormat="1">
      <c r="A80" s="15"/>
      <c r="B80" s="11" t="s">
        <v>2160</v>
      </c>
      <c r="C80" s="95" t="s">
        <v>2039</v>
      </c>
      <c r="D80" s="9" t="s">
        <v>2162</v>
      </c>
      <c r="E80" s="16" t="s">
        <v>128</v>
      </c>
      <c r="F80" s="72"/>
      <c r="G80" s="17" t="s">
        <v>2164</v>
      </c>
      <c r="H80" s="18"/>
      <c r="I80" s="17"/>
      <c r="J80" s="19" t="s">
        <v>133</v>
      </c>
      <c r="K80" s="19" t="s">
        <v>202</v>
      </c>
      <c r="L80" s="19" t="s">
        <v>67</v>
      </c>
    </row>
    <row r="81" spans="1:12" s="1" customFormat="1">
      <c r="A81" s="15"/>
      <c r="B81" s="11" t="s">
        <v>205</v>
      </c>
      <c r="C81" s="11" t="s">
        <v>45</v>
      </c>
      <c r="D81" s="9" t="s">
        <v>147</v>
      </c>
      <c r="E81" s="16" t="s">
        <v>128</v>
      </c>
      <c r="F81" s="72"/>
      <c r="G81" s="17" t="s">
        <v>1047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206</v>
      </c>
      <c r="C82" s="11" t="s">
        <v>280</v>
      </c>
      <c r="D82" s="9" t="s">
        <v>820</v>
      </c>
      <c r="E82" s="16" t="s">
        <v>128</v>
      </c>
      <c r="F82" s="72"/>
      <c r="G82" s="17" t="s">
        <v>821</v>
      </c>
      <c r="H82" s="18"/>
      <c r="I82" s="17"/>
      <c r="J82" s="19" t="s">
        <v>133</v>
      </c>
      <c r="K82" s="19" t="s">
        <v>202</v>
      </c>
      <c r="L82" s="19" t="s">
        <v>67</v>
      </c>
    </row>
    <row r="83" spans="1:12" s="1" customFormat="1">
      <c r="A83" s="15"/>
      <c r="B83" s="11" t="s">
        <v>1022</v>
      </c>
      <c r="C83" s="11" t="s">
        <v>45</v>
      </c>
      <c r="D83" s="9" t="s">
        <v>1018</v>
      </c>
      <c r="E83" s="16" t="s">
        <v>128</v>
      </c>
      <c r="F83" s="72"/>
      <c r="G83" s="17" t="s">
        <v>787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1014</v>
      </c>
      <c r="C84" s="11" t="s">
        <v>45</v>
      </c>
      <c r="D84" s="9" t="s">
        <v>1019</v>
      </c>
      <c r="E84" s="16" t="s">
        <v>128</v>
      </c>
      <c r="F84" s="72"/>
      <c r="G84" s="17" t="s">
        <v>788</v>
      </c>
      <c r="H84" s="18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1015</v>
      </c>
      <c r="C85" s="11" t="s">
        <v>45</v>
      </c>
      <c r="D85" s="9" t="s">
        <v>1020</v>
      </c>
      <c r="E85" s="16" t="s">
        <v>128</v>
      </c>
      <c r="F85" s="72"/>
      <c r="G85" s="17" t="s">
        <v>789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1016</v>
      </c>
      <c r="C86" s="11" t="s">
        <v>45</v>
      </c>
      <c r="D86" s="9" t="s">
        <v>1021</v>
      </c>
      <c r="E86" s="16" t="s">
        <v>128</v>
      </c>
      <c r="F86" s="72"/>
      <c r="G86" s="17" t="s">
        <v>790</v>
      </c>
      <c r="H86" s="18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1017</v>
      </c>
      <c r="C87" s="11" t="s">
        <v>45</v>
      </c>
      <c r="D87" s="9" t="s">
        <v>1042</v>
      </c>
      <c r="E87" s="16" t="s">
        <v>128</v>
      </c>
      <c r="F87" s="72"/>
      <c r="G87" s="17" t="s">
        <v>791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1049</v>
      </c>
      <c r="C88" s="11" t="s">
        <v>45</v>
      </c>
      <c r="D88" s="9" t="s">
        <v>153</v>
      </c>
      <c r="E88" s="16" t="s">
        <v>128</v>
      </c>
      <c r="F88" s="72"/>
      <c r="G88" s="17" t="s">
        <v>1048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823</v>
      </c>
      <c r="C89" s="11" t="s">
        <v>280</v>
      </c>
      <c r="D89" s="9" t="s">
        <v>1474</v>
      </c>
      <c r="E89" s="16" t="s">
        <v>128</v>
      </c>
      <c r="F89" s="72"/>
      <c r="G89" s="17" t="s">
        <v>822</v>
      </c>
      <c r="H89" s="18"/>
      <c r="I89" s="17"/>
      <c r="J89" s="19" t="s">
        <v>133</v>
      </c>
      <c r="K89" s="19" t="s">
        <v>202</v>
      </c>
      <c r="L89" s="19" t="s">
        <v>67</v>
      </c>
    </row>
    <row r="90" spans="1:12" s="1" customFormat="1">
      <c r="A90" s="15"/>
      <c r="B90" s="11" t="s">
        <v>1030</v>
      </c>
      <c r="C90" s="11" t="s">
        <v>45</v>
      </c>
      <c r="D90" s="9" t="s">
        <v>1026</v>
      </c>
      <c r="E90" s="16" t="s">
        <v>128</v>
      </c>
      <c r="F90" s="72"/>
      <c r="G90" s="17" t="s">
        <v>792</v>
      </c>
      <c r="H90" s="18"/>
      <c r="I90" s="17"/>
      <c r="J90" s="19" t="s">
        <v>133</v>
      </c>
      <c r="K90" s="19" t="s">
        <v>44</v>
      </c>
      <c r="L90" s="19" t="s">
        <v>67</v>
      </c>
    </row>
    <row r="91" spans="1:12" s="1" customFormat="1">
      <c r="A91" s="15"/>
      <c r="B91" s="11" t="s">
        <v>1023</v>
      </c>
      <c r="C91" s="11" t="s">
        <v>45</v>
      </c>
      <c r="D91" s="9" t="s">
        <v>1027</v>
      </c>
      <c r="E91" s="16" t="s">
        <v>128</v>
      </c>
      <c r="F91" s="72"/>
      <c r="G91" s="17" t="s">
        <v>793</v>
      </c>
      <c r="H91" s="18"/>
      <c r="I91" s="17"/>
      <c r="J91" s="19" t="s">
        <v>133</v>
      </c>
      <c r="K91" s="19" t="s">
        <v>44</v>
      </c>
      <c r="L91" s="19" t="s">
        <v>67</v>
      </c>
    </row>
    <row r="92" spans="1:12" s="1" customFormat="1">
      <c r="A92" s="15"/>
      <c r="B92" s="11" t="s">
        <v>1024</v>
      </c>
      <c r="C92" s="11" t="s">
        <v>45</v>
      </c>
      <c r="D92" s="9" t="s">
        <v>1028</v>
      </c>
      <c r="E92" s="16" t="s">
        <v>128</v>
      </c>
      <c r="F92" s="72"/>
      <c r="G92" s="17" t="s">
        <v>794</v>
      </c>
      <c r="H92" s="18"/>
      <c r="I92" s="17"/>
      <c r="J92" s="19" t="s">
        <v>133</v>
      </c>
      <c r="K92" s="19" t="s">
        <v>44</v>
      </c>
      <c r="L92" s="19" t="s">
        <v>67</v>
      </c>
    </row>
    <row r="93" spans="1:12" s="1" customFormat="1">
      <c r="A93" s="15"/>
      <c r="B93" s="11" t="s">
        <v>1032</v>
      </c>
      <c r="C93" s="11" t="s">
        <v>45</v>
      </c>
      <c r="D93" s="9" t="s">
        <v>1029</v>
      </c>
      <c r="E93" s="16" t="s">
        <v>128</v>
      </c>
      <c r="F93" s="72"/>
      <c r="G93" s="17" t="s">
        <v>795</v>
      </c>
      <c r="H93" s="18"/>
      <c r="I93" s="17"/>
      <c r="J93" s="19" t="s">
        <v>133</v>
      </c>
      <c r="K93" s="19" t="s">
        <v>44</v>
      </c>
      <c r="L93" s="19" t="s">
        <v>67</v>
      </c>
    </row>
    <row r="94" spans="1:12" s="1" customFormat="1">
      <c r="A94" s="15"/>
      <c r="B94" s="11" t="s">
        <v>1025</v>
      </c>
      <c r="C94" s="11" t="s">
        <v>45</v>
      </c>
      <c r="D94" s="9" t="s">
        <v>1043</v>
      </c>
      <c r="E94" s="16" t="s">
        <v>128</v>
      </c>
      <c r="F94" s="72"/>
      <c r="G94" s="17" t="s">
        <v>796</v>
      </c>
      <c r="H94" s="18"/>
      <c r="I94" s="17"/>
      <c r="J94" s="19" t="s">
        <v>133</v>
      </c>
      <c r="K94" s="19" t="s">
        <v>44</v>
      </c>
      <c r="L94" s="19" t="s">
        <v>67</v>
      </c>
    </row>
    <row r="95" spans="1:12" s="1" customFormat="1">
      <c r="A95" s="15"/>
      <c r="B95" s="11" t="s">
        <v>1084</v>
      </c>
      <c r="C95" s="11" t="s">
        <v>280</v>
      </c>
      <c r="D95" s="9" t="s">
        <v>1086</v>
      </c>
      <c r="E95" s="16" t="s">
        <v>128</v>
      </c>
      <c r="F95" s="72"/>
      <c r="G95" s="17" t="s">
        <v>1085</v>
      </c>
      <c r="H95" s="18"/>
      <c r="I95" s="17"/>
      <c r="J95" s="19" t="s">
        <v>133</v>
      </c>
      <c r="K95" s="19" t="s">
        <v>202</v>
      </c>
      <c r="L95" s="19" t="s">
        <v>67</v>
      </c>
    </row>
    <row r="96" spans="1:12" s="1" customFormat="1">
      <c r="A96" s="15"/>
      <c r="B96" s="11" t="s">
        <v>1083</v>
      </c>
      <c r="C96" s="11" t="s">
        <v>280</v>
      </c>
      <c r="D96" s="9" t="s">
        <v>841</v>
      </c>
      <c r="E96" s="16" t="s">
        <v>128</v>
      </c>
      <c r="F96" s="72"/>
      <c r="G96" s="17" t="s">
        <v>840</v>
      </c>
      <c r="H96" s="18"/>
      <c r="I96" s="17"/>
      <c r="J96" s="19" t="s">
        <v>133</v>
      </c>
      <c r="K96" s="19" t="s">
        <v>202</v>
      </c>
      <c r="L96" s="19" t="s">
        <v>67</v>
      </c>
    </row>
    <row r="97" spans="1:12" s="1" customFormat="1">
      <c r="A97" s="15"/>
      <c r="B97" s="11" t="s">
        <v>1033</v>
      </c>
      <c r="C97" s="11" t="s">
        <v>45</v>
      </c>
      <c r="D97" s="9" t="s">
        <v>1038</v>
      </c>
      <c r="E97" s="16" t="s">
        <v>128</v>
      </c>
      <c r="F97" s="72"/>
      <c r="G97" s="17" t="s">
        <v>1031</v>
      </c>
      <c r="H97" s="18"/>
      <c r="I97" s="17"/>
      <c r="J97" s="19" t="s">
        <v>133</v>
      </c>
      <c r="K97" s="19" t="s">
        <v>44</v>
      </c>
      <c r="L97" s="19" t="s">
        <v>67</v>
      </c>
    </row>
    <row r="98" spans="1:12" s="1" customFormat="1">
      <c r="A98" s="15"/>
      <c r="B98" s="11" t="s">
        <v>1034</v>
      </c>
      <c r="C98" s="11" t="s">
        <v>45</v>
      </c>
      <c r="D98" s="9" t="s">
        <v>1039</v>
      </c>
      <c r="E98" s="16" t="s">
        <v>128</v>
      </c>
      <c r="F98" s="72"/>
      <c r="G98" s="17" t="s">
        <v>898</v>
      </c>
      <c r="H98" s="18"/>
      <c r="I98" s="17"/>
      <c r="J98" s="19" t="s">
        <v>133</v>
      </c>
      <c r="K98" s="19" t="s">
        <v>44</v>
      </c>
      <c r="L98" s="19" t="s">
        <v>67</v>
      </c>
    </row>
    <row r="99" spans="1:12" s="1" customFormat="1">
      <c r="A99" s="15"/>
      <c r="B99" s="11" t="s">
        <v>1035</v>
      </c>
      <c r="C99" s="11" t="s">
        <v>45</v>
      </c>
      <c r="D99" s="9" t="s">
        <v>1040</v>
      </c>
      <c r="E99" s="16" t="s">
        <v>128</v>
      </c>
      <c r="F99" s="72"/>
      <c r="G99" s="17" t="s">
        <v>899</v>
      </c>
      <c r="H99" s="18"/>
      <c r="I99" s="17"/>
      <c r="J99" s="19" t="s">
        <v>133</v>
      </c>
      <c r="K99" s="19" t="s">
        <v>44</v>
      </c>
      <c r="L99" s="19" t="s">
        <v>67</v>
      </c>
    </row>
    <row r="100" spans="1:12" s="1" customFormat="1">
      <c r="A100" s="15"/>
      <c r="B100" s="11" t="s">
        <v>1036</v>
      </c>
      <c r="C100" s="11" t="s">
        <v>45</v>
      </c>
      <c r="D100" s="9" t="s">
        <v>1041</v>
      </c>
      <c r="E100" s="16" t="s">
        <v>128</v>
      </c>
      <c r="F100" s="72"/>
      <c r="G100" s="17" t="s">
        <v>900</v>
      </c>
      <c r="H100" s="18"/>
      <c r="I100" s="17"/>
      <c r="J100" s="19" t="s">
        <v>133</v>
      </c>
      <c r="K100" s="19" t="s">
        <v>44</v>
      </c>
      <c r="L100" s="19" t="s">
        <v>67</v>
      </c>
    </row>
    <row r="101" spans="1:12" s="1" customFormat="1">
      <c r="A101" s="15"/>
      <c r="B101" s="11" t="s">
        <v>1037</v>
      </c>
      <c r="C101" s="11" t="s">
        <v>45</v>
      </c>
      <c r="D101" s="9" t="s">
        <v>1044</v>
      </c>
      <c r="E101" s="16" t="s">
        <v>128</v>
      </c>
      <c r="F101" s="72"/>
      <c r="G101" s="17" t="s">
        <v>901</v>
      </c>
      <c r="H101" s="18"/>
      <c r="I101" s="17"/>
      <c r="J101" s="19" t="s">
        <v>133</v>
      </c>
      <c r="K101" s="19" t="s">
        <v>44</v>
      </c>
      <c r="L101" s="19" t="s">
        <v>67</v>
      </c>
    </row>
    <row r="102" spans="1:12" s="1" customFormat="1">
      <c r="A102" s="15"/>
      <c r="B102" s="11" t="s">
        <v>816</v>
      </c>
      <c r="C102" s="11" t="s">
        <v>280</v>
      </c>
      <c r="D102" s="9" t="s">
        <v>839</v>
      </c>
      <c r="E102" s="16" t="s">
        <v>128</v>
      </c>
      <c r="F102" s="72"/>
      <c r="G102" s="17" t="s">
        <v>838</v>
      </c>
      <c r="H102" s="18"/>
      <c r="I102" s="17"/>
      <c r="J102" s="19" t="s">
        <v>133</v>
      </c>
      <c r="K102" s="19" t="s">
        <v>202</v>
      </c>
      <c r="L102" s="19" t="s">
        <v>67</v>
      </c>
    </row>
    <row r="103" spans="1:12" s="1" customFormat="1">
      <c r="A103" s="15"/>
      <c r="B103" s="11" t="s">
        <v>817</v>
      </c>
      <c r="C103" s="11" t="s">
        <v>45</v>
      </c>
      <c r="D103" s="9" t="s">
        <v>658</v>
      </c>
      <c r="E103" s="16" t="s">
        <v>128</v>
      </c>
      <c r="F103" s="72"/>
      <c r="G103" s="17" t="s">
        <v>1045</v>
      </c>
      <c r="H103" s="18"/>
      <c r="I103" s="17"/>
      <c r="J103" s="19" t="s">
        <v>133</v>
      </c>
      <c r="K103" s="19" t="s">
        <v>44</v>
      </c>
      <c r="L103" s="19" t="s">
        <v>67</v>
      </c>
    </row>
    <row r="104" spans="1:12" s="1" customFormat="1">
      <c r="A104" s="15"/>
      <c r="B104" s="11" t="s">
        <v>818</v>
      </c>
      <c r="C104" s="11" t="s">
        <v>280</v>
      </c>
      <c r="D104" s="9" t="s">
        <v>842</v>
      </c>
      <c r="E104" s="16" t="s">
        <v>128</v>
      </c>
      <c r="F104" s="72"/>
      <c r="G104" s="17" t="s">
        <v>835</v>
      </c>
      <c r="H104" s="18"/>
      <c r="I104" s="17"/>
      <c r="J104" s="19" t="s">
        <v>133</v>
      </c>
      <c r="K104" s="19" t="s">
        <v>202</v>
      </c>
      <c r="L104" s="19" t="s">
        <v>67</v>
      </c>
    </row>
    <row r="105" spans="1:12" s="1" customFormat="1">
      <c r="A105" s="15"/>
      <c r="B105" s="11" t="s">
        <v>819</v>
      </c>
      <c r="C105" s="11" t="s">
        <v>45</v>
      </c>
      <c r="D105" s="9" t="s">
        <v>660</v>
      </c>
      <c r="E105" s="16" t="s">
        <v>128</v>
      </c>
      <c r="F105" s="72"/>
      <c r="G105" s="17" t="s">
        <v>1046</v>
      </c>
      <c r="H105" s="18"/>
      <c r="I105" s="17"/>
      <c r="J105" s="19" t="s">
        <v>133</v>
      </c>
      <c r="K105" s="19" t="s">
        <v>44</v>
      </c>
      <c r="L105" s="19" t="s">
        <v>67</v>
      </c>
    </row>
    <row r="106" spans="1:12" s="1" customFormat="1">
      <c r="A106" s="15"/>
      <c r="B106" s="22" t="s">
        <v>2327</v>
      </c>
      <c r="C106" s="22" t="s">
        <v>45</v>
      </c>
      <c r="D106" s="9" t="s">
        <v>2017</v>
      </c>
      <c r="E106" s="16" t="s">
        <v>128</v>
      </c>
      <c r="F106" s="72"/>
      <c r="G106" s="17" t="s">
        <v>2249</v>
      </c>
      <c r="H106" s="18"/>
      <c r="I106" s="17"/>
      <c r="J106" s="19" t="s">
        <v>133</v>
      </c>
      <c r="K106" s="19" t="s">
        <v>2239</v>
      </c>
      <c r="L106" s="19" t="s">
        <v>67</v>
      </c>
    </row>
    <row r="107" spans="1:12" s="1" customFormat="1">
      <c r="A107" s="15"/>
      <c r="B107" s="22" t="s">
        <v>2194</v>
      </c>
      <c r="C107" s="22" t="s">
        <v>280</v>
      </c>
      <c r="D107" s="9" t="s">
        <v>2196</v>
      </c>
      <c r="E107" s="16" t="s">
        <v>128</v>
      </c>
      <c r="F107" s="72"/>
      <c r="G107" s="17" t="s">
        <v>2250</v>
      </c>
      <c r="H107" s="18"/>
      <c r="I107" s="17"/>
      <c r="J107" s="19" t="s">
        <v>133</v>
      </c>
      <c r="K107" s="19" t="s">
        <v>2253</v>
      </c>
      <c r="L107" s="19" t="s">
        <v>67</v>
      </c>
    </row>
    <row r="108" spans="1:12" s="1" customFormat="1">
      <c r="B108" s="22" t="s">
        <v>2132</v>
      </c>
      <c r="C108" s="22" t="s">
        <v>280</v>
      </c>
      <c r="D108" s="9" t="s">
        <v>2134</v>
      </c>
      <c r="E108" s="16" t="s">
        <v>128</v>
      </c>
      <c r="F108" s="22"/>
      <c r="G108" s="17" t="s">
        <v>2198</v>
      </c>
      <c r="H108" s="18"/>
      <c r="I108" s="88"/>
      <c r="J108" s="19" t="s">
        <v>133</v>
      </c>
      <c r="K108" s="19" t="s">
        <v>2136</v>
      </c>
      <c r="L108" s="19" t="s">
        <v>134</v>
      </c>
    </row>
    <row r="109" spans="1:12" s="1" customFormat="1">
      <c r="A109" s="15"/>
      <c r="B109" s="90" t="s">
        <v>2328</v>
      </c>
      <c r="C109" s="22" t="s">
        <v>45</v>
      </c>
      <c r="D109" s="9" t="s">
        <v>2034</v>
      </c>
      <c r="E109" s="16" t="s">
        <v>128</v>
      </c>
      <c r="F109" s="72"/>
      <c r="G109" s="17" t="s">
        <v>2251</v>
      </c>
      <c r="H109" s="18"/>
      <c r="I109" s="17"/>
      <c r="J109" s="19" t="s">
        <v>133</v>
      </c>
      <c r="K109" s="19" t="s">
        <v>2239</v>
      </c>
      <c r="L109" s="19" t="s">
        <v>67</v>
      </c>
    </row>
    <row r="110" spans="1:12" s="1" customFormat="1">
      <c r="A110" s="15"/>
      <c r="B110" s="90" t="s">
        <v>2193</v>
      </c>
      <c r="C110" s="22" t="s">
        <v>280</v>
      </c>
      <c r="D110" s="9" t="s">
        <v>2195</v>
      </c>
      <c r="E110" s="16" t="s">
        <v>128</v>
      </c>
      <c r="F110" s="72"/>
      <c r="G110" s="17" t="s">
        <v>2252</v>
      </c>
      <c r="H110" s="18"/>
      <c r="I110" s="17"/>
      <c r="J110" s="19" t="s">
        <v>133</v>
      </c>
      <c r="K110" s="19" t="s">
        <v>2253</v>
      </c>
      <c r="L110" s="19" t="s">
        <v>67</v>
      </c>
    </row>
    <row r="111" spans="1:12" s="1" customFormat="1">
      <c r="B111" s="90" t="s">
        <v>2133</v>
      </c>
      <c r="C111" s="22" t="s">
        <v>280</v>
      </c>
      <c r="D111" s="9" t="s">
        <v>2135</v>
      </c>
      <c r="E111" s="16" t="s">
        <v>128</v>
      </c>
      <c r="F111" s="22"/>
      <c r="G111" s="17" t="s">
        <v>2197</v>
      </c>
      <c r="H111" s="18"/>
      <c r="I111" s="88"/>
      <c r="J111" s="19" t="s">
        <v>133</v>
      </c>
      <c r="K111" s="19" t="s">
        <v>2136</v>
      </c>
      <c r="L111" s="19" t="s">
        <v>134</v>
      </c>
    </row>
    <row r="112" spans="1:12" s="1" customFormat="1">
      <c r="B112" s="22" t="s">
        <v>2524</v>
      </c>
      <c r="C112" s="22" t="s">
        <v>280</v>
      </c>
      <c r="D112" s="9" t="s">
        <v>2525</v>
      </c>
      <c r="E112" s="16" t="s">
        <v>128</v>
      </c>
      <c r="F112" s="22"/>
      <c r="G112" s="17" t="s">
        <v>2528</v>
      </c>
      <c r="H112" s="98"/>
      <c r="I112" s="88"/>
      <c r="J112" s="19" t="s">
        <v>133</v>
      </c>
      <c r="K112" s="19" t="s">
        <v>2526</v>
      </c>
      <c r="L112" s="19" t="s">
        <v>2527</v>
      </c>
    </row>
    <row r="113" spans="2:12" s="1" customFormat="1">
      <c r="B113" s="22" t="s">
        <v>2529</v>
      </c>
      <c r="C113" s="22" t="s">
        <v>2530</v>
      </c>
      <c r="D113" s="9" t="s">
        <v>2531</v>
      </c>
      <c r="E113" s="16" t="s">
        <v>128</v>
      </c>
      <c r="F113" s="22"/>
      <c r="G113" s="17" t="s">
        <v>2532</v>
      </c>
      <c r="H113" s="98"/>
      <c r="I113" s="88"/>
      <c r="J113" s="19" t="s">
        <v>133</v>
      </c>
      <c r="K113" s="19" t="s">
        <v>903</v>
      </c>
      <c r="L113" s="19" t="s">
        <v>134</v>
      </c>
    </row>
    <row r="114" spans="2:12" s="1" customFormat="1">
      <c r="B114" s="22" t="s">
        <v>2200</v>
      </c>
      <c r="C114" s="22" t="s">
        <v>45</v>
      </c>
      <c r="D114" s="9" t="s">
        <v>2201</v>
      </c>
      <c r="E114" s="16" t="s">
        <v>128</v>
      </c>
      <c r="F114" s="22"/>
      <c r="G114" s="17" t="s">
        <v>2226</v>
      </c>
      <c r="H114" s="98"/>
      <c r="I114" s="88"/>
      <c r="J114" s="19" t="s">
        <v>133</v>
      </c>
      <c r="K114" s="19" t="s">
        <v>2239</v>
      </c>
      <c r="L114" s="19" t="s">
        <v>134</v>
      </c>
    </row>
    <row r="115" spans="2:12" s="1" customFormat="1">
      <c r="B115" s="22" t="s">
        <v>2254</v>
      </c>
      <c r="C115" s="22" t="s">
        <v>45</v>
      </c>
      <c r="D115" s="9" t="s">
        <v>2202</v>
      </c>
      <c r="E115" s="16" t="s">
        <v>128</v>
      </c>
      <c r="F115" s="22"/>
      <c r="G115" s="17" t="s">
        <v>2538</v>
      </c>
      <c r="H115" s="98"/>
      <c r="I115" s="88"/>
      <c r="J115" s="19" t="s">
        <v>133</v>
      </c>
      <c r="K115" s="19" t="s">
        <v>2239</v>
      </c>
      <c r="L115" s="19" t="s">
        <v>134</v>
      </c>
    </row>
    <row r="116" spans="2:12" s="1" customFormat="1">
      <c r="B116" s="22" t="s">
        <v>2203</v>
      </c>
      <c r="C116" s="22" t="s">
        <v>56</v>
      </c>
      <c r="D116" s="9" t="s">
        <v>2204</v>
      </c>
      <c r="E116" s="16" t="s">
        <v>128</v>
      </c>
      <c r="F116" s="22"/>
      <c r="G116" s="17" t="s">
        <v>2227</v>
      </c>
      <c r="H116" s="98"/>
      <c r="I116" s="88"/>
      <c r="J116" s="19" t="s">
        <v>133</v>
      </c>
      <c r="K116" s="19" t="s">
        <v>2240</v>
      </c>
      <c r="L116" s="19" t="s">
        <v>2241</v>
      </c>
    </row>
    <row r="117" spans="2:12" s="1" customFormat="1">
      <c r="B117" s="22" t="s">
        <v>2533</v>
      </c>
      <c r="C117" s="22" t="s">
        <v>280</v>
      </c>
      <c r="D117" s="9" t="s">
        <v>2535</v>
      </c>
      <c r="E117" s="16" t="s">
        <v>128</v>
      </c>
      <c r="F117" s="22"/>
      <c r="G117" s="17" t="s">
        <v>2539</v>
      </c>
      <c r="H117" s="98"/>
      <c r="I117" s="88"/>
      <c r="J117" s="19" t="s">
        <v>133</v>
      </c>
      <c r="K117" s="19" t="s">
        <v>2526</v>
      </c>
      <c r="L117" s="19" t="s">
        <v>2527</v>
      </c>
    </row>
    <row r="118" spans="2:12" s="1" customFormat="1">
      <c r="B118" s="22" t="s">
        <v>2534</v>
      </c>
      <c r="C118" s="22" t="s">
        <v>2530</v>
      </c>
      <c r="D118" s="9" t="s">
        <v>2536</v>
      </c>
      <c r="E118" s="16" t="s">
        <v>128</v>
      </c>
      <c r="F118" s="22"/>
      <c r="G118" s="17" t="s">
        <v>2537</v>
      </c>
      <c r="H118" s="98"/>
      <c r="I118" s="88"/>
      <c r="J118" s="19" t="s">
        <v>133</v>
      </c>
      <c r="K118" s="19" t="s">
        <v>903</v>
      </c>
      <c r="L118" s="19" t="s">
        <v>134</v>
      </c>
    </row>
    <row r="119" spans="2:12" s="1" customFormat="1">
      <c r="B119" s="90" t="s">
        <v>2512</v>
      </c>
      <c r="C119" s="22" t="s">
        <v>45</v>
      </c>
      <c r="D119" s="9" t="s">
        <v>2516</v>
      </c>
      <c r="E119" s="16" t="s">
        <v>128</v>
      </c>
      <c r="F119" s="22"/>
      <c r="G119" s="17" t="s">
        <v>2514</v>
      </c>
      <c r="H119" s="98"/>
      <c r="I119" s="88"/>
      <c r="J119" s="19" t="s">
        <v>133</v>
      </c>
      <c r="K119" s="19" t="s">
        <v>903</v>
      </c>
      <c r="L119" s="19" t="s">
        <v>134</v>
      </c>
    </row>
    <row r="120" spans="2:12" s="1" customFormat="1">
      <c r="B120" s="90" t="s">
        <v>2513</v>
      </c>
      <c r="C120" s="22" t="s">
        <v>45</v>
      </c>
      <c r="D120" s="9" t="s">
        <v>2517</v>
      </c>
      <c r="E120" s="16" t="s">
        <v>128</v>
      </c>
      <c r="F120" s="22"/>
      <c r="G120" s="17" t="s">
        <v>2515</v>
      </c>
      <c r="H120" s="98"/>
      <c r="I120" s="88"/>
      <c r="J120" s="19" t="s">
        <v>133</v>
      </c>
      <c r="K120" s="19" t="s">
        <v>903</v>
      </c>
      <c r="L120" s="19" t="s">
        <v>134</v>
      </c>
    </row>
    <row r="121" spans="2:12" s="1" customFormat="1">
      <c r="B121" s="22" t="s">
        <v>2216</v>
      </c>
      <c r="C121" s="22" t="s">
        <v>45</v>
      </c>
      <c r="D121" s="9" t="s">
        <v>2036</v>
      </c>
      <c r="E121" s="16" t="s">
        <v>128</v>
      </c>
      <c r="F121" s="22"/>
      <c r="G121" s="17" t="s">
        <v>2221</v>
      </c>
      <c r="H121" s="98"/>
      <c r="I121" s="88"/>
      <c r="J121" s="19" t="s">
        <v>133</v>
      </c>
      <c r="K121" s="19" t="s">
        <v>2236</v>
      </c>
      <c r="L121" s="19" t="s">
        <v>2242</v>
      </c>
    </row>
    <row r="122" spans="2:12" s="1" customFormat="1">
      <c r="B122" s="22" t="s">
        <v>2218</v>
      </c>
      <c r="C122" s="22" t="s">
        <v>45</v>
      </c>
      <c r="D122" s="9" t="s">
        <v>2219</v>
      </c>
      <c r="E122" s="16" t="s">
        <v>128</v>
      </c>
      <c r="F122" s="22"/>
      <c r="G122" s="17" t="s">
        <v>2222</v>
      </c>
      <c r="H122" s="98"/>
      <c r="I122" s="88"/>
      <c r="J122" s="19" t="s">
        <v>133</v>
      </c>
      <c r="K122" s="19" t="s">
        <v>2239</v>
      </c>
      <c r="L122" s="19" t="s">
        <v>2242</v>
      </c>
    </row>
    <row r="123" spans="2:12" s="1" customFormat="1">
      <c r="B123" s="22" t="s">
        <v>2217</v>
      </c>
      <c r="C123" s="22" t="s">
        <v>45</v>
      </c>
      <c r="D123" s="9" t="s">
        <v>2035</v>
      </c>
      <c r="E123" s="16" t="s">
        <v>128</v>
      </c>
      <c r="F123" s="22"/>
      <c r="G123" s="17" t="s">
        <v>2223</v>
      </c>
      <c r="H123" s="98"/>
      <c r="I123" s="88"/>
      <c r="J123" s="19" t="s">
        <v>133</v>
      </c>
      <c r="K123" s="19" t="s">
        <v>2236</v>
      </c>
      <c r="L123" s="19" t="s">
        <v>2242</v>
      </c>
    </row>
    <row r="124" spans="2:12" s="1" customFormat="1">
      <c r="B124" s="22" t="s">
        <v>2220</v>
      </c>
      <c r="C124" s="22" t="s">
        <v>45</v>
      </c>
      <c r="D124" s="9" t="s">
        <v>2225</v>
      </c>
      <c r="E124" s="16" t="s">
        <v>128</v>
      </c>
      <c r="F124" s="22"/>
      <c r="G124" s="17" t="s">
        <v>2224</v>
      </c>
      <c r="H124" s="98"/>
      <c r="I124" s="88"/>
      <c r="J124" s="19" t="s">
        <v>133</v>
      </c>
      <c r="K124" s="19" t="s">
        <v>2239</v>
      </c>
      <c r="L124" s="19" t="s">
        <v>2242</v>
      </c>
    </row>
    <row r="125" spans="2:12" s="1" customFormat="1">
      <c r="B125" s="22" t="s">
        <v>2140</v>
      </c>
      <c r="C125" s="22" t="s">
        <v>45</v>
      </c>
      <c r="D125" s="9" t="s">
        <v>2141</v>
      </c>
      <c r="E125" s="16" t="s">
        <v>128</v>
      </c>
      <c r="F125" s="22"/>
      <c r="G125" s="17" t="s">
        <v>2152</v>
      </c>
      <c r="H125" s="98"/>
      <c r="I125" s="88"/>
      <c r="J125" s="19" t="s">
        <v>133</v>
      </c>
      <c r="K125" s="19" t="s">
        <v>903</v>
      </c>
      <c r="L125" s="19" t="s">
        <v>67</v>
      </c>
    </row>
    <row r="126" spans="2:12" s="1" customFormat="1">
      <c r="B126" s="22" t="s">
        <v>2142</v>
      </c>
      <c r="C126" s="22" t="s">
        <v>45</v>
      </c>
      <c r="D126" s="9" t="s">
        <v>2143</v>
      </c>
      <c r="E126" s="16" t="s">
        <v>128</v>
      </c>
      <c r="F126" s="22"/>
      <c r="G126" s="17" t="s">
        <v>2154</v>
      </c>
      <c r="H126" s="98"/>
      <c r="I126" s="88"/>
      <c r="J126" s="19" t="s">
        <v>133</v>
      </c>
      <c r="K126" s="19" t="s">
        <v>903</v>
      </c>
      <c r="L126" s="19" t="s">
        <v>67</v>
      </c>
    </row>
    <row r="127" spans="2:12" s="1" customFormat="1">
      <c r="B127" s="22" t="s">
        <v>2144</v>
      </c>
      <c r="C127" s="22" t="s">
        <v>45</v>
      </c>
      <c r="D127" s="9" t="s">
        <v>2145</v>
      </c>
      <c r="E127" s="16" t="s">
        <v>128</v>
      </c>
      <c r="F127" s="22"/>
      <c r="G127" s="17" t="s">
        <v>2153</v>
      </c>
      <c r="H127" s="98"/>
      <c r="I127" s="88"/>
      <c r="J127" s="19" t="s">
        <v>133</v>
      </c>
      <c r="K127" s="19" t="s">
        <v>903</v>
      </c>
      <c r="L127" s="19" t="s">
        <v>67</v>
      </c>
    </row>
    <row r="128" spans="2:12" s="1" customFormat="1">
      <c r="B128" s="22" t="s">
        <v>2146</v>
      </c>
      <c r="C128" s="22" t="s">
        <v>45</v>
      </c>
      <c r="D128" s="9" t="s">
        <v>2147</v>
      </c>
      <c r="E128" s="16" t="s">
        <v>128</v>
      </c>
      <c r="F128" s="22"/>
      <c r="G128" s="17" t="s">
        <v>2155</v>
      </c>
      <c r="H128" s="98"/>
      <c r="I128" s="88"/>
      <c r="J128" s="19" t="s">
        <v>133</v>
      </c>
      <c r="K128" s="19" t="s">
        <v>903</v>
      </c>
      <c r="L128" s="19" t="s">
        <v>67</v>
      </c>
    </row>
    <row r="129" spans="1:12" s="1" customFormat="1">
      <c r="B129" s="22" t="s">
        <v>2148</v>
      </c>
      <c r="C129" s="22" t="s">
        <v>45</v>
      </c>
      <c r="D129" s="9" t="s">
        <v>2149</v>
      </c>
      <c r="E129" s="16" t="s">
        <v>128</v>
      </c>
      <c r="F129" s="22"/>
      <c r="G129" s="17" t="s">
        <v>2156</v>
      </c>
      <c r="H129" s="98"/>
      <c r="I129" s="88"/>
      <c r="J129" s="19" t="s">
        <v>133</v>
      </c>
      <c r="K129" s="19" t="s">
        <v>903</v>
      </c>
      <c r="L129" s="19" t="s">
        <v>67</v>
      </c>
    </row>
    <row r="130" spans="1:12" s="1" customFormat="1">
      <c r="B130" s="22" t="s">
        <v>2150</v>
      </c>
      <c r="C130" s="22" t="s">
        <v>45</v>
      </c>
      <c r="D130" s="9" t="s">
        <v>2151</v>
      </c>
      <c r="E130" s="16" t="s">
        <v>128</v>
      </c>
      <c r="F130" s="22"/>
      <c r="G130" s="17" t="s">
        <v>2157</v>
      </c>
      <c r="H130" s="98"/>
      <c r="I130" s="88"/>
      <c r="J130" s="19" t="s">
        <v>133</v>
      </c>
      <c r="K130" s="19" t="s">
        <v>903</v>
      </c>
      <c r="L130" s="19" t="s">
        <v>67</v>
      </c>
    </row>
    <row r="131" spans="1:12" s="1" customFormat="1">
      <c r="A131" s="15"/>
      <c r="B131" s="11" t="s">
        <v>2037</v>
      </c>
      <c r="C131" s="11" t="s">
        <v>2039</v>
      </c>
      <c r="D131" s="9" t="s">
        <v>2038</v>
      </c>
      <c r="E131" s="16" t="s">
        <v>128</v>
      </c>
      <c r="F131" s="72"/>
      <c r="G131" s="17" t="s">
        <v>2040</v>
      </c>
      <c r="H131" s="18"/>
      <c r="I131" s="17"/>
      <c r="J131" s="19" t="s">
        <v>133</v>
      </c>
      <c r="K131" s="19" t="s">
        <v>903</v>
      </c>
      <c r="L131" s="19" t="s">
        <v>67</v>
      </c>
    </row>
    <row r="132" spans="1:12" s="1" customFormat="1">
      <c r="A132" s="15"/>
      <c r="B132" s="95" t="s">
        <v>2041</v>
      </c>
      <c r="C132" s="95" t="s">
        <v>45</v>
      </c>
      <c r="D132" s="96" t="s">
        <v>2042</v>
      </c>
      <c r="E132" s="16" t="s">
        <v>128</v>
      </c>
      <c r="F132" s="72"/>
      <c r="G132" s="99" t="s">
        <v>2065</v>
      </c>
      <c r="H132" s="18"/>
      <c r="I132" s="17"/>
      <c r="J132" s="19" t="s">
        <v>133</v>
      </c>
      <c r="K132" s="19" t="s">
        <v>903</v>
      </c>
      <c r="L132" s="19" t="s">
        <v>67</v>
      </c>
    </row>
    <row r="133" spans="1:12" s="1" customFormat="1">
      <c r="A133" s="15"/>
      <c r="B133" s="95" t="s">
        <v>2043</v>
      </c>
      <c r="C133" s="95" t="s">
        <v>45</v>
      </c>
      <c r="D133" s="96" t="s">
        <v>2044</v>
      </c>
      <c r="E133" s="16" t="s">
        <v>128</v>
      </c>
      <c r="F133" s="72"/>
      <c r="G133" s="99" t="s">
        <v>2066</v>
      </c>
      <c r="H133" s="18"/>
      <c r="I133" s="17"/>
      <c r="J133" s="19" t="s">
        <v>133</v>
      </c>
      <c r="K133" s="19" t="s">
        <v>903</v>
      </c>
      <c r="L133" s="19" t="s">
        <v>67</v>
      </c>
    </row>
    <row r="134" spans="1:12" s="1" customFormat="1">
      <c r="A134" s="15"/>
      <c r="B134" s="95" t="s">
        <v>2045</v>
      </c>
      <c r="C134" s="95" t="s">
        <v>45</v>
      </c>
      <c r="D134" s="96" t="s">
        <v>2046</v>
      </c>
      <c r="E134" s="16" t="s">
        <v>128</v>
      </c>
      <c r="F134" s="72"/>
      <c r="G134" s="99" t="s">
        <v>2067</v>
      </c>
      <c r="H134" s="18"/>
      <c r="I134" s="17"/>
      <c r="J134" s="19" t="s">
        <v>133</v>
      </c>
      <c r="K134" s="19" t="s">
        <v>903</v>
      </c>
      <c r="L134" s="19" t="s">
        <v>67</v>
      </c>
    </row>
    <row r="135" spans="1:12" s="1" customFormat="1">
      <c r="A135" s="15"/>
      <c r="B135" s="95" t="s">
        <v>2047</v>
      </c>
      <c r="C135" s="95" t="s">
        <v>45</v>
      </c>
      <c r="D135" s="96" t="s">
        <v>2048</v>
      </c>
      <c r="E135" s="16" t="s">
        <v>128</v>
      </c>
      <c r="F135" s="72"/>
      <c r="G135" s="99" t="s">
        <v>2068</v>
      </c>
      <c r="H135" s="18"/>
      <c r="I135" s="17"/>
      <c r="J135" s="19" t="s">
        <v>133</v>
      </c>
      <c r="K135" s="19" t="s">
        <v>903</v>
      </c>
      <c r="L135" s="19" t="s">
        <v>67</v>
      </c>
    </row>
    <row r="136" spans="1:12" s="1" customFormat="1">
      <c r="A136" s="15"/>
      <c r="B136" s="95" t="s">
        <v>2049</v>
      </c>
      <c r="C136" s="95" t="s">
        <v>45</v>
      </c>
      <c r="D136" s="96" t="s">
        <v>2050</v>
      </c>
      <c r="E136" s="16" t="s">
        <v>128</v>
      </c>
      <c r="F136" s="72"/>
      <c r="G136" s="99" t="s">
        <v>2069</v>
      </c>
      <c r="H136" s="18"/>
      <c r="I136" s="17"/>
      <c r="J136" s="19" t="s">
        <v>133</v>
      </c>
      <c r="K136" s="19" t="s">
        <v>903</v>
      </c>
      <c r="L136" s="19" t="s">
        <v>67</v>
      </c>
    </row>
    <row r="137" spans="1:12" s="1" customFormat="1">
      <c r="A137" s="15"/>
      <c r="B137" s="11" t="s">
        <v>2051</v>
      </c>
      <c r="C137" s="95" t="s">
        <v>2039</v>
      </c>
      <c r="D137" s="9" t="s">
        <v>2052</v>
      </c>
      <c r="E137" s="16" t="s">
        <v>128</v>
      </c>
      <c r="F137" s="72"/>
      <c r="G137" s="17" t="s">
        <v>2064</v>
      </c>
      <c r="H137" s="18"/>
      <c r="I137" s="17"/>
      <c r="J137" s="19" t="s">
        <v>133</v>
      </c>
      <c r="K137" s="19" t="s">
        <v>203</v>
      </c>
      <c r="L137" s="19" t="s">
        <v>67</v>
      </c>
    </row>
    <row r="138" spans="1:12" s="1" customFormat="1">
      <c r="A138" s="15"/>
      <c r="B138" s="11" t="s">
        <v>2053</v>
      </c>
      <c r="C138" s="11" t="s">
        <v>45</v>
      </c>
      <c r="D138" s="9" t="s">
        <v>2054</v>
      </c>
      <c r="E138" s="16" t="s">
        <v>128</v>
      </c>
      <c r="F138" s="72"/>
      <c r="G138" s="17" t="s">
        <v>2070</v>
      </c>
      <c r="H138" s="18"/>
      <c r="I138" s="17"/>
      <c r="J138" s="19" t="s">
        <v>133</v>
      </c>
      <c r="K138" s="19" t="s">
        <v>903</v>
      </c>
      <c r="L138" s="19" t="s">
        <v>67</v>
      </c>
    </row>
    <row r="139" spans="1:12" s="1" customFormat="1">
      <c r="A139" s="15"/>
      <c r="B139" s="11" t="s">
        <v>2055</v>
      </c>
      <c r="C139" s="11" t="s">
        <v>45</v>
      </c>
      <c r="D139" s="9" t="s">
        <v>2056</v>
      </c>
      <c r="E139" s="16" t="s">
        <v>128</v>
      </c>
      <c r="F139" s="72"/>
      <c r="G139" s="17" t="s">
        <v>2071</v>
      </c>
      <c r="H139" s="18"/>
      <c r="I139" s="17"/>
      <c r="J139" s="19" t="s">
        <v>133</v>
      </c>
      <c r="K139" s="19" t="s">
        <v>903</v>
      </c>
      <c r="L139" s="19" t="s">
        <v>67</v>
      </c>
    </row>
    <row r="140" spans="1:12" s="1" customFormat="1">
      <c r="A140" s="15"/>
      <c r="B140" s="11" t="s">
        <v>2057</v>
      </c>
      <c r="C140" s="11" t="s">
        <v>45</v>
      </c>
      <c r="D140" s="9" t="s">
        <v>2058</v>
      </c>
      <c r="E140" s="16" t="s">
        <v>128</v>
      </c>
      <c r="F140" s="72"/>
      <c r="G140" s="17" t="s">
        <v>2072</v>
      </c>
      <c r="H140" s="18"/>
      <c r="I140" s="17"/>
      <c r="J140" s="19" t="s">
        <v>133</v>
      </c>
      <c r="K140" s="19" t="s">
        <v>903</v>
      </c>
      <c r="L140" s="19" t="s">
        <v>67</v>
      </c>
    </row>
    <row r="141" spans="1:12" s="1" customFormat="1">
      <c r="A141" s="15"/>
      <c r="B141" s="11" t="s">
        <v>2059</v>
      </c>
      <c r="C141" s="11" t="s">
        <v>45</v>
      </c>
      <c r="D141" s="9" t="s">
        <v>2060</v>
      </c>
      <c r="E141" s="16" t="s">
        <v>128</v>
      </c>
      <c r="F141" s="72"/>
      <c r="G141" s="17" t="s">
        <v>2073</v>
      </c>
      <c r="H141" s="18"/>
      <c r="I141" s="17"/>
      <c r="J141" s="19" t="s">
        <v>133</v>
      </c>
      <c r="K141" s="19" t="s">
        <v>903</v>
      </c>
      <c r="L141" s="19" t="s">
        <v>67</v>
      </c>
    </row>
    <row r="142" spans="1:12" s="1" customFormat="1">
      <c r="A142" s="15"/>
      <c r="B142" s="11" t="s">
        <v>2061</v>
      </c>
      <c r="C142" s="11" t="s">
        <v>45</v>
      </c>
      <c r="D142" s="9" t="s">
        <v>2062</v>
      </c>
      <c r="E142" s="16" t="s">
        <v>128</v>
      </c>
      <c r="F142" s="72"/>
      <c r="G142" s="17" t="s">
        <v>2074</v>
      </c>
      <c r="H142" s="18"/>
      <c r="I142" s="17"/>
      <c r="J142" s="19" t="s">
        <v>133</v>
      </c>
      <c r="K142" s="19" t="s">
        <v>903</v>
      </c>
      <c r="L142" s="19" t="s">
        <v>67</v>
      </c>
    </row>
    <row r="143" spans="1:12" s="1" customFormat="1">
      <c r="A143" s="15"/>
      <c r="B143" s="11" t="s">
        <v>2075</v>
      </c>
      <c r="C143" s="95" t="s">
        <v>2039</v>
      </c>
      <c r="D143" s="9" t="s">
        <v>2158</v>
      </c>
      <c r="E143" s="16" t="s">
        <v>128</v>
      </c>
      <c r="F143" s="72"/>
      <c r="G143" s="17" t="s">
        <v>2087</v>
      </c>
      <c r="H143" s="18"/>
      <c r="I143" s="17"/>
      <c r="J143" s="19" t="s">
        <v>133</v>
      </c>
      <c r="K143" s="19" t="s">
        <v>202</v>
      </c>
      <c r="L143" s="19" t="s">
        <v>67</v>
      </c>
    </row>
    <row r="144" spans="1:12" s="1" customFormat="1">
      <c r="A144" s="15"/>
      <c r="B144" s="95" t="s">
        <v>2076</v>
      </c>
      <c r="C144" s="95" t="s">
        <v>45</v>
      </c>
      <c r="D144" s="96" t="s">
        <v>2077</v>
      </c>
      <c r="E144" s="16" t="s">
        <v>128</v>
      </c>
      <c r="F144" s="72"/>
      <c r="G144" s="17" t="s">
        <v>2088</v>
      </c>
      <c r="H144" s="18"/>
      <c r="I144" s="17"/>
      <c r="J144" s="19" t="s">
        <v>133</v>
      </c>
      <c r="K144" s="19" t="s">
        <v>903</v>
      </c>
      <c r="L144" s="19" t="s">
        <v>67</v>
      </c>
    </row>
    <row r="145" spans="1:12" s="1" customFormat="1">
      <c r="A145" s="15"/>
      <c r="B145" s="95" t="s">
        <v>2078</v>
      </c>
      <c r="C145" s="95" t="s">
        <v>45</v>
      </c>
      <c r="D145" s="96" t="s">
        <v>2079</v>
      </c>
      <c r="E145" s="16" t="s">
        <v>128</v>
      </c>
      <c r="F145" s="72"/>
      <c r="G145" s="17" t="s">
        <v>2089</v>
      </c>
      <c r="H145" s="18"/>
      <c r="I145" s="17"/>
      <c r="J145" s="19" t="s">
        <v>133</v>
      </c>
      <c r="K145" s="19" t="s">
        <v>903</v>
      </c>
      <c r="L145" s="19" t="s">
        <v>67</v>
      </c>
    </row>
    <row r="146" spans="1:12" s="1" customFormat="1">
      <c r="A146" s="15"/>
      <c r="B146" s="95" t="s">
        <v>2080</v>
      </c>
      <c r="C146" s="95" t="s">
        <v>45</v>
      </c>
      <c r="D146" s="96" t="s">
        <v>2081</v>
      </c>
      <c r="E146" s="16" t="s">
        <v>128</v>
      </c>
      <c r="F146" s="72"/>
      <c r="G146" s="17" t="s">
        <v>2090</v>
      </c>
      <c r="H146" s="18"/>
      <c r="I146" s="17"/>
      <c r="J146" s="19" t="s">
        <v>133</v>
      </c>
      <c r="K146" s="19" t="s">
        <v>903</v>
      </c>
      <c r="L146" s="19" t="s">
        <v>67</v>
      </c>
    </row>
    <row r="147" spans="1:12" s="1" customFormat="1">
      <c r="A147" s="15"/>
      <c r="B147" s="95" t="s">
        <v>2082</v>
      </c>
      <c r="C147" s="95" t="s">
        <v>45</v>
      </c>
      <c r="D147" s="96" t="s">
        <v>2083</v>
      </c>
      <c r="E147" s="16" t="s">
        <v>128</v>
      </c>
      <c r="F147" s="72"/>
      <c r="G147" s="17" t="s">
        <v>2091</v>
      </c>
      <c r="H147" s="18"/>
      <c r="I147" s="17"/>
      <c r="J147" s="19" t="s">
        <v>133</v>
      </c>
      <c r="K147" s="19" t="s">
        <v>903</v>
      </c>
      <c r="L147" s="19" t="s">
        <v>67</v>
      </c>
    </row>
    <row r="148" spans="1:12" s="1" customFormat="1">
      <c r="A148" s="15"/>
      <c r="B148" s="95" t="s">
        <v>2084</v>
      </c>
      <c r="C148" s="95" t="s">
        <v>45</v>
      </c>
      <c r="D148" s="96" t="s">
        <v>2085</v>
      </c>
      <c r="E148" s="16" t="s">
        <v>128</v>
      </c>
      <c r="F148" s="72"/>
      <c r="G148" s="17" t="s">
        <v>2092</v>
      </c>
      <c r="H148" s="18"/>
      <c r="I148" s="17"/>
      <c r="J148" s="19" t="s">
        <v>133</v>
      </c>
      <c r="K148" s="19" t="s">
        <v>903</v>
      </c>
      <c r="L148" s="19" t="s">
        <v>67</v>
      </c>
    </row>
    <row r="149" spans="1:12" s="1" customFormat="1">
      <c r="B149" s="22" t="s">
        <v>2206</v>
      </c>
      <c r="C149" s="22" t="s">
        <v>45</v>
      </c>
      <c r="D149" s="9" t="s">
        <v>2207</v>
      </c>
      <c r="E149" s="16" t="s">
        <v>128</v>
      </c>
      <c r="F149" s="22"/>
      <c r="G149" s="17" t="s">
        <v>2208</v>
      </c>
      <c r="H149" s="98"/>
      <c r="I149" s="88"/>
      <c r="J149" s="19" t="s">
        <v>133</v>
      </c>
      <c r="K149" s="19" t="s">
        <v>2236</v>
      </c>
      <c r="L149" s="19" t="s">
        <v>2238</v>
      </c>
    </row>
    <row r="150" spans="1:12" s="1" customFormat="1">
      <c r="B150" s="22" t="s">
        <v>2205</v>
      </c>
      <c r="C150" s="22" t="s">
        <v>45</v>
      </c>
      <c r="D150" s="9" t="s">
        <v>2199</v>
      </c>
      <c r="E150" s="16" t="s">
        <v>128</v>
      </c>
      <c r="F150" s="22"/>
      <c r="G150" s="17" t="s">
        <v>2209</v>
      </c>
      <c r="H150" s="98"/>
      <c r="I150" s="88"/>
      <c r="J150" s="19" t="s">
        <v>133</v>
      </c>
      <c r="K150" s="19" t="s">
        <v>903</v>
      </c>
      <c r="L150" s="19" t="s">
        <v>67</v>
      </c>
    </row>
    <row r="151" spans="1:12" s="1" customFormat="1">
      <c r="A151" s="15"/>
      <c r="B151" s="95" t="s">
        <v>2104</v>
      </c>
      <c r="C151" s="95" t="s">
        <v>2039</v>
      </c>
      <c r="D151" s="96" t="s">
        <v>2093</v>
      </c>
      <c r="E151" s="16" t="s">
        <v>128</v>
      </c>
      <c r="F151" s="72"/>
      <c r="G151" s="17" t="s">
        <v>2106</v>
      </c>
      <c r="H151" s="18"/>
      <c r="I151" s="17"/>
      <c r="J151" s="19" t="s">
        <v>133</v>
      </c>
      <c r="K151" s="19" t="s">
        <v>2236</v>
      </c>
      <c r="L151" s="19" t="s">
        <v>2238</v>
      </c>
    </row>
    <row r="152" spans="1:12" s="1" customFormat="1">
      <c r="A152" s="15"/>
      <c r="B152" s="95" t="s">
        <v>2094</v>
      </c>
      <c r="C152" s="95" t="s">
        <v>45</v>
      </c>
      <c r="D152" s="96" t="s">
        <v>2099</v>
      </c>
      <c r="E152" s="16" t="s">
        <v>128</v>
      </c>
      <c r="F152" s="72"/>
      <c r="G152" s="17" t="s">
        <v>2107</v>
      </c>
      <c r="H152" s="18"/>
      <c r="I152" s="17"/>
      <c r="J152" s="19" t="s">
        <v>133</v>
      </c>
      <c r="K152" s="19" t="s">
        <v>903</v>
      </c>
      <c r="L152" s="19" t="s">
        <v>67</v>
      </c>
    </row>
    <row r="153" spans="1:12" s="1" customFormat="1">
      <c r="A153" s="15"/>
      <c r="B153" s="95" t="s">
        <v>2095</v>
      </c>
      <c r="C153" s="95" t="s">
        <v>45</v>
      </c>
      <c r="D153" s="96" t="s">
        <v>2100</v>
      </c>
      <c r="E153" s="16" t="s">
        <v>128</v>
      </c>
      <c r="F153" s="72"/>
      <c r="G153" s="17" t="s">
        <v>2108</v>
      </c>
      <c r="H153" s="18"/>
      <c r="I153" s="17"/>
      <c r="J153" s="19" t="s">
        <v>133</v>
      </c>
      <c r="K153" s="19" t="s">
        <v>903</v>
      </c>
      <c r="L153" s="19" t="s">
        <v>67</v>
      </c>
    </row>
    <row r="154" spans="1:12" s="1" customFormat="1">
      <c r="A154" s="15"/>
      <c r="B154" s="95" t="s">
        <v>2096</v>
      </c>
      <c r="C154" s="95" t="s">
        <v>45</v>
      </c>
      <c r="D154" s="96" t="s">
        <v>2101</v>
      </c>
      <c r="E154" s="16" t="s">
        <v>128</v>
      </c>
      <c r="F154" s="72"/>
      <c r="G154" s="17" t="s">
        <v>2109</v>
      </c>
      <c r="H154" s="18"/>
      <c r="I154" s="17"/>
      <c r="J154" s="19" t="s">
        <v>133</v>
      </c>
      <c r="K154" s="19" t="s">
        <v>903</v>
      </c>
      <c r="L154" s="19" t="s">
        <v>67</v>
      </c>
    </row>
    <row r="155" spans="1:12" s="1" customFormat="1">
      <c r="A155" s="15"/>
      <c r="B155" s="95" t="s">
        <v>2097</v>
      </c>
      <c r="C155" s="95" t="s">
        <v>45</v>
      </c>
      <c r="D155" s="96" t="s">
        <v>2102</v>
      </c>
      <c r="E155" s="16" t="s">
        <v>128</v>
      </c>
      <c r="F155" s="72"/>
      <c r="G155" s="17" t="s">
        <v>2110</v>
      </c>
      <c r="H155" s="18"/>
      <c r="I155" s="17"/>
      <c r="J155" s="19" t="s">
        <v>133</v>
      </c>
      <c r="K155" s="19" t="s">
        <v>903</v>
      </c>
      <c r="L155" s="19" t="s">
        <v>67</v>
      </c>
    </row>
    <row r="156" spans="1:12" s="1" customFormat="1">
      <c r="A156" s="15"/>
      <c r="B156" s="95" t="s">
        <v>2098</v>
      </c>
      <c r="C156" s="95" t="s">
        <v>45</v>
      </c>
      <c r="D156" s="96" t="s">
        <v>2103</v>
      </c>
      <c r="E156" s="16" t="s">
        <v>128</v>
      </c>
      <c r="F156" s="72"/>
      <c r="G156" s="17" t="s">
        <v>2111</v>
      </c>
      <c r="H156" s="18"/>
      <c r="I156" s="17"/>
      <c r="J156" s="19" t="s">
        <v>133</v>
      </c>
      <c r="K156" s="19" t="s">
        <v>903</v>
      </c>
      <c r="L156" s="19" t="s">
        <v>67</v>
      </c>
    </row>
    <row r="157" spans="1:12" s="1" customFormat="1">
      <c r="A157" s="15"/>
      <c r="B157" s="95" t="s">
        <v>2210</v>
      </c>
      <c r="C157" s="95" t="s">
        <v>45</v>
      </c>
      <c r="D157" s="9" t="s">
        <v>2212</v>
      </c>
      <c r="E157" s="16" t="s">
        <v>128</v>
      </c>
      <c r="F157" s="72"/>
      <c r="G157" s="17" t="s">
        <v>2215</v>
      </c>
      <c r="H157" s="18"/>
      <c r="I157" s="17"/>
      <c r="J157" s="19" t="s">
        <v>133</v>
      </c>
      <c r="K157" s="19" t="s">
        <v>2236</v>
      </c>
      <c r="L157" s="19" t="s">
        <v>2238</v>
      </c>
    </row>
    <row r="158" spans="1:12" s="1" customFormat="1">
      <c r="A158" s="15"/>
      <c r="B158" s="95" t="s">
        <v>2211</v>
      </c>
      <c r="C158" s="95" t="s">
        <v>45</v>
      </c>
      <c r="D158" s="9" t="s">
        <v>2213</v>
      </c>
      <c r="E158" s="16" t="s">
        <v>128</v>
      </c>
      <c r="F158" s="72"/>
      <c r="G158" s="17" t="s">
        <v>2214</v>
      </c>
      <c r="H158" s="18"/>
      <c r="I158" s="17"/>
      <c r="J158" s="19" t="s">
        <v>133</v>
      </c>
      <c r="K158" s="19" t="s">
        <v>903</v>
      </c>
      <c r="L158" s="19" t="s">
        <v>67</v>
      </c>
    </row>
    <row r="159" spans="1:12" s="1" customFormat="1">
      <c r="A159" s="15"/>
      <c r="B159" s="95" t="s">
        <v>2112</v>
      </c>
      <c r="C159" s="95" t="s">
        <v>2039</v>
      </c>
      <c r="D159" s="96" t="s">
        <v>2123</v>
      </c>
      <c r="E159" s="16" t="s">
        <v>128</v>
      </c>
      <c r="F159" s="72"/>
      <c r="G159" s="17" t="s">
        <v>2125</v>
      </c>
      <c r="H159" s="18"/>
      <c r="I159" s="17"/>
      <c r="J159" s="19" t="s">
        <v>133</v>
      </c>
      <c r="K159" s="19" t="s">
        <v>2236</v>
      </c>
      <c r="L159" s="19" t="s">
        <v>2238</v>
      </c>
    </row>
    <row r="160" spans="1:12" s="1" customFormat="1">
      <c r="A160" s="15"/>
      <c r="B160" s="95" t="s">
        <v>2113</v>
      </c>
      <c r="C160" s="95" t="s">
        <v>45</v>
      </c>
      <c r="D160" s="96" t="s">
        <v>2114</v>
      </c>
      <c r="E160" s="16" t="s">
        <v>128</v>
      </c>
      <c r="F160" s="72"/>
      <c r="G160" s="17" t="s">
        <v>2228</v>
      </c>
      <c r="H160" s="18"/>
      <c r="I160" s="17"/>
      <c r="J160" s="19" t="s">
        <v>133</v>
      </c>
      <c r="K160" s="19" t="s">
        <v>903</v>
      </c>
      <c r="L160" s="19" t="s">
        <v>67</v>
      </c>
    </row>
    <row r="161" spans="1:17" s="1" customFormat="1">
      <c r="A161" s="15"/>
      <c r="B161" s="95" t="s">
        <v>2115</v>
      </c>
      <c r="C161" s="95" t="s">
        <v>45</v>
      </c>
      <c r="D161" s="96" t="s">
        <v>2116</v>
      </c>
      <c r="E161" s="16" t="s">
        <v>128</v>
      </c>
      <c r="F161" s="72"/>
      <c r="G161" s="17" t="s">
        <v>2229</v>
      </c>
      <c r="H161" s="18"/>
      <c r="I161" s="17"/>
      <c r="J161" s="19" t="s">
        <v>133</v>
      </c>
      <c r="K161" s="19" t="s">
        <v>903</v>
      </c>
      <c r="L161" s="19" t="s">
        <v>67</v>
      </c>
    </row>
    <row r="162" spans="1:17" s="1" customFormat="1">
      <c r="A162" s="15"/>
      <c r="B162" s="95" t="s">
        <v>2117</v>
      </c>
      <c r="C162" s="95" t="s">
        <v>45</v>
      </c>
      <c r="D162" s="96" t="s">
        <v>2118</v>
      </c>
      <c r="E162" s="16" t="s">
        <v>128</v>
      </c>
      <c r="F162" s="72"/>
      <c r="G162" s="17" t="s">
        <v>2230</v>
      </c>
      <c r="H162" s="18"/>
      <c r="I162" s="17"/>
      <c r="J162" s="19" t="s">
        <v>133</v>
      </c>
      <c r="K162" s="19" t="s">
        <v>903</v>
      </c>
      <c r="L162" s="19" t="s">
        <v>67</v>
      </c>
    </row>
    <row r="163" spans="1:17" s="1" customFormat="1">
      <c r="A163" s="15"/>
      <c r="B163" s="95" t="s">
        <v>2119</v>
      </c>
      <c r="C163" s="95" t="s">
        <v>45</v>
      </c>
      <c r="D163" s="96" t="s">
        <v>2120</v>
      </c>
      <c r="E163" s="16" t="s">
        <v>128</v>
      </c>
      <c r="F163" s="72"/>
      <c r="G163" s="17" t="s">
        <v>2231</v>
      </c>
      <c r="H163" s="18"/>
      <c r="I163" s="17"/>
      <c r="J163" s="19" t="s">
        <v>133</v>
      </c>
      <c r="K163" s="19" t="s">
        <v>903</v>
      </c>
      <c r="L163" s="19" t="s">
        <v>67</v>
      </c>
    </row>
    <row r="164" spans="1:17" s="1" customFormat="1">
      <c r="A164" s="15"/>
      <c r="B164" s="95" t="s">
        <v>2121</v>
      </c>
      <c r="C164" s="95" t="s">
        <v>45</v>
      </c>
      <c r="D164" s="96" t="s">
        <v>2122</v>
      </c>
      <c r="E164" s="16" t="s">
        <v>128</v>
      </c>
      <c r="F164" s="72"/>
      <c r="G164" s="17" t="s">
        <v>2232</v>
      </c>
      <c r="H164" s="18"/>
      <c r="I164" s="17"/>
      <c r="J164" s="19" t="s">
        <v>133</v>
      </c>
      <c r="K164" s="19" t="s">
        <v>903</v>
      </c>
      <c r="L164" s="19" t="s">
        <v>67</v>
      </c>
    </row>
    <row r="165" spans="1:17" s="1" customFormat="1">
      <c r="A165" s="15"/>
      <c r="B165" s="11" t="s">
        <v>315</v>
      </c>
      <c r="C165" s="11" t="s">
        <v>45</v>
      </c>
      <c r="D165" s="9" t="s">
        <v>112</v>
      </c>
      <c r="E165" s="16" t="s">
        <v>128</v>
      </c>
      <c r="F165" s="72"/>
      <c r="G165" s="17" t="s">
        <v>770</v>
      </c>
      <c r="H165" s="18"/>
      <c r="I165" s="17"/>
      <c r="J165" s="19" t="s">
        <v>133</v>
      </c>
      <c r="K165" s="19" t="s">
        <v>44</v>
      </c>
      <c r="L165" s="19" t="s">
        <v>67</v>
      </c>
    </row>
    <row r="166" spans="1:17" s="1" customFormat="1">
      <c r="A166" s="15"/>
      <c r="B166" s="11" t="s">
        <v>1280</v>
      </c>
      <c r="C166" s="11" t="s">
        <v>43</v>
      </c>
      <c r="D166" s="9" t="s">
        <v>1281</v>
      </c>
      <c r="E166" s="16" t="s">
        <v>55</v>
      </c>
      <c r="F166" s="13"/>
      <c r="G166" s="13" t="s">
        <v>1304</v>
      </c>
      <c r="H166" s="18"/>
      <c r="I166" s="87">
        <v>20250415101139</v>
      </c>
      <c r="J166" s="19" t="s">
        <v>133</v>
      </c>
      <c r="K166" s="19" t="s">
        <v>44</v>
      </c>
      <c r="L166" s="19" t="s">
        <v>1306</v>
      </c>
    </row>
    <row r="167" spans="1:17" s="1" customFormat="1">
      <c r="A167" s="15"/>
      <c r="B167" s="11" t="s">
        <v>1283</v>
      </c>
      <c r="C167" s="11" t="s">
        <v>43</v>
      </c>
      <c r="D167" s="9" t="s">
        <v>1284</v>
      </c>
      <c r="E167" s="16" t="s">
        <v>55</v>
      </c>
      <c r="F167" s="13"/>
      <c r="G167" s="13" t="s">
        <v>1305</v>
      </c>
      <c r="H167" s="18"/>
      <c r="I167" s="87">
        <v>20250415101024</v>
      </c>
      <c r="J167" s="19" t="s">
        <v>133</v>
      </c>
      <c r="K167" s="19" t="s">
        <v>44</v>
      </c>
      <c r="L167" s="19" t="s">
        <v>1306</v>
      </c>
    </row>
    <row r="168" spans="1:17" s="3" customFormat="1">
      <c r="B168" s="23" t="s">
        <v>47</v>
      </c>
      <c r="C168" s="24" t="s">
        <v>46</v>
      </c>
      <c r="D168" s="21" t="s">
        <v>48</v>
      </c>
      <c r="E168" s="44"/>
      <c r="F168" s="44"/>
      <c r="G168" s="44" t="s">
        <v>282</v>
      </c>
      <c r="H168" s="23" t="s">
        <v>282</v>
      </c>
      <c r="I168" s="23"/>
      <c r="J168" s="23"/>
      <c r="K168" s="23"/>
      <c r="L168" s="23"/>
      <c r="M168" s="23"/>
      <c r="N168" s="23"/>
      <c r="O168" s="23"/>
      <c r="P168" s="23"/>
      <c r="Q168" s="23"/>
    </row>
    <row r="169" spans="1:17" s="3" customFormat="1">
      <c r="B169" s="23" t="s">
        <v>49</v>
      </c>
      <c r="C169" s="24" t="s">
        <v>43</v>
      </c>
      <c r="D169" s="21" t="s">
        <v>50</v>
      </c>
      <c r="E169" s="44"/>
      <c r="F169" s="44"/>
      <c r="G169" s="44" t="s">
        <v>282</v>
      </c>
      <c r="H169" s="23" t="s">
        <v>282</v>
      </c>
      <c r="I169" s="23"/>
      <c r="J169" s="23"/>
      <c r="K169" s="23"/>
      <c r="L169" s="23"/>
      <c r="M169" s="23"/>
      <c r="N169" s="23"/>
      <c r="O169" s="23"/>
      <c r="P169" s="23"/>
      <c r="Q169" s="23"/>
    </row>
    <row r="170" spans="1:17" s="3" customFormat="1">
      <c r="B170" s="23" t="s">
        <v>51</v>
      </c>
      <c r="C170" s="24" t="s">
        <v>46</v>
      </c>
      <c r="D170" s="21" t="s">
        <v>52</v>
      </c>
      <c r="E170" s="44"/>
      <c r="F170" s="44"/>
      <c r="G170" s="44" t="s">
        <v>282</v>
      </c>
      <c r="H170" s="23" t="s">
        <v>282</v>
      </c>
      <c r="I170" s="23"/>
      <c r="J170" s="23"/>
      <c r="K170" s="23"/>
      <c r="L170" s="23"/>
      <c r="M170" s="23"/>
      <c r="N170" s="23"/>
      <c r="O170" s="23"/>
      <c r="P170" s="23"/>
      <c r="Q170" s="23"/>
    </row>
    <row r="171" spans="1:17" s="3" customFormat="1">
      <c r="B171" s="23" t="s">
        <v>53</v>
      </c>
      <c r="C171" s="24" t="s">
        <v>46</v>
      </c>
      <c r="D171" s="21" t="s">
        <v>54</v>
      </c>
      <c r="E171" s="44"/>
      <c r="F171" s="44"/>
      <c r="G171" s="44" t="s">
        <v>282</v>
      </c>
      <c r="H171" s="23" t="s">
        <v>282</v>
      </c>
      <c r="I171" s="23"/>
      <c r="J171" s="23"/>
      <c r="K171" s="23"/>
      <c r="L171" s="23"/>
      <c r="M171" s="23"/>
      <c r="N171" s="23"/>
      <c r="O171" s="23"/>
      <c r="P171" s="23"/>
      <c r="Q171" s="23"/>
    </row>
  </sheetData>
  <autoFilter ref="A13:Q171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B487-3FBC-4336-B7B4-057BE66D0A41}">
  <dimension ref="A1:Q169"/>
  <sheetViews>
    <sheetView zoomScale="85" zoomScaleNormal="85" workbookViewId="0">
      <pane ySplit="5" topLeftCell="A6" activePane="bottomLeft" state="frozen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4.2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2233</v>
      </c>
      <c r="D5" s="9" t="s">
        <v>2234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2026</v>
      </c>
      <c r="D9" s="9" t="s">
        <v>2027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6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6"/>
      <c r="I16" s="20"/>
      <c r="J16" s="19" t="s">
        <v>131</v>
      </c>
      <c r="K16" s="19" t="s">
        <v>132</v>
      </c>
      <c r="L16" s="19" t="s">
        <v>677</v>
      </c>
    </row>
    <row r="17" spans="1:12" s="1" customFormat="1">
      <c r="A17" s="15"/>
      <c r="B17" s="22" t="s">
        <v>80</v>
      </c>
      <c r="C17" s="22" t="s">
        <v>94</v>
      </c>
      <c r="D17" s="9" t="s">
        <v>99</v>
      </c>
      <c r="E17" s="16" t="s">
        <v>128</v>
      </c>
      <c r="F17" s="17" t="s">
        <v>80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678</v>
      </c>
    </row>
    <row r="18" spans="1:12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138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123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124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679</v>
      </c>
    </row>
    <row r="21" spans="1:12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318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273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272</v>
      </c>
      <c r="G23" s="17" t="s">
        <v>129</v>
      </c>
      <c r="H23" s="16"/>
      <c r="I23" s="20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95</v>
      </c>
      <c r="G24" s="17" t="s">
        <v>129</v>
      </c>
      <c r="H24" s="16"/>
      <c r="I24" s="35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6"/>
      <c r="I25" s="20"/>
      <c r="J25" s="19" t="s">
        <v>131</v>
      </c>
      <c r="K25" s="19" t="s">
        <v>132</v>
      </c>
      <c r="L25" s="19" t="s">
        <v>44</v>
      </c>
    </row>
    <row r="26" spans="1:12" s="1" customFormat="1">
      <c r="A26" s="15"/>
      <c r="B26" s="11" t="s">
        <v>81</v>
      </c>
      <c r="C26" s="11" t="s">
        <v>43</v>
      </c>
      <c r="D26" s="9" t="s">
        <v>57</v>
      </c>
      <c r="E26" s="16" t="s">
        <v>128</v>
      </c>
      <c r="F26" s="17" t="s">
        <v>81</v>
      </c>
      <c r="G26" s="17" t="s">
        <v>129</v>
      </c>
      <c r="H26" s="16"/>
      <c r="I26" s="20"/>
      <c r="J26" s="19" t="s">
        <v>131</v>
      </c>
      <c r="K26" s="19" t="s">
        <v>132</v>
      </c>
      <c r="L26" s="19" t="s">
        <v>44</v>
      </c>
    </row>
    <row r="27" spans="1:12" s="1" customFormat="1">
      <c r="A27" s="15"/>
      <c r="B27" s="11" t="s">
        <v>58</v>
      </c>
      <c r="C27" s="11" t="s">
        <v>43</v>
      </c>
      <c r="D27" s="9" t="s">
        <v>59</v>
      </c>
      <c r="E27" s="16" t="s">
        <v>128</v>
      </c>
      <c r="F27" s="9" t="s">
        <v>58</v>
      </c>
      <c r="G27" s="17" t="s">
        <v>129</v>
      </c>
      <c r="H27" s="16"/>
      <c r="I27" s="20"/>
      <c r="J27" s="19" t="s">
        <v>131</v>
      </c>
      <c r="K27" s="19" t="s">
        <v>132</v>
      </c>
      <c r="L27" s="19" t="s">
        <v>44</v>
      </c>
    </row>
    <row r="28" spans="1:12" s="1" customFormat="1">
      <c r="A28" s="15"/>
      <c r="B28" s="11" t="s">
        <v>82</v>
      </c>
      <c r="C28" s="11" t="s">
        <v>43</v>
      </c>
      <c r="D28" s="9" t="s">
        <v>105</v>
      </c>
      <c r="E28" s="16" t="s">
        <v>128</v>
      </c>
      <c r="F28" s="17" t="s">
        <v>82</v>
      </c>
      <c r="G28" s="17" t="s">
        <v>129</v>
      </c>
      <c r="H28" s="16"/>
      <c r="I28" s="20"/>
      <c r="J28" s="19" t="s">
        <v>131</v>
      </c>
      <c r="K28" s="19" t="s">
        <v>132</v>
      </c>
      <c r="L28" s="19" t="s">
        <v>44</v>
      </c>
    </row>
    <row r="29" spans="1:12" s="1" customFormat="1">
      <c r="A29" s="15"/>
      <c r="B29" s="11" t="s">
        <v>83</v>
      </c>
      <c r="C29" s="11" t="s">
        <v>43</v>
      </c>
      <c r="D29" s="9" t="s">
        <v>135</v>
      </c>
      <c r="E29" s="16" t="s">
        <v>128</v>
      </c>
      <c r="F29" s="17" t="s">
        <v>83</v>
      </c>
      <c r="G29" s="17" t="s">
        <v>129</v>
      </c>
      <c r="H29" s="16"/>
      <c r="I29" s="20"/>
      <c r="J29" s="19" t="s">
        <v>131</v>
      </c>
      <c r="K29" s="19" t="s">
        <v>132</v>
      </c>
      <c r="L29" s="19" t="s">
        <v>44</v>
      </c>
    </row>
    <row r="30" spans="1:12" s="1" customFormat="1">
      <c r="A30" s="15"/>
      <c r="B30" s="22" t="s">
        <v>195</v>
      </c>
      <c r="C30" s="11" t="s">
        <v>43</v>
      </c>
      <c r="D30" s="9" t="s">
        <v>106</v>
      </c>
      <c r="E30" s="16" t="s">
        <v>128</v>
      </c>
      <c r="F30" s="17" t="s">
        <v>84</v>
      </c>
      <c r="G30" s="17" t="s">
        <v>129</v>
      </c>
      <c r="H30" s="16"/>
      <c r="I30" s="20"/>
      <c r="J30" s="19" t="s">
        <v>131</v>
      </c>
      <c r="K30" s="19" t="s">
        <v>132</v>
      </c>
      <c r="L30" s="19" t="s">
        <v>44</v>
      </c>
    </row>
    <row r="31" spans="1:12" s="1" customFormat="1">
      <c r="B31" s="22" t="s">
        <v>85</v>
      </c>
      <c r="C31" s="11" t="s">
        <v>43</v>
      </c>
      <c r="D31" s="9" t="s">
        <v>107</v>
      </c>
      <c r="E31" s="16" t="s">
        <v>128</v>
      </c>
      <c r="F31" s="17" t="s">
        <v>85</v>
      </c>
      <c r="G31" s="17" t="s">
        <v>129</v>
      </c>
      <c r="H31" s="16"/>
      <c r="I31" s="19"/>
      <c r="J31" s="19" t="s">
        <v>131</v>
      </c>
      <c r="K31" s="19" t="s">
        <v>132</v>
      </c>
      <c r="L31" s="19" t="s">
        <v>44</v>
      </c>
    </row>
    <row r="32" spans="1:12" s="1" customFormat="1">
      <c r="B32" s="22" t="s">
        <v>86</v>
      </c>
      <c r="C32" s="11" t="s">
        <v>43</v>
      </c>
      <c r="D32" s="9" t="s">
        <v>108</v>
      </c>
      <c r="E32" s="16" t="s">
        <v>128</v>
      </c>
      <c r="F32" s="17" t="s">
        <v>86</v>
      </c>
      <c r="G32" s="17" t="s">
        <v>129</v>
      </c>
      <c r="H32" s="16"/>
      <c r="I32" s="19"/>
      <c r="J32" s="19" t="s">
        <v>131</v>
      </c>
      <c r="K32" s="19" t="s">
        <v>132</v>
      </c>
      <c r="L32" s="19" t="s">
        <v>44</v>
      </c>
    </row>
    <row r="33" spans="1:13" s="15" customFormat="1">
      <c r="B33" s="22" t="s">
        <v>87</v>
      </c>
      <c r="C33" s="11" t="s">
        <v>43</v>
      </c>
      <c r="D33" s="9" t="s">
        <v>109</v>
      </c>
      <c r="E33" s="16" t="s">
        <v>128</v>
      </c>
      <c r="F33" s="17" t="s">
        <v>87</v>
      </c>
      <c r="G33" s="17" t="s">
        <v>129</v>
      </c>
      <c r="H33" s="16"/>
      <c r="I33" s="20"/>
      <c r="J33" s="19" t="s">
        <v>131</v>
      </c>
      <c r="K33" s="19" t="s">
        <v>132</v>
      </c>
      <c r="L33" s="19" t="s">
        <v>679</v>
      </c>
      <c r="M33" s="1"/>
    </row>
    <row r="34" spans="1:13" s="15" customFormat="1">
      <c r="B34" s="22" t="s">
        <v>88</v>
      </c>
      <c r="C34" s="11" t="s">
        <v>43</v>
      </c>
      <c r="D34" s="9" t="s">
        <v>110</v>
      </c>
      <c r="E34" s="16" t="s">
        <v>128</v>
      </c>
      <c r="F34" s="17" t="s">
        <v>88</v>
      </c>
      <c r="G34" s="17" t="s">
        <v>129</v>
      </c>
      <c r="H34" s="16"/>
      <c r="I34" s="20"/>
      <c r="J34" s="19" t="s">
        <v>131</v>
      </c>
      <c r="K34" s="19" t="s">
        <v>132</v>
      </c>
      <c r="L34" s="19" t="s">
        <v>44</v>
      </c>
      <c r="M34" s="1"/>
    </row>
    <row r="35" spans="1:13" s="68" customFormat="1">
      <c r="A35" s="65"/>
      <c r="B35" s="66" t="s">
        <v>89</v>
      </c>
      <c r="C35" s="11" t="s">
        <v>43</v>
      </c>
      <c r="D35" s="9" t="s">
        <v>111</v>
      </c>
      <c r="E35" s="16" t="s">
        <v>128</v>
      </c>
      <c r="F35" s="17" t="s">
        <v>89</v>
      </c>
      <c r="G35" s="17" t="s">
        <v>129</v>
      </c>
      <c r="H35" s="16"/>
      <c r="I35" s="67"/>
      <c r="J35" s="19" t="s">
        <v>131</v>
      </c>
      <c r="K35" s="19" t="s">
        <v>132</v>
      </c>
      <c r="L35" s="19" t="s">
        <v>44</v>
      </c>
      <c r="M35" s="1"/>
    </row>
    <row r="36" spans="1:13" s="1" customFormat="1">
      <c r="B36" s="66" t="s">
        <v>1992</v>
      </c>
      <c r="C36" s="22" t="s">
        <v>46</v>
      </c>
      <c r="D36" s="9" t="s">
        <v>2006</v>
      </c>
      <c r="E36" s="16" t="s">
        <v>128</v>
      </c>
      <c r="F36" s="17" t="s">
        <v>1992</v>
      </c>
      <c r="G36" s="17" t="s">
        <v>129</v>
      </c>
      <c r="H36" s="16"/>
      <c r="I36" s="19"/>
      <c r="J36" s="19" t="s">
        <v>259</v>
      </c>
      <c r="K36" s="19" t="s">
        <v>132</v>
      </c>
      <c r="L36" s="19" t="s">
        <v>132</v>
      </c>
    </row>
    <row r="37" spans="1:13" s="1" customFormat="1">
      <c r="B37" s="66" t="s">
        <v>1998</v>
      </c>
      <c r="C37" s="22" t="s">
        <v>43</v>
      </c>
      <c r="D37" s="9" t="s">
        <v>2014</v>
      </c>
      <c r="E37" s="16" t="s">
        <v>128</v>
      </c>
      <c r="F37" s="17" t="s">
        <v>1998</v>
      </c>
      <c r="G37" s="17" t="s">
        <v>129</v>
      </c>
      <c r="H37" s="16"/>
      <c r="I37" s="19"/>
      <c r="J37" s="19" t="s">
        <v>259</v>
      </c>
      <c r="K37" s="19" t="s">
        <v>132</v>
      </c>
      <c r="L37" s="19" t="s">
        <v>132</v>
      </c>
    </row>
    <row r="38" spans="1:13" s="68" customFormat="1">
      <c r="A38" s="65"/>
      <c r="B38" s="66" t="s">
        <v>117</v>
      </c>
      <c r="C38" s="11" t="s">
        <v>46</v>
      </c>
      <c r="D38" s="9" t="s">
        <v>143</v>
      </c>
      <c r="E38" s="16" t="s">
        <v>128</v>
      </c>
      <c r="F38" s="17" t="s">
        <v>117</v>
      </c>
      <c r="G38" s="17" t="s">
        <v>129</v>
      </c>
      <c r="H38" s="16"/>
      <c r="I38" s="67"/>
      <c r="J38" s="19" t="s">
        <v>131</v>
      </c>
      <c r="K38" s="19" t="s">
        <v>132</v>
      </c>
      <c r="L38" s="19" t="s">
        <v>680</v>
      </c>
      <c r="M38" s="1"/>
    </row>
    <row r="39" spans="1:13" s="68" customFormat="1">
      <c r="A39" s="65"/>
      <c r="B39" s="66" t="s">
        <v>142</v>
      </c>
      <c r="C39" s="11" t="s">
        <v>46</v>
      </c>
      <c r="D39" s="9" t="s">
        <v>144</v>
      </c>
      <c r="E39" s="16" t="s">
        <v>128</v>
      </c>
      <c r="F39" s="13" t="s">
        <v>142</v>
      </c>
      <c r="G39" s="17" t="s">
        <v>129</v>
      </c>
      <c r="H39" s="16"/>
      <c r="I39" s="67"/>
      <c r="J39" s="19" t="s">
        <v>131</v>
      </c>
      <c r="K39" s="19" t="s">
        <v>132</v>
      </c>
      <c r="L39" s="19" t="s">
        <v>44</v>
      </c>
      <c r="M39" s="1"/>
    </row>
    <row r="40" spans="1:13" s="1" customFormat="1">
      <c r="A40" s="15"/>
      <c r="B40" s="11" t="s">
        <v>139</v>
      </c>
      <c r="C40" s="11" t="s">
        <v>43</v>
      </c>
      <c r="D40" s="9" t="s">
        <v>115</v>
      </c>
      <c r="E40" s="16" t="s">
        <v>128</v>
      </c>
      <c r="F40" s="17" t="s">
        <v>139</v>
      </c>
      <c r="G40" s="17" t="s">
        <v>129</v>
      </c>
      <c r="H40" s="16"/>
      <c r="I40" s="17"/>
      <c r="J40" s="19" t="s">
        <v>131</v>
      </c>
      <c r="K40" s="19" t="s">
        <v>132</v>
      </c>
      <c r="L40" s="19" t="s">
        <v>44</v>
      </c>
    </row>
    <row r="41" spans="1:13" s="1" customFormat="1">
      <c r="A41" s="15"/>
      <c r="B41" s="11" t="s">
        <v>197</v>
      </c>
      <c r="C41" s="11" t="s">
        <v>94</v>
      </c>
      <c r="D41" s="9" t="s">
        <v>198</v>
      </c>
      <c r="E41" s="16" t="s">
        <v>128</v>
      </c>
      <c r="F41" s="17" t="s">
        <v>197</v>
      </c>
      <c r="G41" s="17" t="s">
        <v>129</v>
      </c>
      <c r="H41" s="16"/>
      <c r="I41" s="17"/>
      <c r="J41" s="19" t="s">
        <v>131</v>
      </c>
      <c r="K41" s="19" t="s">
        <v>132</v>
      </c>
      <c r="L41" s="19" t="s">
        <v>281</v>
      </c>
    </row>
    <row r="42" spans="1:13" s="1" customFormat="1">
      <c r="A42" s="15"/>
      <c r="B42" s="11" t="s">
        <v>200</v>
      </c>
      <c r="C42" s="11" t="s">
        <v>94</v>
      </c>
      <c r="D42" s="9" t="s">
        <v>201</v>
      </c>
      <c r="E42" s="16" t="s">
        <v>128</v>
      </c>
      <c r="F42" s="17" t="s">
        <v>200</v>
      </c>
      <c r="G42" s="17" t="s">
        <v>129</v>
      </c>
      <c r="H42" s="16"/>
      <c r="I42" s="17"/>
      <c r="J42" s="19" t="s">
        <v>131</v>
      </c>
      <c r="K42" s="19" t="s">
        <v>132</v>
      </c>
      <c r="L42" s="19" t="s">
        <v>281</v>
      </c>
    </row>
    <row r="43" spans="1:13" s="1" customFormat="1">
      <c r="A43" s="15"/>
      <c r="B43" s="11" t="s">
        <v>145</v>
      </c>
      <c r="C43" s="11" t="s">
        <v>45</v>
      </c>
      <c r="D43" s="9" t="s">
        <v>146</v>
      </c>
      <c r="E43" s="16" t="s">
        <v>128</v>
      </c>
      <c r="F43" s="17"/>
      <c r="G43" s="17" t="s">
        <v>1289</v>
      </c>
      <c r="H43" s="18"/>
      <c r="I43" s="17"/>
      <c r="J43" s="19" t="s">
        <v>133</v>
      </c>
      <c r="K43" s="19" t="s">
        <v>132</v>
      </c>
      <c r="L43" s="19" t="s">
        <v>134</v>
      </c>
    </row>
    <row r="44" spans="1:13" s="1" customFormat="1">
      <c r="A44" s="15"/>
      <c r="B44" s="11" t="s">
        <v>192</v>
      </c>
      <c r="C44" s="11" t="s">
        <v>45</v>
      </c>
      <c r="D44" s="9" t="s">
        <v>193</v>
      </c>
      <c r="E44" s="16" t="s">
        <v>128</v>
      </c>
      <c r="F44" s="17"/>
      <c r="G44" s="17" t="s">
        <v>2265</v>
      </c>
      <c r="H44" s="18"/>
      <c r="I44" s="17"/>
      <c r="J44" s="19" t="s">
        <v>133</v>
      </c>
      <c r="K44" s="19" t="s">
        <v>132</v>
      </c>
      <c r="L44" s="19" t="s">
        <v>134</v>
      </c>
    </row>
    <row r="45" spans="1:13" s="1" customFormat="1">
      <c r="A45" s="15"/>
      <c r="B45" s="22" t="s">
        <v>255</v>
      </c>
      <c r="C45" s="22" t="s">
        <v>45</v>
      </c>
      <c r="D45" s="9" t="s">
        <v>348</v>
      </c>
      <c r="E45" s="16" t="s">
        <v>128</v>
      </c>
      <c r="F45" s="17"/>
      <c r="G45" s="17" t="s">
        <v>1667</v>
      </c>
      <c r="H45" s="18"/>
      <c r="I45" s="17"/>
      <c r="J45" s="19" t="s">
        <v>133</v>
      </c>
      <c r="K45" s="19" t="s">
        <v>203</v>
      </c>
      <c r="L45" s="19" t="s">
        <v>134</v>
      </c>
    </row>
    <row r="46" spans="1:13" s="1" customFormat="1">
      <c r="A46" s="15"/>
      <c r="B46" s="11" t="s">
        <v>207</v>
      </c>
      <c r="C46" s="11" t="s">
        <v>45</v>
      </c>
      <c r="D46" s="9" t="s">
        <v>759</v>
      </c>
      <c r="E46" s="16" t="s">
        <v>128</v>
      </c>
      <c r="F46" s="72"/>
      <c r="G46" s="17" t="s">
        <v>1200</v>
      </c>
      <c r="H46" s="18"/>
      <c r="I46" s="17"/>
      <c r="J46" s="19" t="s">
        <v>133</v>
      </c>
      <c r="K46" s="19" t="s">
        <v>204</v>
      </c>
      <c r="L46" s="19" t="s">
        <v>134</v>
      </c>
    </row>
    <row r="47" spans="1:13" s="1" customFormat="1">
      <c r="A47" s="15"/>
      <c r="B47" s="11" t="s">
        <v>208</v>
      </c>
      <c r="C47" s="11" t="s">
        <v>45</v>
      </c>
      <c r="D47" s="9" t="s">
        <v>160</v>
      </c>
      <c r="E47" s="16" t="s">
        <v>128</v>
      </c>
      <c r="F47" s="72"/>
      <c r="G47" s="17" t="s">
        <v>1201</v>
      </c>
      <c r="H47" s="18"/>
      <c r="I47" s="17"/>
      <c r="J47" s="19" t="s">
        <v>133</v>
      </c>
      <c r="K47" s="19" t="s">
        <v>204</v>
      </c>
      <c r="L47" s="19" t="s">
        <v>134</v>
      </c>
    </row>
    <row r="48" spans="1:13" s="1" customFormat="1">
      <c r="A48" s="15"/>
      <c r="B48" s="11" t="s">
        <v>210</v>
      </c>
      <c r="C48" s="11" t="s">
        <v>45</v>
      </c>
      <c r="D48" s="9" t="s">
        <v>1056</v>
      </c>
      <c r="E48" s="16" t="s">
        <v>128</v>
      </c>
      <c r="F48" s="72"/>
      <c r="G48" s="17" t="s">
        <v>224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209</v>
      </c>
      <c r="C49" s="11" t="s">
        <v>45</v>
      </c>
      <c r="D49" s="9" t="s">
        <v>1055</v>
      </c>
      <c r="E49" s="16" t="s">
        <v>128</v>
      </c>
      <c r="F49" s="72"/>
      <c r="G49" s="17" t="s">
        <v>223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211</v>
      </c>
      <c r="C50" s="11" t="s">
        <v>45</v>
      </c>
      <c r="D50" s="9" t="s">
        <v>163</v>
      </c>
      <c r="E50" s="16" t="s">
        <v>128</v>
      </c>
      <c r="F50" s="72"/>
      <c r="G50" s="17" t="s">
        <v>225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212</v>
      </c>
      <c r="C51" s="11" t="s">
        <v>45</v>
      </c>
      <c r="D51" s="9" t="s">
        <v>164</v>
      </c>
      <c r="E51" s="16" t="s">
        <v>128</v>
      </c>
      <c r="F51" s="72"/>
      <c r="G51" s="17" t="s">
        <v>226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213</v>
      </c>
      <c r="C52" s="11" t="s">
        <v>45</v>
      </c>
      <c r="D52" s="9" t="s">
        <v>165</v>
      </c>
      <c r="E52" s="16" t="s">
        <v>128</v>
      </c>
      <c r="F52" s="72"/>
      <c r="G52" s="17" t="s">
        <v>1114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214</v>
      </c>
      <c r="C53" s="11" t="s">
        <v>45</v>
      </c>
      <c r="D53" s="9" t="s">
        <v>166</v>
      </c>
      <c r="E53" s="16" t="s">
        <v>128</v>
      </c>
      <c r="F53" s="72"/>
      <c r="G53" s="17" t="s">
        <v>1115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217</v>
      </c>
      <c r="C54" s="11" t="s">
        <v>45</v>
      </c>
      <c r="D54" s="9" t="s">
        <v>171</v>
      </c>
      <c r="E54" s="16" t="s">
        <v>128</v>
      </c>
      <c r="F54" s="72"/>
      <c r="G54" s="17" t="s">
        <v>1116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218</v>
      </c>
      <c r="C55" s="11" t="s">
        <v>45</v>
      </c>
      <c r="D55" s="9" t="s">
        <v>172</v>
      </c>
      <c r="E55" s="16" t="s">
        <v>128</v>
      </c>
      <c r="F55" s="72"/>
      <c r="G55" s="17" t="s">
        <v>1117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219</v>
      </c>
      <c r="C56" s="11" t="s">
        <v>45</v>
      </c>
      <c r="D56" s="9" t="s">
        <v>173</v>
      </c>
      <c r="E56" s="16" t="s">
        <v>128</v>
      </c>
      <c r="F56" s="72"/>
      <c r="G56" s="17" t="s">
        <v>1118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220</v>
      </c>
      <c r="C57" s="11" t="s">
        <v>45</v>
      </c>
      <c r="D57" s="9" t="s">
        <v>174</v>
      </c>
      <c r="E57" s="16" t="s">
        <v>128</v>
      </c>
      <c r="F57" s="72"/>
      <c r="G57" s="17" t="s">
        <v>1119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215</v>
      </c>
      <c r="C58" s="11" t="s">
        <v>45</v>
      </c>
      <c r="D58" s="9" t="s">
        <v>1260</v>
      </c>
      <c r="E58" s="16" t="s">
        <v>128</v>
      </c>
      <c r="F58" s="72"/>
      <c r="G58" s="17" t="s">
        <v>227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216</v>
      </c>
      <c r="C59" s="11" t="s">
        <v>45</v>
      </c>
      <c r="D59" s="9" t="s">
        <v>1261</v>
      </c>
      <c r="E59" s="16" t="s">
        <v>128</v>
      </c>
      <c r="F59" s="72"/>
      <c r="G59" s="17" t="s">
        <v>228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316</v>
      </c>
      <c r="C60" s="11" t="s">
        <v>45</v>
      </c>
      <c r="D60" s="9" t="s">
        <v>167</v>
      </c>
      <c r="E60" s="16" t="s">
        <v>128</v>
      </c>
      <c r="F60" s="72"/>
      <c r="G60" s="17" t="s">
        <v>772</v>
      </c>
      <c r="H60" s="18"/>
      <c r="I60" s="17"/>
      <c r="J60" s="19" t="s">
        <v>133</v>
      </c>
      <c r="K60" s="19" t="s">
        <v>202</v>
      </c>
      <c r="L60" s="19" t="s">
        <v>67</v>
      </c>
    </row>
    <row r="61" spans="1:12" s="1" customFormat="1">
      <c r="A61" s="15"/>
      <c r="B61" s="11" t="s">
        <v>809</v>
      </c>
      <c r="C61" s="11" t="s">
        <v>45</v>
      </c>
      <c r="D61" s="9" t="s">
        <v>175</v>
      </c>
      <c r="E61" s="16" t="s">
        <v>128</v>
      </c>
      <c r="F61" s="72"/>
      <c r="G61" s="17" t="s">
        <v>1120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317</v>
      </c>
      <c r="C62" s="11" t="s">
        <v>45</v>
      </c>
      <c r="D62" s="9" t="s">
        <v>168</v>
      </c>
      <c r="E62" s="16" t="s">
        <v>128</v>
      </c>
      <c r="F62" s="72"/>
      <c r="G62" s="17" t="s">
        <v>778</v>
      </c>
      <c r="H62" s="18"/>
      <c r="I62" s="17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11" t="s">
        <v>810</v>
      </c>
      <c r="C63" s="11" t="s">
        <v>45</v>
      </c>
      <c r="D63" s="9" t="s">
        <v>176</v>
      </c>
      <c r="E63" s="16" t="s">
        <v>128</v>
      </c>
      <c r="F63" s="72"/>
      <c r="G63" s="17" t="s">
        <v>1121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1213</v>
      </c>
      <c r="C64" s="11" t="s">
        <v>45</v>
      </c>
      <c r="D64" s="9" t="s">
        <v>178</v>
      </c>
      <c r="E64" s="16" t="s">
        <v>128</v>
      </c>
      <c r="F64" s="72"/>
      <c r="G64" s="17" t="s">
        <v>2266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221</v>
      </c>
      <c r="C65" s="11" t="s">
        <v>45</v>
      </c>
      <c r="D65" s="9" t="s">
        <v>177</v>
      </c>
      <c r="E65" s="16" t="s">
        <v>128</v>
      </c>
      <c r="F65" s="72"/>
      <c r="G65" s="17" t="s">
        <v>1122</v>
      </c>
      <c r="H65" s="18"/>
      <c r="I65" s="17"/>
      <c r="J65" s="19" t="s">
        <v>133</v>
      </c>
      <c r="K65" s="19" t="s">
        <v>204</v>
      </c>
      <c r="L65" s="19" t="s">
        <v>67</v>
      </c>
    </row>
    <row r="66" spans="1:12" s="1" customFormat="1">
      <c r="A66" s="15"/>
      <c r="B66" s="11" t="s">
        <v>1212</v>
      </c>
      <c r="C66" s="11" t="s">
        <v>45</v>
      </c>
      <c r="D66" s="9" t="s">
        <v>180</v>
      </c>
      <c r="E66" s="16" t="s">
        <v>128</v>
      </c>
      <c r="F66" s="72"/>
      <c r="G66" s="17" t="s">
        <v>2267</v>
      </c>
      <c r="H66" s="18"/>
      <c r="I66" s="17"/>
      <c r="J66" s="19" t="s">
        <v>133</v>
      </c>
      <c r="K66" s="19" t="s">
        <v>202</v>
      </c>
      <c r="L66" s="19" t="s">
        <v>67</v>
      </c>
    </row>
    <row r="67" spans="1:12" s="1" customFormat="1">
      <c r="A67" s="15"/>
      <c r="B67" s="11" t="s">
        <v>222</v>
      </c>
      <c r="C67" s="11" t="s">
        <v>45</v>
      </c>
      <c r="D67" s="9" t="s">
        <v>179</v>
      </c>
      <c r="E67" s="16" t="s">
        <v>128</v>
      </c>
      <c r="F67" s="72"/>
      <c r="G67" s="17" t="s">
        <v>1123</v>
      </c>
      <c r="H67" s="18"/>
      <c r="I67" s="17"/>
      <c r="J67" s="19" t="s">
        <v>133</v>
      </c>
      <c r="K67" s="19" t="s">
        <v>204</v>
      </c>
      <c r="L67" s="19" t="s">
        <v>67</v>
      </c>
    </row>
    <row r="68" spans="1:12" s="1" customFormat="1">
      <c r="A68" s="15"/>
      <c r="B68" s="11" t="s">
        <v>2167</v>
      </c>
      <c r="C68" s="11" t="s">
        <v>45</v>
      </c>
      <c r="D68" s="9" t="s">
        <v>2165</v>
      </c>
      <c r="E68" s="16" t="s">
        <v>128</v>
      </c>
      <c r="F68" s="72"/>
      <c r="G68" s="17" t="s">
        <v>2268</v>
      </c>
      <c r="H68" s="18"/>
      <c r="I68" s="17"/>
      <c r="J68" s="19" t="s">
        <v>133</v>
      </c>
      <c r="K68" s="19" t="s">
        <v>903</v>
      </c>
      <c r="L68" s="19" t="s">
        <v>134</v>
      </c>
    </row>
    <row r="69" spans="1:12" s="1" customFormat="1">
      <c r="A69" s="15"/>
      <c r="B69" s="11" t="s">
        <v>2168</v>
      </c>
      <c r="C69" s="11" t="s">
        <v>45</v>
      </c>
      <c r="D69" s="9" t="s">
        <v>2166</v>
      </c>
      <c r="E69" s="16" t="s">
        <v>128</v>
      </c>
      <c r="F69" s="72"/>
      <c r="G69" s="17" t="s">
        <v>2269</v>
      </c>
      <c r="H69" s="18"/>
      <c r="I69" s="17"/>
      <c r="J69" s="19" t="s">
        <v>133</v>
      </c>
      <c r="K69" s="19" t="s">
        <v>903</v>
      </c>
      <c r="L69" s="19" t="s">
        <v>134</v>
      </c>
    </row>
    <row r="70" spans="1:12" s="1" customFormat="1">
      <c r="A70" s="15"/>
      <c r="B70" s="11" t="s">
        <v>2179</v>
      </c>
      <c r="C70" s="11" t="s">
        <v>45</v>
      </c>
      <c r="D70" s="9" t="s">
        <v>2011</v>
      </c>
      <c r="E70" s="16" t="s">
        <v>128</v>
      </c>
      <c r="F70" s="72"/>
      <c r="G70" s="17" t="s">
        <v>2270</v>
      </c>
      <c r="H70" s="18"/>
      <c r="I70" s="17"/>
      <c r="J70" s="19" t="s">
        <v>133</v>
      </c>
      <c r="K70" s="19" t="s">
        <v>202</v>
      </c>
      <c r="L70" s="19" t="s">
        <v>67</v>
      </c>
    </row>
    <row r="71" spans="1:12" s="1" customFormat="1">
      <c r="A71" s="15"/>
      <c r="B71" s="11" t="s">
        <v>2172</v>
      </c>
      <c r="C71" s="11" t="s">
        <v>45</v>
      </c>
      <c r="D71" s="9" t="s">
        <v>2173</v>
      </c>
      <c r="E71" s="16" t="s">
        <v>128</v>
      </c>
      <c r="F71" s="72"/>
      <c r="G71" s="17" t="s">
        <v>2271</v>
      </c>
      <c r="H71" s="18"/>
      <c r="I71" s="17"/>
      <c r="J71" s="19" t="s">
        <v>133</v>
      </c>
      <c r="K71" s="19" t="s">
        <v>1640</v>
      </c>
      <c r="L71" s="19" t="s">
        <v>67</v>
      </c>
    </row>
    <row r="72" spans="1:12" s="1" customFormat="1">
      <c r="A72" s="15"/>
      <c r="B72" s="11" t="s">
        <v>2174</v>
      </c>
      <c r="C72" s="11" t="s">
        <v>45</v>
      </c>
      <c r="D72" s="9" t="s">
        <v>2175</v>
      </c>
      <c r="E72" s="16" t="s">
        <v>128</v>
      </c>
      <c r="F72" s="72"/>
      <c r="G72" s="17" t="s">
        <v>2272</v>
      </c>
      <c r="H72" s="18"/>
      <c r="I72" s="17"/>
      <c r="J72" s="19" t="s">
        <v>133</v>
      </c>
      <c r="K72" s="19" t="s">
        <v>1640</v>
      </c>
      <c r="L72" s="19" t="s">
        <v>67</v>
      </c>
    </row>
    <row r="73" spans="1:12" s="1" customFormat="1">
      <c r="A73" s="15"/>
      <c r="B73" s="11" t="s">
        <v>2181</v>
      </c>
      <c r="C73" s="11" t="s">
        <v>45</v>
      </c>
      <c r="D73" s="9" t="s">
        <v>2182</v>
      </c>
      <c r="E73" s="16" t="s">
        <v>128</v>
      </c>
      <c r="F73" s="72"/>
      <c r="G73" s="17" t="s">
        <v>2273</v>
      </c>
      <c r="H73" s="18"/>
      <c r="I73" s="17"/>
      <c r="J73" s="19" t="s">
        <v>133</v>
      </c>
      <c r="K73" s="19" t="s">
        <v>1640</v>
      </c>
      <c r="L73" s="19" t="s">
        <v>67</v>
      </c>
    </row>
    <row r="74" spans="1:12" s="1" customFormat="1">
      <c r="A74" s="15"/>
      <c r="B74" s="11" t="s">
        <v>2183</v>
      </c>
      <c r="C74" s="11" t="s">
        <v>45</v>
      </c>
      <c r="D74" s="9" t="s">
        <v>2184</v>
      </c>
      <c r="E74" s="16" t="s">
        <v>128</v>
      </c>
      <c r="F74" s="72"/>
      <c r="G74" s="17" t="s">
        <v>2274</v>
      </c>
      <c r="H74" s="18"/>
      <c r="I74" s="17"/>
      <c r="J74" s="19" t="s">
        <v>133</v>
      </c>
      <c r="K74" s="19" t="s">
        <v>1640</v>
      </c>
      <c r="L74" s="19" t="s">
        <v>67</v>
      </c>
    </row>
    <row r="75" spans="1:12" s="1" customFormat="1">
      <c r="A75" s="15"/>
      <c r="B75" s="11" t="s">
        <v>2185</v>
      </c>
      <c r="C75" s="11" t="s">
        <v>45</v>
      </c>
      <c r="D75" s="9" t="s">
        <v>2190</v>
      </c>
      <c r="E75" s="16" t="s">
        <v>128</v>
      </c>
      <c r="F75" s="72"/>
      <c r="G75" s="17" t="s">
        <v>2275</v>
      </c>
      <c r="H75" s="18"/>
      <c r="I75" s="17"/>
      <c r="J75" s="19" t="s">
        <v>133</v>
      </c>
      <c r="K75" s="19" t="s">
        <v>204</v>
      </c>
      <c r="L75" s="19" t="s">
        <v>67</v>
      </c>
    </row>
    <row r="76" spans="1:12" s="1" customFormat="1">
      <c r="A76" s="15"/>
      <c r="B76" s="11" t="s">
        <v>2186</v>
      </c>
      <c r="C76" s="11" t="s">
        <v>45</v>
      </c>
      <c r="D76" s="9" t="s">
        <v>2191</v>
      </c>
      <c r="E76" s="16" t="s">
        <v>128</v>
      </c>
      <c r="F76" s="72"/>
      <c r="G76" s="17" t="s">
        <v>2276</v>
      </c>
      <c r="H76" s="18"/>
      <c r="I76" s="17"/>
      <c r="J76" s="19" t="s">
        <v>133</v>
      </c>
      <c r="K76" s="19" t="s">
        <v>202</v>
      </c>
      <c r="L76" s="19" t="s">
        <v>67</v>
      </c>
    </row>
    <row r="77" spans="1:12" s="1" customFormat="1">
      <c r="A77" s="15"/>
      <c r="B77" s="11" t="s">
        <v>2246</v>
      </c>
      <c r="C77" s="11" t="s">
        <v>45</v>
      </c>
      <c r="D77" s="9" t="s">
        <v>2189</v>
      </c>
      <c r="E77" s="16" t="s">
        <v>128</v>
      </c>
      <c r="F77" s="72"/>
      <c r="G77" s="17" t="s">
        <v>2277</v>
      </c>
      <c r="H77" s="18"/>
      <c r="I77" s="17"/>
      <c r="J77" s="19" t="s">
        <v>133</v>
      </c>
      <c r="K77" s="19" t="s">
        <v>204</v>
      </c>
      <c r="L77" s="19" t="s">
        <v>67</v>
      </c>
    </row>
    <row r="78" spans="1:12" s="1" customFormat="1">
      <c r="A78" s="15"/>
      <c r="B78" s="11" t="s">
        <v>2159</v>
      </c>
      <c r="C78" s="95" t="s">
        <v>280</v>
      </c>
      <c r="D78" s="9" t="s">
        <v>2161</v>
      </c>
      <c r="E78" s="16" t="s">
        <v>128</v>
      </c>
      <c r="F78" s="72"/>
      <c r="G78" s="17" t="s">
        <v>2278</v>
      </c>
      <c r="H78" s="18"/>
      <c r="I78" s="17"/>
      <c r="J78" s="19" t="s">
        <v>133</v>
      </c>
      <c r="K78" s="19" t="s">
        <v>203</v>
      </c>
      <c r="L78" s="19" t="s">
        <v>67</v>
      </c>
    </row>
    <row r="79" spans="1:12" s="1" customFormat="1">
      <c r="A79" s="15"/>
      <c r="B79" s="11" t="s">
        <v>2160</v>
      </c>
      <c r="C79" s="95" t="s">
        <v>280</v>
      </c>
      <c r="D79" s="9" t="s">
        <v>2162</v>
      </c>
      <c r="E79" s="16" t="s">
        <v>128</v>
      </c>
      <c r="F79" s="72"/>
      <c r="G79" s="17" t="s">
        <v>2279</v>
      </c>
      <c r="H79" s="18"/>
      <c r="I79" s="17"/>
      <c r="J79" s="19" t="s">
        <v>133</v>
      </c>
      <c r="K79" s="19" t="s">
        <v>202</v>
      </c>
      <c r="L79" s="19" t="s">
        <v>67</v>
      </c>
    </row>
    <row r="80" spans="1:12" s="1" customFormat="1">
      <c r="A80" s="15"/>
      <c r="B80" s="11" t="s">
        <v>205</v>
      </c>
      <c r="C80" s="11" t="s">
        <v>45</v>
      </c>
      <c r="D80" s="9" t="s">
        <v>147</v>
      </c>
      <c r="E80" s="16" t="s">
        <v>128</v>
      </c>
      <c r="F80" s="72"/>
      <c r="G80" s="17" t="s">
        <v>2247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206</v>
      </c>
      <c r="C81" s="11" t="s">
        <v>280</v>
      </c>
      <c r="D81" s="9" t="s">
        <v>820</v>
      </c>
      <c r="E81" s="16" t="s">
        <v>128</v>
      </c>
      <c r="F81" s="72"/>
      <c r="G81" s="17" t="s">
        <v>1081</v>
      </c>
      <c r="H81" s="18"/>
      <c r="I81" s="17"/>
      <c r="J81" s="19" t="s">
        <v>133</v>
      </c>
      <c r="K81" s="19" t="s">
        <v>202</v>
      </c>
      <c r="L81" s="19" t="s">
        <v>67</v>
      </c>
    </row>
    <row r="82" spans="1:12" s="1" customFormat="1">
      <c r="A82" s="15"/>
      <c r="B82" s="11" t="s">
        <v>1022</v>
      </c>
      <c r="C82" s="11" t="s">
        <v>45</v>
      </c>
      <c r="D82" s="9" t="s">
        <v>1018</v>
      </c>
      <c r="E82" s="16" t="s">
        <v>128</v>
      </c>
      <c r="F82" s="72"/>
      <c r="G82" s="17" t="s">
        <v>1127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1014</v>
      </c>
      <c r="C83" s="11" t="s">
        <v>45</v>
      </c>
      <c r="D83" s="9" t="s">
        <v>1019</v>
      </c>
      <c r="E83" s="16" t="s">
        <v>128</v>
      </c>
      <c r="F83" s="72"/>
      <c r="G83" s="17" t="s">
        <v>1128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1015</v>
      </c>
      <c r="C84" s="11" t="s">
        <v>45</v>
      </c>
      <c r="D84" s="9" t="s">
        <v>1020</v>
      </c>
      <c r="E84" s="16" t="s">
        <v>128</v>
      </c>
      <c r="F84" s="72"/>
      <c r="G84" s="17" t="s">
        <v>1129</v>
      </c>
      <c r="H84" s="18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1016</v>
      </c>
      <c r="C85" s="11" t="s">
        <v>45</v>
      </c>
      <c r="D85" s="9" t="s">
        <v>1021</v>
      </c>
      <c r="E85" s="16" t="s">
        <v>128</v>
      </c>
      <c r="F85" s="72"/>
      <c r="G85" s="17" t="s">
        <v>1130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1017</v>
      </c>
      <c r="C86" s="11" t="s">
        <v>45</v>
      </c>
      <c r="D86" s="9" t="s">
        <v>1042</v>
      </c>
      <c r="E86" s="16" t="s">
        <v>128</v>
      </c>
      <c r="F86" s="72"/>
      <c r="G86" s="17" t="s">
        <v>1131</v>
      </c>
      <c r="H86" s="18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1049</v>
      </c>
      <c r="C87" s="11" t="s">
        <v>45</v>
      </c>
      <c r="D87" s="9" t="s">
        <v>153</v>
      </c>
      <c r="E87" s="16" t="s">
        <v>128</v>
      </c>
      <c r="F87" s="72"/>
      <c r="G87" s="17" t="s">
        <v>1262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823</v>
      </c>
      <c r="C88" s="11" t="s">
        <v>280</v>
      </c>
      <c r="D88" s="9" t="s">
        <v>1474</v>
      </c>
      <c r="E88" s="16" t="s">
        <v>128</v>
      </c>
      <c r="F88" s="72"/>
      <c r="G88" s="17" t="s">
        <v>1082</v>
      </c>
      <c r="H88" s="18"/>
      <c r="I88" s="17"/>
      <c r="J88" s="19" t="s">
        <v>133</v>
      </c>
      <c r="K88" s="19" t="s">
        <v>202</v>
      </c>
      <c r="L88" s="19" t="s">
        <v>67</v>
      </c>
    </row>
    <row r="89" spans="1:12" s="1" customFormat="1">
      <c r="A89" s="15"/>
      <c r="B89" s="11" t="s">
        <v>1030</v>
      </c>
      <c r="C89" s="11" t="s">
        <v>45</v>
      </c>
      <c r="D89" s="9" t="s">
        <v>1026</v>
      </c>
      <c r="E89" s="16" t="s">
        <v>128</v>
      </c>
      <c r="F89" s="72"/>
      <c r="G89" s="17" t="s">
        <v>1133</v>
      </c>
      <c r="H89" s="18"/>
      <c r="I89" s="17"/>
      <c r="J89" s="19" t="s">
        <v>133</v>
      </c>
      <c r="K89" s="19" t="s">
        <v>44</v>
      </c>
      <c r="L89" s="19" t="s">
        <v>67</v>
      </c>
    </row>
    <row r="90" spans="1:12" s="1" customFormat="1">
      <c r="A90" s="15"/>
      <c r="B90" s="11" t="s">
        <v>1023</v>
      </c>
      <c r="C90" s="11" t="s">
        <v>45</v>
      </c>
      <c r="D90" s="9" t="s">
        <v>1027</v>
      </c>
      <c r="E90" s="16" t="s">
        <v>128</v>
      </c>
      <c r="F90" s="72"/>
      <c r="G90" s="17" t="s">
        <v>1134</v>
      </c>
      <c r="H90" s="18"/>
      <c r="I90" s="17"/>
      <c r="J90" s="19" t="s">
        <v>133</v>
      </c>
      <c r="K90" s="19" t="s">
        <v>44</v>
      </c>
      <c r="L90" s="19" t="s">
        <v>67</v>
      </c>
    </row>
    <row r="91" spans="1:12" s="1" customFormat="1">
      <c r="A91" s="15"/>
      <c r="B91" s="11" t="s">
        <v>1024</v>
      </c>
      <c r="C91" s="11" t="s">
        <v>45</v>
      </c>
      <c r="D91" s="9" t="s">
        <v>1028</v>
      </c>
      <c r="E91" s="16" t="s">
        <v>128</v>
      </c>
      <c r="F91" s="72"/>
      <c r="G91" s="17" t="s">
        <v>1135</v>
      </c>
      <c r="H91" s="18"/>
      <c r="I91" s="17"/>
      <c r="J91" s="19" t="s">
        <v>133</v>
      </c>
      <c r="K91" s="19" t="s">
        <v>44</v>
      </c>
      <c r="L91" s="19" t="s">
        <v>67</v>
      </c>
    </row>
    <row r="92" spans="1:12" s="1" customFormat="1">
      <c r="A92" s="15"/>
      <c r="B92" s="11" t="s">
        <v>1032</v>
      </c>
      <c r="C92" s="11" t="s">
        <v>45</v>
      </c>
      <c r="D92" s="9" t="s">
        <v>1029</v>
      </c>
      <c r="E92" s="16" t="s">
        <v>128</v>
      </c>
      <c r="F92" s="72"/>
      <c r="G92" s="17" t="s">
        <v>1136</v>
      </c>
      <c r="H92" s="18"/>
      <c r="I92" s="17"/>
      <c r="J92" s="19" t="s">
        <v>133</v>
      </c>
      <c r="K92" s="19" t="s">
        <v>44</v>
      </c>
      <c r="L92" s="19" t="s">
        <v>67</v>
      </c>
    </row>
    <row r="93" spans="1:12" s="1" customFormat="1">
      <c r="A93" s="15"/>
      <c r="B93" s="11" t="s">
        <v>1025</v>
      </c>
      <c r="C93" s="11" t="s">
        <v>45</v>
      </c>
      <c r="D93" s="9" t="s">
        <v>1043</v>
      </c>
      <c r="E93" s="16" t="s">
        <v>128</v>
      </c>
      <c r="F93" s="72"/>
      <c r="G93" s="17" t="s">
        <v>1137</v>
      </c>
      <c r="H93" s="18"/>
      <c r="I93" s="17"/>
      <c r="J93" s="19" t="s">
        <v>133</v>
      </c>
      <c r="K93" s="19" t="s">
        <v>44</v>
      </c>
      <c r="L93" s="19" t="s">
        <v>67</v>
      </c>
    </row>
    <row r="94" spans="1:12" s="1" customFormat="1">
      <c r="A94" s="15"/>
      <c r="B94" s="11" t="s">
        <v>1084</v>
      </c>
      <c r="C94" s="11" t="s">
        <v>280</v>
      </c>
      <c r="D94" s="9" t="s">
        <v>1086</v>
      </c>
      <c r="E94" s="16" t="s">
        <v>128</v>
      </c>
      <c r="F94" s="72"/>
      <c r="G94" s="17" t="s">
        <v>2248</v>
      </c>
      <c r="H94" s="18"/>
      <c r="I94" s="17"/>
      <c r="J94" s="19" t="s">
        <v>133</v>
      </c>
      <c r="K94" s="19" t="s">
        <v>202</v>
      </c>
      <c r="L94" s="19" t="s">
        <v>67</v>
      </c>
    </row>
    <row r="95" spans="1:12" s="1" customFormat="1">
      <c r="A95" s="15"/>
      <c r="B95" s="11" t="s">
        <v>1083</v>
      </c>
      <c r="C95" s="11" t="s">
        <v>280</v>
      </c>
      <c r="D95" s="9" t="s">
        <v>841</v>
      </c>
      <c r="E95" s="16" t="s">
        <v>128</v>
      </c>
      <c r="F95" s="72"/>
      <c r="G95" s="17" t="s">
        <v>1866</v>
      </c>
      <c r="H95" s="18"/>
      <c r="I95" s="17"/>
      <c r="J95" s="19" t="s">
        <v>133</v>
      </c>
      <c r="K95" s="19" t="s">
        <v>202</v>
      </c>
      <c r="L95" s="19" t="s">
        <v>67</v>
      </c>
    </row>
    <row r="96" spans="1:12" s="1" customFormat="1">
      <c r="A96" s="15"/>
      <c r="B96" s="11" t="s">
        <v>1033</v>
      </c>
      <c r="C96" s="11" t="s">
        <v>45</v>
      </c>
      <c r="D96" s="9" t="s">
        <v>1038</v>
      </c>
      <c r="E96" s="16" t="s">
        <v>128</v>
      </c>
      <c r="F96" s="72"/>
      <c r="G96" s="17" t="s">
        <v>1138</v>
      </c>
      <c r="H96" s="18"/>
      <c r="I96" s="17"/>
      <c r="J96" s="19" t="s">
        <v>133</v>
      </c>
      <c r="K96" s="19" t="s">
        <v>44</v>
      </c>
      <c r="L96" s="19" t="s">
        <v>67</v>
      </c>
    </row>
    <row r="97" spans="1:12" s="1" customFormat="1">
      <c r="A97" s="15"/>
      <c r="B97" s="11" t="s">
        <v>1034</v>
      </c>
      <c r="C97" s="11" t="s">
        <v>45</v>
      </c>
      <c r="D97" s="9" t="s">
        <v>1039</v>
      </c>
      <c r="E97" s="16" t="s">
        <v>128</v>
      </c>
      <c r="F97" s="72"/>
      <c r="G97" s="17" t="s">
        <v>1139</v>
      </c>
      <c r="H97" s="18"/>
      <c r="I97" s="17"/>
      <c r="J97" s="19" t="s">
        <v>133</v>
      </c>
      <c r="K97" s="19" t="s">
        <v>44</v>
      </c>
      <c r="L97" s="19" t="s">
        <v>67</v>
      </c>
    </row>
    <row r="98" spans="1:12" s="1" customFormat="1">
      <c r="A98" s="15"/>
      <c r="B98" s="11" t="s">
        <v>1035</v>
      </c>
      <c r="C98" s="11" t="s">
        <v>45</v>
      </c>
      <c r="D98" s="9" t="s">
        <v>1040</v>
      </c>
      <c r="E98" s="16" t="s">
        <v>128</v>
      </c>
      <c r="F98" s="72"/>
      <c r="G98" s="17" t="s">
        <v>1140</v>
      </c>
      <c r="H98" s="18"/>
      <c r="I98" s="17"/>
      <c r="J98" s="19" t="s">
        <v>133</v>
      </c>
      <c r="K98" s="19" t="s">
        <v>44</v>
      </c>
      <c r="L98" s="19" t="s">
        <v>67</v>
      </c>
    </row>
    <row r="99" spans="1:12" s="1" customFormat="1">
      <c r="A99" s="15"/>
      <c r="B99" s="11" t="s">
        <v>1036</v>
      </c>
      <c r="C99" s="11" t="s">
        <v>45</v>
      </c>
      <c r="D99" s="9" t="s">
        <v>1041</v>
      </c>
      <c r="E99" s="16" t="s">
        <v>128</v>
      </c>
      <c r="F99" s="72"/>
      <c r="G99" s="17" t="s">
        <v>1141</v>
      </c>
      <c r="H99" s="18"/>
      <c r="I99" s="17"/>
      <c r="J99" s="19" t="s">
        <v>133</v>
      </c>
      <c r="K99" s="19" t="s">
        <v>44</v>
      </c>
      <c r="L99" s="19" t="s">
        <v>67</v>
      </c>
    </row>
    <row r="100" spans="1:12" s="1" customFormat="1">
      <c r="A100" s="15"/>
      <c r="B100" s="11" t="s">
        <v>1037</v>
      </c>
      <c r="C100" s="11" t="s">
        <v>45</v>
      </c>
      <c r="D100" s="9" t="s">
        <v>1044</v>
      </c>
      <c r="E100" s="16" t="s">
        <v>128</v>
      </c>
      <c r="F100" s="72"/>
      <c r="G100" s="17" t="s">
        <v>1142</v>
      </c>
      <c r="H100" s="18"/>
      <c r="I100" s="17"/>
      <c r="J100" s="19" t="s">
        <v>133</v>
      </c>
      <c r="K100" s="19" t="s">
        <v>44</v>
      </c>
      <c r="L100" s="19" t="s">
        <v>67</v>
      </c>
    </row>
    <row r="101" spans="1:12" s="1" customFormat="1">
      <c r="A101" s="15"/>
      <c r="B101" s="11" t="s">
        <v>816</v>
      </c>
      <c r="C101" s="11" t="s">
        <v>280</v>
      </c>
      <c r="D101" s="9" t="s">
        <v>839</v>
      </c>
      <c r="E101" s="16" t="s">
        <v>128</v>
      </c>
      <c r="F101" s="72"/>
      <c r="G101" s="17" t="s">
        <v>1088</v>
      </c>
      <c r="H101" s="18"/>
      <c r="I101" s="17"/>
      <c r="J101" s="19" t="s">
        <v>133</v>
      </c>
      <c r="K101" s="19" t="s">
        <v>202</v>
      </c>
      <c r="L101" s="19" t="s">
        <v>67</v>
      </c>
    </row>
    <row r="102" spans="1:12" s="1" customFormat="1">
      <c r="A102" s="15"/>
      <c r="B102" s="11" t="s">
        <v>817</v>
      </c>
      <c r="C102" s="11" t="s">
        <v>45</v>
      </c>
      <c r="D102" s="9" t="s">
        <v>658</v>
      </c>
      <c r="E102" s="16" t="s">
        <v>128</v>
      </c>
      <c r="F102" s="72"/>
      <c r="G102" s="17" t="s">
        <v>1089</v>
      </c>
      <c r="H102" s="18"/>
      <c r="I102" s="17"/>
      <c r="J102" s="19" t="s">
        <v>133</v>
      </c>
      <c r="K102" s="19" t="s">
        <v>44</v>
      </c>
      <c r="L102" s="19" t="s">
        <v>67</v>
      </c>
    </row>
    <row r="103" spans="1:12" s="1" customFormat="1">
      <c r="A103" s="15"/>
      <c r="B103" s="11" t="s">
        <v>818</v>
      </c>
      <c r="C103" s="11" t="s">
        <v>280</v>
      </c>
      <c r="D103" s="9" t="s">
        <v>842</v>
      </c>
      <c r="E103" s="16" t="s">
        <v>128</v>
      </c>
      <c r="F103" s="72"/>
      <c r="G103" s="17" t="s">
        <v>1091</v>
      </c>
      <c r="H103" s="18"/>
      <c r="I103" s="17"/>
      <c r="J103" s="19" t="s">
        <v>133</v>
      </c>
      <c r="K103" s="19" t="s">
        <v>202</v>
      </c>
      <c r="L103" s="19" t="s">
        <v>67</v>
      </c>
    </row>
    <row r="104" spans="1:12" s="1" customFormat="1">
      <c r="A104" s="15"/>
      <c r="B104" s="11" t="s">
        <v>819</v>
      </c>
      <c r="C104" s="11" t="s">
        <v>45</v>
      </c>
      <c r="D104" s="9" t="s">
        <v>660</v>
      </c>
      <c r="E104" s="16" t="s">
        <v>128</v>
      </c>
      <c r="F104" s="72"/>
      <c r="G104" s="17" t="s">
        <v>1092</v>
      </c>
      <c r="H104" s="18"/>
      <c r="I104" s="17"/>
      <c r="J104" s="19" t="s">
        <v>133</v>
      </c>
      <c r="K104" s="19" t="s">
        <v>44</v>
      </c>
      <c r="L104" s="19" t="s">
        <v>67</v>
      </c>
    </row>
    <row r="105" spans="1:12" s="1" customFormat="1">
      <c r="A105" s="15"/>
      <c r="B105" s="22" t="s">
        <v>2327</v>
      </c>
      <c r="C105" s="22" t="s">
        <v>45</v>
      </c>
      <c r="D105" s="9" t="s">
        <v>2017</v>
      </c>
      <c r="E105" s="16" t="s">
        <v>128</v>
      </c>
      <c r="F105" s="72"/>
      <c r="G105" s="17" t="s">
        <v>2330</v>
      </c>
      <c r="H105" s="18"/>
      <c r="I105" s="17"/>
      <c r="J105" s="19" t="s">
        <v>133</v>
      </c>
      <c r="K105" s="19" t="s">
        <v>2239</v>
      </c>
      <c r="L105" s="19" t="s">
        <v>67</v>
      </c>
    </row>
    <row r="106" spans="1:12" s="1" customFormat="1">
      <c r="A106" s="15"/>
      <c r="B106" s="22" t="s">
        <v>2194</v>
      </c>
      <c r="C106" s="22" t="s">
        <v>280</v>
      </c>
      <c r="D106" s="9" t="s">
        <v>2196</v>
      </c>
      <c r="E106" s="16" t="s">
        <v>128</v>
      </c>
      <c r="F106" s="72"/>
      <c r="G106" s="17" t="s">
        <v>2250</v>
      </c>
      <c r="H106" s="18"/>
      <c r="I106" s="17"/>
      <c r="J106" s="19" t="s">
        <v>133</v>
      </c>
      <c r="K106" s="19" t="s">
        <v>2253</v>
      </c>
      <c r="L106" s="19" t="s">
        <v>67</v>
      </c>
    </row>
    <row r="107" spans="1:12" s="1" customFormat="1">
      <c r="B107" s="22" t="s">
        <v>2132</v>
      </c>
      <c r="C107" s="22" t="s">
        <v>280</v>
      </c>
      <c r="D107" s="9" t="s">
        <v>2134</v>
      </c>
      <c r="E107" s="16" t="s">
        <v>128</v>
      </c>
      <c r="F107" s="22"/>
      <c r="G107" s="17" t="s">
        <v>2333</v>
      </c>
      <c r="H107" s="18"/>
      <c r="I107" s="88"/>
      <c r="J107" s="19" t="s">
        <v>133</v>
      </c>
      <c r="K107" s="19" t="s">
        <v>2136</v>
      </c>
      <c r="L107" s="19" t="s">
        <v>134</v>
      </c>
    </row>
    <row r="108" spans="1:12" s="1" customFormat="1">
      <c r="A108" s="15"/>
      <c r="B108" s="90" t="s">
        <v>2328</v>
      </c>
      <c r="C108" s="22" t="s">
        <v>45</v>
      </c>
      <c r="D108" s="9" t="s">
        <v>2034</v>
      </c>
      <c r="E108" s="16" t="s">
        <v>128</v>
      </c>
      <c r="F108" s="72"/>
      <c r="G108" s="17" t="s">
        <v>2332</v>
      </c>
      <c r="H108" s="18"/>
      <c r="I108" s="17"/>
      <c r="J108" s="19" t="s">
        <v>133</v>
      </c>
      <c r="K108" s="19" t="s">
        <v>2239</v>
      </c>
      <c r="L108" s="19" t="s">
        <v>67</v>
      </c>
    </row>
    <row r="109" spans="1:12" s="1" customFormat="1">
      <c r="A109" s="15"/>
      <c r="B109" s="90" t="s">
        <v>2193</v>
      </c>
      <c r="C109" s="22" t="s">
        <v>280</v>
      </c>
      <c r="D109" s="9" t="s">
        <v>2195</v>
      </c>
      <c r="E109" s="16" t="s">
        <v>128</v>
      </c>
      <c r="F109" s="72"/>
      <c r="G109" s="17" t="s">
        <v>2252</v>
      </c>
      <c r="H109" s="18"/>
      <c r="I109" s="17"/>
      <c r="J109" s="19" t="s">
        <v>133</v>
      </c>
      <c r="K109" s="19" t="s">
        <v>2253</v>
      </c>
      <c r="L109" s="19" t="s">
        <v>67</v>
      </c>
    </row>
    <row r="110" spans="1:12" s="1" customFormat="1">
      <c r="B110" s="90" t="s">
        <v>2133</v>
      </c>
      <c r="C110" s="22" t="s">
        <v>280</v>
      </c>
      <c r="D110" s="9" t="s">
        <v>2135</v>
      </c>
      <c r="E110" s="16" t="s">
        <v>128</v>
      </c>
      <c r="F110" s="22"/>
      <c r="G110" s="17" t="s">
        <v>2334</v>
      </c>
      <c r="H110" s="18"/>
      <c r="I110" s="88"/>
      <c r="J110" s="19" t="s">
        <v>133</v>
      </c>
      <c r="K110" s="19" t="s">
        <v>2136</v>
      </c>
      <c r="L110" s="19" t="s">
        <v>134</v>
      </c>
    </row>
    <row r="111" spans="1:12" s="1" customFormat="1">
      <c r="B111" s="22" t="s">
        <v>2524</v>
      </c>
      <c r="C111" s="22" t="s">
        <v>280</v>
      </c>
      <c r="D111" s="9" t="s">
        <v>2525</v>
      </c>
      <c r="E111" s="16" t="s">
        <v>128</v>
      </c>
      <c r="F111" s="22"/>
      <c r="G111" s="17" t="s">
        <v>3036</v>
      </c>
      <c r="H111" s="98"/>
      <c r="I111" s="88"/>
      <c r="J111" s="19" t="s">
        <v>133</v>
      </c>
      <c r="K111" s="19" t="s">
        <v>2526</v>
      </c>
      <c r="L111" s="19" t="s">
        <v>2527</v>
      </c>
    </row>
    <row r="112" spans="1:12" s="1" customFormat="1">
      <c r="B112" s="22" t="s">
        <v>2529</v>
      </c>
      <c r="C112" s="22" t="s">
        <v>2530</v>
      </c>
      <c r="D112" s="9" t="s">
        <v>2531</v>
      </c>
      <c r="E112" s="16" t="s">
        <v>128</v>
      </c>
      <c r="F112" s="22"/>
      <c r="G112" s="17" t="s">
        <v>3037</v>
      </c>
      <c r="H112" s="98"/>
      <c r="I112" s="88"/>
      <c r="J112" s="19" t="s">
        <v>133</v>
      </c>
      <c r="K112" s="19" t="s">
        <v>903</v>
      </c>
      <c r="L112" s="19" t="s">
        <v>134</v>
      </c>
    </row>
    <row r="113" spans="2:12" s="1" customFormat="1">
      <c r="B113" s="22" t="s">
        <v>2255</v>
      </c>
      <c r="C113" s="22" t="s">
        <v>45</v>
      </c>
      <c r="D113" s="9" t="s">
        <v>2201</v>
      </c>
      <c r="E113" s="16" t="s">
        <v>128</v>
      </c>
      <c r="F113" s="22"/>
      <c r="G113" s="17" t="s">
        <v>2280</v>
      </c>
      <c r="H113" s="18"/>
      <c r="I113" s="17"/>
      <c r="J113" s="19" t="s">
        <v>133</v>
      </c>
      <c r="K113" s="19" t="s">
        <v>1640</v>
      </c>
      <c r="L113" s="19" t="s">
        <v>67</v>
      </c>
    </row>
    <row r="114" spans="2:12" s="1" customFormat="1">
      <c r="B114" s="22" t="s">
        <v>2254</v>
      </c>
      <c r="C114" s="22" t="s">
        <v>45</v>
      </c>
      <c r="D114" s="9" t="s">
        <v>2202</v>
      </c>
      <c r="E114" s="16" t="s">
        <v>128</v>
      </c>
      <c r="F114" s="22"/>
      <c r="G114" s="17" t="s">
        <v>2281</v>
      </c>
      <c r="H114" s="18"/>
      <c r="I114" s="17"/>
      <c r="J114" s="19" t="s">
        <v>133</v>
      </c>
      <c r="K114" s="19" t="s">
        <v>1640</v>
      </c>
      <c r="L114" s="19" t="s">
        <v>67</v>
      </c>
    </row>
    <row r="115" spans="2:12" s="1" customFormat="1">
      <c r="B115" s="22" t="s">
        <v>2203</v>
      </c>
      <c r="C115" s="22" t="s">
        <v>56</v>
      </c>
      <c r="D115" s="9" t="s">
        <v>2204</v>
      </c>
      <c r="E115" s="16" t="s">
        <v>128</v>
      </c>
      <c r="F115" s="22"/>
      <c r="G115" s="17" t="s">
        <v>2256</v>
      </c>
      <c r="H115" s="98"/>
      <c r="I115" s="88"/>
      <c r="J115" s="19" t="s">
        <v>133</v>
      </c>
      <c r="K115" s="19" t="s">
        <v>44</v>
      </c>
      <c r="L115" s="19" t="s">
        <v>1292</v>
      </c>
    </row>
    <row r="116" spans="2:12" s="1" customFormat="1">
      <c r="B116" s="22" t="s">
        <v>2533</v>
      </c>
      <c r="C116" s="22" t="s">
        <v>280</v>
      </c>
      <c r="D116" s="9" t="s">
        <v>2535</v>
      </c>
      <c r="E116" s="16" t="s">
        <v>128</v>
      </c>
      <c r="F116" s="22"/>
      <c r="G116" s="17" t="s">
        <v>2540</v>
      </c>
      <c r="H116" s="98"/>
      <c r="I116" s="88"/>
      <c r="J116" s="19" t="s">
        <v>133</v>
      </c>
      <c r="K116" s="19" t="s">
        <v>2526</v>
      </c>
      <c r="L116" s="19" t="s">
        <v>2527</v>
      </c>
    </row>
    <row r="117" spans="2:12" s="1" customFormat="1">
      <c r="B117" s="22" t="s">
        <v>2534</v>
      </c>
      <c r="C117" s="22" t="s">
        <v>2530</v>
      </c>
      <c r="D117" s="9" t="s">
        <v>2536</v>
      </c>
      <c r="E117" s="16" t="s">
        <v>128</v>
      </c>
      <c r="F117" s="22"/>
      <c r="G117" s="17" t="s">
        <v>2541</v>
      </c>
      <c r="H117" s="98"/>
      <c r="I117" s="88"/>
      <c r="J117" s="19" t="s">
        <v>133</v>
      </c>
      <c r="K117" s="19" t="s">
        <v>903</v>
      </c>
      <c r="L117" s="19" t="s">
        <v>134</v>
      </c>
    </row>
    <row r="118" spans="2:12" s="1" customFormat="1">
      <c r="B118" s="90" t="s">
        <v>2512</v>
      </c>
      <c r="C118" s="22" t="s">
        <v>45</v>
      </c>
      <c r="D118" s="9" t="s">
        <v>2516</v>
      </c>
      <c r="E118" s="16" t="s">
        <v>128</v>
      </c>
      <c r="F118" s="22"/>
      <c r="G118" s="17" t="s">
        <v>2518</v>
      </c>
      <c r="H118" s="98"/>
      <c r="I118" s="88"/>
      <c r="J118" s="19" t="s">
        <v>133</v>
      </c>
      <c r="K118" s="19" t="s">
        <v>903</v>
      </c>
      <c r="L118" s="19" t="s">
        <v>134</v>
      </c>
    </row>
    <row r="119" spans="2:12" s="1" customFormat="1">
      <c r="B119" s="90" t="s">
        <v>2513</v>
      </c>
      <c r="C119" s="22" t="s">
        <v>45</v>
      </c>
      <c r="D119" s="9" t="s">
        <v>2517</v>
      </c>
      <c r="E119" s="16" t="s">
        <v>128</v>
      </c>
      <c r="F119" s="22"/>
      <c r="G119" s="17" t="s">
        <v>2519</v>
      </c>
      <c r="H119" s="98"/>
      <c r="I119" s="88"/>
      <c r="J119" s="19" t="s">
        <v>133</v>
      </c>
      <c r="K119" s="19" t="s">
        <v>903</v>
      </c>
      <c r="L119" s="19" t="s">
        <v>134</v>
      </c>
    </row>
    <row r="120" spans="2:12" s="1" customFormat="1">
      <c r="B120" s="22" t="s">
        <v>2216</v>
      </c>
      <c r="C120" s="22" t="s">
        <v>45</v>
      </c>
      <c r="D120" s="9" t="s">
        <v>2036</v>
      </c>
      <c r="E120" s="16" t="s">
        <v>128</v>
      </c>
      <c r="F120" s="22"/>
      <c r="G120" s="17" t="s">
        <v>2282</v>
      </c>
      <c r="H120" s="18"/>
      <c r="I120" s="17"/>
      <c r="J120" s="19" t="s">
        <v>133</v>
      </c>
      <c r="K120" s="19" t="s">
        <v>2235</v>
      </c>
      <c r="L120" s="19" t="s">
        <v>67</v>
      </c>
    </row>
    <row r="121" spans="2:12" s="1" customFormat="1">
      <c r="B121" s="22" t="s">
        <v>2218</v>
      </c>
      <c r="C121" s="22" t="s">
        <v>45</v>
      </c>
      <c r="D121" s="9" t="s">
        <v>2219</v>
      </c>
      <c r="E121" s="16" t="s">
        <v>128</v>
      </c>
      <c r="F121" s="22"/>
      <c r="G121" s="17" t="s">
        <v>2283</v>
      </c>
      <c r="H121" s="18"/>
      <c r="I121" s="17"/>
      <c r="J121" s="19" t="s">
        <v>133</v>
      </c>
      <c r="K121" s="19" t="s">
        <v>1640</v>
      </c>
      <c r="L121" s="19" t="s">
        <v>67</v>
      </c>
    </row>
    <row r="122" spans="2:12" s="1" customFormat="1">
      <c r="B122" s="22" t="s">
        <v>2217</v>
      </c>
      <c r="C122" s="22" t="s">
        <v>45</v>
      </c>
      <c r="D122" s="9" t="s">
        <v>2035</v>
      </c>
      <c r="E122" s="16" t="s">
        <v>128</v>
      </c>
      <c r="F122" s="22"/>
      <c r="G122" s="17" t="s">
        <v>2284</v>
      </c>
      <c r="H122" s="18"/>
      <c r="I122" s="17"/>
      <c r="J122" s="19" t="s">
        <v>133</v>
      </c>
      <c r="K122" s="19" t="s">
        <v>2235</v>
      </c>
      <c r="L122" s="19" t="s">
        <v>67</v>
      </c>
    </row>
    <row r="123" spans="2:12" s="1" customFormat="1">
      <c r="B123" s="22" t="s">
        <v>2220</v>
      </c>
      <c r="C123" s="22" t="s">
        <v>45</v>
      </c>
      <c r="D123" s="9" t="s">
        <v>2225</v>
      </c>
      <c r="E123" s="16" t="s">
        <v>128</v>
      </c>
      <c r="F123" s="22"/>
      <c r="G123" s="17" t="s">
        <v>2285</v>
      </c>
      <c r="H123" s="18"/>
      <c r="I123" s="17"/>
      <c r="J123" s="19" t="s">
        <v>133</v>
      </c>
      <c r="K123" s="19" t="s">
        <v>1640</v>
      </c>
      <c r="L123" s="19" t="s">
        <v>67</v>
      </c>
    </row>
    <row r="124" spans="2:12" s="1" customFormat="1">
      <c r="B124" s="22" t="s">
        <v>2140</v>
      </c>
      <c r="C124" s="22" t="s">
        <v>45</v>
      </c>
      <c r="D124" s="9" t="s">
        <v>2141</v>
      </c>
      <c r="E124" s="16" t="s">
        <v>128</v>
      </c>
      <c r="F124" s="22"/>
      <c r="G124" s="17" t="s">
        <v>2286</v>
      </c>
      <c r="H124" s="18"/>
      <c r="I124" s="17"/>
      <c r="J124" s="19" t="s">
        <v>133</v>
      </c>
      <c r="K124" s="19" t="s">
        <v>903</v>
      </c>
      <c r="L124" s="19" t="s">
        <v>67</v>
      </c>
    </row>
    <row r="125" spans="2:12" s="1" customFormat="1">
      <c r="B125" s="22" t="s">
        <v>2142</v>
      </c>
      <c r="C125" s="22" t="s">
        <v>45</v>
      </c>
      <c r="D125" s="9" t="s">
        <v>2143</v>
      </c>
      <c r="E125" s="16" t="s">
        <v>128</v>
      </c>
      <c r="F125" s="22"/>
      <c r="G125" s="17" t="s">
        <v>2287</v>
      </c>
      <c r="H125" s="18"/>
      <c r="I125" s="17"/>
      <c r="J125" s="19" t="s">
        <v>133</v>
      </c>
      <c r="K125" s="19" t="s">
        <v>903</v>
      </c>
      <c r="L125" s="19" t="s">
        <v>67</v>
      </c>
    </row>
    <row r="126" spans="2:12" s="1" customFormat="1">
      <c r="B126" s="22" t="s">
        <v>2144</v>
      </c>
      <c r="C126" s="22" t="s">
        <v>45</v>
      </c>
      <c r="D126" s="9" t="s">
        <v>2145</v>
      </c>
      <c r="E126" s="16" t="s">
        <v>128</v>
      </c>
      <c r="F126" s="22"/>
      <c r="G126" s="17" t="s">
        <v>2288</v>
      </c>
      <c r="H126" s="18"/>
      <c r="I126" s="17"/>
      <c r="J126" s="19" t="s">
        <v>133</v>
      </c>
      <c r="K126" s="19" t="s">
        <v>903</v>
      </c>
      <c r="L126" s="19" t="s">
        <v>67</v>
      </c>
    </row>
    <row r="127" spans="2:12" s="1" customFormat="1">
      <c r="B127" s="22" t="s">
        <v>2146</v>
      </c>
      <c r="C127" s="22" t="s">
        <v>45</v>
      </c>
      <c r="D127" s="9" t="s">
        <v>2147</v>
      </c>
      <c r="E127" s="16" t="s">
        <v>128</v>
      </c>
      <c r="F127" s="22"/>
      <c r="G127" s="17" t="s">
        <v>2289</v>
      </c>
      <c r="H127" s="18"/>
      <c r="I127" s="17"/>
      <c r="J127" s="19" t="s">
        <v>133</v>
      </c>
      <c r="K127" s="19" t="s">
        <v>903</v>
      </c>
      <c r="L127" s="19" t="s">
        <v>67</v>
      </c>
    </row>
    <row r="128" spans="2:12" s="1" customFormat="1">
      <c r="B128" s="22" t="s">
        <v>2148</v>
      </c>
      <c r="C128" s="22" t="s">
        <v>45</v>
      </c>
      <c r="D128" s="9" t="s">
        <v>2149</v>
      </c>
      <c r="E128" s="16" t="s">
        <v>128</v>
      </c>
      <c r="F128" s="22"/>
      <c r="G128" s="17" t="s">
        <v>2290</v>
      </c>
      <c r="H128" s="18"/>
      <c r="I128" s="17"/>
      <c r="J128" s="19" t="s">
        <v>133</v>
      </c>
      <c r="K128" s="19" t="s">
        <v>903</v>
      </c>
      <c r="L128" s="19" t="s">
        <v>67</v>
      </c>
    </row>
    <row r="129" spans="1:12" s="1" customFormat="1">
      <c r="B129" s="22" t="s">
        <v>2150</v>
      </c>
      <c r="C129" s="22" t="s">
        <v>45</v>
      </c>
      <c r="D129" s="9" t="s">
        <v>2151</v>
      </c>
      <c r="E129" s="16" t="s">
        <v>128</v>
      </c>
      <c r="F129" s="22"/>
      <c r="G129" s="17" t="s">
        <v>2291</v>
      </c>
      <c r="H129" s="18"/>
      <c r="I129" s="17"/>
      <c r="J129" s="19" t="s">
        <v>133</v>
      </c>
      <c r="K129" s="19" t="s">
        <v>903</v>
      </c>
      <c r="L129" s="19" t="s">
        <v>67</v>
      </c>
    </row>
    <row r="130" spans="1:12" s="1" customFormat="1">
      <c r="A130" s="15"/>
      <c r="B130" s="11" t="s">
        <v>2261</v>
      </c>
      <c r="C130" s="11" t="s">
        <v>280</v>
      </c>
      <c r="D130" s="9" t="s">
        <v>2038</v>
      </c>
      <c r="E130" s="16" t="s">
        <v>128</v>
      </c>
      <c r="F130" s="72"/>
      <c r="G130" s="17" t="s">
        <v>3075</v>
      </c>
      <c r="H130" s="18"/>
      <c r="I130" s="17"/>
      <c r="J130" s="19" t="s">
        <v>133</v>
      </c>
      <c r="K130" s="19" t="s">
        <v>903</v>
      </c>
      <c r="L130" s="19" t="s">
        <v>67</v>
      </c>
    </row>
    <row r="131" spans="1:12" s="1" customFormat="1">
      <c r="A131" s="15"/>
      <c r="B131" s="95" t="s">
        <v>2041</v>
      </c>
      <c r="C131" s="95" t="s">
        <v>45</v>
      </c>
      <c r="D131" s="96" t="s">
        <v>2042</v>
      </c>
      <c r="E131" s="16" t="s">
        <v>128</v>
      </c>
      <c r="F131" s="72"/>
      <c r="G131" s="17" t="s">
        <v>2292</v>
      </c>
      <c r="H131" s="18"/>
      <c r="I131" s="17"/>
      <c r="J131" s="19" t="s">
        <v>133</v>
      </c>
      <c r="K131" s="19" t="s">
        <v>903</v>
      </c>
      <c r="L131" s="19" t="s">
        <v>67</v>
      </c>
    </row>
    <row r="132" spans="1:12" s="1" customFormat="1">
      <c r="A132" s="15"/>
      <c r="B132" s="95" t="s">
        <v>2043</v>
      </c>
      <c r="C132" s="95" t="s">
        <v>45</v>
      </c>
      <c r="D132" s="96" t="s">
        <v>2044</v>
      </c>
      <c r="E132" s="16" t="s">
        <v>128</v>
      </c>
      <c r="F132" s="72"/>
      <c r="G132" s="17" t="s">
        <v>2293</v>
      </c>
      <c r="H132" s="18"/>
      <c r="I132" s="17"/>
      <c r="J132" s="19" t="s">
        <v>133</v>
      </c>
      <c r="K132" s="19" t="s">
        <v>903</v>
      </c>
      <c r="L132" s="19" t="s">
        <v>67</v>
      </c>
    </row>
    <row r="133" spans="1:12" s="1" customFormat="1">
      <c r="A133" s="15"/>
      <c r="B133" s="95" t="s">
        <v>2045</v>
      </c>
      <c r="C133" s="95" t="s">
        <v>45</v>
      </c>
      <c r="D133" s="96" t="s">
        <v>2046</v>
      </c>
      <c r="E133" s="16" t="s">
        <v>128</v>
      </c>
      <c r="F133" s="72"/>
      <c r="G133" s="17" t="s">
        <v>2294</v>
      </c>
      <c r="H133" s="18"/>
      <c r="I133" s="17"/>
      <c r="J133" s="19" t="s">
        <v>133</v>
      </c>
      <c r="K133" s="19" t="s">
        <v>903</v>
      </c>
      <c r="L133" s="19" t="s">
        <v>67</v>
      </c>
    </row>
    <row r="134" spans="1:12" s="1" customFormat="1">
      <c r="A134" s="15"/>
      <c r="B134" s="95" t="s">
        <v>2047</v>
      </c>
      <c r="C134" s="95" t="s">
        <v>45</v>
      </c>
      <c r="D134" s="96" t="s">
        <v>2048</v>
      </c>
      <c r="E134" s="16" t="s">
        <v>128</v>
      </c>
      <c r="F134" s="72"/>
      <c r="G134" s="17" t="s">
        <v>2295</v>
      </c>
      <c r="H134" s="18"/>
      <c r="I134" s="17"/>
      <c r="J134" s="19" t="s">
        <v>133</v>
      </c>
      <c r="K134" s="19" t="s">
        <v>903</v>
      </c>
      <c r="L134" s="19" t="s">
        <v>67</v>
      </c>
    </row>
    <row r="135" spans="1:12" s="1" customFormat="1">
      <c r="A135" s="15"/>
      <c r="B135" s="95" t="s">
        <v>2049</v>
      </c>
      <c r="C135" s="95" t="s">
        <v>45</v>
      </c>
      <c r="D135" s="96" t="s">
        <v>2050</v>
      </c>
      <c r="E135" s="16" t="s">
        <v>128</v>
      </c>
      <c r="F135" s="72"/>
      <c r="G135" s="17" t="s">
        <v>2296</v>
      </c>
      <c r="H135" s="18"/>
      <c r="I135" s="17"/>
      <c r="J135" s="19" t="s">
        <v>133</v>
      </c>
      <c r="K135" s="19" t="s">
        <v>903</v>
      </c>
      <c r="L135" s="19" t="s">
        <v>67</v>
      </c>
    </row>
    <row r="136" spans="1:12" s="1" customFormat="1">
      <c r="A136" s="15"/>
      <c r="B136" s="11" t="s">
        <v>2263</v>
      </c>
      <c r="C136" s="95" t="s">
        <v>280</v>
      </c>
      <c r="D136" s="9" t="s">
        <v>2052</v>
      </c>
      <c r="E136" s="16" t="s">
        <v>128</v>
      </c>
      <c r="F136" s="72"/>
      <c r="G136" s="17" t="s">
        <v>3076</v>
      </c>
      <c r="H136" s="18"/>
      <c r="I136" s="17"/>
      <c r="J136" s="19" t="s">
        <v>133</v>
      </c>
      <c r="K136" s="19" t="s">
        <v>203</v>
      </c>
      <c r="L136" s="19" t="s">
        <v>67</v>
      </c>
    </row>
    <row r="137" spans="1:12" s="1" customFormat="1">
      <c r="A137" s="15"/>
      <c r="B137" s="11" t="s">
        <v>2053</v>
      </c>
      <c r="C137" s="11" t="s">
        <v>45</v>
      </c>
      <c r="D137" s="9" t="s">
        <v>2054</v>
      </c>
      <c r="E137" s="16" t="s">
        <v>128</v>
      </c>
      <c r="F137" s="72"/>
      <c r="G137" s="17" t="s">
        <v>2297</v>
      </c>
      <c r="H137" s="18"/>
      <c r="I137" s="17"/>
      <c r="J137" s="19" t="s">
        <v>133</v>
      </c>
      <c r="K137" s="19" t="s">
        <v>903</v>
      </c>
      <c r="L137" s="19" t="s">
        <v>67</v>
      </c>
    </row>
    <row r="138" spans="1:12" s="1" customFormat="1">
      <c r="A138" s="15"/>
      <c r="B138" s="11" t="s">
        <v>2055</v>
      </c>
      <c r="C138" s="11" t="s">
        <v>45</v>
      </c>
      <c r="D138" s="9" t="s">
        <v>2056</v>
      </c>
      <c r="E138" s="16" t="s">
        <v>128</v>
      </c>
      <c r="F138" s="72"/>
      <c r="G138" s="17" t="s">
        <v>2298</v>
      </c>
      <c r="H138" s="18"/>
      <c r="I138" s="17"/>
      <c r="J138" s="19" t="s">
        <v>133</v>
      </c>
      <c r="K138" s="19" t="s">
        <v>903</v>
      </c>
      <c r="L138" s="19" t="s">
        <v>67</v>
      </c>
    </row>
    <row r="139" spans="1:12" s="1" customFormat="1">
      <c r="A139" s="15"/>
      <c r="B139" s="11" t="s">
        <v>2057</v>
      </c>
      <c r="C139" s="11" t="s">
        <v>45</v>
      </c>
      <c r="D139" s="9" t="s">
        <v>2058</v>
      </c>
      <c r="E139" s="16" t="s">
        <v>128</v>
      </c>
      <c r="F139" s="72"/>
      <c r="G139" s="17" t="s">
        <v>2299</v>
      </c>
      <c r="H139" s="18"/>
      <c r="I139" s="17"/>
      <c r="J139" s="19" t="s">
        <v>133</v>
      </c>
      <c r="K139" s="19" t="s">
        <v>903</v>
      </c>
      <c r="L139" s="19" t="s">
        <v>67</v>
      </c>
    </row>
    <row r="140" spans="1:12" s="1" customFormat="1">
      <c r="A140" s="15"/>
      <c r="B140" s="11" t="s">
        <v>2059</v>
      </c>
      <c r="C140" s="11" t="s">
        <v>45</v>
      </c>
      <c r="D140" s="9" t="s">
        <v>2060</v>
      </c>
      <c r="E140" s="16" t="s">
        <v>128</v>
      </c>
      <c r="F140" s="72"/>
      <c r="G140" s="17" t="s">
        <v>2300</v>
      </c>
      <c r="H140" s="18"/>
      <c r="I140" s="17"/>
      <c r="J140" s="19" t="s">
        <v>133</v>
      </c>
      <c r="K140" s="19" t="s">
        <v>903</v>
      </c>
      <c r="L140" s="19" t="s">
        <v>67</v>
      </c>
    </row>
    <row r="141" spans="1:12" s="1" customFormat="1">
      <c r="A141" s="15"/>
      <c r="B141" s="11" t="s">
        <v>2061</v>
      </c>
      <c r="C141" s="11" t="s">
        <v>45</v>
      </c>
      <c r="D141" s="9" t="s">
        <v>2062</v>
      </c>
      <c r="E141" s="16" t="s">
        <v>128</v>
      </c>
      <c r="F141" s="72"/>
      <c r="G141" s="17" t="s">
        <v>2301</v>
      </c>
      <c r="H141" s="18"/>
      <c r="I141" s="17"/>
      <c r="J141" s="19" t="s">
        <v>133</v>
      </c>
      <c r="K141" s="19" t="s">
        <v>903</v>
      </c>
      <c r="L141" s="19" t="s">
        <v>67</v>
      </c>
    </row>
    <row r="142" spans="1:12" s="1" customFormat="1">
      <c r="A142" s="15"/>
      <c r="B142" s="11" t="s">
        <v>2264</v>
      </c>
      <c r="C142" s="95" t="s">
        <v>280</v>
      </c>
      <c r="D142" s="9" t="s">
        <v>2158</v>
      </c>
      <c r="E142" s="16" t="s">
        <v>128</v>
      </c>
      <c r="F142" s="72"/>
      <c r="G142" s="17" t="s">
        <v>3077</v>
      </c>
      <c r="H142" s="18"/>
      <c r="I142" s="17"/>
      <c r="J142" s="19" t="s">
        <v>133</v>
      </c>
      <c r="K142" s="19" t="s">
        <v>202</v>
      </c>
      <c r="L142" s="19" t="s">
        <v>67</v>
      </c>
    </row>
    <row r="143" spans="1:12" s="1" customFormat="1">
      <c r="A143" s="15"/>
      <c r="B143" s="95" t="s">
        <v>2076</v>
      </c>
      <c r="C143" s="95" t="s">
        <v>45</v>
      </c>
      <c r="D143" s="96" t="s">
        <v>2077</v>
      </c>
      <c r="E143" s="16" t="s">
        <v>128</v>
      </c>
      <c r="F143" s="72"/>
      <c r="G143" s="17" t="s">
        <v>2302</v>
      </c>
      <c r="H143" s="18"/>
      <c r="I143" s="17"/>
      <c r="J143" s="19" t="s">
        <v>133</v>
      </c>
      <c r="K143" s="19" t="s">
        <v>903</v>
      </c>
      <c r="L143" s="19" t="s">
        <v>67</v>
      </c>
    </row>
    <row r="144" spans="1:12" s="1" customFormat="1">
      <c r="A144" s="15"/>
      <c r="B144" s="95" t="s">
        <v>2078</v>
      </c>
      <c r="C144" s="95" t="s">
        <v>45</v>
      </c>
      <c r="D144" s="96" t="s">
        <v>2079</v>
      </c>
      <c r="E144" s="16" t="s">
        <v>128</v>
      </c>
      <c r="F144" s="72"/>
      <c r="G144" s="17" t="s">
        <v>2303</v>
      </c>
      <c r="H144" s="18"/>
      <c r="I144" s="17"/>
      <c r="J144" s="19" t="s">
        <v>133</v>
      </c>
      <c r="K144" s="19" t="s">
        <v>903</v>
      </c>
      <c r="L144" s="19" t="s">
        <v>67</v>
      </c>
    </row>
    <row r="145" spans="1:12" s="1" customFormat="1">
      <c r="A145" s="15"/>
      <c r="B145" s="95" t="s">
        <v>2080</v>
      </c>
      <c r="C145" s="95" t="s">
        <v>45</v>
      </c>
      <c r="D145" s="96" t="s">
        <v>2081</v>
      </c>
      <c r="E145" s="16" t="s">
        <v>128</v>
      </c>
      <c r="F145" s="72"/>
      <c r="G145" s="17" t="s">
        <v>2304</v>
      </c>
      <c r="H145" s="18"/>
      <c r="I145" s="17"/>
      <c r="J145" s="19" t="s">
        <v>133</v>
      </c>
      <c r="K145" s="19" t="s">
        <v>903</v>
      </c>
      <c r="L145" s="19" t="s">
        <v>67</v>
      </c>
    </row>
    <row r="146" spans="1:12" s="1" customFormat="1">
      <c r="A146" s="15"/>
      <c r="B146" s="95" t="s">
        <v>2082</v>
      </c>
      <c r="C146" s="95" t="s">
        <v>45</v>
      </c>
      <c r="D146" s="96" t="s">
        <v>2083</v>
      </c>
      <c r="E146" s="16" t="s">
        <v>128</v>
      </c>
      <c r="F146" s="72"/>
      <c r="G146" s="17" t="s">
        <v>2305</v>
      </c>
      <c r="H146" s="18"/>
      <c r="I146" s="17"/>
      <c r="J146" s="19" t="s">
        <v>133</v>
      </c>
      <c r="K146" s="19" t="s">
        <v>903</v>
      </c>
      <c r="L146" s="19" t="s">
        <v>67</v>
      </c>
    </row>
    <row r="147" spans="1:12" s="1" customFormat="1">
      <c r="A147" s="15"/>
      <c r="B147" s="95" t="s">
        <v>2084</v>
      </c>
      <c r="C147" s="95" t="s">
        <v>45</v>
      </c>
      <c r="D147" s="96" t="s">
        <v>2085</v>
      </c>
      <c r="E147" s="16" t="s">
        <v>128</v>
      </c>
      <c r="F147" s="72"/>
      <c r="G147" s="17" t="s">
        <v>2306</v>
      </c>
      <c r="H147" s="18"/>
      <c r="I147" s="17"/>
      <c r="J147" s="19" t="s">
        <v>133</v>
      </c>
      <c r="K147" s="19" t="s">
        <v>903</v>
      </c>
      <c r="L147" s="19" t="s">
        <v>67</v>
      </c>
    </row>
    <row r="148" spans="1:12" s="1" customFormat="1">
      <c r="B148" s="22" t="s">
        <v>2206</v>
      </c>
      <c r="C148" s="22" t="s">
        <v>45</v>
      </c>
      <c r="D148" s="9" t="s">
        <v>2207</v>
      </c>
      <c r="E148" s="16" t="s">
        <v>128</v>
      </c>
      <c r="F148" s="22"/>
      <c r="G148" s="17" t="s">
        <v>2307</v>
      </c>
      <c r="H148" s="18"/>
      <c r="I148" s="17"/>
      <c r="J148" s="19" t="s">
        <v>133</v>
      </c>
      <c r="K148" s="19" t="s">
        <v>2235</v>
      </c>
      <c r="L148" s="19" t="s">
        <v>2237</v>
      </c>
    </row>
    <row r="149" spans="1:12" s="1" customFormat="1">
      <c r="B149" s="22" t="s">
        <v>2205</v>
      </c>
      <c r="C149" s="22" t="s">
        <v>45</v>
      </c>
      <c r="D149" s="9" t="s">
        <v>2199</v>
      </c>
      <c r="E149" s="16" t="s">
        <v>128</v>
      </c>
      <c r="F149" s="22"/>
      <c r="G149" s="17" t="s">
        <v>2319</v>
      </c>
      <c r="H149" s="18"/>
      <c r="I149" s="17"/>
      <c r="J149" s="19" t="s">
        <v>133</v>
      </c>
      <c r="K149" s="19" t="s">
        <v>1640</v>
      </c>
      <c r="L149" s="19" t="s">
        <v>67</v>
      </c>
    </row>
    <row r="150" spans="1:12" s="1" customFormat="1">
      <c r="A150" s="15"/>
      <c r="B150" s="95" t="s">
        <v>2104</v>
      </c>
      <c r="C150" s="95" t="s">
        <v>280</v>
      </c>
      <c r="D150" s="96" t="s">
        <v>2093</v>
      </c>
      <c r="E150" s="16" t="s">
        <v>128</v>
      </c>
      <c r="F150" s="72"/>
      <c r="G150" s="17" t="s">
        <v>2320</v>
      </c>
      <c r="H150" s="18"/>
      <c r="I150" s="17"/>
      <c r="J150" s="19" t="s">
        <v>133</v>
      </c>
      <c r="K150" s="19" t="s">
        <v>2235</v>
      </c>
      <c r="L150" s="19" t="s">
        <v>2237</v>
      </c>
    </row>
    <row r="151" spans="1:12" s="1" customFormat="1">
      <c r="A151" s="15"/>
      <c r="B151" s="95" t="s">
        <v>2094</v>
      </c>
      <c r="C151" s="95" t="s">
        <v>45</v>
      </c>
      <c r="D151" s="96" t="s">
        <v>2099</v>
      </c>
      <c r="E151" s="16" t="s">
        <v>128</v>
      </c>
      <c r="F151" s="72"/>
      <c r="G151" s="17" t="s">
        <v>2308</v>
      </c>
      <c r="H151" s="18"/>
      <c r="I151" s="17"/>
      <c r="J151" s="19" t="s">
        <v>133</v>
      </c>
      <c r="K151" s="19" t="s">
        <v>1640</v>
      </c>
      <c r="L151" s="19" t="s">
        <v>67</v>
      </c>
    </row>
    <row r="152" spans="1:12" s="1" customFormat="1">
      <c r="A152" s="15"/>
      <c r="B152" s="95" t="s">
        <v>2095</v>
      </c>
      <c r="C152" s="95" t="s">
        <v>45</v>
      </c>
      <c r="D152" s="96" t="s">
        <v>2100</v>
      </c>
      <c r="E152" s="16" t="s">
        <v>128</v>
      </c>
      <c r="F152" s="72"/>
      <c r="G152" s="17" t="s">
        <v>2309</v>
      </c>
      <c r="H152" s="18"/>
      <c r="I152" s="17"/>
      <c r="J152" s="19" t="s">
        <v>133</v>
      </c>
      <c r="K152" s="19" t="s">
        <v>1640</v>
      </c>
      <c r="L152" s="19" t="s">
        <v>67</v>
      </c>
    </row>
    <row r="153" spans="1:12" s="1" customFormat="1">
      <c r="A153" s="15"/>
      <c r="B153" s="95" t="s">
        <v>2096</v>
      </c>
      <c r="C153" s="95" t="s">
        <v>45</v>
      </c>
      <c r="D153" s="96" t="s">
        <v>2101</v>
      </c>
      <c r="E153" s="16" t="s">
        <v>128</v>
      </c>
      <c r="F153" s="72"/>
      <c r="G153" s="17" t="s">
        <v>2310</v>
      </c>
      <c r="H153" s="18"/>
      <c r="I153" s="17"/>
      <c r="J153" s="19" t="s">
        <v>133</v>
      </c>
      <c r="K153" s="19" t="s">
        <v>1640</v>
      </c>
      <c r="L153" s="19" t="s">
        <v>67</v>
      </c>
    </row>
    <row r="154" spans="1:12" s="1" customFormat="1">
      <c r="A154" s="15"/>
      <c r="B154" s="95" t="s">
        <v>2097</v>
      </c>
      <c r="C154" s="95" t="s">
        <v>45</v>
      </c>
      <c r="D154" s="96" t="s">
        <v>2102</v>
      </c>
      <c r="E154" s="16" t="s">
        <v>128</v>
      </c>
      <c r="F154" s="72"/>
      <c r="G154" s="17" t="s">
        <v>2311</v>
      </c>
      <c r="H154" s="18"/>
      <c r="I154" s="17"/>
      <c r="J154" s="19" t="s">
        <v>133</v>
      </c>
      <c r="K154" s="19" t="s">
        <v>1640</v>
      </c>
      <c r="L154" s="19" t="s">
        <v>67</v>
      </c>
    </row>
    <row r="155" spans="1:12" s="1" customFormat="1">
      <c r="A155" s="15"/>
      <c r="B155" s="95" t="s">
        <v>2098</v>
      </c>
      <c r="C155" s="95" t="s">
        <v>45</v>
      </c>
      <c r="D155" s="96" t="s">
        <v>2103</v>
      </c>
      <c r="E155" s="16" t="s">
        <v>128</v>
      </c>
      <c r="F155" s="72"/>
      <c r="G155" s="17" t="s">
        <v>2312</v>
      </c>
      <c r="H155" s="18"/>
      <c r="I155" s="17"/>
      <c r="J155" s="19" t="s">
        <v>133</v>
      </c>
      <c r="K155" s="19" t="s">
        <v>1640</v>
      </c>
      <c r="L155" s="19" t="s">
        <v>67</v>
      </c>
    </row>
    <row r="156" spans="1:12" s="1" customFormat="1">
      <c r="A156" s="15"/>
      <c r="B156" s="95" t="s">
        <v>2210</v>
      </c>
      <c r="C156" s="95" t="s">
        <v>45</v>
      </c>
      <c r="D156" s="9" t="s">
        <v>2212</v>
      </c>
      <c r="E156" s="16" t="s">
        <v>128</v>
      </c>
      <c r="F156" s="72"/>
      <c r="G156" s="17" t="s">
        <v>2313</v>
      </c>
      <c r="H156" s="18"/>
      <c r="I156" s="17"/>
      <c r="J156" s="19" t="s">
        <v>133</v>
      </c>
      <c r="K156" s="19" t="s">
        <v>2235</v>
      </c>
      <c r="L156" s="19" t="s">
        <v>2237</v>
      </c>
    </row>
    <row r="157" spans="1:12" s="1" customFormat="1">
      <c r="A157" s="15"/>
      <c r="B157" s="95" t="s">
        <v>2211</v>
      </c>
      <c r="C157" s="95" t="s">
        <v>45</v>
      </c>
      <c r="D157" s="9" t="s">
        <v>2213</v>
      </c>
      <c r="E157" s="16" t="s">
        <v>128</v>
      </c>
      <c r="F157" s="72"/>
      <c r="G157" s="17" t="s">
        <v>2321</v>
      </c>
      <c r="H157" s="18"/>
      <c r="I157" s="17"/>
      <c r="J157" s="19" t="s">
        <v>133</v>
      </c>
      <c r="K157" s="19" t="s">
        <v>1640</v>
      </c>
      <c r="L157" s="19" t="s">
        <v>67</v>
      </c>
    </row>
    <row r="158" spans="1:12" s="1" customFormat="1">
      <c r="A158" s="15"/>
      <c r="B158" s="95" t="s">
        <v>2112</v>
      </c>
      <c r="C158" s="95" t="s">
        <v>280</v>
      </c>
      <c r="D158" s="96" t="s">
        <v>2123</v>
      </c>
      <c r="E158" s="16" t="s">
        <v>128</v>
      </c>
      <c r="F158" s="72"/>
      <c r="G158" s="17" t="s">
        <v>2322</v>
      </c>
      <c r="H158" s="18"/>
      <c r="I158" s="17"/>
      <c r="J158" s="19" t="s">
        <v>133</v>
      </c>
      <c r="K158" s="19" t="s">
        <v>2235</v>
      </c>
      <c r="L158" s="19" t="s">
        <v>2237</v>
      </c>
    </row>
    <row r="159" spans="1:12" s="1" customFormat="1">
      <c r="A159" s="15"/>
      <c r="B159" s="95" t="s">
        <v>2113</v>
      </c>
      <c r="C159" s="95" t="s">
        <v>45</v>
      </c>
      <c r="D159" s="96" t="s">
        <v>2114</v>
      </c>
      <c r="E159" s="16" t="s">
        <v>128</v>
      </c>
      <c r="F159" s="72"/>
      <c r="G159" s="17" t="s">
        <v>2314</v>
      </c>
      <c r="H159" s="18"/>
      <c r="I159" s="17"/>
      <c r="J159" s="19" t="s">
        <v>133</v>
      </c>
      <c r="K159" s="19" t="s">
        <v>1640</v>
      </c>
      <c r="L159" s="19" t="s">
        <v>67</v>
      </c>
    </row>
    <row r="160" spans="1:12" s="1" customFormat="1">
      <c r="A160" s="15"/>
      <c r="B160" s="95" t="s">
        <v>2115</v>
      </c>
      <c r="C160" s="95" t="s">
        <v>45</v>
      </c>
      <c r="D160" s="96" t="s">
        <v>2116</v>
      </c>
      <c r="E160" s="16" t="s">
        <v>128</v>
      </c>
      <c r="F160" s="72"/>
      <c r="G160" s="17" t="s">
        <v>2315</v>
      </c>
      <c r="H160" s="18"/>
      <c r="I160" s="17"/>
      <c r="J160" s="19" t="s">
        <v>133</v>
      </c>
      <c r="K160" s="19" t="s">
        <v>1640</v>
      </c>
      <c r="L160" s="19" t="s">
        <v>67</v>
      </c>
    </row>
    <row r="161" spans="1:17" s="1" customFormat="1">
      <c r="A161" s="15"/>
      <c r="B161" s="95" t="s">
        <v>2117</v>
      </c>
      <c r="C161" s="95" t="s">
        <v>45</v>
      </c>
      <c r="D161" s="96" t="s">
        <v>2118</v>
      </c>
      <c r="E161" s="16" t="s">
        <v>128</v>
      </c>
      <c r="F161" s="72"/>
      <c r="G161" s="17" t="s">
        <v>2316</v>
      </c>
      <c r="H161" s="18"/>
      <c r="I161" s="17"/>
      <c r="J161" s="19" t="s">
        <v>133</v>
      </c>
      <c r="K161" s="19" t="s">
        <v>1640</v>
      </c>
      <c r="L161" s="19" t="s">
        <v>67</v>
      </c>
    </row>
    <row r="162" spans="1:17" s="1" customFormat="1">
      <c r="A162" s="15"/>
      <c r="B162" s="95" t="s">
        <v>2119</v>
      </c>
      <c r="C162" s="95" t="s">
        <v>45</v>
      </c>
      <c r="D162" s="96" t="s">
        <v>2120</v>
      </c>
      <c r="E162" s="16" t="s">
        <v>128</v>
      </c>
      <c r="F162" s="72"/>
      <c r="G162" s="17" t="s">
        <v>2317</v>
      </c>
      <c r="H162" s="18"/>
      <c r="I162" s="17"/>
      <c r="J162" s="19" t="s">
        <v>133</v>
      </c>
      <c r="K162" s="19" t="s">
        <v>1640</v>
      </c>
      <c r="L162" s="19" t="s">
        <v>67</v>
      </c>
    </row>
    <row r="163" spans="1:17" s="1" customFormat="1">
      <c r="A163" s="15"/>
      <c r="B163" s="95" t="s">
        <v>2121</v>
      </c>
      <c r="C163" s="95" t="s">
        <v>45</v>
      </c>
      <c r="D163" s="96" t="s">
        <v>2122</v>
      </c>
      <c r="E163" s="16" t="s">
        <v>128</v>
      </c>
      <c r="F163" s="72"/>
      <c r="G163" s="17" t="s">
        <v>2318</v>
      </c>
      <c r="H163" s="18"/>
      <c r="I163" s="17"/>
      <c r="J163" s="19" t="s">
        <v>133</v>
      </c>
      <c r="K163" s="19" t="s">
        <v>1640</v>
      </c>
      <c r="L163" s="19" t="s">
        <v>67</v>
      </c>
    </row>
    <row r="164" spans="1:17" s="1" customFormat="1">
      <c r="A164" s="15"/>
      <c r="B164" s="11" t="s">
        <v>315</v>
      </c>
      <c r="C164" s="11" t="s">
        <v>45</v>
      </c>
      <c r="D164" s="9" t="s">
        <v>112</v>
      </c>
      <c r="E164" s="16" t="s">
        <v>128</v>
      </c>
      <c r="F164" s="72"/>
      <c r="G164" s="17" t="s">
        <v>1145</v>
      </c>
      <c r="H164" s="18"/>
      <c r="I164" s="17"/>
      <c r="J164" s="19" t="s">
        <v>133</v>
      </c>
      <c r="K164" s="19" t="s">
        <v>44</v>
      </c>
      <c r="L164" s="19" t="s">
        <v>67</v>
      </c>
    </row>
    <row r="165" spans="1:17" s="1" customFormat="1">
      <c r="A165" s="15"/>
      <c r="B165" s="11" t="s">
        <v>2257</v>
      </c>
      <c r="C165" s="11" t="s">
        <v>43</v>
      </c>
      <c r="D165" s="9" t="s">
        <v>1281</v>
      </c>
      <c r="E165" s="16" t="s">
        <v>55</v>
      </c>
      <c r="F165" s="13"/>
      <c r="G165" s="13" t="s">
        <v>2258</v>
      </c>
      <c r="H165" s="18"/>
      <c r="I165" s="87">
        <v>20250415101139</v>
      </c>
      <c r="J165" s="19" t="s">
        <v>133</v>
      </c>
      <c r="K165" s="19" t="s">
        <v>44</v>
      </c>
      <c r="L165" s="19" t="s">
        <v>1306</v>
      </c>
    </row>
    <row r="166" spans="1:17" s="1" customFormat="1">
      <c r="A166" s="15"/>
      <c r="B166" s="11" t="s">
        <v>2259</v>
      </c>
      <c r="C166" s="11" t="s">
        <v>43</v>
      </c>
      <c r="D166" s="9" t="s">
        <v>1284</v>
      </c>
      <c r="E166" s="16" t="s">
        <v>55</v>
      </c>
      <c r="F166" s="13"/>
      <c r="G166" s="13" t="s">
        <v>2260</v>
      </c>
      <c r="H166" s="18"/>
      <c r="I166" s="87">
        <v>20250415101024</v>
      </c>
      <c r="J166" s="19" t="s">
        <v>133</v>
      </c>
      <c r="K166" s="19" t="s">
        <v>44</v>
      </c>
      <c r="L166" s="19" t="s">
        <v>1306</v>
      </c>
    </row>
    <row r="167" spans="1:17" s="3" customFormat="1">
      <c r="B167" s="23" t="s">
        <v>47</v>
      </c>
      <c r="C167" s="24" t="s">
        <v>46</v>
      </c>
      <c r="D167" s="21" t="s">
        <v>48</v>
      </c>
      <c r="E167" s="44"/>
      <c r="F167" s="44"/>
      <c r="G167" s="44" t="s">
        <v>282</v>
      </c>
      <c r="H167" s="23" t="s">
        <v>282</v>
      </c>
      <c r="I167" s="23"/>
      <c r="J167" s="23"/>
      <c r="K167" s="23"/>
      <c r="L167" s="23"/>
      <c r="M167" s="23"/>
      <c r="N167" s="23"/>
      <c r="O167" s="23"/>
      <c r="P167" s="23"/>
      <c r="Q167" s="23"/>
    </row>
    <row r="168" spans="1:17" s="3" customFormat="1">
      <c r="B168" s="23" t="s">
        <v>49</v>
      </c>
      <c r="C168" s="24" t="s">
        <v>43</v>
      </c>
      <c r="D168" s="21" t="s">
        <v>50</v>
      </c>
      <c r="E168" s="44"/>
      <c r="F168" s="44"/>
      <c r="G168" s="44" t="s">
        <v>282</v>
      </c>
      <c r="H168" s="23" t="s">
        <v>282</v>
      </c>
      <c r="I168" s="23"/>
      <c r="J168" s="23"/>
      <c r="K168" s="23"/>
      <c r="L168" s="23"/>
      <c r="M168" s="23"/>
      <c r="N168" s="23"/>
      <c r="O168" s="23"/>
      <c r="P168" s="23"/>
      <c r="Q168" s="23"/>
    </row>
    <row r="169" spans="1:17" s="3" customFormat="1">
      <c r="B169" s="23" t="s">
        <v>51</v>
      </c>
      <c r="C169" s="24" t="s">
        <v>46</v>
      </c>
      <c r="D169" s="21" t="s">
        <v>52</v>
      </c>
      <c r="E169" s="44"/>
      <c r="F169" s="44"/>
      <c r="G169" s="44" t="s">
        <v>282</v>
      </c>
      <c r="H169" s="23" t="s">
        <v>282</v>
      </c>
      <c r="I169" s="23"/>
      <c r="J169" s="23"/>
      <c r="K169" s="23"/>
      <c r="L169" s="23"/>
      <c r="M169" s="23"/>
      <c r="N169" s="23"/>
      <c r="O169" s="23"/>
      <c r="P169" s="23"/>
      <c r="Q169" s="23"/>
    </row>
  </sheetData>
  <autoFilter ref="A13:Q169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5C11-F96C-4DBF-B505-38315C54A36A}">
  <dimension ref="A1:Q98"/>
  <sheetViews>
    <sheetView zoomScale="85" zoomScaleNormal="85" workbookViewId="0">
      <pane ySplit="5" topLeftCell="A6" activePane="bottomLeft" state="frozen"/>
      <selection pane="bottomLeft" activeCell="C5" sqref="C5"/>
    </sheetView>
  </sheetViews>
  <sheetFormatPr defaultColWidth="9" defaultRowHeight="13.2"/>
  <cols>
    <col min="1" max="1" width="2.5546875" style="97" customWidth="1"/>
    <col min="2" max="2" width="36.109375" style="4" bestFit="1" customWidth="1"/>
    <col min="3" max="3" width="36.88671875" style="4" bestFit="1" customWidth="1"/>
    <col min="4" max="4" width="32.21875" style="4" customWidth="1"/>
    <col min="5" max="5" width="10.109375" style="4" customWidth="1"/>
    <col min="6" max="6" width="20.33203125" style="4" customWidth="1"/>
    <col min="7" max="7" width="50.77734375" style="4" customWidth="1"/>
    <col min="8" max="8" width="14.44140625" style="4" customWidth="1"/>
    <col min="9" max="9" width="19.6640625" style="97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2323</v>
      </c>
      <c r="D5" s="9" t="s">
        <v>2324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2233</v>
      </c>
      <c r="D9" s="9" t="s">
        <v>2234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A14" s="86" t="s">
        <v>2335</v>
      </c>
      <c r="B14" s="90" t="s">
        <v>1321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86"/>
      <c r="J14" s="19" t="s">
        <v>131</v>
      </c>
      <c r="K14" s="19" t="s">
        <v>132</v>
      </c>
      <c r="L14" s="19" t="s">
        <v>674</v>
      </c>
    </row>
    <row r="15" spans="1:14" s="1" customFormat="1">
      <c r="A15" s="106" t="s">
        <v>2335</v>
      </c>
      <c r="B15" s="90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6"/>
      <c r="I15" s="86"/>
      <c r="J15" s="19" t="s">
        <v>131</v>
      </c>
      <c r="K15" s="19" t="s">
        <v>132</v>
      </c>
      <c r="L15" s="19" t="s">
        <v>675</v>
      </c>
    </row>
    <row r="16" spans="1:14" s="1" customFormat="1">
      <c r="A16" s="106" t="s">
        <v>77</v>
      </c>
      <c r="B16" s="90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6"/>
      <c r="I16" s="86"/>
      <c r="J16" s="19" t="s">
        <v>131</v>
      </c>
      <c r="K16" s="19" t="s">
        <v>132</v>
      </c>
      <c r="L16" s="19" t="s">
        <v>677</v>
      </c>
    </row>
    <row r="17" spans="1:13" s="1" customFormat="1">
      <c r="A17" s="106" t="s">
        <v>2336</v>
      </c>
      <c r="B17" s="90" t="s">
        <v>80</v>
      </c>
      <c r="C17" s="22" t="s">
        <v>94</v>
      </c>
      <c r="D17" s="9" t="s">
        <v>99</v>
      </c>
      <c r="E17" s="16" t="s">
        <v>128</v>
      </c>
      <c r="F17" s="17" t="s">
        <v>80</v>
      </c>
      <c r="G17" s="17" t="s">
        <v>129</v>
      </c>
      <c r="H17" s="16"/>
      <c r="I17" s="86"/>
      <c r="J17" s="19" t="s">
        <v>131</v>
      </c>
      <c r="K17" s="19" t="s">
        <v>132</v>
      </c>
      <c r="L17" s="19" t="s">
        <v>678</v>
      </c>
    </row>
    <row r="18" spans="1:13" s="1" customFormat="1">
      <c r="A18" s="106" t="s">
        <v>2337</v>
      </c>
      <c r="B18" s="90" t="s">
        <v>318</v>
      </c>
      <c r="C18" s="22" t="s">
        <v>94</v>
      </c>
      <c r="D18" s="9" t="s">
        <v>137</v>
      </c>
      <c r="E18" s="16" t="s">
        <v>128</v>
      </c>
      <c r="F18" s="17" t="s">
        <v>138</v>
      </c>
      <c r="G18" s="17" t="s">
        <v>129</v>
      </c>
      <c r="H18" s="16"/>
      <c r="I18" s="86"/>
      <c r="J18" s="19" t="s">
        <v>131</v>
      </c>
      <c r="K18" s="19" t="s">
        <v>132</v>
      </c>
      <c r="L18" s="19" t="s">
        <v>679</v>
      </c>
    </row>
    <row r="19" spans="1:13" s="1" customFormat="1">
      <c r="A19" s="106" t="s">
        <v>2338</v>
      </c>
      <c r="B19" s="90" t="s">
        <v>273</v>
      </c>
      <c r="C19" s="22" t="s">
        <v>94</v>
      </c>
      <c r="D19" s="9" t="s">
        <v>100</v>
      </c>
      <c r="E19" s="16" t="s">
        <v>128</v>
      </c>
      <c r="F19" s="9" t="s">
        <v>123</v>
      </c>
      <c r="G19" s="17" t="s">
        <v>129</v>
      </c>
      <c r="H19" s="16"/>
      <c r="I19" s="86"/>
      <c r="J19" s="19" t="s">
        <v>131</v>
      </c>
      <c r="K19" s="19" t="s">
        <v>132</v>
      </c>
      <c r="L19" s="19" t="s">
        <v>679</v>
      </c>
    </row>
    <row r="20" spans="1:13" s="1" customFormat="1">
      <c r="A20" s="106" t="s">
        <v>1176</v>
      </c>
      <c r="B20" s="90" t="s">
        <v>1174</v>
      </c>
      <c r="C20" s="22" t="s">
        <v>2396</v>
      </c>
      <c r="D20" s="9" t="s">
        <v>2397</v>
      </c>
      <c r="E20" s="16" t="s">
        <v>128</v>
      </c>
      <c r="F20" s="9"/>
      <c r="G20" s="17" t="s">
        <v>1613</v>
      </c>
      <c r="H20" s="16"/>
      <c r="I20" s="86"/>
      <c r="J20" s="19" t="s">
        <v>131</v>
      </c>
      <c r="K20" s="19" t="s">
        <v>132</v>
      </c>
      <c r="L20" s="19" t="s">
        <v>132</v>
      </c>
    </row>
    <row r="21" spans="1:13" s="1" customFormat="1">
      <c r="A21" s="106" t="s">
        <v>1176</v>
      </c>
      <c r="B21" s="90" t="s">
        <v>1176</v>
      </c>
      <c r="C21" s="22" t="s">
        <v>93</v>
      </c>
      <c r="D21" s="9" t="s">
        <v>2398</v>
      </c>
      <c r="E21" s="16" t="s">
        <v>128</v>
      </c>
      <c r="F21" s="9"/>
      <c r="G21" s="17" t="s">
        <v>1614</v>
      </c>
      <c r="H21" s="16"/>
      <c r="I21" s="86"/>
      <c r="J21" s="19" t="s">
        <v>131</v>
      </c>
      <c r="K21" s="19" t="s">
        <v>132</v>
      </c>
      <c r="L21" s="19" t="s">
        <v>132</v>
      </c>
    </row>
    <row r="22" spans="1:13" s="1" customFormat="1">
      <c r="A22" s="106" t="s">
        <v>1270</v>
      </c>
      <c r="B22" s="89" t="s">
        <v>1179</v>
      </c>
      <c r="C22" s="11" t="s">
        <v>43</v>
      </c>
      <c r="D22" s="9" t="s">
        <v>57</v>
      </c>
      <c r="E22" s="16" t="s">
        <v>128</v>
      </c>
      <c r="F22" s="17" t="s">
        <v>81</v>
      </c>
      <c r="G22" s="17" t="s">
        <v>129</v>
      </c>
      <c r="H22" s="16"/>
      <c r="I22" s="86"/>
      <c r="J22" s="19" t="s">
        <v>131</v>
      </c>
      <c r="K22" s="19" t="s">
        <v>132</v>
      </c>
      <c r="L22" s="19" t="s">
        <v>44</v>
      </c>
    </row>
    <row r="23" spans="1:13" s="1" customFormat="1">
      <c r="A23" s="106" t="s">
        <v>58</v>
      </c>
      <c r="B23" s="89" t="s">
        <v>58</v>
      </c>
      <c r="C23" s="11" t="s">
        <v>43</v>
      </c>
      <c r="D23" s="9" t="s">
        <v>59</v>
      </c>
      <c r="E23" s="16" t="s">
        <v>128</v>
      </c>
      <c r="F23" s="9" t="s">
        <v>58</v>
      </c>
      <c r="G23" s="17" t="s">
        <v>129</v>
      </c>
      <c r="H23" s="16"/>
      <c r="I23" s="86"/>
      <c r="J23" s="19" t="s">
        <v>131</v>
      </c>
      <c r="K23" s="19" t="s">
        <v>132</v>
      </c>
      <c r="L23" s="19" t="s">
        <v>44</v>
      </c>
    </row>
    <row r="24" spans="1:13" s="1" customFormat="1">
      <c r="A24" s="106" t="s">
        <v>2345</v>
      </c>
      <c r="B24" s="89" t="s">
        <v>82</v>
      </c>
      <c r="C24" s="11" t="s">
        <v>43</v>
      </c>
      <c r="D24" s="9" t="s">
        <v>105</v>
      </c>
      <c r="E24" s="16" t="s">
        <v>128</v>
      </c>
      <c r="F24" s="17" t="s">
        <v>82</v>
      </c>
      <c r="G24" s="17" t="s">
        <v>129</v>
      </c>
      <c r="H24" s="16"/>
      <c r="I24" s="86"/>
      <c r="J24" s="19" t="s">
        <v>131</v>
      </c>
      <c r="K24" s="19" t="s">
        <v>132</v>
      </c>
      <c r="L24" s="19" t="s">
        <v>44</v>
      </c>
    </row>
    <row r="25" spans="1:13" s="1" customFormat="1">
      <c r="A25" s="106" t="s">
        <v>2344</v>
      </c>
      <c r="B25" s="89" t="s">
        <v>83</v>
      </c>
      <c r="C25" s="11" t="s">
        <v>43</v>
      </c>
      <c r="D25" s="9" t="s">
        <v>135</v>
      </c>
      <c r="E25" s="16" t="s">
        <v>128</v>
      </c>
      <c r="F25" s="17" t="s">
        <v>83</v>
      </c>
      <c r="G25" s="17" t="s">
        <v>129</v>
      </c>
      <c r="H25" s="16"/>
      <c r="I25" s="86"/>
      <c r="J25" s="19" t="s">
        <v>131</v>
      </c>
      <c r="K25" s="19" t="s">
        <v>132</v>
      </c>
      <c r="L25" s="19" t="s">
        <v>44</v>
      </c>
    </row>
    <row r="26" spans="1:13" s="1" customFormat="1">
      <c r="A26" s="106" t="s">
        <v>84</v>
      </c>
      <c r="B26" s="90" t="s">
        <v>195</v>
      </c>
      <c r="C26" s="11" t="s">
        <v>43</v>
      </c>
      <c r="D26" s="9" t="s">
        <v>106</v>
      </c>
      <c r="E26" s="16" t="s">
        <v>128</v>
      </c>
      <c r="F26" s="17" t="s">
        <v>84</v>
      </c>
      <c r="G26" s="17" t="s">
        <v>129</v>
      </c>
      <c r="H26" s="16"/>
      <c r="I26" s="86"/>
      <c r="J26" s="19" t="s">
        <v>131</v>
      </c>
      <c r="K26" s="19" t="s">
        <v>132</v>
      </c>
      <c r="L26" s="19" t="s">
        <v>44</v>
      </c>
    </row>
    <row r="27" spans="1:13" s="1" customFormat="1">
      <c r="A27" s="106" t="s">
        <v>1184</v>
      </c>
      <c r="B27" s="90" t="s">
        <v>85</v>
      </c>
      <c r="C27" s="11" t="s">
        <v>43</v>
      </c>
      <c r="D27" s="9" t="s">
        <v>107</v>
      </c>
      <c r="E27" s="16" t="s">
        <v>128</v>
      </c>
      <c r="F27" s="17" t="s">
        <v>85</v>
      </c>
      <c r="G27" s="17" t="s">
        <v>129</v>
      </c>
      <c r="H27" s="16"/>
      <c r="I27" s="86"/>
      <c r="J27" s="19" t="s">
        <v>131</v>
      </c>
      <c r="K27" s="19" t="s">
        <v>132</v>
      </c>
      <c r="L27" s="19" t="s">
        <v>44</v>
      </c>
    </row>
    <row r="28" spans="1:13" s="1" customFormat="1">
      <c r="A28" s="106" t="s">
        <v>86</v>
      </c>
      <c r="B28" s="90" t="s">
        <v>86</v>
      </c>
      <c r="C28" s="11" t="s">
        <v>43</v>
      </c>
      <c r="D28" s="9" t="s">
        <v>108</v>
      </c>
      <c r="E28" s="16" t="s">
        <v>128</v>
      </c>
      <c r="F28" s="17" t="s">
        <v>86</v>
      </c>
      <c r="G28" s="17" t="s">
        <v>129</v>
      </c>
      <c r="H28" s="16"/>
      <c r="I28" s="86"/>
      <c r="J28" s="19" t="s">
        <v>131</v>
      </c>
      <c r="K28" s="19" t="s">
        <v>132</v>
      </c>
      <c r="L28" s="19" t="s">
        <v>44</v>
      </c>
    </row>
    <row r="29" spans="1:13" s="15" customFormat="1">
      <c r="A29" s="106" t="s">
        <v>2339</v>
      </c>
      <c r="B29" s="90" t="s">
        <v>87</v>
      </c>
      <c r="C29" s="11" t="s">
        <v>43</v>
      </c>
      <c r="D29" s="9" t="s">
        <v>109</v>
      </c>
      <c r="E29" s="16" t="s">
        <v>128</v>
      </c>
      <c r="F29" s="17" t="s">
        <v>87</v>
      </c>
      <c r="G29" s="17" t="s">
        <v>129</v>
      </c>
      <c r="H29" s="16"/>
      <c r="I29" s="86"/>
      <c r="J29" s="19" t="s">
        <v>131</v>
      </c>
      <c r="K29" s="19" t="s">
        <v>132</v>
      </c>
      <c r="L29" s="19" t="s">
        <v>679</v>
      </c>
      <c r="M29" s="1"/>
    </row>
    <row r="30" spans="1:13" s="15" customFormat="1">
      <c r="A30" s="106" t="s">
        <v>2342</v>
      </c>
      <c r="B30" s="90" t="s">
        <v>88</v>
      </c>
      <c r="C30" s="11" t="s">
        <v>43</v>
      </c>
      <c r="D30" s="9" t="s">
        <v>110</v>
      </c>
      <c r="E30" s="16" t="s">
        <v>128</v>
      </c>
      <c r="F30" s="17" t="s">
        <v>88</v>
      </c>
      <c r="G30" s="17" t="s">
        <v>129</v>
      </c>
      <c r="H30" s="16"/>
      <c r="I30" s="86"/>
      <c r="J30" s="19" t="s">
        <v>131</v>
      </c>
      <c r="K30" s="19" t="s">
        <v>132</v>
      </c>
      <c r="L30" s="19" t="s">
        <v>44</v>
      </c>
      <c r="M30" s="1"/>
    </row>
    <row r="31" spans="1:13" s="68" customFormat="1">
      <c r="A31" s="106" t="s">
        <v>2343</v>
      </c>
      <c r="B31" s="101" t="s">
        <v>89</v>
      </c>
      <c r="C31" s="11" t="s">
        <v>43</v>
      </c>
      <c r="D31" s="9" t="s">
        <v>111</v>
      </c>
      <c r="E31" s="16" t="s">
        <v>128</v>
      </c>
      <c r="F31" s="17" t="s">
        <v>89</v>
      </c>
      <c r="G31" s="17" t="s">
        <v>129</v>
      </c>
      <c r="H31" s="16"/>
      <c r="I31" s="102"/>
      <c r="J31" s="19" t="s">
        <v>131</v>
      </c>
      <c r="K31" s="19" t="s">
        <v>132</v>
      </c>
      <c r="L31" s="19" t="s">
        <v>44</v>
      </c>
      <c r="M31" s="1"/>
    </row>
    <row r="32" spans="1:13" s="1" customFormat="1">
      <c r="A32" s="106" t="s">
        <v>2341</v>
      </c>
      <c r="B32" s="101" t="s">
        <v>2399</v>
      </c>
      <c r="C32" s="22" t="s">
        <v>46</v>
      </c>
      <c r="D32" s="9" t="s">
        <v>2006</v>
      </c>
      <c r="E32" s="16" t="s">
        <v>128</v>
      </c>
      <c r="F32" s="17" t="s">
        <v>1992</v>
      </c>
      <c r="G32" s="17" t="s">
        <v>129</v>
      </c>
      <c r="H32" s="16"/>
      <c r="I32" s="86"/>
      <c r="J32" s="19" t="s">
        <v>259</v>
      </c>
      <c r="K32" s="19" t="s">
        <v>132</v>
      </c>
      <c r="L32" s="19" t="s">
        <v>132</v>
      </c>
    </row>
    <row r="33" spans="1:12" s="1" customFormat="1">
      <c r="A33" s="106" t="s">
        <v>2340</v>
      </c>
      <c r="B33" s="101" t="s">
        <v>1998</v>
      </c>
      <c r="C33" s="22" t="s">
        <v>43</v>
      </c>
      <c r="D33" s="9" t="s">
        <v>2014</v>
      </c>
      <c r="E33" s="16" t="s">
        <v>128</v>
      </c>
      <c r="F33" s="17" t="s">
        <v>1998</v>
      </c>
      <c r="G33" s="17" t="s">
        <v>129</v>
      </c>
      <c r="H33" s="16"/>
      <c r="I33" s="86"/>
      <c r="J33" s="19" t="s">
        <v>259</v>
      </c>
      <c r="K33" s="19" t="s">
        <v>132</v>
      </c>
      <c r="L33" s="19" t="s">
        <v>132</v>
      </c>
    </row>
    <row r="34" spans="1:12" s="1" customFormat="1">
      <c r="A34" s="107" t="s">
        <v>2346</v>
      </c>
      <c r="B34" s="89" t="s">
        <v>139</v>
      </c>
      <c r="C34" s="11" t="s">
        <v>43</v>
      </c>
      <c r="D34" s="9" t="s">
        <v>115</v>
      </c>
      <c r="E34" s="16" t="s">
        <v>128</v>
      </c>
      <c r="F34" s="17" t="s">
        <v>139</v>
      </c>
      <c r="G34" s="17" t="s">
        <v>129</v>
      </c>
      <c r="H34" s="16"/>
      <c r="I34" s="9"/>
      <c r="J34" s="19" t="s">
        <v>131</v>
      </c>
      <c r="K34" s="19" t="s">
        <v>132</v>
      </c>
      <c r="L34" s="19" t="s">
        <v>44</v>
      </c>
    </row>
    <row r="35" spans="1:12" s="1" customFormat="1">
      <c r="A35" s="108" t="s">
        <v>2360</v>
      </c>
      <c r="B35" s="90" t="s">
        <v>1383</v>
      </c>
      <c r="C35" s="22" t="s">
        <v>45</v>
      </c>
      <c r="D35" s="9" t="s">
        <v>348</v>
      </c>
      <c r="E35" s="16" t="s">
        <v>128</v>
      </c>
      <c r="F35" s="17"/>
      <c r="G35" s="17" t="s">
        <v>1667</v>
      </c>
      <c r="H35" s="18"/>
      <c r="I35" s="9"/>
      <c r="J35" s="19" t="s">
        <v>133</v>
      </c>
      <c r="K35" s="19" t="s">
        <v>203</v>
      </c>
      <c r="L35" s="19" t="s">
        <v>134</v>
      </c>
    </row>
    <row r="36" spans="1:12" s="1" customFormat="1">
      <c r="A36" s="108" t="s">
        <v>2390</v>
      </c>
      <c r="B36" s="90" t="s">
        <v>296</v>
      </c>
      <c r="C36" s="11" t="s">
        <v>45</v>
      </c>
      <c r="D36" s="9" t="s">
        <v>759</v>
      </c>
      <c r="E36" s="16" t="s">
        <v>128</v>
      </c>
      <c r="F36" s="17"/>
      <c r="G36" s="17" t="s">
        <v>1200</v>
      </c>
      <c r="H36" s="18"/>
      <c r="I36" s="9"/>
      <c r="J36" s="19" t="s">
        <v>133</v>
      </c>
      <c r="K36" s="19" t="s">
        <v>204</v>
      </c>
      <c r="L36" s="19" t="s">
        <v>134</v>
      </c>
    </row>
    <row r="37" spans="1:12" s="1" customFormat="1">
      <c r="A37" s="108" t="s">
        <v>2391</v>
      </c>
      <c r="B37" s="90" t="s">
        <v>297</v>
      </c>
      <c r="C37" s="11" t="s">
        <v>45</v>
      </c>
      <c r="D37" s="9" t="s">
        <v>160</v>
      </c>
      <c r="E37" s="16" t="s">
        <v>128</v>
      </c>
      <c r="F37" s="17"/>
      <c r="G37" s="17" t="s">
        <v>1201</v>
      </c>
      <c r="H37" s="18"/>
      <c r="I37" s="9"/>
      <c r="J37" s="19" t="s">
        <v>133</v>
      </c>
      <c r="K37" s="19" t="s">
        <v>204</v>
      </c>
      <c r="L37" s="19" t="s">
        <v>134</v>
      </c>
    </row>
    <row r="38" spans="1:12" s="1" customFormat="1">
      <c r="A38" s="108" t="s">
        <v>2368</v>
      </c>
      <c r="B38" s="90" t="s">
        <v>299</v>
      </c>
      <c r="C38" s="11" t="s">
        <v>45</v>
      </c>
      <c r="D38" s="9" t="s">
        <v>1056</v>
      </c>
      <c r="E38" s="16" t="s">
        <v>128</v>
      </c>
      <c r="F38" s="17"/>
      <c r="G38" s="17" t="s">
        <v>224</v>
      </c>
      <c r="H38" s="18"/>
      <c r="I38" s="9"/>
      <c r="J38" s="19" t="s">
        <v>133</v>
      </c>
      <c r="K38" s="19" t="s">
        <v>44</v>
      </c>
      <c r="L38" s="19" t="s">
        <v>67</v>
      </c>
    </row>
    <row r="39" spans="1:12" s="1" customFormat="1">
      <c r="A39" s="108" t="s">
        <v>2369</v>
      </c>
      <c r="B39" s="90" t="s">
        <v>298</v>
      </c>
      <c r="C39" s="11" t="s">
        <v>45</v>
      </c>
      <c r="D39" s="9" t="s">
        <v>1055</v>
      </c>
      <c r="E39" s="16" t="s">
        <v>128</v>
      </c>
      <c r="F39" s="17"/>
      <c r="G39" s="17" t="s">
        <v>223</v>
      </c>
      <c r="H39" s="18"/>
      <c r="I39" s="9"/>
      <c r="J39" s="19" t="s">
        <v>133</v>
      </c>
      <c r="K39" s="19" t="s">
        <v>44</v>
      </c>
      <c r="L39" s="19" t="s">
        <v>67</v>
      </c>
    </row>
    <row r="40" spans="1:12" s="1" customFormat="1">
      <c r="A40" s="108" t="s">
        <v>2374</v>
      </c>
      <c r="B40" s="90" t="s">
        <v>300</v>
      </c>
      <c r="C40" s="11" t="s">
        <v>45</v>
      </c>
      <c r="D40" s="9" t="s">
        <v>163</v>
      </c>
      <c r="E40" s="16" t="s">
        <v>128</v>
      </c>
      <c r="F40" s="17"/>
      <c r="G40" s="17" t="s">
        <v>225</v>
      </c>
      <c r="H40" s="18"/>
      <c r="I40" s="9"/>
      <c r="J40" s="19" t="s">
        <v>133</v>
      </c>
      <c r="K40" s="19" t="s">
        <v>44</v>
      </c>
      <c r="L40" s="19" t="s">
        <v>67</v>
      </c>
    </row>
    <row r="41" spans="1:12" s="1" customFormat="1">
      <c r="A41" s="108" t="s">
        <v>2375</v>
      </c>
      <c r="B41" s="90" t="s">
        <v>301</v>
      </c>
      <c r="C41" s="11" t="s">
        <v>45</v>
      </c>
      <c r="D41" s="9" t="s">
        <v>164</v>
      </c>
      <c r="E41" s="16" t="s">
        <v>128</v>
      </c>
      <c r="F41" s="17"/>
      <c r="G41" s="17" t="s">
        <v>226</v>
      </c>
      <c r="H41" s="18"/>
      <c r="I41" s="9"/>
      <c r="J41" s="19" t="s">
        <v>133</v>
      </c>
      <c r="K41" s="19" t="s">
        <v>44</v>
      </c>
      <c r="L41" s="19" t="s">
        <v>67</v>
      </c>
    </row>
    <row r="42" spans="1:12" s="1" customFormat="1">
      <c r="A42" s="108" t="s">
        <v>2370</v>
      </c>
      <c r="B42" s="90" t="s">
        <v>302</v>
      </c>
      <c r="C42" s="11" t="s">
        <v>45</v>
      </c>
      <c r="D42" s="9" t="s">
        <v>165</v>
      </c>
      <c r="E42" s="16" t="s">
        <v>128</v>
      </c>
      <c r="F42" s="17"/>
      <c r="G42" s="17" t="s">
        <v>1114</v>
      </c>
      <c r="H42" s="18"/>
      <c r="I42" s="9"/>
      <c r="J42" s="19" t="s">
        <v>133</v>
      </c>
      <c r="K42" s="19" t="s">
        <v>44</v>
      </c>
      <c r="L42" s="19" t="s">
        <v>67</v>
      </c>
    </row>
    <row r="43" spans="1:12" s="1" customFormat="1">
      <c r="A43" s="108" t="s">
        <v>2371</v>
      </c>
      <c r="B43" s="90" t="s">
        <v>303</v>
      </c>
      <c r="C43" s="11" t="s">
        <v>45</v>
      </c>
      <c r="D43" s="9" t="s">
        <v>166</v>
      </c>
      <c r="E43" s="16" t="s">
        <v>128</v>
      </c>
      <c r="F43" s="17"/>
      <c r="G43" s="17" t="s">
        <v>1115</v>
      </c>
      <c r="H43" s="18"/>
      <c r="I43" s="9"/>
      <c r="J43" s="19" t="s">
        <v>133</v>
      </c>
      <c r="K43" s="19" t="s">
        <v>44</v>
      </c>
      <c r="L43" s="19" t="s">
        <v>67</v>
      </c>
    </row>
    <row r="44" spans="1:12" s="1" customFormat="1">
      <c r="A44" s="108" t="s">
        <v>2361</v>
      </c>
      <c r="B44" s="90" t="s">
        <v>307</v>
      </c>
      <c r="C44" s="11" t="s">
        <v>45</v>
      </c>
      <c r="D44" s="9" t="s">
        <v>171</v>
      </c>
      <c r="E44" s="16" t="s">
        <v>128</v>
      </c>
      <c r="F44" s="17"/>
      <c r="G44" s="17" t="s">
        <v>1116</v>
      </c>
      <c r="H44" s="18"/>
      <c r="I44" s="9"/>
      <c r="J44" s="19" t="s">
        <v>133</v>
      </c>
      <c r="K44" s="19" t="s">
        <v>44</v>
      </c>
      <c r="L44" s="19" t="s">
        <v>67</v>
      </c>
    </row>
    <row r="45" spans="1:12" s="1" customFormat="1">
      <c r="A45" s="109" t="s">
        <v>2362</v>
      </c>
      <c r="B45" s="90" t="s">
        <v>308</v>
      </c>
      <c r="C45" s="11" t="s">
        <v>45</v>
      </c>
      <c r="D45" s="9" t="s">
        <v>172</v>
      </c>
      <c r="E45" s="16" t="s">
        <v>128</v>
      </c>
      <c r="F45" s="17"/>
      <c r="G45" s="17" t="s">
        <v>1117</v>
      </c>
      <c r="H45" s="18"/>
      <c r="I45" s="9"/>
      <c r="J45" s="19" t="s">
        <v>133</v>
      </c>
      <c r="K45" s="19" t="s">
        <v>44</v>
      </c>
      <c r="L45" s="19" t="s">
        <v>67</v>
      </c>
    </row>
    <row r="46" spans="1:12" s="1" customFormat="1">
      <c r="A46" s="109" t="s">
        <v>2363</v>
      </c>
      <c r="B46" s="90" t="s">
        <v>309</v>
      </c>
      <c r="C46" s="11" t="s">
        <v>45</v>
      </c>
      <c r="D46" s="9" t="s">
        <v>173</v>
      </c>
      <c r="E46" s="16" t="s">
        <v>128</v>
      </c>
      <c r="F46" s="17"/>
      <c r="G46" s="17" t="s">
        <v>1118</v>
      </c>
      <c r="H46" s="18"/>
      <c r="I46" s="9"/>
      <c r="J46" s="19" t="s">
        <v>133</v>
      </c>
      <c r="K46" s="19" t="s">
        <v>44</v>
      </c>
      <c r="L46" s="19" t="s">
        <v>67</v>
      </c>
    </row>
    <row r="47" spans="1:12" s="1" customFormat="1">
      <c r="A47" s="108" t="s">
        <v>2364</v>
      </c>
      <c r="B47" s="90" t="s">
        <v>310</v>
      </c>
      <c r="C47" s="11" t="s">
        <v>45</v>
      </c>
      <c r="D47" s="9" t="s">
        <v>174</v>
      </c>
      <c r="E47" s="16" t="s">
        <v>128</v>
      </c>
      <c r="F47" s="17"/>
      <c r="G47" s="17" t="s">
        <v>1119</v>
      </c>
      <c r="H47" s="18"/>
      <c r="I47" s="9"/>
      <c r="J47" s="19" t="s">
        <v>133</v>
      </c>
      <c r="K47" s="19" t="s">
        <v>44</v>
      </c>
      <c r="L47" s="19" t="s">
        <v>67</v>
      </c>
    </row>
    <row r="48" spans="1:12" s="1" customFormat="1">
      <c r="A48" s="108" t="s">
        <v>2372</v>
      </c>
      <c r="B48" s="90" t="s">
        <v>304</v>
      </c>
      <c r="C48" s="11" t="s">
        <v>45</v>
      </c>
      <c r="D48" s="9" t="s">
        <v>1260</v>
      </c>
      <c r="E48" s="16" t="s">
        <v>128</v>
      </c>
      <c r="F48" s="17"/>
      <c r="G48" s="17" t="s">
        <v>227</v>
      </c>
      <c r="H48" s="18"/>
      <c r="I48" s="9"/>
      <c r="J48" s="19" t="s">
        <v>133</v>
      </c>
      <c r="K48" s="19" t="s">
        <v>44</v>
      </c>
      <c r="L48" s="19" t="s">
        <v>67</v>
      </c>
    </row>
    <row r="49" spans="1:12" s="1" customFormat="1">
      <c r="A49" s="108" t="s">
        <v>2373</v>
      </c>
      <c r="B49" s="90" t="s">
        <v>305</v>
      </c>
      <c r="C49" s="11" t="s">
        <v>45</v>
      </c>
      <c r="D49" s="9" t="s">
        <v>1261</v>
      </c>
      <c r="E49" s="16" t="s">
        <v>128</v>
      </c>
      <c r="F49" s="17"/>
      <c r="G49" s="17" t="s">
        <v>228</v>
      </c>
      <c r="H49" s="18"/>
      <c r="I49" s="9"/>
      <c r="J49" s="19" t="s">
        <v>133</v>
      </c>
      <c r="K49" s="19" t="s">
        <v>44</v>
      </c>
      <c r="L49" s="19" t="s">
        <v>67</v>
      </c>
    </row>
    <row r="50" spans="1:12" s="1" customFormat="1">
      <c r="A50" s="108" t="s">
        <v>2378</v>
      </c>
      <c r="B50" s="90" t="s">
        <v>306</v>
      </c>
      <c r="C50" s="11" t="s">
        <v>45</v>
      </c>
      <c r="D50" s="9" t="s">
        <v>167</v>
      </c>
      <c r="E50" s="16" t="s">
        <v>128</v>
      </c>
      <c r="F50" s="17"/>
      <c r="G50" s="17" t="s">
        <v>772</v>
      </c>
      <c r="H50" s="18"/>
      <c r="I50" s="9"/>
      <c r="J50" s="19" t="s">
        <v>133</v>
      </c>
      <c r="K50" s="19" t="s">
        <v>202</v>
      </c>
      <c r="L50" s="19" t="s">
        <v>67</v>
      </c>
    </row>
    <row r="51" spans="1:12" s="1" customFormat="1">
      <c r="A51" s="108" t="s">
        <v>2379</v>
      </c>
      <c r="B51" s="90" t="s">
        <v>684</v>
      </c>
      <c r="C51" s="11" t="s">
        <v>45</v>
      </c>
      <c r="D51" s="9" t="s">
        <v>175</v>
      </c>
      <c r="E51" s="16" t="s">
        <v>128</v>
      </c>
      <c r="F51" s="17"/>
      <c r="G51" s="17" t="s">
        <v>1120</v>
      </c>
      <c r="H51" s="18"/>
      <c r="I51" s="9"/>
      <c r="J51" s="19" t="s">
        <v>133</v>
      </c>
      <c r="K51" s="19" t="s">
        <v>44</v>
      </c>
      <c r="L51" s="19" t="s">
        <v>67</v>
      </c>
    </row>
    <row r="52" spans="1:12" s="1" customFormat="1">
      <c r="A52" s="108" t="s">
        <v>2380</v>
      </c>
      <c r="B52" s="90" t="s">
        <v>2405</v>
      </c>
      <c r="C52" s="11" t="s">
        <v>45</v>
      </c>
      <c r="D52" s="9" t="s">
        <v>168</v>
      </c>
      <c r="E52" s="16" t="s">
        <v>128</v>
      </c>
      <c r="F52" s="17"/>
      <c r="G52" s="17" t="s">
        <v>778</v>
      </c>
      <c r="H52" s="18"/>
      <c r="I52" s="9"/>
      <c r="J52" s="19" t="s">
        <v>133</v>
      </c>
      <c r="K52" s="19" t="s">
        <v>202</v>
      </c>
      <c r="L52" s="19" t="s">
        <v>67</v>
      </c>
    </row>
    <row r="53" spans="1:12" s="1" customFormat="1">
      <c r="A53" s="108" t="s">
        <v>2381</v>
      </c>
      <c r="B53" s="90" t="s">
        <v>2406</v>
      </c>
      <c r="C53" s="11" t="s">
        <v>45</v>
      </c>
      <c r="D53" s="9" t="s">
        <v>176</v>
      </c>
      <c r="E53" s="16" t="s">
        <v>128</v>
      </c>
      <c r="F53" s="17"/>
      <c r="G53" s="17" t="s">
        <v>1121</v>
      </c>
      <c r="H53" s="18"/>
      <c r="I53" s="9"/>
      <c r="J53" s="19" t="s">
        <v>133</v>
      </c>
      <c r="K53" s="19" t="s">
        <v>44</v>
      </c>
      <c r="L53" s="19" t="s">
        <v>67</v>
      </c>
    </row>
    <row r="54" spans="1:12" s="1" customFormat="1">
      <c r="A54" s="108" t="s">
        <v>2386</v>
      </c>
      <c r="B54" s="90" t="s">
        <v>312</v>
      </c>
      <c r="C54" s="11" t="s">
        <v>45</v>
      </c>
      <c r="D54" s="9" t="s">
        <v>178</v>
      </c>
      <c r="E54" s="16" t="s">
        <v>128</v>
      </c>
      <c r="F54" s="17"/>
      <c r="G54" s="17" t="s">
        <v>2266</v>
      </c>
      <c r="H54" s="18"/>
      <c r="I54" s="9"/>
      <c r="J54" s="19" t="s">
        <v>133</v>
      </c>
      <c r="K54" s="19" t="s">
        <v>202</v>
      </c>
      <c r="L54" s="19" t="s">
        <v>67</v>
      </c>
    </row>
    <row r="55" spans="1:12" s="1" customFormat="1">
      <c r="A55" s="108" t="s">
        <v>2387</v>
      </c>
      <c r="B55" s="90" t="s">
        <v>311</v>
      </c>
      <c r="C55" s="11" t="s">
        <v>45</v>
      </c>
      <c r="D55" s="9" t="s">
        <v>177</v>
      </c>
      <c r="E55" s="16" t="s">
        <v>128</v>
      </c>
      <c r="F55" s="17"/>
      <c r="G55" s="17" t="s">
        <v>1122</v>
      </c>
      <c r="H55" s="18"/>
      <c r="I55" s="9"/>
      <c r="J55" s="19" t="s">
        <v>133</v>
      </c>
      <c r="K55" s="19" t="s">
        <v>204</v>
      </c>
      <c r="L55" s="19" t="s">
        <v>67</v>
      </c>
    </row>
    <row r="56" spans="1:12" s="1" customFormat="1">
      <c r="A56" s="108" t="s">
        <v>2388</v>
      </c>
      <c r="B56" s="90" t="s">
        <v>314</v>
      </c>
      <c r="C56" s="11" t="s">
        <v>45</v>
      </c>
      <c r="D56" s="9" t="s">
        <v>180</v>
      </c>
      <c r="E56" s="16" t="s">
        <v>128</v>
      </c>
      <c r="F56" s="17"/>
      <c r="G56" s="17" t="s">
        <v>2267</v>
      </c>
      <c r="H56" s="18"/>
      <c r="I56" s="9"/>
      <c r="J56" s="19" t="s">
        <v>133</v>
      </c>
      <c r="K56" s="19" t="s">
        <v>202</v>
      </c>
      <c r="L56" s="19" t="s">
        <v>67</v>
      </c>
    </row>
    <row r="57" spans="1:12" s="1" customFormat="1">
      <c r="A57" s="108" t="s">
        <v>2389</v>
      </c>
      <c r="B57" s="90" t="s">
        <v>313</v>
      </c>
      <c r="C57" s="11" t="s">
        <v>45</v>
      </c>
      <c r="D57" s="9" t="s">
        <v>179</v>
      </c>
      <c r="E57" s="16" t="s">
        <v>128</v>
      </c>
      <c r="F57" s="17"/>
      <c r="G57" s="17" t="s">
        <v>1123</v>
      </c>
      <c r="H57" s="18"/>
      <c r="I57" s="9"/>
      <c r="J57" s="19" t="s">
        <v>133</v>
      </c>
      <c r="K57" s="19" t="s">
        <v>204</v>
      </c>
      <c r="L57" s="19" t="s">
        <v>67</v>
      </c>
    </row>
    <row r="58" spans="1:12" s="1" customFormat="1">
      <c r="A58" s="108" t="s">
        <v>2347</v>
      </c>
      <c r="B58" s="89" t="s">
        <v>2414</v>
      </c>
      <c r="C58" s="11" t="s">
        <v>45</v>
      </c>
      <c r="D58" s="9" t="s">
        <v>2165</v>
      </c>
      <c r="E58" s="16" t="s">
        <v>128</v>
      </c>
      <c r="F58" s="17"/>
      <c r="G58" s="17" t="s">
        <v>2268</v>
      </c>
      <c r="H58" s="18"/>
      <c r="I58" s="9"/>
      <c r="J58" s="19" t="s">
        <v>133</v>
      </c>
      <c r="K58" s="19" t="s">
        <v>903</v>
      </c>
      <c r="L58" s="19" t="s">
        <v>134</v>
      </c>
    </row>
    <row r="59" spans="1:12" s="1" customFormat="1">
      <c r="A59" s="108" t="s">
        <v>2348</v>
      </c>
      <c r="B59" s="90" t="s">
        <v>2407</v>
      </c>
      <c r="C59" s="11" t="s">
        <v>45</v>
      </c>
      <c r="D59" s="9" t="s">
        <v>2166</v>
      </c>
      <c r="E59" s="16" t="s">
        <v>128</v>
      </c>
      <c r="F59" s="17"/>
      <c r="G59" s="17" t="s">
        <v>2269</v>
      </c>
      <c r="H59" s="18"/>
      <c r="I59" s="9"/>
      <c r="J59" s="19" t="s">
        <v>133</v>
      </c>
      <c r="K59" s="19" t="s">
        <v>903</v>
      </c>
      <c r="L59" s="19" t="s">
        <v>134</v>
      </c>
    </row>
    <row r="60" spans="1:12" s="1" customFormat="1">
      <c r="A60" s="108" t="s">
        <v>2349</v>
      </c>
      <c r="B60" s="90" t="s">
        <v>2408</v>
      </c>
      <c r="C60" s="11" t="s">
        <v>45</v>
      </c>
      <c r="D60" s="9" t="s">
        <v>2011</v>
      </c>
      <c r="E60" s="16" t="s">
        <v>128</v>
      </c>
      <c r="F60" s="17"/>
      <c r="G60" s="17" t="s">
        <v>2270</v>
      </c>
      <c r="H60" s="18"/>
      <c r="I60" s="9"/>
      <c r="J60" s="19" t="s">
        <v>133</v>
      </c>
      <c r="K60" s="19" t="s">
        <v>202</v>
      </c>
      <c r="L60" s="19" t="s">
        <v>67</v>
      </c>
    </row>
    <row r="61" spans="1:12" s="1" customFormat="1">
      <c r="A61" s="108" t="s">
        <v>2350</v>
      </c>
      <c r="B61" s="90" t="s">
        <v>2409</v>
      </c>
      <c r="C61" s="11" t="s">
        <v>45</v>
      </c>
      <c r="D61" s="9" t="s">
        <v>2173</v>
      </c>
      <c r="E61" s="16" t="s">
        <v>128</v>
      </c>
      <c r="F61" s="17"/>
      <c r="G61" s="17" t="s">
        <v>2271</v>
      </c>
      <c r="H61" s="18"/>
      <c r="I61" s="9"/>
      <c r="J61" s="19" t="s">
        <v>133</v>
      </c>
      <c r="K61" s="19" t="s">
        <v>1640</v>
      </c>
      <c r="L61" s="19" t="s">
        <v>67</v>
      </c>
    </row>
    <row r="62" spans="1:12" s="1" customFormat="1">
      <c r="A62" s="108" t="s">
        <v>2351</v>
      </c>
      <c r="B62" s="90" t="s">
        <v>2410</v>
      </c>
      <c r="C62" s="11" t="s">
        <v>45</v>
      </c>
      <c r="D62" s="9" t="s">
        <v>2175</v>
      </c>
      <c r="E62" s="16" t="s">
        <v>128</v>
      </c>
      <c r="F62" s="17"/>
      <c r="G62" s="17" t="s">
        <v>2272</v>
      </c>
      <c r="H62" s="18"/>
      <c r="I62" s="9"/>
      <c r="J62" s="19" t="s">
        <v>133</v>
      </c>
      <c r="K62" s="19" t="s">
        <v>1640</v>
      </c>
      <c r="L62" s="19" t="s">
        <v>67</v>
      </c>
    </row>
    <row r="63" spans="1:12" s="1" customFormat="1">
      <c r="A63" s="109" t="s">
        <v>2354</v>
      </c>
      <c r="B63" s="90" t="s">
        <v>2400</v>
      </c>
      <c r="C63" s="11" t="s">
        <v>45</v>
      </c>
      <c r="D63" s="9" t="s">
        <v>2182</v>
      </c>
      <c r="E63" s="16" t="s">
        <v>128</v>
      </c>
      <c r="F63" s="17"/>
      <c r="G63" s="17" t="s">
        <v>2273</v>
      </c>
      <c r="H63" s="18"/>
      <c r="I63" s="9"/>
      <c r="J63" s="19" t="s">
        <v>133</v>
      </c>
      <c r="K63" s="19" t="s">
        <v>1640</v>
      </c>
      <c r="L63" s="19" t="s">
        <v>67</v>
      </c>
    </row>
    <row r="64" spans="1:12" s="1" customFormat="1">
      <c r="A64" s="109" t="s">
        <v>2355</v>
      </c>
      <c r="B64" s="90" t="s">
        <v>2401</v>
      </c>
      <c r="C64" s="11" t="s">
        <v>45</v>
      </c>
      <c r="D64" s="9" t="s">
        <v>2184</v>
      </c>
      <c r="E64" s="16" t="s">
        <v>128</v>
      </c>
      <c r="F64" s="17"/>
      <c r="G64" s="17" t="s">
        <v>2274</v>
      </c>
      <c r="H64" s="18"/>
      <c r="I64" s="9"/>
      <c r="J64" s="19" t="s">
        <v>133</v>
      </c>
      <c r="K64" s="19" t="s">
        <v>1640</v>
      </c>
      <c r="L64" s="19" t="s">
        <v>67</v>
      </c>
    </row>
    <row r="65" spans="1:12" s="1" customFormat="1">
      <c r="A65" s="108" t="s">
        <v>2356</v>
      </c>
      <c r="B65" s="90" t="s">
        <v>2402</v>
      </c>
      <c r="C65" s="11" t="s">
        <v>45</v>
      </c>
      <c r="D65" s="9" t="s">
        <v>2190</v>
      </c>
      <c r="E65" s="16" t="s">
        <v>128</v>
      </c>
      <c r="F65" s="17"/>
      <c r="G65" s="17" t="s">
        <v>2275</v>
      </c>
      <c r="H65" s="18"/>
      <c r="I65" s="9"/>
      <c r="J65" s="19" t="s">
        <v>133</v>
      </c>
      <c r="K65" s="19" t="s">
        <v>204</v>
      </c>
      <c r="L65" s="19" t="s">
        <v>67</v>
      </c>
    </row>
    <row r="66" spans="1:12" s="1" customFormat="1">
      <c r="A66" s="108" t="s">
        <v>2357</v>
      </c>
      <c r="B66" s="90" t="s">
        <v>2411</v>
      </c>
      <c r="C66" s="11" t="s">
        <v>45</v>
      </c>
      <c r="D66" s="9" t="s">
        <v>2191</v>
      </c>
      <c r="E66" s="16" t="s">
        <v>128</v>
      </c>
      <c r="F66" s="17"/>
      <c r="G66" s="17" t="s">
        <v>2358</v>
      </c>
      <c r="H66" s="18"/>
      <c r="I66" s="9"/>
      <c r="J66" s="19" t="s">
        <v>133</v>
      </c>
      <c r="K66" s="19" t="s">
        <v>202</v>
      </c>
      <c r="L66" s="19" t="s">
        <v>67</v>
      </c>
    </row>
    <row r="67" spans="1:12" s="1" customFormat="1">
      <c r="A67" s="108" t="s">
        <v>2359</v>
      </c>
      <c r="B67" s="90" t="s">
        <v>2412</v>
      </c>
      <c r="C67" s="11" t="s">
        <v>45</v>
      </c>
      <c r="D67" s="9" t="s">
        <v>2189</v>
      </c>
      <c r="E67" s="16" t="s">
        <v>128</v>
      </c>
      <c r="F67" s="17"/>
      <c r="G67" s="17" t="s">
        <v>2277</v>
      </c>
      <c r="H67" s="18"/>
      <c r="I67" s="9"/>
      <c r="J67" s="19" t="s">
        <v>133</v>
      </c>
      <c r="K67" s="19" t="s">
        <v>204</v>
      </c>
      <c r="L67" s="19" t="s">
        <v>67</v>
      </c>
    </row>
    <row r="68" spans="1:12" s="1" customFormat="1">
      <c r="A68" s="108" t="s">
        <v>2352</v>
      </c>
      <c r="B68" s="90" t="s">
        <v>2413</v>
      </c>
      <c r="C68" s="95" t="s">
        <v>280</v>
      </c>
      <c r="D68" s="9" t="s">
        <v>2162</v>
      </c>
      <c r="E68" s="16" t="s">
        <v>128</v>
      </c>
      <c r="F68" s="17"/>
      <c r="G68" s="17" t="s">
        <v>2279</v>
      </c>
      <c r="H68" s="18"/>
      <c r="I68" s="9"/>
      <c r="J68" s="19" t="s">
        <v>133</v>
      </c>
      <c r="K68" s="19" t="s">
        <v>202</v>
      </c>
      <c r="L68" s="19" t="s">
        <v>67</v>
      </c>
    </row>
    <row r="69" spans="1:12" s="1" customFormat="1">
      <c r="A69" s="108" t="s">
        <v>2365</v>
      </c>
      <c r="B69" s="90" t="s">
        <v>1188</v>
      </c>
      <c r="C69" s="11" t="s">
        <v>45</v>
      </c>
      <c r="D69" s="9" t="s">
        <v>1771</v>
      </c>
      <c r="E69" s="16" t="s">
        <v>128</v>
      </c>
      <c r="F69" s="17"/>
      <c r="G69" s="17" t="s">
        <v>1781</v>
      </c>
      <c r="H69" s="18"/>
      <c r="I69" s="9"/>
      <c r="J69" s="19" t="s">
        <v>133</v>
      </c>
      <c r="K69" s="19" t="s">
        <v>202</v>
      </c>
      <c r="L69" s="19" t="s">
        <v>67</v>
      </c>
    </row>
    <row r="70" spans="1:12" s="1" customFormat="1">
      <c r="A70" s="110" t="s">
        <v>2376</v>
      </c>
      <c r="B70" s="90" t="s">
        <v>655</v>
      </c>
      <c r="C70" s="11" t="s">
        <v>45</v>
      </c>
      <c r="D70" s="9" t="s">
        <v>147</v>
      </c>
      <c r="E70" s="16" t="s">
        <v>128</v>
      </c>
      <c r="F70" s="17"/>
      <c r="G70" s="17" t="s">
        <v>2247</v>
      </c>
      <c r="H70" s="18"/>
      <c r="I70" s="9"/>
      <c r="J70" s="19" t="s">
        <v>133</v>
      </c>
      <c r="K70" s="19" t="s">
        <v>44</v>
      </c>
      <c r="L70" s="19" t="s">
        <v>67</v>
      </c>
    </row>
    <row r="71" spans="1:12" s="1" customFormat="1">
      <c r="A71" s="104"/>
      <c r="B71" s="89" t="s">
        <v>2415</v>
      </c>
      <c r="C71" s="11" t="s">
        <v>45</v>
      </c>
      <c r="D71" s="9" t="s">
        <v>1018</v>
      </c>
      <c r="E71" s="16" t="s">
        <v>128</v>
      </c>
      <c r="F71" s="17"/>
      <c r="G71" s="17" t="s">
        <v>1127</v>
      </c>
      <c r="H71" s="18"/>
      <c r="I71" s="9"/>
      <c r="J71" s="19" t="s">
        <v>133</v>
      </c>
      <c r="K71" s="19" t="s">
        <v>44</v>
      </c>
      <c r="L71" s="19" t="s">
        <v>67</v>
      </c>
    </row>
    <row r="72" spans="1:12" s="1" customFormat="1">
      <c r="A72" s="104"/>
      <c r="B72" s="89" t="s">
        <v>2416</v>
      </c>
      <c r="C72" s="11" t="s">
        <v>45</v>
      </c>
      <c r="D72" s="9" t="s">
        <v>1019</v>
      </c>
      <c r="E72" s="16" t="s">
        <v>128</v>
      </c>
      <c r="F72" s="17"/>
      <c r="G72" s="17" t="s">
        <v>1128</v>
      </c>
      <c r="H72" s="18"/>
      <c r="I72" s="9"/>
      <c r="J72" s="19" t="s">
        <v>133</v>
      </c>
      <c r="K72" s="19" t="s">
        <v>44</v>
      </c>
      <c r="L72" s="19" t="s">
        <v>67</v>
      </c>
    </row>
    <row r="73" spans="1:12" s="1" customFormat="1">
      <c r="A73" s="104"/>
      <c r="B73" s="89" t="s">
        <v>2417</v>
      </c>
      <c r="C73" s="11" t="s">
        <v>45</v>
      </c>
      <c r="D73" s="9" t="s">
        <v>1020</v>
      </c>
      <c r="E73" s="16" t="s">
        <v>128</v>
      </c>
      <c r="F73" s="17"/>
      <c r="G73" s="17" t="s">
        <v>1129</v>
      </c>
      <c r="H73" s="18"/>
      <c r="I73" s="9"/>
      <c r="J73" s="19" t="s">
        <v>133</v>
      </c>
      <c r="K73" s="19" t="s">
        <v>44</v>
      </c>
      <c r="L73" s="19" t="s">
        <v>67</v>
      </c>
    </row>
    <row r="74" spans="1:12" s="1" customFormat="1">
      <c r="A74" s="104"/>
      <c r="B74" s="89" t="s">
        <v>2418</v>
      </c>
      <c r="C74" s="11" t="s">
        <v>45</v>
      </c>
      <c r="D74" s="9" t="s">
        <v>1021</v>
      </c>
      <c r="E74" s="16" t="s">
        <v>128</v>
      </c>
      <c r="F74" s="17"/>
      <c r="G74" s="17" t="s">
        <v>1130</v>
      </c>
      <c r="H74" s="18"/>
      <c r="I74" s="9"/>
      <c r="J74" s="19" t="s">
        <v>133</v>
      </c>
      <c r="K74" s="19" t="s">
        <v>44</v>
      </c>
      <c r="L74" s="19" t="s">
        <v>67</v>
      </c>
    </row>
    <row r="75" spans="1:12" s="1" customFormat="1">
      <c r="A75" s="104"/>
      <c r="B75" s="89" t="s">
        <v>2419</v>
      </c>
      <c r="C75" s="11" t="s">
        <v>45</v>
      </c>
      <c r="D75" s="9" t="s">
        <v>1042</v>
      </c>
      <c r="E75" s="16" t="s">
        <v>128</v>
      </c>
      <c r="F75" s="17"/>
      <c r="G75" s="17" t="s">
        <v>1131</v>
      </c>
      <c r="H75" s="18"/>
      <c r="I75" s="9"/>
      <c r="J75" s="19" t="s">
        <v>133</v>
      </c>
      <c r="K75" s="19" t="s">
        <v>44</v>
      </c>
      <c r="L75" s="19" t="s">
        <v>67</v>
      </c>
    </row>
    <row r="76" spans="1:12" s="1" customFormat="1">
      <c r="A76" s="108" t="s">
        <v>2366</v>
      </c>
      <c r="B76" s="90" t="s">
        <v>1190</v>
      </c>
      <c r="C76" s="11" t="s">
        <v>45</v>
      </c>
      <c r="D76" s="9" t="s">
        <v>1772</v>
      </c>
      <c r="E76" s="16" t="s">
        <v>128</v>
      </c>
      <c r="F76" s="17"/>
      <c r="G76" s="17" t="s">
        <v>1626</v>
      </c>
      <c r="H76" s="18"/>
      <c r="I76" s="9"/>
      <c r="J76" s="19" t="s">
        <v>133</v>
      </c>
      <c r="K76" s="19" t="s">
        <v>202</v>
      </c>
      <c r="L76" s="19" t="s">
        <v>67</v>
      </c>
    </row>
    <row r="77" spans="1:12" s="1" customFormat="1">
      <c r="A77" s="110" t="s">
        <v>2377</v>
      </c>
      <c r="B77" s="90" t="s">
        <v>656</v>
      </c>
      <c r="C77" s="11" t="s">
        <v>45</v>
      </c>
      <c r="D77" s="9" t="s">
        <v>153</v>
      </c>
      <c r="E77" s="16" t="s">
        <v>128</v>
      </c>
      <c r="F77" s="17"/>
      <c r="G77" s="17" t="s">
        <v>1262</v>
      </c>
      <c r="H77" s="18"/>
      <c r="I77" s="9"/>
      <c r="J77" s="19" t="s">
        <v>133</v>
      </c>
      <c r="K77" s="19" t="s">
        <v>44</v>
      </c>
      <c r="L77" s="19" t="s">
        <v>67</v>
      </c>
    </row>
    <row r="78" spans="1:12" s="1" customFormat="1">
      <c r="A78" s="104"/>
      <c r="B78" s="89" t="s">
        <v>2420</v>
      </c>
      <c r="C78" s="11" t="s">
        <v>45</v>
      </c>
      <c r="D78" s="9" t="s">
        <v>1026</v>
      </c>
      <c r="E78" s="16" t="s">
        <v>128</v>
      </c>
      <c r="F78" s="17"/>
      <c r="G78" s="17" t="s">
        <v>1133</v>
      </c>
      <c r="H78" s="18"/>
      <c r="I78" s="9"/>
      <c r="J78" s="19" t="s">
        <v>133</v>
      </c>
      <c r="K78" s="19" t="s">
        <v>44</v>
      </c>
      <c r="L78" s="19" t="s">
        <v>67</v>
      </c>
    </row>
    <row r="79" spans="1:12" s="1" customFormat="1">
      <c r="A79" s="104"/>
      <c r="B79" s="89" t="s">
        <v>2421</v>
      </c>
      <c r="C79" s="11" t="s">
        <v>45</v>
      </c>
      <c r="D79" s="9" t="s">
        <v>1027</v>
      </c>
      <c r="E79" s="16" t="s">
        <v>128</v>
      </c>
      <c r="F79" s="17"/>
      <c r="G79" s="17" t="s">
        <v>1134</v>
      </c>
      <c r="H79" s="18"/>
      <c r="I79" s="9"/>
      <c r="J79" s="19" t="s">
        <v>133</v>
      </c>
      <c r="K79" s="19" t="s">
        <v>44</v>
      </c>
      <c r="L79" s="19" t="s">
        <v>67</v>
      </c>
    </row>
    <row r="80" spans="1:12" s="1" customFormat="1">
      <c r="A80" s="104"/>
      <c r="B80" s="89" t="s">
        <v>2422</v>
      </c>
      <c r="C80" s="11" t="s">
        <v>45</v>
      </c>
      <c r="D80" s="9" t="s">
        <v>1028</v>
      </c>
      <c r="E80" s="16" t="s">
        <v>128</v>
      </c>
      <c r="F80" s="17"/>
      <c r="G80" s="17" t="s">
        <v>1135</v>
      </c>
      <c r="H80" s="18"/>
      <c r="I80" s="9"/>
      <c r="J80" s="19" t="s">
        <v>133</v>
      </c>
      <c r="K80" s="19" t="s">
        <v>44</v>
      </c>
      <c r="L80" s="19" t="s">
        <v>67</v>
      </c>
    </row>
    <row r="81" spans="1:17" s="1" customFormat="1">
      <c r="A81" s="104"/>
      <c r="B81" s="89" t="s">
        <v>2423</v>
      </c>
      <c r="C81" s="11" t="s">
        <v>45</v>
      </c>
      <c r="D81" s="9" t="s">
        <v>1029</v>
      </c>
      <c r="E81" s="16" t="s">
        <v>128</v>
      </c>
      <c r="F81" s="17"/>
      <c r="G81" s="17" t="s">
        <v>1136</v>
      </c>
      <c r="H81" s="18"/>
      <c r="I81" s="9"/>
      <c r="J81" s="19" t="s">
        <v>133</v>
      </c>
      <c r="K81" s="19" t="s">
        <v>44</v>
      </c>
      <c r="L81" s="19" t="s">
        <v>67</v>
      </c>
    </row>
    <row r="82" spans="1:17" s="1" customFormat="1">
      <c r="A82" s="104"/>
      <c r="B82" s="89" t="s">
        <v>2424</v>
      </c>
      <c r="C82" s="11" t="s">
        <v>45</v>
      </c>
      <c r="D82" s="9" t="s">
        <v>1043</v>
      </c>
      <c r="E82" s="16" t="s">
        <v>128</v>
      </c>
      <c r="F82" s="17"/>
      <c r="G82" s="17" t="s">
        <v>1137</v>
      </c>
      <c r="H82" s="18"/>
      <c r="I82" s="9"/>
      <c r="J82" s="19" t="s">
        <v>133</v>
      </c>
      <c r="K82" s="19" t="s">
        <v>44</v>
      </c>
      <c r="L82" s="19" t="s">
        <v>67</v>
      </c>
    </row>
    <row r="83" spans="1:17" s="1" customFormat="1">
      <c r="A83" s="108" t="s">
        <v>2367</v>
      </c>
      <c r="B83" s="90" t="s">
        <v>159</v>
      </c>
      <c r="C83" s="11" t="s">
        <v>45</v>
      </c>
      <c r="D83" s="9" t="s">
        <v>1774</v>
      </c>
      <c r="E83" s="16" t="s">
        <v>128</v>
      </c>
      <c r="F83" s="17"/>
      <c r="G83" s="17" t="s">
        <v>1867</v>
      </c>
      <c r="H83" s="18"/>
      <c r="I83" s="9"/>
      <c r="J83" s="19" t="s">
        <v>133</v>
      </c>
      <c r="K83" s="19" t="s">
        <v>202</v>
      </c>
      <c r="L83" s="19" t="s">
        <v>67</v>
      </c>
    </row>
    <row r="84" spans="1:17" s="1" customFormat="1">
      <c r="A84" s="108" t="s">
        <v>2382</v>
      </c>
      <c r="B84" s="90" t="s">
        <v>169</v>
      </c>
      <c r="C84" s="11" t="s">
        <v>280</v>
      </c>
      <c r="D84" s="9" t="s">
        <v>839</v>
      </c>
      <c r="E84" s="16" t="s">
        <v>128</v>
      </c>
      <c r="F84" s="17"/>
      <c r="G84" s="17" t="s">
        <v>2425</v>
      </c>
      <c r="H84" s="18"/>
      <c r="I84" s="9"/>
      <c r="J84" s="19" t="s">
        <v>133</v>
      </c>
      <c r="K84" s="19" t="s">
        <v>202</v>
      </c>
      <c r="L84" s="19" t="s">
        <v>67</v>
      </c>
    </row>
    <row r="85" spans="1:17" s="1" customFormat="1">
      <c r="A85" s="108" t="s">
        <v>2383</v>
      </c>
      <c r="B85" s="90" t="s">
        <v>657</v>
      </c>
      <c r="C85" s="11" t="s">
        <v>45</v>
      </c>
      <c r="D85" s="9" t="s">
        <v>658</v>
      </c>
      <c r="E85" s="16" t="s">
        <v>128</v>
      </c>
      <c r="F85" s="17"/>
      <c r="G85" s="17" t="s">
        <v>1089</v>
      </c>
      <c r="H85" s="18"/>
      <c r="I85" s="9"/>
      <c r="J85" s="19" t="s">
        <v>133</v>
      </c>
      <c r="K85" s="19" t="s">
        <v>44</v>
      </c>
      <c r="L85" s="19" t="s">
        <v>67</v>
      </c>
    </row>
    <row r="86" spans="1:17" s="1" customFormat="1">
      <c r="A86" s="108" t="s">
        <v>2384</v>
      </c>
      <c r="B86" s="90" t="s">
        <v>170</v>
      </c>
      <c r="C86" s="11" t="s">
        <v>280</v>
      </c>
      <c r="D86" s="9" t="s">
        <v>842</v>
      </c>
      <c r="E86" s="16" t="s">
        <v>128</v>
      </c>
      <c r="F86" s="17"/>
      <c r="G86" s="17" t="s">
        <v>2426</v>
      </c>
      <c r="H86" s="18"/>
      <c r="I86" s="9"/>
      <c r="J86" s="19" t="s">
        <v>133</v>
      </c>
      <c r="K86" s="19" t="s">
        <v>202</v>
      </c>
      <c r="L86" s="19" t="s">
        <v>67</v>
      </c>
    </row>
    <row r="87" spans="1:17" s="1" customFormat="1" ht="26.4">
      <c r="A87" s="108" t="s">
        <v>2385</v>
      </c>
      <c r="B87" s="90" t="s">
        <v>659</v>
      </c>
      <c r="C87" s="11" t="s">
        <v>45</v>
      </c>
      <c r="D87" s="9" t="s">
        <v>660</v>
      </c>
      <c r="E87" s="16" t="s">
        <v>128</v>
      </c>
      <c r="F87" s="17"/>
      <c r="G87" s="17" t="s">
        <v>1093</v>
      </c>
      <c r="H87" s="18"/>
      <c r="I87" s="9"/>
      <c r="J87" s="19" t="s">
        <v>133</v>
      </c>
      <c r="K87" s="19" t="s">
        <v>44</v>
      </c>
      <c r="L87" s="19" t="s">
        <v>67</v>
      </c>
    </row>
    <row r="88" spans="1:17" s="1" customFormat="1">
      <c r="A88" s="108" t="s">
        <v>2353</v>
      </c>
      <c r="B88" s="90" t="s">
        <v>2326</v>
      </c>
      <c r="C88" s="22" t="s">
        <v>45</v>
      </c>
      <c r="D88" s="9" t="s">
        <v>2017</v>
      </c>
      <c r="E88" s="16" t="s">
        <v>128</v>
      </c>
      <c r="F88" s="17"/>
      <c r="G88" s="17" t="s">
        <v>2329</v>
      </c>
      <c r="H88" s="18"/>
      <c r="I88" s="9"/>
      <c r="J88" s="19" t="s">
        <v>133</v>
      </c>
      <c r="K88" s="19" t="s">
        <v>903</v>
      </c>
      <c r="L88" s="19" t="s">
        <v>67</v>
      </c>
    </row>
    <row r="89" spans="1:17" s="1" customFormat="1">
      <c r="A89" s="108" t="s">
        <v>2394</v>
      </c>
      <c r="B89" s="114" t="s">
        <v>2511</v>
      </c>
      <c r="C89" s="22" t="s">
        <v>280</v>
      </c>
      <c r="D89" s="9" t="s">
        <v>2195</v>
      </c>
      <c r="E89" s="16" t="s">
        <v>128</v>
      </c>
      <c r="F89" s="17"/>
      <c r="G89" s="17" t="s">
        <v>2252</v>
      </c>
      <c r="H89" s="18"/>
      <c r="I89" s="9"/>
      <c r="J89" s="19" t="s">
        <v>133</v>
      </c>
      <c r="K89" s="19" t="s">
        <v>2024</v>
      </c>
      <c r="L89" s="19" t="s">
        <v>67</v>
      </c>
    </row>
    <row r="90" spans="1:17" s="1" customFormat="1">
      <c r="A90" s="108" t="s">
        <v>2393</v>
      </c>
      <c r="B90" s="90" t="s">
        <v>2403</v>
      </c>
      <c r="C90" s="22" t="s">
        <v>45</v>
      </c>
      <c r="D90" s="9" t="s">
        <v>2036</v>
      </c>
      <c r="E90" s="16" t="s">
        <v>128</v>
      </c>
      <c r="F90" s="17"/>
      <c r="G90" s="17" t="s">
        <v>2510</v>
      </c>
      <c r="H90" s="18"/>
      <c r="I90" s="9"/>
      <c r="J90" s="19" t="s">
        <v>133</v>
      </c>
      <c r="K90" s="19" t="s">
        <v>2235</v>
      </c>
      <c r="L90" s="19" t="s">
        <v>67</v>
      </c>
    </row>
    <row r="91" spans="1:17" s="1" customFormat="1">
      <c r="A91" s="108" t="s">
        <v>2392</v>
      </c>
      <c r="B91" s="90" t="s">
        <v>2404</v>
      </c>
      <c r="C91" s="22" t="s">
        <v>45</v>
      </c>
      <c r="D91" s="9" t="s">
        <v>2219</v>
      </c>
      <c r="E91" s="16" t="s">
        <v>128</v>
      </c>
      <c r="F91" s="17"/>
      <c r="G91" s="17" t="s">
        <v>2283</v>
      </c>
      <c r="H91" s="18"/>
      <c r="I91" s="9"/>
      <c r="J91" s="19" t="s">
        <v>133</v>
      </c>
      <c r="K91" s="19" t="s">
        <v>1640</v>
      </c>
      <c r="L91" s="19" t="s">
        <v>67</v>
      </c>
    </row>
    <row r="92" spans="1:17" s="1" customFormat="1">
      <c r="A92" s="108" t="s">
        <v>2395</v>
      </c>
      <c r="B92" s="90" t="s">
        <v>315</v>
      </c>
      <c r="C92" s="11" t="s">
        <v>45</v>
      </c>
      <c r="D92" s="9" t="s">
        <v>112</v>
      </c>
      <c r="E92" s="16" t="s">
        <v>128</v>
      </c>
      <c r="F92" s="17"/>
      <c r="G92" s="17" t="s">
        <v>1145</v>
      </c>
      <c r="H92" s="18"/>
      <c r="I92" s="9"/>
      <c r="J92" s="19" t="s">
        <v>133</v>
      </c>
      <c r="K92" s="19" t="s">
        <v>44</v>
      </c>
      <c r="L92" s="19" t="s">
        <v>67</v>
      </c>
    </row>
    <row r="93" spans="1:17" s="1" customFormat="1">
      <c r="A93" s="68" t="s">
        <v>2522</v>
      </c>
      <c r="B93" s="90" t="s">
        <v>2542</v>
      </c>
      <c r="C93" s="11" t="s">
        <v>280</v>
      </c>
      <c r="D93" s="9" t="s">
        <v>2523</v>
      </c>
      <c r="E93" s="16" t="s">
        <v>128</v>
      </c>
      <c r="F93" s="17"/>
      <c r="G93" s="17" t="s">
        <v>2543</v>
      </c>
      <c r="H93" s="18"/>
      <c r="I93" s="9"/>
      <c r="J93" s="19"/>
      <c r="K93" s="19"/>
      <c r="L93" s="19"/>
    </row>
    <row r="94" spans="1:17" s="1" customFormat="1">
      <c r="A94" s="1" t="s">
        <v>2520</v>
      </c>
      <c r="B94" s="90" t="s">
        <v>2512</v>
      </c>
      <c r="C94" s="22" t="s">
        <v>45</v>
      </c>
      <c r="D94" s="9" t="s">
        <v>2516</v>
      </c>
      <c r="E94" s="16" t="s">
        <v>128</v>
      </c>
      <c r="F94" s="22"/>
      <c r="G94" s="17" t="s">
        <v>2518</v>
      </c>
      <c r="H94" s="98"/>
      <c r="I94" s="88"/>
      <c r="J94" s="19" t="s">
        <v>133</v>
      </c>
      <c r="K94" s="19" t="s">
        <v>903</v>
      </c>
      <c r="L94" s="19" t="s">
        <v>134</v>
      </c>
    </row>
    <row r="95" spans="1:17" s="1" customFormat="1">
      <c r="A95" s="1" t="s">
        <v>2521</v>
      </c>
      <c r="B95" s="90" t="s">
        <v>2513</v>
      </c>
      <c r="C95" s="22" t="s">
        <v>45</v>
      </c>
      <c r="D95" s="9" t="s">
        <v>2517</v>
      </c>
      <c r="E95" s="16" t="s">
        <v>128</v>
      </c>
      <c r="F95" s="22"/>
      <c r="G95" s="17" t="s">
        <v>2519</v>
      </c>
      <c r="H95" s="98"/>
      <c r="I95" s="88"/>
      <c r="J95" s="19" t="s">
        <v>133</v>
      </c>
      <c r="K95" s="19" t="s">
        <v>903</v>
      </c>
      <c r="L95" s="19" t="s">
        <v>134</v>
      </c>
    </row>
    <row r="96" spans="1:17" s="3" customFormat="1">
      <c r="A96" s="105"/>
      <c r="B96" s="23" t="s">
        <v>47</v>
      </c>
      <c r="C96" s="24" t="s">
        <v>46</v>
      </c>
      <c r="D96" s="21" t="s">
        <v>48</v>
      </c>
      <c r="E96" s="44"/>
      <c r="F96" s="23"/>
      <c r="G96" s="44" t="s">
        <v>282</v>
      </c>
      <c r="H96" s="23"/>
      <c r="I96" s="103"/>
      <c r="J96" s="23"/>
      <c r="K96" s="23"/>
      <c r="L96" s="23"/>
      <c r="M96" s="23"/>
      <c r="N96" s="23"/>
      <c r="O96" s="23"/>
      <c r="P96" s="23"/>
      <c r="Q96" s="23"/>
    </row>
    <row r="97" spans="1:17" s="3" customFormat="1">
      <c r="A97" s="105"/>
      <c r="B97" s="23" t="s">
        <v>49</v>
      </c>
      <c r="C97" s="24" t="s">
        <v>43</v>
      </c>
      <c r="D97" s="21" t="s">
        <v>50</v>
      </c>
      <c r="E97" s="44"/>
      <c r="F97" s="23"/>
      <c r="G97" s="44" t="s">
        <v>282</v>
      </c>
      <c r="H97" s="23"/>
      <c r="I97" s="103"/>
      <c r="J97" s="23"/>
      <c r="K97" s="23"/>
      <c r="L97" s="23"/>
      <c r="M97" s="23"/>
      <c r="N97" s="23"/>
      <c r="O97" s="23"/>
      <c r="P97" s="23"/>
      <c r="Q97" s="23"/>
    </row>
    <row r="98" spans="1:17" s="3" customFormat="1">
      <c r="A98" s="105"/>
      <c r="B98" s="23" t="s">
        <v>51</v>
      </c>
      <c r="C98" s="24" t="s">
        <v>46</v>
      </c>
      <c r="D98" s="21" t="s">
        <v>52</v>
      </c>
      <c r="E98" s="44"/>
      <c r="F98" s="23"/>
      <c r="G98" s="44" t="s">
        <v>282</v>
      </c>
      <c r="H98" s="23"/>
      <c r="I98" s="103"/>
      <c r="J98" s="23"/>
      <c r="K98" s="23"/>
      <c r="L98" s="23"/>
      <c r="M98" s="23"/>
      <c r="N98" s="23"/>
      <c r="O98" s="23"/>
      <c r="P98" s="23"/>
      <c r="Q98" s="23"/>
    </row>
  </sheetData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FC72-14AD-43DF-B342-4FE90E5AD3DC}">
  <dimension ref="A1:Q152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8.66406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2427</v>
      </c>
      <c r="D5" s="9" t="s">
        <v>2428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2233</v>
      </c>
      <c r="D9" s="9" t="s">
        <v>2234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6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6"/>
      <c r="I16" s="20"/>
      <c r="J16" s="19" t="s">
        <v>131</v>
      </c>
      <c r="K16" s="19" t="s">
        <v>132</v>
      </c>
      <c r="L16" s="19" t="s">
        <v>677</v>
      </c>
    </row>
    <row r="17" spans="1:13" s="1" customFormat="1">
      <c r="A17" s="15"/>
      <c r="B17" s="22" t="s">
        <v>80</v>
      </c>
      <c r="C17" s="22" t="s">
        <v>94</v>
      </c>
      <c r="D17" s="9" t="s">
        <v>99</v>
      </c>
      <c r="E17" s="16" t="s">
        <v>128</v>
      </c>
      <c r="F17" s="17" t="s">
        <v>80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678</v>
      </c>
    </row>
    <row r="18" spans="1:13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138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123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124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679</v>
      </c>
    </row>
    <row r="21" spans="1:13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318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273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272</v>
      </c>
      <c r="G23" s="17" t="s">
        <v>129</v>
      </c>
      <c r="H23" s="16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95</v>
      </c>
      <c r="G24" s="17" t="s">
        <v>129</v>
      </c>
      <c r="H24" s="16"/>
      <c r="I24" s="35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6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B26" s="22" t="s">
        <v>86</v>
      </c>
      <c r="C26" s="11" t="s">
        <v>43</v>
      </c>
      <c r="D26" s="9" t="s">
        <v>108</v>
      </c>
      <c r="E26" s="16" t="s">
        <v>128</v>
      </c>
      <c r="F26" s="17" t="s">
        <v>86</v>
      </c>
      <c r="G26" s="17" t="s">
        <v>129</v>
      </c>
      <c r="H26" s="18"/>
      <c r="I26" s="19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81</v>
      </c>
      <c r="C27" s="11" t="s">
        <v>43</v>
      </c>
      <c r="D27" s="9" t="s">
        <v>57</v>
      </c>
      <c r="E27" s="16" t="s">
        <v>128</v>
      </c>
      <c r="F27" s="17" t="s">
        <v>81</v>
      </c>
      <c r="G27" s="17" t="s">
        <v>129</v>
      </c>
      <c r="H27" s="16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A28" s="15"/>
      <c r="B28" s="11" t="s">
        <v>58</v>
      </c>
      <c r="C28" s="11" t="s">
        <v>43</v>
      </c>
      <c r="D28" s="9" t="s">
        <v>59</v>
      </c>
      <c r="E28" s="16" t="s">
        <v>128</v>
      </c>
      <c r="F28" s="9" t="s">
        <v>58</v>
      </c>
      <c r="G28" s="17" t="s">
        <v>129</v>
      </c>
      <c r="H28" s="16"/>
      <c r="I28" s="20"/>
      <c r="J28" s="19" t="s">
        <v>131</v>
      </c>
      <c r="K28" s="19" t="s">
        <v>132</v>
      </c>
      <c r="L28" s="19" t="s">
        <v>44</v>
      </c>
    </row>
    <row r="29" spans="1:13" s="1" customFormat="1">
      <c r="A29" s="15"/>
      <c r="B29" s="11" t="s">
        <v>82</v>
      </c>
      <c r="C29" s="11" t="s">
        <v>43</v>
      </c>
      <c r="D29" s="9" t="s">
        <v>105</v>
      </c>
      <c r="E29" s="16" t="s">
        <v>128</v>
      </c>
      <c r="F29" s="17" t="s">
        <v>82</v>
      </c>
      <c r="G29" s="17" t="s">
        <v>129</v>
      </c>
      <c r="H29" s="16"/>
      <c r="I29" s="20"/>
      <c r="J29" s="19" t="s">
        <v>131</v>
      </c>
      <c r="K29" s="19" t="s">
        <v>132</v>
      </c>
      <c r="L29" s="19" t="s">
        <v>44</v>
      </c>
    </row>
    <row r="30" spans="1:13" s="1" customFormat="1">
      <c r="B30" s="22" t="s">
        <v>85</v>
      </c>
      <c r="C30" s="11" t="s">
        <v>43</v>
      </c>
      <c r="D30" s="9" t="s">
        <v>107</v>
      </c>
      <c r="E30" s="16" t="s">
        <v>128</v>
      </c>
      <c r="F30" s="17" t="s">
        <v>85</v>
      </c>
      <c r="G30" s="17" t="s">
        <v>129</v>
      </c>
      <c r="H30" s="16"/>
      <c r="I30" s="19"/>
      <c r="J30" s="19" t="s">
        <v>131</v>
      </c>
      <c r="K30" s="19" t="s">
        <v>132</v>
      </c>
      <c r="L30" s="19" t="s">
        <v>44</v>
      </c>
    </row>
    <row r="31" spans="1:13" s="15" customFormat="1">
      <c r="B31" s="22" t="s">
        <v>87</v>
      </c>
      <c r="C31" s="11" t="s">
        <v>43</v>
      </c>
      <c r="D31" s="9" t="s">
        <v>109</v>
      </c>
      <c r="E31" s="16" t="s">
        <v>128</v>
      </c>
      <c r="F31" s="17" t="s">
        <v>87</v>
      </c>
      <c r="G31" s="17" t="s">
        <v>129</v>
      </c>
      <c r="H31" s="16"/>
      <c r="I31" s="20"/>
      <c r="J31" s="19" t="s">
        <v>131</v>
      </c>
      <c r="K31" s="19" t="s">
        <v>132</v>
      </c>
      <c r="L31" s="19" t="s">
        <v>679</v>
      </c>
      <c r="M31" s="1"/>
    </row>
    <row r="32" spans="1:13" s="1" customFormat="1">
      <c r="A32" s="15"/>
      <c r="B32" s="11" t="s">
        <v>145</v>
      </c>
      <c r="C32" s="11" t="s">
        <v>45</v>
      </c>
      <c r="D32" s="9" t="s">
        <v>146</v>
      </c>
      <c r="E32" s="16" t="s">
        <v>128</v>
      </c>
      <c r="F32" s="17"/>
      <c r="G32" s="17" t="s">
        <v>1289</v>
      </c>
      <c r="H32" s="18"/>
      <c r="I32" s="17"/>
      <c r="J32" s="19" t="s">
        <v>133</v>
      </c>
      <c r="K32" s="19" t="s">
        <v>132</v>
      </c>
      <c r="L32" s="19" t="s">
        <v>134</v>
      </c>
    </row>
    <row r="33" spans="1:12" s="1" customFormat="1">
      <c r="A33" s="15"/>
      <c r="B33" s="11" t="s">
        <v>192</v>
      </c>
      <c r="C33" s="11" t="s">
        <v>45</v>
      </c>
      <c r="D33" s="9" t="s">
        <v>193</v>
      </c>
      <c r="E33" s="16" t="s">
        <v>128</v>
      </c>
      <c r="F33" s="17"/>
      <c r="G33" s="17" t="s">
        <v>2265</v>
      </c>
      <c r="H33" s="18"/>
      <c r="I33" s="17"/>
      <c r="J33" s="19" t="s">
        <v>133</v>
      </c>
      <c r="K33" s="19" t="s">
        <v>132</v>
      </c>
      <c r="L33" s="19" t="s">
        <v>134</v>
      </c>
    </row>
    <row r="34" spans="1:12" s="1" customFormat="1">
      <c r="A34" s="15"/>
      <c r="B34" s="22" t="s">
        <v>255</v>
      </c>
      <c r="C34" s="22" t="s">
        <v>45</v>
      </c>
      <c r="D34" s="9" t="s">
        <v>348</v>
      </c>
      <c r="E34" s="16" t="s">
        <v>128</v>
      </c>
      <c r="F34" s="17"/>
      <c r="G34" s="17" t="s">
        <v>1667</v>
      </c>
      <c r="H34" s="18"/>
      <c r="I34" s="17"/>
      <c r="J34" s="19" t="s">
        <v>133</v>
      </c>
      <c r="K34" s="19" t="s">
        <v>203</v>
      </c>
      <c r="L34" s="19" t="s">
        <v>134</v>
      </c>
    </row>
    <row r="35" spans="1:12" s="1" customFormat="1">
      <c r="A35" s="15"/>
      <c r="B35" s="11" t="s">
        <v>207</v>
      </c>
      <c r="C35" s="11" t="s">
        <v>45</v>
      </c>
      <c r="D35" s="9" t="s">
        <v>759</v>
      </c>
      <c r="E35" s="16" t="s">
        <v>128</v>
      </c>
      <c r="F35" s="72"/>
      <c r="G35" s="17" t="s">
        <v>1200</v>
      </c>
      <c r="H35" s="18"/>
      <c r="I35" s="17"/>
      <c r="J35" s="19" t="s">
        <v>133</v>
      </c>
      <c r="K35" s="19" t="s">
        <v>204</v>
      </c>
      <c r="L35" s="19" t="s">
        <v>134</v>
      </c>
    </row>
    <row r="36" spans="1:12" s="1" customFormat="1">
      <c r="A36" s="15"/>
      <c r="B36" s="11" t="s">
        <v>208</v>
      </c>
      <c r="C36" s="11" t="s">
        <v>45</v>
      </c>
      <c r="D36" s="9" t="s">
        <v>160</v>
      </c>
      <c r="E36" s="16" t="s">
        <v>128</v>
      </c>
      <c r="F36" s="72"/>
      <c r="G36" s="17" t="s">
        <v>1201</v>
      </c>
      <c r="H36" s="18"/>
      <c r="I36" s="17"/>
      <c r="J36" s="19" t="s">
        <v>133</v>
      </c>
      <c r="K36" s="19" t="s">
        <v>204</v>
      </c>
      <c r="L36" s="19" t="s">
        <v>134</v>
      </c>
    </row>
    <row r="37" spans="1:12" s="1" customFormat="1">
      <c r="A37" s="15"/>
      <c r="B37" s="11" t="s">
        <v>210</v>
      </c>
      <c r="C37" s="11" t="s">
        <v>45</v>
      </c>
      <c r="D37" s="9" t="s">
        <v>1056</v>
      </c>
      <c r="E37" s="16" t="s">
        <v>128</v>
      </c>
      <c r="F37" s="72"/>
      <c r="G37" s="17" t="s">
        <v>224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209</v>
      </c>
      <c r="C38" s="11" t="s">
        <v>45</v>
      </c>
      <c r="D38" s="9" t="s">
        <v>1055</v>
      </c>
      <c r="E38" s="16" t="s">
        <v>128</v>
      </c>
      <c r="F38" s="72"/>
      <c r="G38" s="17" t="s">
        <v>223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211</v>
      </c>
      <c r="C39" s="11" t="s">
        <v>45</v>
      </c>
      <c r="D39" s="9" t="s">
        <v>163</v>
      </c>
      <c r="E39" s="16" t="s">
        <v>128</v>
      </c>
      <c r="F39" s="72"/>
      <c r="G39" s="17" t="s">
        <v>225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212</v>
      </c>
      <c r="C40" s="11" t="s">
        <v>45</v>
      </c>
      <c r="D40" s="9" t="s">
        <v>164</v>
      </c>
      <c r="E40" s="16" t="s">
        <v>128</v>
      </c>
      <c r="F40" s="72"/>
      <c r="G40" s="17" t="s">
        <v>226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213</v>
      </c>
      <c r="C41" s="11" t="s">
        <v>45</v>
      </c>
      <c r="D41" s="9" t="s">
        <v>165</v>
      </c>
      <c r="E41" s="16" t="s">
        <v>128</v>
      </c>
      <c r="F41" s="72"/>
      <c r="G41" s="17" t="s">
        <v>1114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214</v>
      </c>
      <c r="C42" s="11" t="s">
        <v>45</v>
      </c>
      <c r="D42" s="9" t="s">
        <v>166</v>
      </c>
      <c r="E42" s="16" t="s">
        <v>128</v>
      </c>
      <c r="F42" s="72"/>
      <c r="G42" s="17" t="s">
        <v>1115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217</v>
      </c>
      <c r="C43" s="11" t="s">
        <v>45</v>
      </c>
      <c r="D43" s="9" t="s">
        <v>171</v>
      </c>
      <c r="E43" s="16" t="s">
        <v>128</v>
      </c>
      <c r="F43" s="72"/>
      <c r="G43" s="17" t="s">
        <v>1116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218</v>
      </c>
      <c r="C44" s="11" t="s">
        <v>45</v>
      </c>
      <c r="D44" s="9" t="s">
        <v>172</v>
      </c>
      <c r="E44" s="16" t="s">
        <v>128</v>
      </c>
      <c r="F44" s="72"/>
      <c r="G44" s="17" t="s">
        <v>1117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219</v>
      </c>
      <c r="C45" s="11" t="s">
        <v>45</v>
      </c>
      <c r="D45" s="9" t="s">
        <v>173</v>
      </c>
      <c r="E45" s="16" t="s">
        <v>128</v>
      </c>
      <c r="F45" s="72"/>
      <c r="G45" s="17" t="s">
        <v>1118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220</v>
      </c>
      <c r="C46" s="11" t="s">
        <v>45</v>
      </c>
      <c r="D46" s="9" t="s">
        <v>174</v>
      </c>
      <c r="E46" s="16" t="s">
        <v>128</v>
      </c>
      <c r="F46" s="72"/>
      <c r="G46" s="17" t="s">
        <v>1119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215</v>
      </c>
      <c r="C47" s="11" t="s">
        <v>45</v>
      </c>
      <c r="D47" s="9" t="s">
        <v>1260</v>
      </c>
      <c r="E47" s="16" t="s">
        <v>128</v>
      </c>
      <c r="F47" s="72"/>
      <c r="G47" s="17" t="s">
        <v>227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216</v>
      </c>
      <c r="C48" s="11" t="s">
        <v>45</v>
      </c>
      <c r="D48" s="9" t="s">
        <v>1261</v>
      </c>
      <c r="E48" s="16" t="s">
        <v>128</v>
      </c>
      <c r="F48" s="72"/>
      <c r="G48" s="17" t="s">
        <v>228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316</v>
      </c>
      <c r="C49" s="11" t="s">
        <v>45</v>
      </c>
      <c r="D49" s="9" t="s">
        <v>167</v>
      </c>
      <c r="E49" s="16" t="s">
        <v>128</v>
      </c>
      <c r="F49" s="72"/>
      <c r="G49" s="17" t="s">
        <v>772</v>
      </c>
      <c r="H49" s="18"/>
      <c r="I49" s="17"/>
      <c r="J49" s="19" t="s">
        <v>133</v>
      </c>
      <c r="K49" s="19" t="s">
        <v>202</v>
      </c>
      <c r="L49" s="19" t="s">
        <v>67</v>
      </c>
    </row>
    <row r="50" spans="1:12" s="1" customFormat="1">
      <c r="A50" s="15"/>
      <c r="B50" s="11" t="s">
        <v>809</v>
      </c>
      <c r="C50" s="11" t="s">
        <v>45</v>
      </c>
      <c r="D50" s="9" t="s">
        <v>175</v>
      </c>
      <c r="E50" s="16" t="s">
        <v>128</v>
      </c>
      <c r="F50" s="72"/>
      <c r="G50" s="17" t="s">
        <v>1120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317</v>
      </c>
      <c r="C51" s="11" t="s">
        <v>45</v>
      </c>
      <c r="D51" s="9" t="s">
        <v>168</v>
      </c>
      <c r="E51" s="16" t="s">
        <v>128</v>
      </c>
      <c r="F51" s="72"/>
      <c r="G51" s="17" t="s">
        <v>778</v>
      </c>
      <c r="H51" s="18"/>
      <c r="I51" s="17"/>
      <c r="J51" s="19" t="s">
        <v>133</v>
      </c>
      <c r="K51" s="19" t="s">
        <v>202</v>
      </c>
      <c r="L51" s="19" t="s">
        <v>67</v>
      </c>
    </row>
    <row r="52" spans="1:12" s="1" customFormat="1">
      <c r="A52" s="15"/>
      <c r="B52" s="11" t="s">
        <v>810</v>
      </c>
      <c r="C52" s="11" t="s">
        <v>45</v>
      </c>
      <c r="D52" s="9" t="s">
        <v>176</v>
      </c>
      <c r="E52" s="16" t="s">
        <v>128</v>
      </c>
      <c r="F52" s="72"/>
      <c r="G52" s="17" t="s">
        <v>1121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1213</v>
      </c>
      <c r="C53" s="11" t="s">
        <v>45</v>
      </c>
      <c r="D53" s="9" t="s">
        <v>178</v>
      </c>
      <c r="E53" s="16" t="s">
        <v>128</v>
      </c>
      <c r="F53" s="72"/>
      <c r="G53" s="17" t="s">
        <v>2266</v>
      </c>
      <c r="H53" s="18"/>
      <c r="I53" s="17"/>
      <c r="J53" s="19" t="s">
        <v>133</v>
      </c>
      <c r="K53" s="19" t="s">
        <v>202</v>
      </c>
      <c r="L53" s="19" t="s">
        <v>67</v>
      </c>
    </row>
    <row r="54" spans="1:12" s="1" customFormat="1">
      <c r="A54" s="15"/>
      <c r="B54" s="11" t="s">
        <v>221</v>
      </c>
      <c r="C54" s="11" t="s">
        <v>45</v>
      </c>
      <c r="D54" s="9" t="s">
        <v>177</v>
      </c>
      <c r="E54" s="16" t="s">
        <v>128</v>
      </c>
      <c r="F54" s="72"/>
      <c r="G54" s="17" t="s">
        <v>1122</v>
      </c>
      <c r="H54" s="18"/>
      <c r="I54" s="17"/>
      <c r="J54" s="19" t="s">
        <v>133</v>
      </c>
      <c r="K54" s="19" t="s">
        <v>204</v>
      </c>
      <c r="L54" s="19" t="s">
        <v>67</v>
      </c>
    </row>
    <row r="55" spans="1:12" s="1" customFormat="1">
      <c r="A55" s="15"/>
      <c r="B55" s="11" t="s">
        <v>1212</v>
      </c>
      <c r="C55" s="11" t="s">
        <v>45</v>
      </c>
      <c r="D55" s="9" t="s">
        <v>180</v>
      </c>
      <c r="E55" s="16" t="s">
        <v>128</v>
      </c>
      <c r="F55" s="72"/>
      <c r="G55" s="17" t="s">
        <v>2267</v>
      </c>
      <c r="H55" s="18"/>
      <c r="I55" s="17"/>
      <c r="J55" s="19" t="s">
        <v>133</v>
      </c>
      <c r="K55" s="19" t="s">
        <v>202</v>
      </c>
      <c r="L55" s="19" t="s">
        <v>67</v>
      </c>
    </row>
    <row r="56" spans="1:12" s="1" customFormat="1">
      <c r="A56" s="15"/>
      <c r="B56" s="11" t="s">
        <v>222</v>
      </c>
      <c r="C56" s="11" t="s">
        <v>45</v>
      </c>
      <c r="D56" s="9" t="s">
        <v>179</v>
      </c>
      <c r="E56" s="16" t="s">
        <v>128</v>
      </c>
      <c r="F56" s="72"/>
      <c r="G56" s="17" t="s">
        <v>1123</v>
      </c>
      <c r="H56" s="18"/>
      <c r="I56" s="17"/>
      <c r="J56" s="19" t="s">
        <v>133</v>
      </c>
      <c r="K56" s="19" t="s">
        <v>204</v>
      </c>
      <c r="L56" s="19" t="s">
        <v>67</v>
      </c>
    </row>
    <row r="57" spans="1:12" s="1" customFormat="1">
      <c r="A57" s="15"/>
      <c r="B57" s="11" t="s">
        <v>2167</v>
      </c>
      <c r="C57" s="11" t="s">
        <v>45</v>
      </c>
      <c r="D57" s="9" t="s">
        <v>2165</v>
      </c>
      <c r="E57" s="16" t="s">
        <v>128</v>
      </c>
      <c r="F57" s="72"/>
      <c r="G57" s="17" t="s">
        <v>2268</v>
      </c>
      <c r="H57" s="18"/>
      <c r="I57" s="17"/>
      <c r="J57" s="19" t="s">
        <v>133</v>
      </c>
      <c r="K57" s="19" t="s">
        <v>903</v>
      </c>
      <c r="L57" s="19" t="s">
        <v>134</v>
      </c>
    </row>
    <row r="58" spans="1:12" s="1" customFormat="1">
      <c r="A58" s="15"/>
      <c r="B58" s="11" t="s">
        <v>2168</v>
      </c>
      <c r="C58" s="11" t="s">
        <v>45</v>
      </c>
      <c r="D58" s="9" t="s">
        <v>2166</v>
      </c>
      <c r="E58" s="16" t="s">
        <v>128</v>
      </c>
      <c r="F58" s="72"/>
      <c r="G58" s="17" t="s">
        <v>2269</v>
      </c>
      <c r="H58" s="18"/>
      <c r="I58" s="17"/>
      <c r="J58" s="19" t="s">
        <v>133</v>
      </c>
      <c r="K58" s="19" t="s">
        <v>903</v>
      </c>
      <c r="L58" s="19" t="s">
        <v>134</v>
      </c>
    </row>
    <row r="59" spans="1:12" s="1" customFormat="1">
      <c r="A59" s="15"/>
      <c r="B59" s="11" t="s">
        <v>2179</v>
      </c>
      <c r="C59" s="11" t="s">
        <v>45</v>
      </c>
      <c r="D59" s="9" t="s">
        <v>2011</v>
      </c>
      <c r="E59" s="16" t="s">
        <v>128</v>
      </c>
      <c r="F59" s="72"/>
      <c r="G59" s="17" t="s">
        <v>2270</v>
      </c>
      <c r="H59" s="18"/>
      <c r="I59" s="17"/>
      <c r="J59" s="19" t="s">
        <v>133</v>
      </c>
      <c r="K59" s="19" t="s">
        <v>202</v>
      </c>
      <c r="L59" s="19" t="s">
        <v>67</v>
      </c>
    </row>
    <row r="60" spans="1:12" s="1" customFormat="1">
      <c r="A60" s="15"/>
      <c r="B60" s="11" t="s">
        <v>2172</v>
      </c>
      <c r="C60" s="11" t="s">
        <v>45</v>
      </c>
      <c r="D60" s="9" t="s">
        <v>2173</v>
      </c>
      <c r="E60" s="16" t="s">
        <v>128</v>
      </c>
      <c r="F60" s="72"/>
      <c r="G60" s="17" t="s">
        <v>2271</v>
      </c>
      <c r="H60" s="18"/>
      <c r="I60" s="17"/>
      <c r="J60" s="19" t="s">
        <v>133</v>
      </c>
      <c r="K60" s="19" t="s">
        <v>1640</v>
      </c>
      <c r="L60" s="19" t="s">
        <v>67</v>
      </c>
    </row>
    <row r="61" spans="1:12" s="1" customFormat="1">
      <c r="A61" s="15"/>
      <c r="B61" s="11" t="s">
        <v>2174</v>
      </c>
      <c r="C61" s="11" t="s">
        <v>45</v>
      </c>
      <c r="D61" s="9" t="s">
        <v>2175</v>
      </c>
      <c r="E61" s="16" t="s">
        <v>128</v>
      </c>
      <c r="F61" s="72"/>
      <c r="G61" s="17" t="s">
        <v>2272</v>
      </c>
      <c r="H61" s="18"/>
      <c r="I61" s="17"/>
      <c r="J61" s="19" t="s">
        <v>133</v>
      </c>
      <c r="K61" s="19" t="s">
        <v>1640</v>
      </c>
      <c r="L61" s="19" t="s">
        <v>67</v>
      </c>
    </row>
    <row r="62" spans="1:12" s="1" customFormat="1">
      <c r="A62" s="15"/>
      <c r="B62" s="11" t="s">
        <v>2181</v>
      </c>
      <c r="C62" s="11" t="s">
        <v>45</v>
      </c>
      <c r="D62" s="9" t="s">
        <v>2182</v>
      </c>
      <c r="E62" s="16" t="s">
        <v>128</v>
      </c>
      <c r="F62" s="72"/>
      <c r="G62" s="17" t="s">
        <v>2273</v>
      </c>
      <c r="H62" s="18"/>
      <c r="I62" s="17"/>
      <c r="J62" s="19" t="s">
        <v>133</v>
      </c>
      <c r="K62" s="19" t="s">
        <v>1640</v>
      </c>
      <c r="L62" s="19" t="s">
        <v>67</v>
      </c>
    </row>
    <row r="63" spans="1:12" s="1" customFormat="1">
      <c r="A63" s="15"/>
      <c r="B63" s="11" t="s">
        <v>2183</v>
      </c>
      <c r="C63" s="11" t="s">
        <v>45</v>
      </c>
      <c r="D63" s="9" t="s">
        <v>2184</v>
      </c>
      <c r="E63" s="16" t="s">
        <v>128</v>
      </c>
      <c r="F63" s="72"/>
      <c r="G63" s="17" t="s">
        <v>2274</v>
      </c>
      <c r="H63" s="18"/>
      <c r="I63" s="17"/>
      <c r="J63" s="19" t="s">
        <v>133</v>
      </c>
      <c r="K63" s="19" t="s">
        <v>1640</v>
      </c>
      <c r="L63" s="19" t="s">
        <v>67</v>
      </c>
    </row>
    <row r="64" spans="1:12" s="1" customFormat="1">
      <c r="A64" s="15"/>
      <c r="B64" s="11" t="s">
        <v>2185</v>
      </c>
      <c r="C64" s="11" t="s">
        <v>45</v>
      </c>
      <c r="D64" s="9" t="s">
        <v>2190</v>
      </c>
      <c r="E64" s="16" t="s">
        <v>128</v>
      </c>
      <c r="F64" s="72"/>
      <c r="G64" s="17" t="s">
        <v>2275</v>
      </c>
      <c r="H64" s="18"/>
      <c r="I64" s="17"/>
      <c r="J64" s="19" t="s">
        <v>133</v>
      </c>
      <c r="K64" s="19" t="s">
        <v>204</v>
      </c>
      <c r="L64" s="19" t="s">
        <v>67</v>
      </c>
    </row>
    <row r="65" spans="1:12" s="1" customFormat="1">
      <c r="A65" s="15"/>
      <c r="B65" s="11" t="s">
        <v>2186</v>
      </c>
      <c r="C65" s="11" t="s">
        <v>45</v>
      </c>
      <c r="D65" s="9" t="s">
        <v>2191</v>
      </c>
      <c r="E65" s="16" t="s">
        <v>128</v>
      </c>
      <c r="F65" s="72"/>
      <c r="G65" s="17" t="s">
        <v>2276</v>
      </c>
      <c r="H65" s="18"/>
      <c r="I65" s="17"/>
      <c r="J65" s="19" t="s">
        <v>133</v>
      </c>
      <c r="K65" s="19" t="s">
        <v>202</v>
      </c>
      <c r="L65" s="19" t="s">
        <v>67</v>
      </c>
    </row>
    <row r="66" spans="1:12" s="1" customFormat="1">
      <c r="A66" s="15"/>
      <c r="B66" s="11" t="s">
        <v>2245</v>
      </c>
      <c r="C66" s="11" t="s">
        <v>45</v>
      </c>
      <c r="D66" s="9" t="s">
        <v>2189</v>
      </c>
      <c r="E66" s="16" t="s">
        <v>128</v>
      </c>
      <c r="F66" s="72"/>
      <c r="G66" s="17" t="s">
        <v>2277</v>
      </c>
      <c r="H66" s="18"/>
      <c r="I66" s="17"/>
      <c r="J66" s="19" t="s">
        <v>133</v>
      </c>
      <c r="K66" s="19" t="s">
        <v>204</v>
      </c>
      <c r="L66" s="19" t="s">
        <v>67</v>
      </c>
    </row>
    <row r="67" spans="1:12" s="1" customFormat="1">
      <c r="A67" s="15"/>
      <c r="B67" s="11" t="s">
        <v>2159</v>
      </c>
      <c r="C67" s="95" t="s">
        <v>280</v>
      </c>
      <c r="D67" s="9" t="s">
        <v>2161</v>
      </c>
      <c r="E67" s="16" t="s">
        <v>128</v>
      </c>
      <c r="F67" s="72"/>
      <c r="G67" s="17" t="s">
        <v>2278</v>
      </c>
      <c r="H67" s="18"/>
      <c r="I67" s="17"/>
      <c r="J67" s="19" t="s">
        <v>133</v>
      </c>
      <c r="K67" s="19" t="s">
        <v>203</v>
      </c>
      <c r="L67" s="19" t="s">
        <v>67</v>
      </c>
    </row>
    <row r="68" spans="1:12" s="1" customFormat="1">
      <c r="A68" s="15"/>
      <c r="B68" s="11" t="s">
        <v>2160</v>
      </c>
      <c r="C68" s="95" t="s">
        <v>280</v>
      </c>
      <c r="D68" s="9" t="s">
        <v>2162</v>
      </c>
      <c r="E68" s="16" t="s">
        <v>128</v>
      </c>
      <c r="F68" s="72"/>
      <c r="G68" s="17" t="s">
        <v>2279</v>
      </c>
      <c r="H68" s="18"/>
      <c r="I68" s="17"/>
      <c r="J68" s="19" t="s">
        <v>133</v>
      </c>
      <c r="K68" s="19" t="s">
        <v>202</v>
      </c>
      <c r="L68" s="19" t="s">
        <v>67</v>
      </c>
    </row>
    <row r="69" spans="1:12" s="1" customFormat="1">
      <c r="A69" s="15"/>
      <c r="B69" s="11" t="s">
        <v>205</v>
      </c>
      <c r="C69" s="11" t="s">
        <v>45</v>
      </c>
      <c r="D69" s="9" t="s">
        <v>147</v>
      </c>
      <c r="E69" s="16" t="s">
        <v>128</v>
      </c>
      <c r="F69" s="72"/>
      <c r="G69" s="17" t="s">
        <v>2247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206</v>
      </c>
      <c r="C70" s="11" t="s">
        <v>280</v>
      </c>
      <c r="D70" s="9" t="s">
        <v>820</v>
      </c>
      <c r="E70" s="16" t="s">
        <v>128</v>
      </c>
      <c r="F70" s="72"/>
      <c r="G70" s="17" t="s">
        <v>1081</v>
      </c>
      <c r="H70" s="18"/>
      <c r="I70" s="17"/>
      <c r="J70" s="19" t="s">
        <v>133</v>
      </c>
      <c r="K70" s="19" t="s">
        <v>202</v>
      </c>
      <c r="L70" s="19" t="s">
        <v>67</v>
      </c>
    </row>
    <row r="71" spans="1:12" s="1" customFormat="1">
      <c r="A71" s="15"/>
      <c r="B71" s="11" t="s">
        <v>1022</v>
      </c>
      <c r="C71" s="11" t="s">
        <v>45</v>
      </c>
      <c r="D71" s="9" t="s">
        <v>1018</v>
      </c>
      <c r="E71" s="16" t="s">
        <v>128</v>
      </c>
      <c r="F71" s="72"/>
      <c r="G71" s="17" t="s">
        <v>1127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1014</v>
      </c>
      <c r="C72" s="11" t="s">
        <v>45</v>
      </c>
      <c r="D72" s="9" t="s">
        <v>1019</v>
      </c>
      <c r="E72" s="16" t="s">
        <v>128</v>
      </c>
      <c r="F72" s="72"/>
      <c r="G72" s="17" t="s">
        <v>1128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1015</v>
      </c>
      <c r="C73" s="11" t="s">
        <v>45</v>
      </c>
      <c r="D73" s="9" t="s">
        <v>1020</v>
      </c>
      <c r="E73" s="16" t="s">
        <v>128</v>
      </c>
      <c r="F73" s="72"/>
      <c r="G73" s="17" t="s">
        <v>1129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1016</v>
      </c>
      <c r="C74" s="11" t="s">
        <v>45</v>
      </c>
      <c r="D74" s="9" t="s">
        <v>1021</v>
      </c>
      <c r="E74" s="16" t="s">
        <v>128</v>
      </c>
      <c r="F74" s="72"/>
      <c r="G74" s="17" t="s">
        <v>1130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1017</v>
      </c>
      <c r="C75" s="11" t="s">
        <v>45</v>
      </c>
      <c r="D75" s="9" t="s">
        <v>1042</v>
      </c>
      <c r="E75" s="16" t="s">
        <v>128</v>
      </c>
      <c r="F75" s="72"/>
      <c r="G75" s="17" t="s">
        <v>1131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1049</v>
      </c>
      <c r="C76" s="11" t="s">
        <v>45</v>
      </c>
      <c r="D76" s="9" t="s">
        <v>153</v>
      </c>
      <c r="E76" s="16" t="s">
        <v>128</v>
      </c>
      <c r="F76" s="72"/>
      <c r="G76" s="17" t="s">
        <v>1262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823</v>
      </c>
      <c r="C77" s="11" t="s">
        <v>280</v>
      </c>
      <c r="D77" s="9" t="s">
        <v>1474</v>
      </c>
      <c r="E77" s="16" t="s">
        <v>128</v>
      </c>
      <c r="F77" s="72"/>
      <c r="G77" s="17" t="s">
        <v>1082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1030</v>
      </c>
      <c r="C78" s="11" t="s">
        <v>45</v>
      </c>
      <c r="D78" s="9" t="s">
        <v>1026</v>
      </c>
      <c r="E78" s="16" t="s">
        <v>128</v>
      </c>
      <c r="F78" s="72"/>
      <c r="G78" s="17" t="s">
        <v>1133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1023</v>
      </c>
      <c r="C79" s="11" t="s">
        <v>45</v>
      </c>
      <c r="D79" s="9" t="s">
        <v>1027</v>
      </c>
      <c r="E79" s="16" t="s">
        <v>128</v>
      </c>
      <c r="F79" s="72"/>
      <c r="G79" s="17" t="s">
        <v>1134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1024</v>
      </c>
      <c r="C80" s="11" t="s">
        <v>45</v>
      </c>
      <c r="D80" s="9" t="s">
        <v>1028</v>
      </c>
      <c r="E80" s="16" t="s">
        <v>128</v>
      </c>
      <c r="F80" s="72"/>
      <c r="G80" s="17" t="s">
        <v>1135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1032</v>
      </c>
      <c r="C81" s="11" t="s">
        <v>45</v>
      </c>
      <c r="D81" s="9" t="s">
        <v>1029</v>
      </c>
      <c r="E81" s="16" t="s">
        <v>128</v>
      </c>
      <c r="F81" s="72"/>
      <c r="G81" s="17" t="s">
        <v>1136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1025</v>
      </c>
      <c r="C82" s="11" t="s">
        <v>45</v>
      </c>
      <c r="D82" s="9" t="s">
        <v>1043</v>
      </c>
      <c r="E82" s="16" t="s">
        <v>128</v>
      </c>
      <c r="F82" s="72"/>
      <c r="G82" s="17" t="s">
        <v>1137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1084</v>
      </c>
      <c r="C83" s="11" t="s">
        <v>280</v>
      </c>
      <c r="D83" s="9" t="s">
        <v>1086</v>
      </c>
      <c r="E83" s="16" t="s">
        <v>128</v>
      </c>
      <c r="F83" s="72"/>
      <c r="G83" s="17" t="s">
        <v>2248</v>
      </c>
      <c r="H83" s="18"/>
      <c r="I83" s="17"/>
      <c r="J83" s="19" t="s">
        <v>133</v>
      </c>
      <c r="K83" s="19" t="s">
        <v>202</v>
      </c>
      <c r="L83" s="19" t="s">
        <v>67</v>
      </c>
    </row>
    <row r="84" spans="1:12" s="1" customFormat="1">
      <c r="A84" s="15"/>
      <c r="B84" s="11" t="s">
        <v>1083</v>
      </c>
      <c r="C84" s="11" t="s">
        <v>280</v>
      </c>
      <c r="D84" s="9" t="s">
        <v>841</v>
      </c>
      <c r="E84" s="16" t="s">
        <v>128</v>
      </c>
      <c r="F84" s="72"/>
      <c r="G84" s="17" t="s">
        <v>1866</v>
      </c>
      <c r="H84" s="18"/>
      <c r="I84" s="17"/>
      <c r="J84" s="19" t="s">
        <v>133</v>
      </c>
      <c r="K84" s="19" t="s">
        <v>202</v>
      </c>
      <c r="L84" s="19" t="s">
        <v>67</v>
      </c>
    </row>
    <row r="85" spans="1:12" s="1" customFormat="1">
      <c r="A85" s="15"/>
      <c r="B85" s="11" t="s">
        <v>1033</v>
      </c>
      <c r="C85" s="11" t="s">
        <v>45</v>
      </c>
      <c r="D85" s="9" t="s">
        <v>1038</v>
      </c>
      <c r="E85" s="16" t="s">
        <v>128</v>
      </c>
      <c r="F85" s="72"/>
      <c r="G85" s="17" t="s">
        <v>1138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1034</v>
      </c>
      <c r="C86" s="11" t="s">
        <v>45</v>
      </c>
      <c r="D86" s="9" t="s">
        <v>1039</v>
      </c>
      <c r="E86" s="16" t="s">
        <v>128</v>
      </c>
      <c r="F86" s="72"/>
      <c r="G86" s="17" t="s">
        <v>1139</v>
      </c>
      <c r="H86" s="18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1035</v>
      </c>
      <c r="C87" s="11" t="s">
        <v>45</v>
      </c>
      <c r="D87" s="9" t="s">
        <v>1040</v>
      </c>
      <c r="E87" s="16" t="s">
        <v>128</v>
      </c>
      <c r="F87" s="72"/>
      <c r="G87" s="17" t="s">
        <v>1140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1036</v>
      </c>
      <c r="C88" s="11" t="s">
        <v>45</v>
      </c>
      <c r="D88" s="9" t="s">
        <v>1041</v>
      </c>
      <c r="E88" s="16" t="s">
        <v>128</v>
      </c>
      <c r="F88" s="72"/>
      <c r="G88" s="17" t="s">
        <v>1141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1037</v>
      </c>
      <c r="C89" s="11" t="s">
        <v>45</v>
      </c>
      <c r="D89" s="9" t="s">
        <v>1044</v>
      </c>
      <c r="E89" s="16" t="s">
        <v>128</v>
      </c>
      <c r="F89" s="72"/>
      <c r="G89" s="17" t="s">
        <v>1142</v>
      </c>
      <c r="H89" s="18"/>
      <c r="I89" s="17"/>
      <c r="J89" s="19" t="s">
        <v>133</v>
      </c>
      <c r="K89" s="19" t="s">
        <v>44</v>
      </c>
      <c r="L89" s="19" t="s">
        <v>67</v>
      </c>
    </row>
    <row r="90" spans="1:12" s="1" customFormat="1">
      <c r="A90" s="15"/>
      <c r="B90" s="11" t="s">
        <v>816</v>
      </c>
      <c r="C90" s="11" t="s">
        <v>280</v>
      </c>
      <c r="D90" s="9" t="s">
        <v>839</v>
      </c>
      <c r="E90" s="16" t="s">
        <v>128</v>
      </c>
      <c r="F90" s="72"/>
      <c r="G90" s="17" t="s">
        <v>1088</v>
      </c>
      <c r="H90" s="18"/>
      <c r="I90" s="17"/>
      <c r="J90" s="19" t="s">
        <v>133</v>
      </c>
      <c r="K90" s="19" t="s">
        <v>202</v>
      </c>
      <c r="L90" s="19" t="s">
        <v>67</v>
      </c>
    </row>
    <row r="91" spans="1:12" s="1" customFormat="1">
      <c r="A91" s="15"/>
      <c r="B91" s="11" t="s">
        <v>817</v>
      </c>
      <c r="C91" s="11" t="s">
        <v>45</v>
      </c>
      <c r="D91" s="9" t="s">
        <v>658</v>
      </c>
      <c r="E91" s="16" t="s">
        <v>128</v>
      </c>
      <c r="F91" s="72"/>
      <c r="G91" s="17" t="s">
        <v>1089</v>
      </c>
      <c r="H91" s="18"/>
      <c r="I91" s="17"/>
      <c r="J91" s="19" t="s">
        <v>133</v>
      </c>
      <c r="K91" s="19" t="s">
        <v>44</v>
      </c>
      <c r="L91" s="19" t="s">
        <v>67</v>
      </c>
    </row>
    <row r="92" spans="1:12" s="1" customFormat="1">
      <c r="A92" s="15"/>
      <c r="B92" s="11" t="s">
        <v>818</v>
      </c>
      <c r="C92" s="11" t="s">
        <v>280</v>
      </c>
      <c r="D92" s="9" t="s">
        <v>842</v>
      </c>
      <c r="E92" s="16" t="s">
        <v>128</v>
      </c>
      <c r="F92" s="72"/>
      <c r="G92" s="17" t="s">
        <v>1091</v>
      </c>
      <c r="H92" s="18"/>
      <c r="I92" s="17"/>
      <c r="J92" s="19" t="s">
        <v>133</v>
      </c>
      <c r="K92" s="19" t="s">
        <v>202</v>
      </c>
      <c r="L92" s="19" t="s">
        <v>67</v>
      </c>
    </row>
    <row r="93" spans="1:12" s="1" customFormat="1">
      <c r="A93" s="15"/>
      <c r="B93" s="11" t="s">
        <v>819</v>
      </c>
      <c r="C93" s="11" t="s">
        <v>45</v>
      </c>
      <c r="D93" s="9" t="s">
        <v>660</v>
      </c>
      <c r="E93" s="16" t="s">
        <v>128</v>
      </c>
      <c r="F93" s="72"/>
      <c r="G93" s="17" t="s">
        <v>1092</v>
      </c>
      <c r="H93" s="18"/>
      <c r="I93" s="17"/>
      <c r="J93" s="19" t="s">
        <v>133</v>
      </c>
      <c r="K93" s="19" t="s">
        <v>44</v>
      </c>
      <c r="L93" s="19" t="s">
        <v>67</v>
      </c>
    </row>
    <row r="94" spans="1:12" s="1" customFormat="1">
      <c r="A94" s="15"/>
      <c r="B94" s="22" t="s">
        <v>2327</v>
      </c>
      <c r="C94" s="22" t="s">
        <v>45</v>
      </c>
      <c r="D94" s="9" t="s">
        <v>2017</v>
      </c>
      <c r="E94" s="16" t="s">
        <v>128</v>
      </c>
      <c r="F94" s="72"/>
      <c r="G94" s="17" t="s">
        <v>2330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22" t="s">
        <v>2194</v>
      </c>
      <c r="C95" s="22" t="s">
        <v>280</v>
      </c>
      <c r="D95" s="9" t="s">
        <v>2196</v>
      </c>
      <c r="E95" s="16" t="s">
        <v>128</v>
      </c>
      <c r="F95" s="72"/>
      <c r="G95" s="17" t="s">
        <v>2250</v>
      </c>
      <c r="H95" s="18"/>
      <c r="I95" s="17"/>
      <c r="J95" s="19" t="s">
        <v>133</v>
      </c>
      <c r="K95" s="19" t="s">
        <v>2024</v>
      </c>
      <c r="L95" s="19" t="s">
        <v>67</v>
      </c>
    </row>
    <row r="96" spans="1:12" s="1" customFormat="1">
      <c r="B96" s="22" t="s">
        <v>2132</v>
      </c>
      <c r="C96" s="22" t="s">
        <v>280</v>
      </c>
      <c r="D96" s="9" t="s">
        <v>2134</v>
      </c>
      <c r="E96" s="16" t="s">
        <v>128</v>
      </c>
      <c r="F96" s="22"/>
      <c r="G96" s="17" t="s">
        <v>2333</v>
      </c>
      <c r="H96" s="18"/>
      <c r="I96" s="88"/>
      <c r="J96" s="19" t="s">
        <v>133</v>
      </c>
      <c r="K96" s="19" t="s">
        <v>2136</v>
      </c>
      <c r="L96" s="19" t="s">
        <v>134</v>
      </c>
    </row>
    <row r="97" spans="1:12" s="1" customFormat="1">
      <c r="A97" s="15"/>
      <c r="B97" s="90" t="s">
        <v>2328</v>
      </c>
      <c r="C97" s="22" t="s">
        <v>45</v>
      </c>
      <c r="D97" s="9" t="s">
        <v>2034</v>
      </c>
      <c r="E97" s="16" t="s">
        <v>128</v>
      </c>
      <c r="F97" s="72"/>
      <c r="G97" s="17" t="s">
        <v>2332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2" s="1" customFormat="1">
      <c r="A98" s="15"/>
      <c r="B98" s="90" t="s">
        <v>2193</v>
      </c>
      <c r="C98" s="22" t="s">
        <v>280</v>
      </c>
      <c r="D98" s="9" t="s">
        <v>2195</v>
      </c>
      <c r="E98" s="16" t="s">
        <v>128</v>
      </c>
      <c r="F98" s="72"/>
      <c r="G98" s="17" t="s">
        <v>2252</v>
      </c>
      <c r="H98" s="18"/>
      <c r="I98" s="17"/>
      <c r="J98" s="19" t="s">
        <v>133</v>
      </c>
      <c r="K98" s="19" t="s">
        <v>2024</v>
      </c>
      <c r="L98" s="19" t="s">
        <v>67</v>
      </c>
    </row>
    <row r="99" spans="1:12" s="1" customFormat="1">
      <c r="B99" s="90" t="s">
        <v>2133</v>
      </c>
      <c r="C99" s="22" t="s">
        <v>280</v>
      </c>
      <c r="D99" s="9" t="s">
        <v>2135</v>
      </c>
      <c r="E99" s="16" t="s">
        <v>128</v>
      </c>
      <c r="F99" s="22"/>
      <c r="G99" s="17" t="s">
        <v>2334</v>
      </c>
      <c r="H99" s="18"/>
      <c r="I99" s="88"/>
      <c r="J99" s="19" t="s">
        <v>133</v>
      </c>
      <c r="K99" s="19" t="s">
        <v>2136</v>
      </c>
      <c r="L99" s="19" t="s">
        <v>134</v>
      </c>
    </row>
    <row r="100" spans="1:12" s="1" customFormat="1">
      <c r="B100" s="22" t="s">
        <v>2255</v>
      </c>
      <c r="C100" s="22" t="s">
        <v>45</v>
      </c>
      <c r="D100" s="9" t="s">
        <v>2201</v>
      </c>
      <c r="E100" s="16" t="s">
        <v>128</v>
      </c>
      <c r="F100" s="22"/>
      <c r="G100" s="17" t="s">
        <v>2280</v>
      </c>
      <c r="H100" s="18"/>
      <c r="I100" s="17"/>
      <c r="J100" s="19" t="s">
        <v>133</v>
      </c>
      <c r="K100" s="19" t="s">
        <v>1640</v>
      </c>
      <c r="L100" s="19" t="s">
        <v>67</v>
      </c>
    </row>
    <row r="101" spans="1:12" s="1" customFormat="1">
      <c r="B101" s="22" t="s">
        <v>2254</v>
      </c>
      <c r="C101" s="22" t="s">
        <v>45</v>
      </c>
      <c r="D101" s="9" t="s">
        <v>2202</v>
      </c>
      <c r="E101" s="16" t="s">
        <v>128</v>
      </c>
      <c r="F101" s="22"/>
      <c r="G101" s="17" t="s">
        <v>2281</v>
      </c>
      <c r="H101" s="18"/>
      <c r="I101" s="17"/>
      <c r="J101" s="19" t="s">
        <v>133</v>
      </c>
      <c r="K101" s="19" t="s">
        <v>1640</v>
      </c>
      <c r="L101" s="19" t="s">
        <v>67</v>
      </c>
    </row>
    <row r="102" spans="1:12" s="1" customFormat="1">
      <c r="B102" s="22" t="s">
        <v>2203</v>
      </c>
      <c r="C102" s="22" t="s">
        <v>56</v>
      </c>
      <c r="D102" s="9" t="s">
        <v>2204</v>
      </c>
      <c r="E102" s="16" t="s">
        <v>128</v>
      </c>
      <c r="F102" s="22"/>
      <c r="G102" s="17" t="s">
        <v>2256</v>
      </c>
      <c r="H102" s="98"/>
      <c r="I102" s="88"/>
      <c r="J102" s="19" t="s">
        <v>133</v>
      </c>
      <c r="K102" s="19" t="s">
        <v>44</v>
      </c>
      <c r="L102" s="19" t="s">
        <v>1292</v>
      </c>
    </row>
    <row r="103" spans="1:12" s="1" customFormat="1">
      <c r="B103" s="22" t="s">
        <v>2216</v>
      </c>
      <c r="C103" s="22" t="s">
        <v>45</v>
      </c>
      <c r="D103" s="9" t="s">
        <v>2036</v>
      </c>
      <c r="E103" s="16" t="s">
        <v>128</v>
      </c>
      <c r="F103" s="22"/>
      <c r="G103" s="17" t="s">
        <v>2282</v>
      </c>
      <c r="H103" s="18"/>
      <c r="I103" s="17"/>
      <c r="J103" s="19" t="s">
        <v>133</v>
      </c>
      <c r="K103" s="19" t="s">
        <v>2235</v>
      </c>
      <c r="L103" s="19" t="s">
        <v>67</v>
      </c>
    </row>
    <row r="104" spans="1:12" s="1" customFormat="1">
      <c r="B104" s="22" t="s">
        <v>2218</v>
      </c>
      <c r="C104" s="22" t="s">
        <v>45</v>
      </c>
      <c r="D104" s="9" t="s">
        <v>2219</v>
      </c>
      <c r="E104" s="16" t="s">
        <v>128</v>
      </c>
      <c r="F104" s="22"/>
      <c r="G104" s="17" t="s">
        <v>2283</v>
      </c>
      <c r="H104" s="18"/>
      <c r="I104" s="17"/>
      <c r="J104" s="19" t="s">
        <v>133</v>
      </c>
      <c r="K104" s="19" t="s">
        <v>1640</v>
      </c>
      <c r="L104" s="19" t="s">
        <v>67</v>
      </c>
    </row>
    <row r="105" spans="1:12" s="1" customFormat="1">
      <c r="B105" s="22" t="s">
        <v>2217</v>
      </c>
      <c r="C105" s="22" t="s">
        <v>45</v>
      </c>
      <c r="D105" s="9" t="s">
        <v>2035</v>
      </c>
      <c r="E105" s="16" t="s">
        <v>128</v>
      </c>
      <c r="F105" s="22"/>
      <c r="G105" s="17" t="s">
        <v>2284</v>
      </c>
      <c r="H105" s="18"/>
      <c r="I105" s="17"/>
      <c r="J105" s="19" t="s">
        <v>133</v>
      </c>
      <c r="K105" s="19" t="s">
        <v>2235</v>
      </c>
      <c r="L105" s="19" t="s">
        <v>67</v>
      </c>
    </row>
    <row r="106" spans="1:12" s="1" customFormat="1">
      <c r="B106" s="22" t="s">
        <v>2220</v>
      </c>
      <c r="C106" s="22" t="s">
        <v>45</v>
      </c>
      <c r="D106" s="9" t="s">
        <v>2225</v>
      </c>
      <c r="E106" s="16" t="s">
        <v>128</v>
      </c>
      <c r="F106" s="22"/>
      <c r="G106" s="17" t="s">
        <v>2285</v>
      </c>
      <c r="H106" s="18"/>
      <c r="I106" s="17"/>
      <c r="J106" s="19" t="s">
        <v>133</v>
      </c>
      <c r="K106" s="19" t="s">
        <v>1640</v>
      </c>
      <c r="L106" s="19" t="s">
        <v>67</v>
      </c>
    </row>
    <row r="107" spans="1:12" s="1" customFormat="1">
      <c r="B107" s="22" t="s">
        <v>2140</v>
      </c>
      <c r="C107" s="22" t="s">
        <v>45</v>
      </c>
      <c r="D107" s="9" t="s">
        <v>2141</v>
      </c>
      <c r="E107" s="16" t="s">
        <v>128</v>
      </c>
      <c r="F107" s="22"/>
      <c r="G107" s="17" t="s">
        <v>2286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B108" s="22" t="s">
        <v>2142</v>
      </c>
      <c r="C108" s="22" t="s">
        <v>45</v>
      </c>
      <c r="D108" s="9" t="s">
        <v>2143</v>
      </c>
      <c r="E108" s="16" t="s">
        <v>128</v>
      </c>
      <c r="F108" s="22"/>
      <c r="G108" s="17" t="s">
        <v>2287</v>
      </c>
      <c r="H108" s="18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B109" s="22" t="s">
        <v>2144</v>
      </c>
      <c r="C109" s="22" t="s">
        <v>45</v>
      </c>
      <c r="D109" s="9" t="s">
        <v>2145</v>
      </c>
      <c r="E109" s="16" t="s">
        <v>128</v>
      </c>
      <c r="F109" s="22"/>
      <c r="G109" s="17" t="s">
        <v>2288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B110" s="22" t="s">
        <v>2146</v>
      </c>
      <c r="C110" s="22" t="s">
        <v>45</v>
      </c>
      <c r="D110" s="9" t="s">
        <v>2147</v>
      </c>
      <c r="E110" s="16" t="s">
        <v>128</v>
      </c>
      <c r="F110" s="22"/>
      <c r="G110" s="17" t="s">
        <v>2289</v>
      </c>
      <c r="H110" s="18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B111" s="22" t="s">
        <v>2148</v>
      </c>
      <c r="C111" s="22" t="s">
        <v>45</v>
      </c>
      <c r="D111" s="9" t="s">
        <v>2149</v>
      </c>
      <c r="E111" s="16" t="s">
        <v>128</v>
      </c>
      <c r="F111" s="22"/>
      <c r="G111" s="17" t="s">
        <v>2290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B112" s="22" t="s">
        <v>2150</v>
      </c>
      <c r="C112" s="22" t="s">
        <v>45</v>
      </c>
      <c r="D112" s="9" t="s">
        <v>2151</v>
      </c>
      <c r="E112" s="16" t="s">
        <v>128</v>
      </c>
      <c r="F112" s="22"/>
      <c r="G112" s="17" t="s">
        <v>2291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11" t="s">
        <v>2261</v>
      </c>
      <c r="C113" s="11" t="s">
        <v>280</v>
      </c>
      <c r="D113" s="9" t="s">
        <v>2038</v>
      </c>
      <c r="E113" s="16" t="s">
        <v>128</v>
      </c>
      <c r="F113" s="72"/>
      <c r="G113" s="17" t="s">
        <v>3075</v>
      </c>
      <c r="H113" s="18"/>
      <c r="I113" s="17"/>
      <c r="J113" s="19" t="s">
        <v>133</v>
      </c>
      <c r="K113" s="19" t="s">
        <v>903</v>
      </c>
      <c r="L113" s="19" t="s">
        <v>67</v>
      </c>
    </row>
    <row r="114" spans="1:12" s="1" customFormat="1">
      <c r="A114" s="15"/>
      <c r="B114" s="95" t="s">
        <v>2041</v>
      </c>
      <c r="C114" s="95" t="s">
        <v>45</v>
      </c>
      <c r="D114" s="96" t="s">
        <v>2042</v>
      </c>
      <c r="E114" s="16" t="s">
        <v>128</v>
      </c>
      <c r="F114" s="72"/>
      <c r="G114" s="17" t="s">
        <v>2292</v>
      </c>
      <c r="H114" s="18"/>
      <c r="I114" s="17"/>
      <c r="J114" s="19" t="s">
        <v>133</v>
      </c>
      <c r="K114" s="19" t="s">
        <v>903</v>
      </c>
      <c r="L114" s="19" t="s">
        <v>67</v>
      </c>
    </row>
    <row r="115" spans="1:12" s="1" customFormat="1">
      <c r="A115" s="15"/>
      <c r="B115" s="95" t="s">
        <v>2043</v>
      </c>
      <c r="C115" s="95" t="s">
        <v>45</v>
      </c>
      <c r="D115" s="96" t="s">
        <v>2044</v>
      </c>
      <c r="E115" s="16" t="s">
        <v>128</v>
      </c>
      <c r="F115" s="72"/>
      <c r="G115" s="17" t="s">
        <v>2293</v>
      </c>
      <c r="H115" s="18"/>
      <c r="I115" s="17"/>
      <c r="J115" s="19" t="s">
        <v>133</v>
      </c>
      <c r="K115" s="19" t="s">
        <v>903</v>
      </c>
      <c r="L115" s="19" t="s">
        <v>67</v>
      </c>
    </row>
    <row r="116" spans="1:12" s="1" customFormat="1">
      <c r="A116" s="15"/>
      <c r="B116" s="95" t="s">
        <v>2045</v>
      </c>
      <c r="C116" s="95" t="s">
        <v>45</v>
      </c>
      <c r="D116" s="96" t="s">
        <v>2046</v>
      </c>
      <c r="E116" s="16" t="s">
        <v>128</v>
      </c>
      <c r="F116" s="72"/>
      <c r="G116" s="17" t="s">
        <v>2294</v>
      </c>
      <c r="H116" s="18"/>
      <c r="I116" s="17"/>
      <c r="J116" s="19" t="s">
        <v>133</v>
      </c>
      <c r="K116" s="19" t="s">
        <v>903</v>
      </c>
      <c r="L116" s="19" t="s">
        <v>67</v>
      </c>
    </row>
    <row r="117" spans="1:12" s="1" customFormat="1">
      <c r="A117" s="15"/>
      <c r="B117" s="95" t="s">
        <v>2047</v>
      </c>
      <c r="C117" s="95" t="s">
        <v>45</v>
      </c>
      <c r="D117" s="96" t="s">
        <v>2048</v>
      </c>
      <c r="E117" s="16" t="s">
        <v>128</v>
      </c>
      <c r="F117" s="72"/>
      <c r="G117" s="17" t="s">
        <v>2295</v>
      </c>
      <c r="H117" s="18"/>
      <c r="I117" s="17"/>
      <c r="J117" s="19" t="s">
        <v>133</v>
      </c>
      <c r="K117" s="19" t="s">
        <v>903</v>
      </c>
      <c r="L117" s="19" t="s">
        <v>67</v>
      </c>
    </row>
    <row r="118" spans="1:12" s="1" customFormat="1">
      <c r="A118" s="15"/>
      <c r="B118" s="95" t="s">
        <v>2049</v>
      </c>
      <c r="C118" s="95" t="s">
        <v>45</v>
      </c>
      <c r="D118" s="96" t="s">
        <v>2050</v>
      </c>
      <c r="E118" s="16" t="s">
        <v>128</v>
      </c>
      <c r="F118" s="72"/>
      <c r="G118" s="17" t="s">
        <v>2296</v>
      </c>
      <c r="H118" s="18"/>
      <c r="I118" s="17"/>
      <c r="J118" s="19" t="s">
        <v>133</v>
      </c>
      <c r="K118" s="19" t="s">
        <v>903</v>
      </c>
      <c r="L118" s="19" t="s">
        <v>67</v>
      </c>
    </row>
    <row r="119" spans="1:12" s="1" customFormat="1">
      <c r="A119" s="15"/>
      <c r="B119" s="11" t="s">
        <v>2263</v>
      </c>
      <c r="C119" s="95" t="s">
        <v>280</v>
      </c>
      <c r="D119" s="9" t="s">
        <v>2052</v>
      </c>
      <c r="E119" s="16" t="s">
        <v>128</v>
      </c>
      <c r="F119" s="72"/>
      <c r="G119" s="17" t="s">
        <v>3076</v>
      </c>
      <c r="H119" s="18"/>
      <c r="I119" s="17"/>
      <c r="J119" s="19" t="s">
        <v>133</v>
      </c>
      <c r="K119" s="19" t="s">
        <v>203</v>
      </c>
      <c r="L119" s="19" t="s">
        <v>67</v>
      </c>
    </row>
    <row r="120" spans="1:12" s="1" customFormat="1">
      <c r="A120" s="15"/>
      <c r="B120" s="11" t="s">
        <v>2053</v>
      </c>
      <c r="C120" s="11" t="s">
        <v>45</v>
      </c>
      <c r="D120" s="9" t="s">
        <v>2054</v>
      </c>
      <c r="E120" s="16" t="s">
        <v>128</v>
      </c>
      <c r="F120" s="72"/>
      <c r="G120" s="17" t="s">
        <v>2297</v>
      </c>
      <c r="H120" s="18"/>
      <c r="I120" s="17"/>
      <c r="J120" s="19" t="s">
        <v>133</v>
      </c>
      <c r="K120" s="19" t="s">
        <v>903</v>
      </c>
      <c r="L120" s="19" t="s">
        <v>67</v>
      </c>
    </row>
    <row r="121" spans="1:12" s="1" customFormat="1">
      <c r="A121" s="15"/>
      <c r="B121" s="11" t="s">
        <v>2055</v>
      </c>
      <c r="C121" s="11" t="s">
        <v>45</v>
      </c>
      <c r="D121" s="9" t="s">
        <v>2056</v>
      </c>
      <c r="E121" s="16" t="s">
        <v>128</v>
      </c>
      <c r="F121" s="72"/>
      <c r="G121" s="17" t="s">
        <v>2298</v>
      </c>
      <c r="H121" s="18"/>
      <c r="I121" s="17"/>
      <c r="J121" s="19" t="s">
        <v>133</v>
      </c>
      <c r="K121" s="19" t="s">
        <v>903</v>
      </c>
      <c r="L121" s="19" t="s">
        <v>67</v>
      </c>
    </row>
    <row r="122" spans="1:12" s="1" customFormat="1">
      <c r="A122" s="15"/>
      <c r="B122" s="11" t="s">
        <v>2057</v>
      </c>
      <c r="C122" s="11" t="s">
        <v>45</v>
      </c>
      <c r="D122" s="9" t="s">
        <v>2058</v>
      </c>
      <c r="E122" s="16" t="s">
        <v>128</v>
      </c>
      <c r="F122" s="72"/>
      <c r="G122" s="17" t="s">
        <v>2299</v>
      </c>
      <c r="H122" s="18"/>
      <c r="I122" s="17"/>
      <c r="J122" s="19" t="s">
        <v>133</v>
      </c>
      <c r="K122" s="19" t="s">
        <v>903</v>
      </c>
      <c r="L122" s="19" t="s">
        <v>67</v>
      </c>
    </row>
    <row r="123" spans="1:12" s="1" customFormat="1">
      <c r="A123" s="15"/>
      <c r="B123" s="11" t="s">
        <v>2059</v>
      </c>
      <c r="C123" s="11" t="s">
        <v>45</v>
      </c>
      <c r="D123" s="9" t="s">
        <v>2060</v>
      </c>
      <c r="E123" s="16" t="s">
        <v>128</v>
      </c>
      <c r="F123" s="72"/>
      <c r="G123" s="17" t="s">
        <v>2300</v>
      </c>
      <c r="H123" s="18"/>
      <c r="I123" s="17"/>
      <c r="J123" s="19" t="s">
        <v>133</v>
      </c>
      <c r="K123" s="19" t="s">
        <v>903</v>
      </c>
      <c r="L123" s="19" t="s">
        <v>67</v>
      </c>
    </row>
    <row r="124" spans="1:12" s="1" customFormat="1">
      <c r="A124" s="15"/>
      <c r="B124" s="11" t="s">
        <v>2061</v>
      </c>
      <c r="C124" s="11" t="s">
        <v>45</v>
      </c>
      <c r="D124" s="9" t="s">
        <v>2062</v>
      </c>
      <c r="E124" s="16" t="s">
        <v>128</v>
      </c>
      <c r="F124" s="72"/>
      <c r="G124" s="17" t="s">
        <v>2301</v>
      </c>
      <c r="H124" s="18"/>
      <c r="I124" s="17"/>
      <c r="J124" s="19" t="s">
        <v>133</v>
      </c>
      <c r="K124" s="19" t="s">
        <v>903</v>
      </c>
      <c r="L124" s="19" t="s">
        <v>67</v>
      </c>
    </row>
    <row r="125" spans="1:12" s="1" customFormat="1">
      <c r="A125" s="15"/>
      <c r="B125" s="11" t="s">
        <v>2264</v>
      </c>
      <c r="C125" s="95" t="s">
        <v>280</v>
      </c>
      <c r="D125" s="9" t="s">
        <v>2158</v>
      </c>
      <c r="E125" s="16" t="s">
        <v>128</v>
      </c>
      <c r="F125" s="72"/>
      <c r="G125" s="17" t="s">
        <v>3077</v>
      </c>
      <c r="H125" s="18"/>
      <c r="I125" s="17"/>
      <c r="J125" s="19" t="s">
        <v>133</v>
      </c>
      <c r="K125" s="19" t="s">
        <v>202</v>
      </c>
      <c r="L125" s="19" t="s">
        <v>67</v>
      </c>
    </row>
    <row r="126" spans="1:12" s="1" customFormat="1">
      <c r="A126" s="15"/>
      <c r="B126" s="95" t="s">
        <v>2076</v>
      </c>
      <c r="C126" s="95" t="s">
        <v>45</v>
      </c>
      <c r="D126" s="96" t="s">
        <v>2077</v>
      </c>
      <c r="E126" s="16" t="s">
        <v>128</v>
      </c>
      <c r="F126" s="72"/>
      <c r="G126" s="17" t="s">
        <v>2302</v>
      </c>
      <c r="H126" s="18"/>
      <c r="I126" s="17"/>
      <c r="J126" s="19" t="s">
        <v>133</v>
      </c>
      <c r="K126" s="19" t="s">
        <v>903</v>
      </c>
      <c r="L126" s="19" t="s">
        <v>67</v>
      </c>
    </row>
    <row r="127" spans="1:12" s="1" customFormat="1">
      <c r="A127" s="15"/>
      <c r="B127" s="95" t="s">
        <v>2078</v>
      </c>
      <c r="C127" s="95" t="s">
        <v>45</v>
      </c>
      <c r="D127" s="96" t="s">
        <v>2079</v>
      </c>
      <c r="E127" s="16" t="s">
        <v>128</v>
      </c>
      <c r="F127" s="72"/>
      <c r="G127" s="17" t="s">
        <v>2303</v>
      </c>
      <c r="H127" s="18"/>
      <c r="I127" s="17"/>
      <c r="J127" s="19" t="s">
        <v>133</v>
      </c>
      <c r="K127" s="19" t="s">
        <v>903</v>
      </c>
      <c r="L127" s="19" t="s">
        <v>67</v>
      </c>
    </row>
    <row r="128" spans="1:12" s="1" customFormat="1">
      <c r="A128" s="15"/>
      <c r="B128" s="95" t="s">
        <v>2080</v>
      </c>
      <c r="C128" s="95" t="s">
        <v>45</v>
      </c>
      <c r="D128" s="96" t="s">
        <v>2081</v>
      </c>
      <c r="E128" s="16" t="s">
        <v>128</v>
      </c>
      <c r="F128" s="72"/>
      <c r="G128" s="17" t="s">
        <v>2304</v>
      </c>
      <c r="H128" s="18"/>
      <c r="I128" s="17"/>
      <c r="J128" s="19" t="s">
        <v>133</v>
      </c>
      <c r="K128" s="19" t="s">
        <v>903</v>
      </c>
      <c r="L128" s="19" t="s">
        <v>67</v>
      </c>
    </row>
    <row r="129" spans="1:12" s="1" customFormat="1">
      <c r="A129" s="15"/>
      <c r="B129" s="95" t="s">
        <v>2082</v>
      </c>
      <c r="C129" s="95" t="s">
        <v>45</v>
      </c>
      <c r="D129" s="96" t="s">
        <v>2083</v>
      </c>
      <c r="E129" s="16" t="s">
        <v>128</v>
      </c>
      <c r="F129" s="72"/>
      <c r="G129" s="17" t="s">
        <v>2305</v>
      </c>
      <c r="H129" s="18"/>
      <c r="I129" s="17"/>
      <c r="J129" s="19" t="s">
        <v>133</v>
      </c>
      <c r="K129" s="19" t="s">
        <v>903</v>
      </c>
      <c r="L129" s="19" t="s">
        <v>67</v>
      </c>
    </row>
    <row r="130" spans="1:12" s="1" customFormat="1">
      <c r="A130" s="15"/>
      <c r="B130" s="95" t="s">
        <v>2084</v>
      </c>
      <c r="C130" s="95" t="s">
        <v>45</v>
      </c>
      <c r="D130" s="96" t="s">
        <v>2085</v>
      </c>
      <c r="E130" s="16" t="s">
        <v>128</v>
      </c>
      <c r="F130" s="72"/>
      <c r="G130" s="17" t="s">
        <v>2306</v>
      </c>
      <c r="H130" s="18"/>
      <c r="I130" s="17"/>
      <c r="J130" s="19" t="s">
        <v>133</v>
      </c>
      <c r="K130" s="19" t="s">
        <v>903</v>
      </c>
      <c r="L130" s="19" t="s">
        <v>67</v>
      </c>
    </row>
    <row r="131" spans="1:12" s="1" customFormat="1">
      <c r="B131" s="22" t="s">
        <v>2206</v>
      </c>
      <c r="C131" s="22" t="s">
        <v>45</v>
      </c>
      <c r="D131" s="9" t="s">
        <v>2207</v>
      </c>
      <c r="E131" s="16" t="s">
        <v>128</v>
      </c>
      <c r="F131" s="22"/>
      <c r="G131" s="17" t="s">
        <v>2307</v>
      </c>
      <c r="H131" s="18"/>
      <c r="I131" s="17"/>
      <c r="J131" s="19" t="s">
        <v>133</v>
      </c>
      <c r="K131" s="19" t="s">
        <v>2235</v>
      </c>
      <c r="L131" s="19" t="s">
        <v>2237</v>
      </c>
    </row>
    <row r="132" spans="1:12" s="1" customFormat="1">
      <c r="B132" s="22" t="s">
        <v>2205</v>
      </c>
      <c r="C132" s="22" t="s">
        <v>45</v>
      </c>
      <c r="D132" s="9" t="s">
        <v>2199</v>
      </c>
      <c r="E132" s="16" t="s">
        <v>128</v>
      </c>
      <c r="F132" s="22"/>
      <c r="G132" s="17" t="s">
        <v>2319</v>
      </c>
      <c r="H132" s="18"/>
      <c r="I132" s="17"/>
      <c r="J132" s="19" t="s">
        <v>133</v>
      </c>
      <c r="K132" s="19" t="s">
        <v>1640</v>
      </c>
      <c r="L132" s="19" t="s">
        <v>67</v>
      </c>
    </row>
    <row r="133" spans="1:12" s="1" customFormat="1">
      <c r="A133" s="15"/>
      <c r="B133" s="95" t="s">
        <v>2104</v>
      </c>
      <c r="C133" s="95" t="s">
        <v>280</v>
      </c>
      <c r="D133" s="96" t="s">
        <v>2093</v>
      </c>
      <c r="E133" s="16" t="s">
        <v>128</v>
      </c>
      <c r="F133" s="72"/>
      <c r="G133" s="17" t="s">
        <v>2320</v>
      </c>
      <c r="H133" s="18"/>
      <c r="I133" s="17"/>
      <c r="J133" s="19" t="s">
        <v>133</v>
      </c>
      <c r="K133" s="19" t="s">
        <v>2235</v>
      </c>
      <c r="L133" s="19" t="s">
        <v>2237</v>
      </c>
    </row>
    <row r="134" spans="1:12" s="1" customFormat="1">
      <c r="A134" s="15"/>
      <c r="B134" s="95" t="s">
        <v>2094</v>
      </c>
      <c r="C134" s="95" t="s">
        <v>45</v>
      </c>
      <c r="D134" s="96" t="s">
        <v>2099</v>
      </c>
      <c r="E134" s="16" t="s">
        <v>128</v>
      </c>
      <c r="F134" s="72"/>
      <c r="G134" s="17" t="s">
        <v>2308</v>
      </c>
      <c r="H134" s="18"/>
      <c r="I134" s="17"/>
      <c r="J134" s="19" t="s">
        <v>133</v>
      </c>
      <c r="K134" s="19" t="s">
        <v>1640</v>
      </c>
      <c r="L134" s="19" t="s">
        <v>67</v>
      </c>
    </row>
    <row r="135" spans="1:12" s="1" customFormat="1">
      <c r="A135" s="15"/>
      <c r="B135" s="95" t="s">
        <v>2095</v>
      </c>
      <c r="C135" s="95" t="s">
        <v>45</v>
      </c>
      <c r="D135" s="96" t="s">
        <v>2100</v>
      </c>
      <c r="E135" s="16" t="s">
        <v>128</v>
      </c>
      <c r="F135" s="72"/>
      <c r="G135" s="17" t="s">
        <v>2309</v>
      </c>
      <c r="H135" s="18"/>
      <c r="I135" s="17"/>
      <c r="J135" s="19" t="s">
        <v>133</v>
      </c>
      <c r="K135" s="19" t="s">
        <v>1640</v>
      </c>
      <c r="L135" s="19" t="s">
        <v>67</v>
      </c>
    </row>
    <row r="136" spans="1:12" s="1" customFormat="1">
      <c r="A136" s="15"/>
      <c r="B136" s="95" t="s">
        <v>2096</v>
      </c>
      <c r="C136" s="95" t="s">
        <v>45</v>
      </c>
      <c r="D136" s="96" t="s">
        <v>2101</v>
      </c>
      <c r="E136" s="16" t="s">
        <v>128</v>
      </c>
      <c r="F136" s="72"/>
      <c r="G136" s="17" t="s">
        <v>2310</v>
      </c>
      <c r="H136" s="18"/>
      <c r="I136" s="17"/>
      <c r="J136" s="19" t="s">
        <v>133</v>
      </c>
      <c r="K136" s="19" t="s">
        <v>1640</v>
      </c>
      <c r="L136" s="19" t="s">
        <v>67</v>
      </c>
    </row>
    <row r="137" spans="1:12" s="1" customFormat="1">
      <c r="A137" s="15"/>
      <c r="B137" s="95" t="s">
        <v>2097</v>
      </c>
      <c r="C137" s="95" t="s">
        <v>45</v>
      </c>
      <c r="D137" s="96" t="s">
        <v>2102</v>
      </c>
      <c r="E137" s="16" t="s">
        <v>128</v>
      </c>
      <c r="F137" s="72"/>
      <c r="G137" s="17" t="s">
        <v>2311</v>
      </c>
      <c r="H137" s="18"/>
      <c r="I137" s="17"/>
      <c r="J137" s="19" t="s">
        <v>133</v>
      </c>
      <c r="K137" s="19" t="s">
        <v>1640</v>
      </c>
      <c r="L137" s="19" t="s">
        <v>67</v>
      </c>
    </row>
    <row r="138" spans="1:12" s="1" customFormat="1">
      <c r="A138" s="15"/>
      <c r="B138" s="95" t="s">
        <v>2098</v>
      </c>
      <c r="C138" s="95" t="s">
        <v>45</v>
      </c>
      <c r="D138" s="96" t="s">
        <v>2103</v>
      </c>
      <c r="E138" s="16" t="s">
        <v>128</v>
      </c>
      <c r="F138" s="72"/>
      <c r="G138" s="17" t="s">
        <v>2312</v>
      </c>
      <c r="H138" s="18"/>
      <c r="I138" s="17"/>
      <c r="J138" s="19" t="s">
        <v>133</v>
      </c>
      <c r="K138" s="19" t="s">
        <v>1640</v>
      </c>
      <c r="L138" s="19" t="s">
        <v>67</v>
      </c>
    </row>
    <row r="139" spans="1:12" s="1" customFormat="1">
      <c r="A139" s="15"/>
      <c r="B139" s="95" t="s">
        <v>2210</v>
      </c>
      <c r="C139" s="95" t="s">
        <v>45</v>
      </c>
      <c r="D139" s="9" t="s">
        <v>2212</v>
      </c>
      <c r="E139" s="16" t="s">
        <v>128</v>
      </c>
      <c r="F139" s="72"/>
      <c r="G139" s="17" t="s">
        <v>2313</v>
      </c>
      <c r="H139" s="18"/>
      <c r="I139" s="17"/>
      <c r="J139" s="19" t="s">
        <v>133</v>
      </c>
      <c r="K139" s="19" t="s">
        <v>2235</v>
      </c>
      <c r="L139" s="19" t="s">
        <v>2237</v>
      </c>
    </row>
    <row r="140" spans="1:12" s="1" customFormat="1">
      <c r="A140" s="15"/>
      <c r="B140" s="95" t="s">
        <v>2211</v>
      </c>
      <c r="C140" s="95" t="s">
        <v>45</v>
      </c>
      <c r="D140" s="9" t="s">
        <v>2213</v>
      </c>
      <c r="E140" s="16" t="s">
        <v>128</v>
      </c>
      <c r="F140" s="72"/>
      <c r="G140" s="17" t="s">
        <v>2321</v>
      </c>
      <c r="H140" s="18"/>
      <c r="I140" s="17"/>
      <c r="J140" s="19" t="s">
        <v>133</v>
      </c>
      <c r="K140" s="19" t="s">
        <v>1640</v>
      </c>
      <c r="L140" s="19" t="s">
        <v>67</v>
      </c>
    </row>
    <row r="141" spans="1:12" s="1" customFormat="1">
      <c r="A141" s="15"/>
      <c r="B141" s="95" t="s">
        <v>2112</v>
      </c>
      <c r="C141" s="95" t="s">
        <v>280</v>
      </c>
      <c r="D141" s="96" t="s">
        <v>2123</v>
      </c>
      <c r="E141" s="16" t="s">
        <v>128</v>
      </c>
      <c r="F141" s="72"/>
      <c r="G141" s="17" t="s">
        <v>2322</v>
      </c>
      <c r="H141" s="18"/>
      <c r="I141" s="17"/>
      <c r="J141" s="19" t="s">
        <v>133</v>
      </c>
      <c r="K141" s="19" t="s">
        <v>2235</v>
      </c>
      <c r="L141" s="19" t="s">
        <v>2237</v>
      </c>
    </row>
    <row r="142" spans="1:12" s="1" customFormat="1">
      <c r="A142" s="15"/>
      <c r="B142" s="95" t="s">
        <v>2113</v>
      </c>
      <c r="C142" s="95" t="s">
        <v>45</v>
      </c>
      <c r="D142" s="96" t="s">
        <v>2114</v>
      </c>
      <c r="E142" s="16" t="s">
        <v>128</v>
      </c>
      <c r="F142" s="72"/>
      <c r="G142" s="17" t="s">
        <v>2314</v>
      </c>
      <c r="H142" s="18"/>
      <c r="I142" s="17"/>
      <c r="J142" s="19" t="s">
        <v>133</v>
      </c>
      <c r="K142" s="19" t="s">
        <v>1640</v>
      </c>
      <c r="L142" s="19" t="s">
        <v>67</v>
      </c>
    </row>
    <row r="143" spans="1:12" s="1" customFormat="1">
      <c r="A143" s="15"/>
      <c r="B143" s="95" t="s">
        <v>2115</v>
      </c>
      <c r="C143" s="95" t="s">
        <v>45</v>
      </c>
      <c r="D143" s="96" t="s">
        <v>2116</v>
      </c>
      <c r="E143" s="16" t="s">
        <v>128</v>
      </c>
      <c r="F143" s="72"/>
      <c r="G143" s="17" t="s">
        <v>2315</v>
      </c>
      <c r="H143" s="18"/>
      <c r="I143" s="17"/>
      <c r="J143" s="19" t="s">
        <v>133</v>
      </c>
      <c r="K143" s="19" t="s">
        <v>1640</v>
      </c>
      <c r="L143" s="19" t="s">
        <v>67</v>
      </c>
    </row>
    <row r="144" spans="1:12" s="1" customFormat="1">
      <c r="A144" s="15"/>
      <c r="B144" s="95" t="s">
        <v>2117</v>
      </c>
      <c r="C144" s="95" t="s">
        <v>45</v>
      </c>
      <c r="D144" s="96" t="s">
        <v>2118</v>
      </c>
      <c r="E144" s="16" t="s">
        <v>128</v>
      </c>
      <c r="F144" s="72"/>
      <c r="G144" s="17" t="s">
        <v>2316</v>
      </c>
      <c r="H144" s="18"/>
      <c r="I144" s="17"/>
      <c r="J144" s="19" t="s">
        <v>133</v>
      </c>
      <c r="K144" s="19" t="s">
        <v>1640</v>
      </c>
      <c r="L144" s="19" t="s">
        <v>67</v>
      </c>
    </row>
    <row r="145" spans="1:17" s="1" customFormat="1">
      <c r="A145" s="15"/>
      <c r="B145" s="95" t="s">
        <v>2119</v>
      </c>
      <c r="C145" s="95" t="s">
        <v>45</v>
      </c>
      <c r="D145" s="96" t="s">
        <v>2120</v>
      </c>
      <c r="E145" s="16" t="s">
        <v>128</v>
      </c>
      <c r="F145" s="72"/>
      <c r="G145" s="17" t="s">
        <v>2317</v>
      </c>
      <c r="H145" s="18"/>
      <c r="I145" s="17"/>
      <c r="J145" s="19" t="s">
        <v>133</v>
      </c>
      <c r="K145" s="19" t="s">
        <v>1640</v>
      </c>
      <c r="L145" s="19" t="s">
        <v>67</v>
      </c>
    </row>
    <row r="146" spans="1:17" s="1" customFormat="1">
      <c r="A146" s="15"/>
      <c r="B146" s="95" t="s">
        <v>2121</v>
      </c>
      <c r="C146" s="95" t="s">
        <v>45</v>
      </c>
      <c r="D146" s="96" t="s">
        <v>2122</v>
      </c>
      <c r="E146" s="16" t="s">
        <v>128</v>
      </c>
      <c r="F146" s="72"/>
      <c r="G146" s="17" t="s">
        <v>2318</v>
      </c>
      <c r="H146" s="18"/>
      <c r="I146" s="17"/>
      <c r="J146" s="19" t="s">
        <v>133</v>
      </c>
      <c r="K146" s="19" t="s">
        <v>1640</v>
      </c>
      <c r="L146" s="19" t="s">
        <v>67</v>
      </c>
    </row>
    <row r="147" spans="1:17" s="1" customFormat="1">
      <c r="A147" s="15"/>
      <c r="B147" s="11" t="s">
        <v>315</v>
      </c>
      <c r="C147" s="11" t="s">
        <v>45</v>
      </c>
      <c r="D147" s="9" t="s">
        <v>112</v>
      </c>
      <c r="E147" s="16" t="s">
        <v>128</v>
      </c>
      <c r="F147" s="72"/>
      <c r="G147" s="17" t="s">
        <v>1145</v>
      </c>
      <c r="H147" s="18"/>
      <c r="I147" s="17"/>
      <c r="J147" s="19" t="s">
        <v>133</v>
      </c>
      <c r="K147" s="19" t="s">
        <v>44</v>
      </c>
      <c r="L147" s="19" t="s">
        <v>67</v>
      </c>
    </row>
    <row r="148" spans="1:17" s="1" customFormat="1">
      <c r="A148" s="15"/>
      <c r="B148" s="11" t="s">
        <v>2257</v>
      </c>
      <c r="C148" s="11" t="s">
        <v>43</v>
      </c>
      <c r="D148" s="9" t="s">
        <v>1281</v>
      </c>
      <c r="E148" s="16" t="s">
        <v>55</v>
      </c>
      <c r="F148" s="13"/>
      <c r="G148" s="13" t="s">
        <v>2258</v>
      </c>
      <c r="H148" s="18"/>
      <c r="I148" s="87">
        <v>20250415101139</v>
      </c>
      <c r="J148" s="19" t="s">
        <v>133</v>
      </c>
      <c r="K148" s="19" t="s">
        <v>44</v>
      </c>
      <c r="L148" s="19" t="s">
        <v>1306</v>
      </c>
    </row>
    <row r="149" spans="1:17" s="1" customFormat="1">
      <c r="A149" s="15"/>
      <c r="B149" s="11" t="s">
        <v>2259</v>
      </c>
      <c r="C149" s="11" t="s">
        <v>43</v>
      </c>
      <c r="D149" s="9" t="s">
        <v>1284</v>
      </c>
      <c r="E149" s="16" t="s">
        <v>55</v>
      </c>
      <c r="F149" s="13"/>
      <c r="G149" s="13" t="s">
        <v>2260</v>
      </c>
      <c r="H149" s="18"/>
      <c r="I149" s="87">
        <v>20250415101024</v>
      </c>
      <c r="J149" s="19" t="s">
        <v>133</v>
      </c>
      <c r="K149" s="19" t="s">
        <v>44</v>
      </c>
      <c r="L149" s="19" t="s">
        <v>1306</v>
      </c>
    </row>
    <row r="150" spans="1:17" s="3" customFormat="1">
      <c r="B150" s="23" t="s">
        <v>47</v>
      </c>
      <c r="C150" s="24" t="s">
        <v>46</v>
      </c>
      <c r="D150" s="21" t="s">
        <v>48</v>
      </c>
      <c r="E150" s="44"/>
      <c r="F150" s="44"/>
      <c r="G150" s="44" t="s">
        <v>282</v>
      </c>
      <c r="H150" s="23" t="s">
        <v>282</v>
      </c>
      <c r="I150" s="23"/>
      <c r="J150" s="23"/>
      <c r="K150" s="23"/>
      <c r="L150" s="23"/>
      <c r="M150" s="23"/>
      <c r="N150" s="23"/>
      <c r="O150" s="23"/>
      <c r="P150" s="23"/>
      <c r="Q150" s="23"/>
    </row>
    <row r="151" spans="1:17" s="3" customFormat="1">
      <c r="B151" s="23" t="s">
        <v>49</v>
      </c>
      <c r="C151" s="24" t="s">
        <v>43</v>
      </c>
      <c r="D151" s="21" t="s">
        <v>50</v>
      </c>
      <c r="E151" s="44"/>
      <c r="F151" s="44"/>
      <c r="G151" s="44" t="s">
        <v>282</v>
      </c>
      <c r="H151" s="23" t="s">
        <v>282</v>
      </c>
      <c r="I151" s="23"/>
      <c r="J151" s="23"/>
      <c r="K151" s="23"/>
      <c r="L151" s="23"/>
      <c r="M151" s="23"/>
      <c r="N151" s="23"/>
      <c r="O151" s="23"/>
      <c r="P151" s="23"/>
      <c r="Q151" s="23"/>
    </row>
    <row r="152" spans="1:17" s="3" customFormat="1">
      <c r="B152" s="23" t="s">
        <v>51</v>
      </c>
      <c r="C152" s="24" t="s">
        <v>46</v>
      </c>
      <c r="D152" s="21" t="s">
        <v>52</v>
      </c>
      <c r="E152" s="44"/>
      <c r="F152" s="44"/>
      <c r="G152" s="44" t="s">
        <v>282</v>
      </c>
      <c r="H152" s="23" t="s">
        <v>282</v>
      </c>
      <c r="I152" s="23"/>
      <c r="J152" s="23"/>
      <c r="K152" s="23"/>
      <c r="L152" s="23"/>
      <c r="M152" s="23"/>
      <c r="N152" s="23"/>
      <c r="O152" s="23"/>
      <c r="P152" s="23"/>
      <c r="Q152" s="23"/>
    </row>
  </sheetData>
  <autoFilter ref="A13:Q152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BEAA-9A14-49E7-A9BE-EC0CD5DC6628}">
  <dimension ref="A1:Q38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6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26" t="s">
        <v>2727</v>
      </c>
      <c r="D5" s="10" t="s">
        <v>2730</v>
      </c>
      <c r="E5" s="11" t="s">
        <v>91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26" t="s">
        <v>2427</v>
      </c>
      <c r="D9" s="9" t="s">
        <v>2428</v>
      </c>
      <c r="E9" s="11" t="s">
        <v>55</v>
      </c>
      <c r="F9" s="17"/>
      <c r="G9" s="17"/>
      <c r="H9" s="14" t="s">
        <v>17</v>
      </c>
    </row>
    <row r="10" spans="2:14">
      <c r="B10" s="11"/>
      <c r="C10" s="9" t="s">
        <v>1310</v>
      </c>
      <c r="D10" s="9" t="s">
        <v>1296</v>
      </c>
      <c r="E10" s="11" t="s">
        <v>256</v>
      </c>
      <c r="F10" s="129" t="s">
        <v>1297</v>
      </c>
      <c r="G10" s="129"/>
      <c r="H10" s="14"/>
    </row>
    <row r="11" spans="2:14">
      <c r="B11" s="11"/>
      <c r="C11" s="9" t="s">
        <v>1311</v>
      </c>
      <c r="D11" s="9" t="s">
        <v>1298</v>
      </c>
      <c r="E11" s="11" t="s">
        <v>993</v>
      </c>
      <c r="F11" s="129" t="s">
        <v>1299</v>
      </c>
      <c r="G11" s="129"/>
      <c r="H11" s="11"/>
    </row>
    <row r="13" spans="2:14">
      <c r="B13" s="4" t="s">
        <v>32</v>
      </c>
    </row>
    <row r="14" spans="2:14">
      <c r="B14" s="124" t="s">
        <v>32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5" spans="2:14">
      <c r="B15" s="7" t="s">
        <v>33</v>
      </c>
      <c r="C15" s="7" t="s">
        <v>34</v>
      </c>
      <c r="D15" s="7" t="s">
        <v>35</v>
      </c>
      <c r="E15" s="7" t="s">
        <v>36</v>
      </c>
      <c r="F15" s="12" t="s">
        <v>37</v>
      </c>
      <c r="G15" s="12" t="s">
        <v>38</v>
      </c>
      <c r="H15" s="7" t="s">
        <v>39</v>
      </c>
      <c r="I15" s="7" t="s">
        <v>14</v>
      </c>
      <c r="J15" s="7" t="s">
        <v>40</v>
      </c>
      <c r="K15" s="7" t="s">
        <v>41</v>
      </c>
      <c r="L15" s="7" t="s">
        <v>42</v>
      </c>
    </row>
    <row r="16" spans="2:14" s="1" customFormat="1">
      <c r="B16" s="22" t="s">
        <v>1168</v>
      </c>
      <c r="C16" s="22" t="s">
        <v>43</v>
      </c>
      <c r="D16" s="9" t="s">
        <v>1265</v>
      </c>
      <c r="E16" s="16" t="s">
        <v>55</v>
      </c>
      <c r="F16" s="17" t="s">
        <v>49</v>
      </c>
      <c r="G16" s="17" t="s">
        <v>994</v>
      </c>
      <c r="H16" s="16"/>
      <c r="I16" s="19"/>
      <c r="J16" s="19" t="s">
        <v>60</v>
      </c>
      <c r="K16" s="19" t="s">
        <v>44</v>
      </c>
      <c r="L16" s="19" t="s">
        <v>674</v>
      </c>
    </row>
    <row r="17" spans="1:13" s="1" customFormat="1">
      <c r="B17" s="22" t="s">
        <v>1067</v>
      </c>
      <c r="C17" s="22" t="s">
        <v>46</v>
      </c>
      <c r="D17" s="9" t="s">
        <v>1160</v>
      </c>
      <c r="E17" s="16" t="s">
        <v>55</v>
      </c>
      <c r="F17" s="17" t="s">
        <v>51</v>
      </c>
      <c r="G17" s="17" t="s">
        <v>994</v>
      </c>
      <c r="H17" s="16"/>
      <c r="I17" s="19"/>
      <c r="J17" s="19" t="s">
        <v>60</v>
      </c>
      <c r="K17" s="19" t="s">
        <v>44</v>
      </c>
      <c r="L17" s="19" t="s">
        <v>675</v>
      </c>
    </row>
    <row r="18" spans="1:13" s="1" customFormat="1">
      <c r="A18" s="15"/>
      <c r="B18" s="22" t="s">
        <v>77</v>
      </c>
      <c r="C18" s="22" t="s">
        <v>46</v>
      </c>
      <c r="D18" s="9" t="s">
        <v>1266</v>
      </c>
      <c r="E18" s="16" t="s">
        <v>55</v>
      </c>
      <c r="F18" s="17" t="s">
        <v>77</v>
      </c>
      <c r="G18" s="17" t="s">
        <v>994</v>
      </c>
      <c r="H18" s="16"/>
      <c r="I18" s="20"/>
      <c r="J18" s="19" t="s">
        <v>60</v>
      </c>
      <c r="K18" s="19" t="s">
        <v>44</v>
      </c>
      <c r="L18" s="19" t="s">
        <v>677</v>
      </c>
    </row>
    <row r="19" spans="1:13" s="1" customFormat="1">
      <c r="A19" s="15"/>
      <c r="B19" s="22" t="s">
        <v>1068</v>
      </c>
      <c r="C19" s="22" t="s">
        <v>46</v>
      </c>
      <c r="D19" s="9" t="s">
        <v>1267</v>
      </c>
      <c r="E19" s="16" t="s">
        <v>55</v>
      </c>
      <c r="F19" s="17" t="s">
        <v>47</v>
      </c>
      <c r="G19" s="17" t="s">
        <v>994</v>
      </c>
      <c r="H19" s="16"/>
      <c r="I19" s="20"/>
      <c r="J19" s="19" t="s">
        <v>60</v>
      </c>
      <c r="K19" s="19" t="s">
        <v>44</v>
      </c>
      <c r="L19" s="19" t="s">
        <v>679</v>
      </c>
    </row>
    <row r="20" spans="1:13" s="1" customFormat="1">
      <c r="A20" s="15"/>
      <c r="B20" s="22" t="s">
        <v>61</v>
      </c>
      <c r="C20" s="22" t="s">
        <v>46</v>
      </c>
      <c r="D20" s="9" t="s">
        <v>100</v>
      </c>
      <c r="E20" s="16" t="s">
        <v>55</v>
      </c>
      <c r="F20" s="17" t="s">
        <v>65</v>
      </c>
      <c r="G20" s="17" t="s">
        <v>994</v>
      </c>
      <c r="H20" s="16"/>
      <c r="I20" s="20"/>
      <c r="J20" s="19" t="s">
        <v>60</v>
      </c>
      <c r="K20" s="19" t="s">
        <v>44</v>
      </c>
      <c r="L20" s="19" t="s">
        <v>679</v>
      </c>
    </row>
    <row r="21" spans="1:13" s="1" customFormat="1">
      <c r="A21" s="15"/>
      <c r="B21" s="22" t="s">
        <v>62</v>
      </c>
      <c r="C21" s="22" t="s">
        <v>46</v>
      </c>
      <c r="D21" s="9" t="s">
        <v>1268</v>
      </c>
      <c r="E21" s="16" t="s">
        <v>55</v>
      </c>
      <c r="F21" s="17" t="s">
        <v>62</v>
      </c>
      <c r="G21" s="17" t="s">
        <v>994</v>
      </c>
      <c r="H21" s="16"/>
      <c r="I21" s="20"/>
      <c r="J21" s="19" t="s">
        <v>60</v>
      </c>
      <c r="K21" s="19" t="s">
        <v>44</v>
      </c>
      <c r="L21" s="19" t="s">
        <v>679</v>
      </c>
    </row>
    <row r="22" spans="1:13" s="1" customFormat="1">
      <c r="A22" s="15"/>
      <c r="B22" s="11" t="s">
        <v>1069</v>
      </c>
      <c r="C22" s="22" t="s">
        <v>43</v>
      </c>
      <c r="D22" s="9" t="s">
        <v>1269</v>
      </c>
      <c r="E22" s="16" t="s">
        <v>55</v>
      </c>
      <c r="F22" s="17" t="s">
        <v>1069</v>
      </c>
      <c r="G22" s="17" t="s">
        <v>994</v>
      </c>
      <c r="H22" s="16"/>
      <c r="I22" s="20"/>
      <c r="J22" s="19" t="s">
        <v>60</v>
      </c>
      <c r="K22" s="19" t="s">
        <v>44</v>
      </c>
      <c r="L22" s="19" t="s">
        <v>44</v>
      </c>
    </row>
    <row r="23" spans="1:13" s="1" customFormat="1">
      <c r="A23" s="15"/>
      <c r="B23" s="11" t="s">
        <v>1270</v>
      </c>
      <c r="C23" s="22" t="s">
        <v>43</v>
      </c>
      <c r="D23" s="9" t="s">
        <v>1271</v>
      </c>
      <c r="E23" s="16" t="s">
        <v>55</v>
      </c>
      <c r="F23" s="17" t="s">
        <v>81</v>
      </c>
      <c r="G23" s="17" t="s">
        <v>994</v>
      </c>
      <c r="H23" s="16"/>
      <c r="I23" s="20"/>
      <c r="J23" s="19" t="s">
        <v>60</v>
      </c>
      <c r="K23" s="19" t="s">
        <v>44</v>
      </c>
      <c r="L23" s="19" t="s">
        <v>44</v>
      </c>
    </row>
    <row r="24" spans="1:13" s="1" customFormat="1">
      <c r="A24" s="15"/>
      <c r="B24" s="11" t="s">
        <v>58</v>
      </c>
      <c r="C24" s="22" t="s">
        <v>43</v>
      </c>
      <c r="D24" s="9" t="s">
        <v>59</v>
      </c>
      <c r="E24" s="16" t="s">
        <v>55</v>
      </c>
      <c r="F24" s="17" t="s">
        <v>58</v>
      </c>
      <c r="G24" s="17" t="s">
        <v>994</v>
      </c>
      <c r="H24" s="16"/>
      <c r="I24" s="20"/>
      <c r="J24" s="19" t="s">
        <v>60</v>
      </c>
      <c r="K24" s="19" t="s">
        <v>44</v>
      </c>
      <c r="L24" s="19" t="s">
        <v>44</v>
      </c>
    </row>
    <row r="25" spans="1:13" s="1" customFormat="1">
      <c r="A25" s="15"/>
      <c r="B25" s="11" t="s">
        <v>1272</v>
      </c>
      <c r="C25" s="22" t="s">
        <v>43</v>
      </c>
      <c r="D25" s="9" t="s">
        <v>1273</v>
      </c>
      <c r="E25" s="16" t="s">
        <v>55</v>
      </c>
      <c r="F25" s="17" t="s">
        <v>82</v>
      </c>
      <c r="G25" s="17" t="s">
        <v>994</v>
      </c>
      <c r="H25" s="16"/>
      <c r="I25" s="20"/>
      <c r="J25" s="19" t="s">
        <v>60</v>
      </c>
      <c r="K25" s="19" t="s">
        <v>44</v>
      </c>
      <c r="L25" s="19" t="s">
        <v>44</v>
      </c>
    </row>
    <row r="26" spans="1:13" s="1" customFormat="1">
      <c r="A26" s="15"/>
      <c r="B26" s="11" t="s">
        <v>85</v>
      </c>
      <c r="C26" s="11" t="s">
        <v>43</v>
      </c>
      <c r="D26" s="9" t="s">
        <v>1274</v>
      </c>
      <c r="E26" s="16" t="s">
        <v>55</v>
      </c>
      <c r="F26" s="17" t="s">
        <v>85</v>
      </c>
      <c r="G26" s="17" t="s">
        <v>994</v>
      </c>
      <c r="H26" s="16"/>
      <c r="I26" s="35"/>
      <c r="J26" s="19" t="s">
        <v>60</v>
      </c>
      <c r="K26" s="19" t="s">
        <v>44</v>
      </c>
      <c r="L26" s="19" t="s">
        <v>44</v>
      </c>
    </row>
    <row r="27" spans="1:13" s="1" customFormat="1">
      <c r="A27" s="15"/>
      <c r="B27" s="11" t="s">
        <v>1275</v>
      </c>
      <c r="C27" s="11" t="s">
        <v>43</v>
      </c>
      <c r="D27" s="9" t="s">
        <v>1276</v>
      </c>
      <c r="E27" s="16" t="s">
        <v>55</v>
      </c>
      <c r="F27" s="17"/>
      <c r="G27" s="17" t="s">
        <v>2731</v>
      </c>
      <c r="H27" s="16"/>
      <c r="I27" s="20"/>
      <c r="J27" s="19" t="s">
        <v>60</v>
      </c>
      <c r="K27" s="19" t="s">
        <v>44</v>
      </c>
      <c r="L27" s="19" t="s">
        <v>44</v>
      </c>
    </row>
    <row r="28" spans="1:13" s="1" customFormat="1">
      <c r="A28" s="15"/>
      <c r="B28" s="11" t="s">
        <v>1277</v>
      </c>
      <c r="C28" s="11" t="s">
        <v>43</v>
      </c>
      <c r="D28" s="9" t="s">
        <v>1278</v>
      </c>
      <c r="E28" s="16" t="s">
        <v>256</v>
      </c>
      <c r="F28" s="17" t="s">
        <v>1279</v>
      </c>
      <c r="G28" s="17" t="s">
        <v>994</v>
      </c>
      <c r="H28" s="16"/>
      <c r="I28" s="20"/>
      <c r="J28" s="19" t="s">
        <v>60</v>
      </c>
      <c r="K28" s="19" t="s">
        <v>44</v>
      </c>
      <c r="L28" s="19" t="s">
        <v>44</v>
      </c>
    </row>
    <row r="29" spans="1:13" s="1" customFormat="1">
      <c r="A29" s="15"/>
      <c r="B29" s="11" t="s">
        <v>1280</v>
      </c>
      <c r="C29" s="11" t="s">
        <v>43</v>
      </c>
      <c r="D29" s="9" t="s">
        <v>1281</v>
      </c>
      <c r="E29" s="16" t="s">
        <v>55</v>
      </c>
      <c r="F29" s="17"/>
      <c r="G29" s="17" t="s">
        <v>1282</v>
      </c>
      <c r="H29" s="16"/>
      <c r="I29" s="20"/>
      <c r="J29" s="19" t="s">
        <v>1186</v>
      </c>
      <c r="K29" s="19" t="s">
        <v>44</v>
      </c>
      <c r="L29" s="19" t="s">
        <v>44</v>
      </c>
    </row>
    <row r="30" spans="1:13" s="1" customFormat="1">
      <c r="A30" s="15"/>
      <c r="B30" s="11" t="s">
        <v>1283</v>
      </c>
      <c r="C30" s="11" t="s">
        <v>43</v>
      </c>
      <c r="D30" s="9" t="s">
        <v>1284</v>
      </c>
      <c r="E30" s="16" t="s">
        <v>55</v>
      </c>
      <c r="F30" s="17"/>
      <c r="G30" s="17" t="s">
        <v>1285</v>
      </c>
      <c r="H30" s="16"/>
      <c r="I30" s="20"/>
      <c r="J30" s="19" t="s">
        <v>1186</v>
      </c>
      <c r="K30" s="19" t="s">
        <v>44</v>
      </c>
      <c r="L30" s="19" t="s">
        <v>44</v>
      </c>
    </row>
    <row r="31" spans="1:13" s="1" customFormat="1">
      <c r="B31" s="22" t="s">
        <v>1286</v>
      </c>
      <c r="C31" s="11" t="s">
        <v>45</v>
      </c>
      <c r="D31" s="9" t="s">
        <v>1287</v>
      </c>
      <c r="E31" s="16" t="s">
        <v>55</v>
      </c>
      <c r="F31" s="17"/>
      <c r="G31" s="17" t="s">
        <v>2593</v>
      </c>
      <c r="H31" s="16"/>
      <c r="I31" s="19"/>
      <c r="J31" s="19" t="s">
        <v>1186</v>
      </c>
      <c r="K31" s="19" t="s">
        <v>44</v>
      </c>
      <c r="L31" s="19" t="s">
        <v>67</v>
      </c>
    </row>
    <row r="32" spans="1:13" s="15" customFormat="1">
      <c r="B32" s="22" t="s">
        <v>145</v>
      </c>
      <c r="C32" s="11" t="s">
        <v>45</v>
      </c>
      <c r="D32" s="9" t="s">
        <v>1288</v>
      </c>
      <c r="E32" s="16" t="s">
        <v>55</v>
      </c>
      <c r="F32" s="17"/>
      <c r="G32" s="17" t="s">
        <v>2732</v>
      </c>
      <c r="H32" s="16"/>
      <c r="I32" s="20"/>
      <c r="J32" s="19" t="s">
        <v>1186</v>
      </c>
      <c r="K32" s="19" t="s">
        <v>44</v>
      </c>
      <c r="L32" s="19" t="s">
        <v>67</v>
      </c>
      <c r="M32" s="1"/>
    </row>
    <row r="33" spans="1:17" s="1" customFormat="1">
      <c r="A33" s="15"/>
      <c r="B33" s="11" t="s">
        <v>1290</v>
      </c>
      <c r="C33" s="11" t="s">
        <v>56</v>
      </c>
      <c r="D33" s="9" t="s">
        <v>1291</v>
      </c>
      <c r="E33" s="16" t="s">
        <v>55</v>
      </c>
      <c r="F33" s="17"/>
      <c r="G33" s="17" t="s">
        <v>2733</v>
      </c>
      <c r="H33" s="18"/>
      <c r="I33" s="17"/>
      <c r="J33" s="19" t="s">
        <v>1186</v>
      </c>
      <c r="K33" s="19" t="s">
        <v>44</v>
      </c>
      <c r="L33" s="19" t="s">
        <v>1292</v>
      </c>
    </row>
    <row r="34" spans="1:17" s="1" customFormat="1">
      <c r="A34" s="15"/>
      <c r="B34" s="11" t="s">
        <v>254</v>
      </c>
      <c r="C34" s="69" t="s">
        <v>45</v>
      </c>
      <c r="D34" s="9" t="s">
        <v>1293</v>
      </c>
      <c r="E34" s="16" t="s">
        <v>55</v>
      </c>
      <c r="F34" s="17"/>
      <c r="G34" s="17" t="s">
        <v>1667</v>
      </c>
      <c r="H34" s="18"/>
      <c r="I34" s="17"/>
      <c r="J34" s="19" t="s">
        <v>1186</v>
      </c>
      <c r="K34" s="19" t="s">
        <v>202</v>
      </c>
      <c r="L34" s="19" t="s">
        <v>67</v>
      </c>
    </row>
    <row r="35" spans="1:17" s="1" customFormat="1">
      <c r="A35" s="15"/>
      <c r="B35" s="11" t="s">
        <v>1294</v>
      </c>
      <c r="C35" s="69" t="s">
        <v>45</v>
      </c>
      <c r="D35" s="9" t="s">
        <v>1295</v>
      </c>
      <c r="E35" s="16" t="s">
        <v>55</v>
      </c>
      <c r="F35" s="17"/>
      <c r="G35" s="17" t="s">
        <v>1309</v>
      </c>
      <c r="H35" s="18"/>
      <c r="I35" s="17"/>
      <c r="J35" s="19" t="s">
        <v>1186</v>
      </c>
      <c r="K35" s="19" t="s">
        <v>204</v>
      </c>
      <c r="L35" s="19" t="s">
        <v>67</v>
      </c>
    </row>
    <row r="36" spans="1:17" s="3" customFormat="1">
      <c r="B36" s="23" t="s">
        <v>47</v>
      </c>
      <c r="C36" s="24" t="s">
        <v>46</v>
      </c>
      <c r="D36" s="21" t="s">
        <v>48</v>
      </c>
      <c r="E36" s="44"/>
      <c r="F36" s="44"/>
      <c r="G36" s="44" t="s">
        <v>282</v>
      </c>
      <c r="H36" s="23" t="s">
        <v>282</v>
      </c>
      <c r="I36" s="23"/>
      <c r="J36" s="23"/>
      <c r="K36" s="23"/>
      <c r="L36" s="23"/>
      <c r="M36" s="23"/>
      <c r="N36" s="23"/>
      <c r="O36" s="23"/>
      <c r="P36" s="23"/>
      <c r="Q36" s="23"/>
    </row>
    <row r="37" spans="1:17" s="3" customFormat="1">
      <c r="B37" s="23" t="s">
        <v>49</v>
      </c>
      <c r="C37" s="24" t="s">
        <v>43</v>
      </c>
      <c r="D37" s="21" t="s">
        <v>50</v>
      </c>
      <c r="E37" s="44"/>
      <c r="F37" s="44"/>
      <c r="G37" s="44" t="s">
        <v>282</v>
      </c>
      <c r="H37" s="23" t="s">
        <v>282</v>
      </c>
      <c r="I37" s="23"/>
      <c r="J37" s="23"/>
      <c r="K37" s="23"/>
      <c r="L37" s="23"/>
      <c r="M37" s="23"/>
      <c r="N37" s="23"/>
      <c r="O37" s="23"/>
      <c r="P37" s="23"/>
      <c r="Q37" s="23"/>
    </row>
    <row r="38" spans="1:17" s="3" customFormat="1">
      <c r="B38" s="23" t="s">
        <v>51</v>
      </c>
      <c r="C38" s="24" t="s">
        <v>46</v>
      </c>
      <c r="D38" s="21" t="s">
        <v>52</v>
      </c>
      <c r="E38" s="44"/>
      <c r="F38" s="44"/>
      <c r="G38" s="44" t="s">
        <v>282</v>
      </c>
      <c r="H38" s="23" t="s">
        <v>282</v>
      </c>
      <c r="I38" s="23"/>
      <c r="J38" s="23"/>
      <c r="K38" s="23"/>
      <c r="L38" s="23"/>
      <c r="M38" s="23"/>
      <c r="N38" s="23"/>
      <c r="O38" s="23"/>
      <c r="P38" s="23"/>
      <c r="Q38" s="23"/>
    </row>
  </sheetData>
  <autoFilter ref="A15:Q38" xr:uid="{E16EFA29-E820-4A10-98BC-CF6E577605DD}"/>
  <mergeCells count="6">
    <mergeCell ref="B2:H2"/>
    <mergeCell ref="B3:H3"/>
    <mergeCell ref="B7:H7"/>
    <mergeCell ref="B14:L14"/>
    <mergeCell ref="F10:G10"/>
    <mergeCell ref="F11:G11"/>
  </mergeCells>
  <phoneticPr fontId="16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3CA4-D82A-44F5-A999-4A86EAD1AA0E}">
  <dimension ref="A1:Q149"/>
  <sheetViews>
    <sheetView zoomScale="85" zoomScaleNormal="85" workbookViewId="0">
      <pane ySplit="5" topLeftCell="A6" activePane="bottomLeft" state="frozen"/>
      <selection activeCell="G45" sqref="G45"/>
      <selection pane="bottomLeft" activeCell="C10" sqref="C10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8.66406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3055</v>
      </c>
      <c r="D5" s="9" t="s">
        <v>3056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2427</v>
      </c>
      <c r="D9" s="9" t="s">
        <v>2428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6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6"/>
      <c r="I16" s="20"/>
      <c r="J16" s="19" t="s">
        <v>131</v>
      </c>
      <c r="K16" s="19" t="s">
        <v>132</v>
      </c>
      <c r="L16" s="19" t="s">
        <v>677</v>
      </c>
    </row>
    <row r="17" spans="1:13" s="1" customFormat="1">
      <c r="A17" s="15"/>
      <c r="B17" s="22" t="s">
        <v>80</v>
      </c>
      <c r="C17" s="22" t="s">
        <v>94</v>
      </c>
      <c r="D17" s="9" t="s">
        <v>99</v>
      </c>
      <c r="E17" s="16" t="s">
        <v>128</v>
      </c>
      <c r="F17" s="17" t="s">
        <v>80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678</v>
      </c>
    </row>
    <row r="18" spans="1:13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138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123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124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679</v>
      </c>
    </row>
    <row r="21" spans="1:13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318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273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272</v>
      </c>
      <c r="G23" s="17" t="s">
        <v>129</v>
      </c>
      <c r="H23" s="16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81</v>
      </c>
      <c r="C24" s="11" t="s">
        <v>43</v>
      </c>
      <c r="D24" s="9" t="s">
        <v>57</v>
      </c>
      <c r="E24" s="16" t="s">
        <v>128</v>
      </c>
      <c r="F24" s="17" t="s">
        <v>81</v>
      </c>
      <c r="G24" s="17" t="s">
        <v>129</v>
      </c>
      <c r="H24" s="16"/>
      <c r="I24" s="20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58</v>
      </c>
      <c r="C25" s="11" t="s">
        <v>43</v>
      </c>
      <c r="D25" s="9" t="s">
        <v>59</v>
      </c>
      <c r="E25" s="16" t="s">
        <v>128</v>
      </c>
      <c r="F25" s="9" t="s">
        <v>58</v>
      </c>
      <c r="G25" s="17" t="s">
        <v>129</v>
      </c>
      <c r="H25" s="16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A26" s="15"/>
      <c r="B26" s="11" t="s">
        <v>82</v>
      </c>
      <c r="C26" s="11" t="s">
        <v>43</v>
      </c>
      <c r="D26" s="9" t="s">
        <v>105</v>
      </c>
      <c r="E26" s="16" t="s">
        <v>128</v>
      </c>
      <c r="F26" s="17" t="s">
        <v>82</v>
      </c>
      <c r="G26" s="17" t="s">
        <v>129</v>
      </c>
      <c r="H26" s="16"/>
      <c r="I26" s="20"/>
      <c r="J26" s="19" t="s">
        <v>131</v>
      </c>
      <c r="K26" s="19" t="s">
        <v>132</v>
      </c>
      <c r="L26" s="19" t="s">
        <v>44</v>
      </c>
    </row>
    <row r="27" spans="1:13" s="1" customFormat="1">
      <c r="B27" s="22" t="s">
        <v>85</v>
      </c>
      <c r="C27" s="11" t="s">
        <v>43</v>
      </c>
      <c r="D27" s="9" t="s">
        <v>107</v>
      </c>
      <c r="E27" s="16" t="s">
        <v>128</v>
      </c>
      <c r="F27" s="17" t="s">
        <v>85</v>
      </c>
      <c r="G27" s="17" t="s">
        <v>129</v>
      </c>
      <c r="H27" s="16"/>
      <c r="I27" s="19"/>
      <c r="J27" s="19" t="s">
        <v>131</v>
      </c>
      <c r="K27" s="19" t="s">
        <v>132</v>
      </c>
      <c r="L27" s="19" t="s">
        <v>44</v>
      </c>
    </row>
    <row r="28" spans="1:13" s="15" customFormat="1">
      <c r="B28" s="22" t="s">
        <v>87</v>
      </c>
      <c r="C28" s="11" t="s">
        <v>43</v>
      </c>
      <c r="D28" s="9" t="s">
        <v>109</v>
      </c>
      <c r="E28" s="16" t="s">
        <v>128</v>
      </c>
      <c r="F28" s="17" t="s">
        <v>87</v>
      </c>
      <c r="G28" s="17" t="s">
        <v>129</v>
      </c>
      <c r="H28" s="16"/>
      <c r="I28" s="20"/>
      <c r="J28" s="19" t="s">
        <v>131</v>
      </c>
      <c r="K28" s="19" t="s">
        <v>132</v>
      </c>
      <c r="L28" s="19" t="s">
        <v>679</v>
      </c>
      <c r="M28" s="1"/>
    </row>
    <row r="29" spans="1:13" s="1" customFormat="1">
      <c r="A29" s="15"/>
      <c r="B29" s="11" t="s">
        <v>145</v>
      </c>
      <c r="C29" s="11" t="s">
        <v>45</v>
      </c>
      <c r="D29" s="9" t="s">
        <v>146</v>
      </c>
      <c r="E29" s="16" t="s">
        <v>128</v>
      </c>
      <c r="F29" s="17"/>
      <c r="G29" s="17" t="s">
        <v>1289</v>
      </c>
      <c r="H29" s="18"/>
      <c r="I29" s="17"/>
      <c r="J29" s="19" t="s">
        <v>133</v>
      </c>
      <c r="K29" s="19" t="s">
        <v>132</v>
      </c>
      <c r="L29" s="19" t="s">
        <v>134</v>
      </c>
    </row>
    <row r="30" spans="1:13" s="1" customFormat="1">
      <c r="A30" s="15"/>
      <c r="B30" s="11" t="s">
        <v>192</v>
      </c>
      <c r="C30" s="11" t="s">
        <v>45</v>
      </c>
      <c r="D30" s="9" t="s">
        <v>193</v>
      </c>
      <c r="E30" s="16" t="s">
        <v>128</v>
      </c>
      <c r="F30" s="17"/>
      <c r="G30" s="17" t="s">
        <v>2265</v>
      </c>
      <c r="H30" s="18"/>
      <c r="I30" s="17"/>
      <c r="J30" s="19" t="s">
        <v>133</v>
      </c>
      <c r="K30" s="19" t="s">
        <v>132</v>
      </c>
      <c r="L30" s="19" t="s">
        <v>134</v>
      </c>
    </row>
    <row r="31" spans="1:13" s="1" customFormat="1">
      <c r="A31" s="15"/>
      <c r="B31" s="22" t="s">
        <v>255</v>
      </c>
      <c r="C31" s="22" t="s">
        <v>45</v>
      </c>
      <c r="D31" s="9" t="s">
        <v>348</v>
      </c>
      <c r="E31" s="16" t="s">
        <v>128</v>
      </c>
      <c r="F31" s="17"/>
      <c r="G31" s="17" t="s">
        <v>1667</v>
      </c>
      <c r="H31" s="18"/>
      <c r="I31" s="17"/>
      <c r="J31" s="19" t="s">
        <v>133</v>
      </c>
      <c r="K31" s="19" t="s">
        <v>203</v>
      </c>
      <c r="L31" s="19" t="s">
        <v>134</v>
      </c>
    </row>
    <row r="32" spans="1:13" s="1" customFormat="1">
      <c r="A32" s="15"/>
      <c r="B32" s="11" t="s">
        <v>207</v>
      </c>
      <c r="C32" s="11" t="s">
        <v>45</v>
      </c>
      <c r="D32" s="9" t="s">
        <v>759</v>
      </c>
      <c r="E32" s="16" t="s">
        <v>128</v>
      </c>
      <c r="F32" s="72"/>
      <c r="G32" s="17" t="s">
        <v>1200</v>
      </c>
      <c r="H32" s="18"/>
      <c r="I32" s="17"/>
      <c r="J32" s="19" t="s">
        <v>133</v>
      </c>
      <c r="K32" s="19" t="s">
        <v>204</v>
      </c>
      <c r="L32" s="19" t="s">
        <v>134</v>
      </c>
    </row>
    <row r="33" spans="1:12" s="1" customFormat="1">
      <c r="A33" s="15"/>
      <c r="B33" s="11" t="s">
        <v>208</v>
      </c>
      <c r="C33" s="11" t="s">
        <v>45</v>
      </c>
      <c r="D33" s="9" t="s">
        <v>160</v>
      </c>
      <c r="E33" s="16" t="s">
        <v>128</v>
      </c>
      <c r="F33" s="72"/>
      <c r="G33" s="17" t="s">
        <v>1201</v>
      </c>
      <c r="H33" s="18"/>
      <c r="I33" s="17"/>
      <c r="J33" s="19" t="s">
        <v>133</v>
      </c>
      <c r="K33" s="19" t="s">
        <v>204</v>
      </c>
      <c r="L33" s="19" t="s">
        <v>134</v>
      </c>
    </row>
    <row r="34" spans="1:12" s="1" customFormat="1">
      <c r="A34" s="15"/>
      <c r="B34" s="11" t="s">
        <v>210</v>
      </c>
      <c r="C34" s="11" t="s">
        <v>45</v>
      </c>
      <c r="D34" s="9" t="s">
        <v>1056</v>
      </c>
      <c r="E34" s="16" t="s">
        <v>128</v>
      </c>
      <c r="F34" s="72"/>
      <c r="G34" s="17" t="s">
        <v>224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209</v>
      </c>
      <c r="C35" s="11" t="s">
        <v>45</v>
      </c>
      <c r="D35" s="9" t="s">
        <v>1055</v>
      </c>
      <c r="E35" s="16" t="s">
        <v>128</v>
      </c>
      <c r="F35" s="72"/>
      <c r="G35" s="17" t="s">
        <v>223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211</v>
      </c>
      <c r="C36" s="11" t="s">
        <v>45</v>
      </c>
      <c r="D36" s="9" t="s">
        <v>163</v>
      </c>
      <c r="E36" s="16" t="s">
        <v>128</v>
      </c>
      <c r="F36" s="72"/>
      <c r="G36" s="17" t="s">
        <v>225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212</v>
      </c>
      <c r="C37" s="11" t="s">
        <v>45</v>
      </c>
      <c r="D37" s="9" t="s">
        <v>164</v>
      </c>
      <c r="E37" s="16" t="s">
        <v>128</v>
      </c>
      <c r="F37" s="72"/>
      <c r="G37" s="17" t="s">
        <v>226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213</v>
      </c>
      <c r="C38" s="11" t="s">
        <v>45</v>
      </c>
      <c r="D38" s="9" t="s">
        <v>165</v>
      </c>
      <c r="E38" s="16" t="s">
        <v>128</v>
      </c>
      <c r="F38" s="72"/>
      <c r="G38" s="17" t="s">
        <v>1114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214</v>
      </c>
      <c r="C39" s="11" t="s">
        <v>45</v>
      </c>
      <c r="D39" s="9" t="s">
        <v>166</v>
      </c>
      <c r="E39" s="16" t="s">
        <v>128</v>
      </c>
      <c r="F39" s="72"/>
      <c r="G39" s="17" t="s">
        <v>1115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217</v>
      </c>
      <c r="C40" s="11" t="s">
        <v>45</v>
      </c>
      <c r="D40" s="9" t="s">
        <v>171</v>
      </c>
      <c r="E40" s="16" t="s">
        <v>128</v>
      </c>
      <c r="F40" s="72"/>
      <c r="G40" s="17" t="s">
        <v>1116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218</v>
      </c>
      <c r="C41" s="11" t="s">
        <v>45</v>
      </c>
      <c r="D41" s="9" t="s">
        <v>172</v>
      </c>
      <c r="E41" s="16" t="s">
        <v>128</v>
      </c>
      <c r="F41" s="72"/>
      <c r="G41" s="17" t="s">
        <v>1117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219</v>
      </c>
      <c r="C42" s="11" t="s">
        <v>45</v>
      </c>
      <c r="D42" s="9" t="s">
        <v>173</v>
      </c>
      <c r="E42" s="16" t="s">
        <v>128</v>
      </c>
      <c r="F42" s="72"/>
      <c r="G42" s="17" t="s">
        <v>1118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220</v>
      </c>
      <c r="C43" s="11" t="s">
        <v>45</v>
      </c>
      <c r="D43" s="9" t="s">
        <v>174</v>
      </c>
      <c r="E43" s="16" t="s">
        <v>128</v>
      </c>
      <c r="F43" s="72"/>
      <c r="G43" s="17" t="s">
        <v>1119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215</v>
      </c>
      <c r="C44" s="11" t="s">
        <v>45</v>
      </c>
      <c r="D44" s="9" t="s">
        <v>1260</v>
      </c>
      <c r="E44" s="16" t="s">
        <v>128</v>
      </c>
      <c r="F44" s="72"/>
      <c r="G44" s="17" t="s">
        <v>227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216</v>
      </c>
      <c r="C45" s="11" t="s">
        <v>45</v>
      </c>
      <c r="D45" s="9" t="s">
        <v>1261</v>
      </c>
      <c r="E45" s="16" t="s">
        <v>128</v>
      </c>
      <c r="F45" s="72"/>
      <c r="G45" s="17" t="s">
        <v>228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316</v>
      </c>
      <c r="C46" s="11" t="s">
        <v>45</v>
      </c>
      <c r="D46" s="9" t="s">
        <v>167</v>
      </c>
      <c r="E46" s="16" t="s">
        <v>128</v>
      </c>
      <c r="F46" s="72"/>
      <c r="G46" s="17" t="s">
        <v>772</v>
      </c>
      <c r="H46" s="18"/>
      <c r="I46" s="17"/>
      <c r="J46" s="19" t="s">
        <v>133</v>
      </c>
      <c r="K46" s="19" t="s">
        <v>202</v>
      </c>
      <c r="L46" s="19" t="s">
        <v>67</v>
      </c>
    </row>
    <row r="47" spans="1:12" s="1" customFormat="1">
      <c r="A47" s="15"/>
      <c r="B47" s="11" t="s">
        <v>809</v>
      </c>
      <c r="C47" s="11" t="s">
        <v>45</v>
      </c>
      <c r="D47" s="9" t="s">
        <v>175</v>
      </c>
      <c r="E47" s="16" t="s">
        <v>128</v>
      </c>
      <c r="F47" s="72"/>
      <c r="G47" s="17" t="s">
        <v>1120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317</v>
      </c>
      <c r="C48" s="11" t="s">
        <v>45</v>
      </c>
      <c r="D48" s="9" t="s">
        <v>168</v>
      </c>
      <c r="E48" s="16" t="s">
        <v>128</v>
      </c>
      <c r="F48" s="72"/>
      <c r="G48" s="17" t="s">
        <v>778</v>
      </c>
      <c r="H48" s="18"/>
      <c r="I48" s="17"/>
      <c r="J48" s="19" t="s">
        <v>133</v>
      </c>
      <c r="K48" s="19" t="s">
        <v>202</v>
      </c>
      <c r="L48" s="19" t="s">
        <v>67</v>
      </c>
    </row>
    <row r="49" spans="1:12" s="1" customFormat="1">
      <c r="A49" s="15"/>
      <c r="B49" s="11" t="s">
        <v>810</v>
      </c>
      <c r="C49" s="11" t="s">
        <v>45</v>
      </c>
      <c r="D49" s="9" t="s">
        <v>176</v>
      </c>
      <c r="E49" s="16" t="s">
        <v>128</v>
      </c>
      <c r="F49" s="72"/>
      <c r="G49" s="17" t="s">
        <v>1121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1213</v>
      </c>
      <c r="C50" s="11" t="s">
        <v>45</v>
      </c>
      <c r="D50" s="9" t="s">
        <v>178</v>
      </c>
      <c r="E50" s="16" t="s">
        <v>128</v>
      </c>
      <c r="F50" s="72"/>
      <c r="G50" s="17" t="s">
        <v>2266</v>
      </c>
      <c r="H50" s="18"/>
      <c r="I50" s="17"/>
      <c r="J50" s="19" t="s">
        <v>133</v>
      </c>
      <c r="K50" s="19" t="s">
        <v>202</v>
      </c>
      <c r="L50" s="19" t="s">
        <v>67</v>
      </c>
    </row>
    <row r="51" spans="1:12" s="1" customFormat="1">
      <c r="A51" s="15"/>
      <c r="B51" s="11" t="s">
        <v>221</v>
      </c>
      <c r="C51" s="11" t="s">
        <v>45</v>
      </c>
      <c r="D51" s="9" t="s">
        <v>177</v>
      </c>
      <c r="E51" s="16" t="s">
        <v>128</v>
      </c>
      <c r="F51" s="72"/>
      <c r="G51" s="17" t="s">
        <v>1122</v>
      </c>
      <c r="H51" s="18"/>
      <c r="I51" s="17"/>
      <c r="J51" s="19" t="s">
        <v>133</v>
      </c>
      <c r="K51" s="19" t="s">
        <v>204</v>
      </c>
      <c r="L51" s="19" t="s">
        <v>67</v>
      </c>
    </row>
    <row r="52" spans="1:12" s="1" customFormat="1">
      <c r="A52" s="15"/>
      <c r="B52" s="11" t="s">
        <v>1212</v>
      </c>
      <c r="C52" s="11" t="s">
        <v>45</v>
      </c>
      <c r="D52" s="9" t="s">
        <v>180</v>
      </c>
      <c r="E52" s="16" t="s">
        <v>128</v>
      </c>
      <c r="F52" s="72"/>
      <c r="G52" s="17" t="s">
        <v>2267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222</v>
      </c>
      <c r="C53" s="11" t="s">
        <v>45</v>
      </c>
      <c r="D53" s="9" t="s">
        <v>179</v>
      </c>
      <c r="E53" s="16" t="s">
        <v>128</v>
      </c>
      <c r="F53" s="72"/>
      <c r="G53" s="17" t="s">
        <v>1123</v>
      </c>
      <c r="H53" s="18"/>
      <c r="I53" s="17"/>
      <c r="J53" s="19" t="s">
        <v>133</v>
      </c>
      <c r="K53" s="19" t="s">
        <v>204</v>
      </c>
      <c r="L53" s="19" t="s">
        <v>67</v>
      </c>
    </row>
    <row r="54" spans="1:12" s="1" customFormat="1">
      <c r="A54" s="15"/>
      <c r="B54" s="11" t="s">
        <v>2167</v>
      </c>
      <c r="C54" s="11" t="s">
        <v>45</v>
      </c>
      <c r="D54" s="9" t="s">
        <v>2165</v>
      </c>
      <c r="E54" s="16" t="s">
        <v>128</v>
      </c>
      <c r="F54" s="72"/>
      <c r="G54" s="17" t="s">
        <v>2268</v>
      </c>
      <c r="H54" s="18"/>
      <c r="I54" s="17"/>
      <c r="J54" s="19" t="s">
        <v>133</v>
      </c>
      <c r="K54" s="19" t="s">
        <v>903</v>
      </c>
      <c r="L54" s="19" t="s">
        <v>134</v>
      </c>
    </row>
    <row r="55" spans="1:12" s="1" customFormat="1">
      <c r="A55" s="15"/>
      <c r="B55" s="11" t="s">
        <v>2168</v>
      </c>
      <c r="C55" s="11" t="s">
        <v>45</v>
      </c>
      <c r="D55" s="9" t="s">
        <v>2166</v>
      </c>
      <c r="E55" s="16" t="s">
        <v>128</v>
      </c>
      <c r="F55" s="72"/>
      <c r="G55" s="17" t="s">
        <v>2269</v>
      </c>
      <c r="H55" s="18"/>
      <c r="I55" s="17"/>
      <c r="J55" s="19" t="s">
        <v>133</v>
      </c>
      <c r="K55" s="19" t="s">
        <v>903</v>
      </c>
      <c r="L55" s="19" t="s">
        <v>134</v>
      </c>
    </row>
    <row r="56" spans="1:12" s="1" customFormat="1">
      <c r="A56" s="15"/>
      <c r="B56" s="11" t="s">
        <v>2179</v>
      </c>
      <c r="C56" s="11" t="s">
        <v>45</v>
      </c>
      <c r="D56" s="9" t="s">
        <v>2011</v>
      </c>
      <c r="E56" s="16" t="s">
        <v>128</v>
      </c>
      <c r="F56" s="72"/>
      <c r="G56" s="17" t="s">
        <v>2270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2172</v>
      </c>
      <c r="C57" s="11" t="s">
        <v>45</v>
      </c>
      <c r="D57" s="9" t="s">
        <v>2173</v>
      </c>
      <c r="E57" s="16" t="s">
        <v>128</v>
      </c>
      <c r="F57" s="72"/>
      <c r="G57" s="17" t="s">
        <v>2271</v>
      </c>
      <c r="H57" s="18"/>
      <c r="I57" s="17"/>
      <c r="J57" s="19" t="s">
        <v>133</v>
      </c>
      <c r="K57" s="19" t="s">
        <v>1640</v>
      </c>
      <c r="L57" s="19" t="s">
        <v>67</v>
      </c>
    </row>
    <row r="58" spans="1:12" s="1" customFormat="1">
      <c r="A58" s="15"/>
      <c r="B58" s="11" t="s">
        <v>2174</v>
      </c>
      <c r="C58" s="11" t="s">
        <v>45</v>
      </c>
      <c r="D58" s="9" t="s">
        <v>2175</v>
      </c>
      <c r="E58" s="16" t="s">
        <v>128</v>
      </c>
      <c r="F58" s="72"/>
      <c r="G58" s="17" t="s">
        <v>2272</v>
      </c>
      <c r="H58" s="18"/>
      <c r="I58" s="17"/>
      <c r="J58" s="19" t="s">
        <v>133</v>
      </c>
      <c r="K58" s="19" t="s">
        <v>1640</v>
      </c>
      <c r="L58" s="19" t="s">
        <v>67</v>
      </c>
    </row>
    <row r="59" spans="1:12" s="1" customFormat="1">
      <c r="A59" s="15"/>
      <c r="B59" s="11" t="s">
        <v>2181</v>
      </c>
      <c r="C59" s="11" t="s">
        <v>45</v>
      </c>
      <c r="D59" s="9" t="s">
        <v>2182</v>
      </c>
      <c r="E59" s="16" t="s">
        <v>128</v>
      </c>
      <c r="F59" s="72"/>
      <c r="G59" s="17" t="s">
        <v>2273</v>
      </c>
      <c r="H59" s="18"/>
      <c r="I59" s="17"/>
      <c r="J59" s="19" t="s">
        <v>133</v>
      </c>
      <c r="K59" s="19" t="s">
        <v>1640</v>
      </c>
      <c r="L59" s="19" t="s">
        <v>67</v>
      </c>
    </row>
    <row r="60" spans="1:12" s="1" customFormat="1">
      <c r="A60" s="15"/>
      <c r="B60" s="11" t="s">
        <v>2183</v>
      </c>
      <c r="C60" s="11" t="s">
        <v>45</v>
      </c>
      <c r="D60" s="9" t="s">
        <v>2184</v>
      </c>
      <c r="E60" s="16" t="s">
        <v>128</v>
      </c>
      <c r="F60" s="72"/>
      <c r="G60" s="17" t="s">
        <v>2274</v>
      </c>
      <c r="H60" s="18"/>
      <c r="I60" s="17"/>
      <c r="J60" s="19" t="s">
        <v>133</v>
      </c>
      <c r="K60" s="19" t="s">
        <v>1640</v>
      </c>
      <c r="L60" s="19" t="s">
        <v>67</v>
      </c>
    </row>
    <row r="61" spans="1:12" s="1" customFormat="1">
      <c r="A61" s="15"/>
      <c r="B61" s="11" t="s">
        <v>2185</v>
      </c>
      <c r="C61" s="11" t="s">
        <v>45</v>
      </c>
      <c r="D61" s="9" t="s">
        <v>2190</v>
      </c>
      <c r="E61" s="16" t="s">
        <v>128</v>
      </c>
      <c r="F61" s="72"/>
      <c r="G61" s="17" t="s">
        <v>2275</v>
      </c>
      <c r="H61" s="18"/>
      <c r="I61" s="17"/>
      <c r="J61" s="19" t="s">
        <v>133</v>
      </c>
      <c r="K61" s="19" t="s">
        <v>204</v>
      </c>
      <c r="L61" s="19" t="s">
        <v>67</v>
      </c>
    </row>
    <row r="62" spans="1:12" s="1" customFormat="1">
      <c r="A62" s="15"/>
      <c r="B62" s="11" t="s">
        <v>2186</v>
      </c>
      <c r="C62" s="11" t="s">
        <v>45</v>
      </c>
      <c r="D62" s="9" t="s">
        <v>2191</v>
      </c>
      <c r="E62" s="16" t="s">
        <v>128</v>
      </c>
      <c r="F62" s="72"/>
      <c r="G62" s="17" t="s">
        <v>2276</v>
      </c>
      <c r="H62" s="18"/>
      <c r="I62" s="17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11" t="s">
        <v>2245</v>
      </c>
      <c r="C63" s="11" t="s">
        <v>45</v>
      </c>
      <c r="D63" s="9" t="s">
        <v>2189</v>
      </c>
      <c r="E63" s="16" t="s">
        <v>128</v>
      </c>
      <c r="F63" s="72"/>
      <c r="G63" s="17" t="s">
        <v>2277</v>
      </c>
      <c r="H63" s="18"/>
      <c r="I63" s="17"/>
      <c r="J63" s="19" t="s">
        <v>133</v>
      </c>
      <c r="K63" s="19" t="s">
        <v>204</v>
      </c>
      <c r="L63" s="19" t="s">
        <v>67</v>
      </c>
    </row>
    <row r="64" spans="1:12" s="1" customFormat="1">
      <c r="A64" s="15"/>
      <c r="B64" s="11" t="s">
        <v>2159</v>
      </c>
      <c r="C64" s="95" t="s">
        <v>280</v>
      </c>
      <c r="D64" s="9" t="s">
        <v>2161</v>
      </c>
      <c r="E64" s="16" t="s">
        <v>128</v>
      </c>
      <c r="F64" s="72"/>
      <c r="G64" s="17" t="s">
        <v>2278</v>
      </c>
      <c r="H64" s="18"/>
      <c r="I64" s="17"/>
      <c r="J64" s="19" t="s">
        <v>133</v>
      </c>
      <c r="K64" s="19" t="s">
        <v>203</v>
      </c>
      <c r="L64" s="19" t="s">
        <v>67</v>
      </c>
    </row>
    <row r="65" spans="1:12" s="1" customFormat="1">
      <c r="A65" s="15"/>
      <c r="B65" s="11" t="s">
        <v>2160</v>
      </c>
      <c r="C65" s="95" t="s">
        <v>280</v>
      </c>
      <c r="D65" s="9" t="s">
        <v>2162</v>
      </c>
      <c r="E65" s="16" t="s">
        <v>128</v>
      </c>
      <c r="F65" s="72"/>
      <c r="G65" s="17" t="s">
        <v>2279</v>
      </c>
      <c r="H65" s="18"/>
      <c r="I65" s="17"/>
      <c r="J65" s="19" t="s">
        <v>133</v>
      </c>
      <c r="K65" s="19" t="s">
        <v>202</v>
      </c>
      <c r="L65" s="19" t="s">
        <v>67</v>
      </c>
    </row>
    <row r="66" spans="1:12" s="1" customFormat="1">
      <c r="A66" s="15"/>
      <c r="B66" s="11" t="s">
        <v>205</v>
      </c>
      <c r="C66" s="11" t="s">
        <v>45</v>
      </c>
      <c r="D66" s="9" t="s">
        <v>147</v>
      </c>
      <c r="E66" s="16" t="s">
        <v>128</v>
      </c>
      <c r="F66" s="72"/>
      <c r="G66" s="17" t="s">
        <v>2247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206</v>
      </c>
      <c r="C67" s="11" t="s">
        <v>280</v>
      </c>
      <c r="D67" s="9" t="s">
        <v>820</v>
      </c>
      <c r="E67" s="16" t="s">
        <v>128</v>
      </c>
      <c r="F67" s="72"/>
      <c r="G67" s="17" t="s">
        <v>1081</v>
      </c>
      <c r="H67" s="18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" t="s">
        <v>1022</v>
      </c>
      <c r="C68" s="11" t="s">
        <v>45</v>
      </c>
      <c r="D68" s="9" t="s">
        <v>1018</v>
      </c>
      <c r="E68" s="16" t="s">
        <v>128</v>
      </c>
      <c r="F68" s="72"/>
      <c r="G68" s="17" t="s">
        <v>1127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1014</v>
      </c>
      <c r="C69" s="11" t="s">
        <v>45</v>
      </c>
      <c r="D69" s="9" t="s">
        <v>1019</v>
      </c>
      <c r="E69" s="16" t="s">
        <v>128</v>
      </c>
      <c r="F69" s="72"/>
      <c r="G69" s="17" t="s">
        <v>1128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1015</v>
      </c>
      <c r="C70" s="11" t="s">
        <v>45</v>
      </c>
      <c r="D70" s="9" t="s">
        <v>1020</v>
      </c>
      <c r="E70" s="16" t="s">
        <v>128</v>
      </c>
      <c r="F70" s="72"/>
      <c r="G70" s="17" t="s">
        <v>1129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1016</v>
      </c>
      <c r="C71" s="11" t="s">
        <v>45</v>
      </c>
      <c r="D71" s="9" t="s">
        <v>1021</v>
      </c>
      <c r="E71" s="16" t="s">
        <v>128</v>
      </c>
      <c r="F71" s="72"/>
      <c r="G71" s="17" t="s">
        <v>1130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1017</v>
      </c>
      <c r="C72" s="11" t="s">
        <v>45</v>
      </c>
      <c r="D72" s="9" t="s">
        <v>1042</v>
      </c>
      <c r="E72" s="16" t="s">
        <v>128</v>
      </c>
      <c r="F72" s="72"/>
      <c r="G72" s="17" t="s">
        <v>1131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1049</v>
      </c>
      <c r="C73" s="11" t="s">
        <v>45</v>
      </c>
      <c r="D73" s="9" t="s">
        <v>153</v>
      </c>
      <c r="E73" s="16" t="s">
        <v>128</v>
      </c>
      <c r="F73" s="72"/>
      <c r="G73" s="17" t="s">
        <v>1262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823</v>
      </c>
      <c r="C74" s="11" t="s">
        <v>280</v>
      </c>
      <c r="D74" s="9" t="s">
        <v>1474</v>
      </c>
      <c r="E74" s="16" t="s">
        <v>128</v>
      </c>
      <c r="F74" s="72"/>
      <c r="G74" s="17" t="s">
        <v>1082</v>
      </c>
      <c r="H74" s="18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1030</v>
      </c>
      <c r="C75" s="11" t="s">
        <v>45</v>
      </c>
      <c r="D75" s="9" t="s">
        <v>1026</v>
      </c>
      <c r="E75" s="16" t="s">
        <v>128</v>
      </c>
      <c r="F75" s="72"/>
      <c r="G75" s="17" t="s">
        <v>1133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1023</v>
      </c>
      <c r="C76" s="11" t="s">
        <v>45</v>
      </c>
      <c r="D76" s="9" t="s">
        <v>1027</v>
      </c>
      <c r="E76" s="16" t="s">
        <v>128</v>
      </c>
      <c r="F76" s="72"/>
      <c r="G76" s="17" t="s">
        <v>1134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1024</v>
      </c>
      <c r="C77" s="11" t="s">
        <v>45</v>
      </c>
      <c r="D77" s="9" t="s">
        <v>1028</v>
      </c>
      <c r="E77" s="16" t="s">
        <v>128</v>
      </c>
      <c r="F77" s="72"/>
      <c r="G77" s="17" t="s">
        <v>1135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1032</v>
      </c>
      <c r="C78" s="11" t="s">
        <v>45</v>
      </c>
      <c r="D78" s="9" t="s">
        <v>1029</v>
      </c>
      <c r="E78" s="16" t="s">
        <v>128</v>
      </c>
      <c r="F78" s="72"/>
      <c r="G78" s="17" t="s">
        <v>1136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1025</v>
      </c>
      <c r="C79" s="11" t="s">
        <v>45</v>
      </c>
      <c r="D79" s="9" t="s">
        <v>1043</v>
      </c>
      <c r="E79" s="16" t="s">
        <v>128</v>
      </c>
      <c r="F79" s="72"/>
      <c r="G79" s="17" t="s">
        <v>1137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1084</v>
      </c>
      <c r="C80" s="11" t="s">
        <v>280</v>
      </c>
      <c r="D80" s="9" t="s">
        <v>1086</v>
      </c>
      <c r="E80" s="16" t="s">
        <v>128</v>
      </c>
      <c r="F80" s="72"/>
      <c r="G80" s="17" t="s">
        <v>2248</v>
      </c>
      <c r="H80" s="18"/>
      <c r="I80" s="17"/>
      <c r="J80" s="19" t="s">
        <v>133</v>
      </c>
      <c r="K80" s="19" t="s">
        <v>202</v>
      </c>
      <c r="L80" s="19" t="s">
        <v>67</v>
      </c>
    </row>
    <row r="81" spans="1:12" s="1" customFormat="1">
      <c r="A81" s="15"/>
      <c r="B81" s="11" t="s">
        <v>1083</v>
      </c>
      <c r="C81" s="11" t="s">
        <v>280</v>
      </c>
      <c r="D81" s="9" t="s">
        <v>841</v>
      </c>
      <c r="E81" s="16" t="s">
        <v>128</v>
      </c>
      <c r="F81" s="72"/>
      <c r="G81" s="17" t="s">
        <v>1866</v>
      </c>
      <c r="H81" s="18"/>
      <c r="I81" s="17"/>
      <c r="J81" s="19" t="s">
        <v>133</v>
      </c>
      <c r="K81" s="19" t="s">
        <v>202</v>
      </c>
      <c r="L81" s="19" t="s">
        <v>67</v>
      </c>
    </row>
    <row r="82" spans="1:12" s="1" customFormat="1">
      <c r="A82" s="15"/>
      <c r="B82" s="11" t="s">
        <v>1033</v>
      </c>
      <c r="C82" s="11" t="s">
        <v>45</v>
      </c>
      <c r="D82" s="9" t="s">
        <v>1038</v>
      </c>
      <c r="E82" s="16" t="s">
        <v>128</v>
      </c>
      <c r="F82" s="72"/>
      <c r="G82" s="17" t="s">
        <v>1138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1034</v>
      </c>
      <c r="C83" s="11" t="s">
        <v>45</v>
      </c>
      <c r="D83" s="9" t="s">
        <v>1039</v>
      </c>
      <c r="E83" s="16" t="s">
        <v>128</v>
      </c>
      <c r="F83" s="72"/>
      <c r="G83" s="17" t="s">
        <v>1139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1035</v>
      </c>
      <c r="C84" s="11" t="s">
        <v>45</v>
      </c>
      <c r="D84" s="9" t="s">
        <v>1040</v>
      </c>
      <c r="E84" s="16" t="s">
        <v>128</v>
      </c>
      <c r="F84" s="72"/>
      <c r="G84" s="17" t="s">
        <v>1140</v>
      </c>
      <c r="H84" s="18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1036</v>
      </c>
      <c r="C85" s="11" t="s">
        <v>45</v>
      </c>
      <c r="D85" s="9" t="s">
        <v>1041</v>
      </c>
      <c r="E85" s="16" t="s">
        <v>128</v>
      </c>
      <c r="F85" s="72"/>
      <c r="G85" s="17" t="s">
        <v>1141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1037</v>
      </c>
      <c r="C86" s="11" t="s">
        <v>45</v>
      </c>
      <c r="D86" s="9" t="s">
        <v>1044</v>
      </c>
      <c r="E86" s="16" t="s">
        <v>128</v>
      </c>
      <c r="F86" s="72"/>
      <c r="G86" s="17" t="s">
        <v>1142</v>
      </c>
      <c r="H86" s="18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816</v>
      </c>
      <c r="C87" s="11" t="s">
        <v>280</v>
      </c>
      <c r="D87" s="9" t="s">
        <v>839</v>
      </c>
      <c r="E87" s="16" t="s">
        <v>128</v>
      </c>
      <c r="F87" s="72"/>
      <c r="G87" s="17" t="s">
        <v>1088</v>
      </c>
      <c r="H87" s="18"/>
      <c r="I87" s="17"/>
      <c r="J87" s="19" t="s">
        <v>133</v>
      </c>
      <c r="K87" s="19" t="s">
        <v>202</v>
      </c>
      <c r="L87" s="19" t="s">
        <v>67</v>
      </c>
    </row>
    <row r="88" spans="1:12" s="1" customFormat="1">
      <c r="A88" s="15"/>
      <c r="B88" s="11" t="s">
        <v>817</v>
      </c>
      <c r="C88" s="11" t="s">
        <v>45</v>
      </c>
      <c r="D88" s="9" t="s">
        <v>658</v>
      </c>
      <c r="E88" s="16" t="s">
        <v>128</v>
      </c>
      <c r="F88" s="72"/>
      <c r="G88" s="17" t="s">
        <v>1089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818</v>
      </c>
      <c r="C89" s="11" t="s">
        <v>280</v>
      </c>
      <c r="D89" s="9" t="s">
        <v>842</v>
      </c>
      <c r="E89" s="16" t="s">
        <v>128</v>
      </c>
      <c r="F89" s="72"/>
      <c r="G89" s="17" t="s">
        <v>1091</v>
      </c>
      <c r="H89" s="18"/>
      <c r="I89" s="17"/>
      <c r="J89" s="19" t="s">
        <v>133</v>
      </c>
      <c r="K89" s="19" t="s">
        <v>202</v>
      </c>
      <c r="L89" s="19" t="s">
        <v>67</v>
      </c>
    </row>
    <row r="90" spans="1:12" s="1" customFormat="1">
      <c r="A90" s="15"/>
      <c r="B90" s="11" t="s">
        <v>819</v>
      </c>
      <c r="C90" s="11" t="s">
        <v>45</v>
      </c>
      <c r="D90" s="9" t="s">
        <v>660</v>
      </c>
      <c r="E90" s="16" t="s">
        <v>128</v>
      </c>
      <c r="F90" s="72"/>
      <c r="G90" s="17" t="s">
        <v>1092</v>
      </c>
      <c r="H90" s="18"/>
      <c r="I90" s="17"/>
      <c r="J90" s="19" t="s">
        <v>133</v>
      </c>
      <c r="K90" s="19" t="s">
        <v>44</v>
      </c>
      <c r="L90" s="19" t="s">
        <v>67</v>
      </c>
    </row>
    <row r="91" spans="1:12" s="1" customFormat="1">
      <c r="A91" s="15"/>
      <c r="B91" s="22" t="s">
        <v>2327</v>
      </c>
      <c r="C91" s="22" t="s">
        <v>45</v>
      </c>
      <c r="D91" s="9" t="s">
        <v>2017</v>
      </c>
      <c r="E91" s="16" t="s">
        <v>128</v>
      </c>
      <c r="F91" s="72"/>
      <c r="G91" s="17" t="s">
        <v>2330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22" t="s">
        <v>2194</v>
      </c>
      <c r="C92" s="22" t="s">
        <v>280</v>
      </c>
      <c r="D92" s="9" t="s">
        <v>2196</v>
      </c>
      <c r="E92" s="16" t="s">
        <v>128</v>
      </c>
      <c r="F92" s="72"/>
      <c r="G92" s="17" t="s">
        <v>2250</v>
      </c>
      <c r="H92" s="18"/>
      <c r="I92" s="17"/>
      <c r="J92" s="19" t="s">
        <v>133</v>
      </c>
      <c r="K92" s="19" t="s">
        <v>2024</v>
      </c>
      <c r="L92" s="19" t="s">
        <v>67</v>
      </c>
    </row>
    <row r="93" spans="1:12" s="1" customFormat="1">
      <c r="B93" s="22" t="s">
        <v>2132</v>
      </c>
      <c r="C93" s="22" t="s">
        <v>280</v>
      </c>
      <c r="D93" s="9" t="s">
        <v>2134</v>
      </c>
      <c r="E93" s="16" t="s">
        <v>128</v>
      </c>
      <c r="F93" s="22"/>
      <c r="G93" s="17" t="s">
        <v>2333</v>
      </c>
      <c r="H93" s="18"/>
      <c r="I93" s="88"/>
      <c r="J93" s="19" t="s">
        <v>133</v>
      </c>
      <c r="K93" s="19" t="s">
        <v>2136</v>
      </c>
      <c r="L93" s="19" t="s">
        <v>134</v>
      </c>
    </row>
    <row r="94" spans="1:12" s="1" customFormat="1">
      <c r="A94" s="15"/>
      <c r="B94" s="90" t="s">
        <v>2328</v>
      </c>
      <c r="C94" s="22" t="s">
        <v>45</v>
      </c>
      <c r="D94" s="9" t="s">
        <v>2034</v>
      </c>
      <c r="E94" s="16" t="s">
        <v>128</v>
      </c>
      <c r="F94" s="72"/>
      <c r="G94" s="17" t="s">
        <v>2332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90" t="s">
        <v>2193</v>
      </c>
      <c r="C95" s="22" t="s">
        <v>280</v>
      </c>
      <c r="D95" s="9" t="s">
        <v>2195</v>
      </c>
      <c r="E95" s="16" t="s">
        <v>128</v>
      </c>
      <c r="F95" s="72"/>
      <c r="G95" s="17" t="s">
        <v>2252</v>
      </c>
      <c r="H95" s="18"/>
      <c r="I95" s="17"/>
      <c r="J95" s="19" t="s">
        <v>133</v>
      </c>
      <c r="K95" s="19" t="s">
        <v>2024</v>
      </c>
      <c r="L95" s="19" t="s">
        <v>67</v>
      </c>
    </row>
    <row r="96" spans="1:12" s="1" customFormat="1">
      <c r="B96" s="90" t="s">
        <v>2133</v>
      </c>
      <c r="C96" s="22" t="s">
        <v>280</v>
      </c>
      <c r="D96" s="9" t="s">
        <v>2135</v>
      </c>
      <c r="E96" s="16" t="s">
        <v>128</v>
      </c>
      <c r="F96" s="22"/>
      <c r="G96" s="17" t="s">
        <v>2334</v>
      </c>
      <c r="H96" s="18"/>
      <c r="I96" s="88"/>
      <c r="J96" s="19" t="s">
        <v>133</v>
      </c>
      <c r="K96" s="19" t="s">
        <v>2136</v>
      </c>
      <c r="L96" s="19" t="s">
        <v>134</v>
      </c>
    </row>
    <row r="97" spans="1:12" s="1" customFormat="1">
      <c r="B97" s="22" t="s">
        <v>2255</v>
      </c>
      <c r="C97" s="22" t="s">
        <v>45</v>
      </c>
      <c r="D97" s="9" t="s">
        <v>2201</v>
      </c>
      <c r="E97" s="16" t="s">
        <v>128</v>
      </c>
      <c r="F97" s="22"/>
      <c r="G97" s="17" t="s">
        <v>2280</v>
      </c>
      <c r="H97" s="18"/>
      <c r="I97" s="17"/>
      <c r="J97" s="19" t="s">
        <v>133</v>
      </c>
      <c r="K97" s="19" t="s">
        <v>1640</v>
      </c>
      <c r="L97" s="19" t="s">
        <v>67</v>
      </c>
    </row>
    <row r="98" spans="1:12" s="1" customFormat="1">
      <c r="B98" s="22" t="s">
        <v>2254</v>
      </c>
      <c r="C98" s="22" t="s">
        <v>45</v>
      </c>
      <c r="D98" s="9" t="s">
        <v>2202</v>
      </c>
      <c r="E98" s="16" t="s">
        <v>128</v>
      </c>
      <c r="F98" s="22"/>
      <c r="G98" s="17" t="s">
        <v>2281</v>
      </c>
      <c r="H98" s="18"/>
      <c r="I98" s="17"/>
      <c r="J98" s="19" t="s">
        <v>133</v>
      </c>
      <c r="K98" s="19" t="s">
        <v>1640</v>
      </c>
      <c r="L98" s="19" t="s">
        <v>67</v>
      </c>
    </row>
    <row r="99" spans="1:12" s="1" customFormat="1">
      <c r="B99" s="22" t="s">
        <v>2203</v>
      </c>
      <c r="C99" s="22" t="s">
        <v>56</v>
      </c>
      <c r="D99" s="9" t="s">
        <v>2204</v>
      </c>
      <c r="E99" s="16" t="s">
        <v>128</v>
      </c>
      <c r="F99" s="22"/>
      <c r="G99" s="17" t="s">
        <v>2256</v>
      </c>
      <c r="H99" s="98"/>
      <c r="I99" s="88"/>
      <c r="J99" s="19" t="s">
        <v>133</v>
      </c>
      <c r="K99" s="19" t="s">
        <v>44</v>
      </c>
      <c r="L99" s="19" t="s">
        <v>1292</v>
      </c>
    </row>
    <row r="100" spans="1:12" s="1" customFormat="1">
      <c r="B100" s="22" t="s">
        <v>2216</v>
      </c>
      <c r="C100" s="22" t="s">
        <v>45</v>
      </c>
      <c r="D100" s="9" t="s">
        <v>2036</v>
      </c>
      <c r="E100" s="16" t="s">
        <v>128</v>
      </c>
      <c r="F100" s="22"/>
      <c r="G100" s="17" t="s">
        <v>2282</v>
      </c>
      <c r="H100" s="18"/>
      <c r="I100" s="17"/>
      <c r="J100" s="19" t="s">
        <v>133</v>
      </c>
      <c r="K100" s="19" t="s">
        <v>2235</v>
      </c>
      <c r="L100" s="19" t="s">
        <v>67</v>
      </c>
    </row>
    <row r="101" spans="1:12" s="1" customFormat="1">
      <c r="B101" s="22" t="s">
        <v>2218</v>
      </c>
      <c r="C101" s="22" t="s">
        <v>45</v>
      </c>
      <c r="D101" s="9" t="s">
        <v>2219</v>
      </c>
      <c r="E101" s="16" t="s">
        <v>128</v>
      </c>
      <c r="F101" s="22"/>
      <c r="G101" s="17" t="s">
        <v>2283</v>
      </c>
      <c r="H101" s="18"/>
      <c r="I101" s="17"/>
      <c r="J101" s="19" t="s">
        <v>133</v>
      </c>
      <c r="K101" s="19" t="s">
        <v>1640</v>
      </c>
      <c r="L101" s="19" t="s">
        <v>67</v>
      </c>
    </row>
    <row r="102" spans="1:12" s="1" customFormat="1">
      <c r="B102" s="22" t="s">
        <v>2217</v>
      </c>
      <c r="C102" s="22" t="s">
        <v>45</v>
      </c>
      <c r="D102" s="9" t="s">
        <v>2035</v>
      </c>
      <c r="E102" s="16" t="s">
        <v>128</v>
      </c>
      <c r="F102" s="22"/>
      <c r="G102" s="17" t="s">
        <v>2284</v>
      </c>
      <c r="H102" s="18"/>
      <c r="I102" s="17"/>
      <c r="J102" s="19" t="s">
        <v>133</v>
      </c>
      <c r="K102" s="19" t="s">
        <v>2235</v>
      </c>
      <c r="L102" s="19" t="s">
        <v>67</v>
      </c>
    </row>
    <row r="103" spans="1:12" s="1" customFormat="1">
      <c r="B103" s="22" t="s">
        <v>2220</v>
      </c>
      <c r="C103" s="22" t="s">
        <v>45</v>
      </c>
      <c r="D103" s="9" t="s">
        <v>2225</v>
      </c>
      <c r="E103" s="16" t="s">
        <v>128</v>
      </c>
      <c r="F103" s="22"/>
      <c r="G103" s="17" t="s">
        <v>2285</v>
      </c>
      <c r="H103" s="18"/>
      <c r="I103" s="17"/>
      <c r="J103" s="19" t="s">
        <v>133</v>
      </c>
      <c r="K103" s="19" t="s">
        <v>1640</v>
      </c>
      <c r="L103" s="19" t="s">
        <v>67</v>
      </c>
    </row>
    <row r="104" spans="1:12" s="1" customFormat="1">
      <c r="B104" s="22" t="s">
        <v>2140</v>
      </c>
      <c r="C104" s="22" t="s">
        <v>45</v>
      </c>
      <c r="D104" s="9" t="s">
        <v>2141</v>
      </c>
      <c r="E104" s="16" t="s">
        <v>128</v>
      </c>
      <c r="F104" s="22"/>
      <c r="G104" s="17" t="s">
        <v>2286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B105" s="22" t="s">
        <v>2142</v>
      </c>
      <c r="C105" s="22" t="s">
        <v>45</v>
      </c>
      <c r="D105" s="9" t="s">
        <v>2143</v>
      </c>
      <c r="E105" s="16" t="s">
        <v>128</v>
      </c>
      <c r="F105" s="22"/>
      <c r="G105" s="17" t="s">
        <v>2287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B106" s="22" t="s">
        <v>2144</v>
      </c>
      <c r="C106" s="22" t="s">
        <v>45</v>
      </c>
      <c r="D106" s="9" t="s">
        <v>2145</v>
      </c>
      <c r="E106" s="16" t="s">
        <v>128</v>
      </c>
      <c r="F106" s="22"/>
      <c r="G106" s="17" t="s">
        <v>2288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B107" s="22" t="s">
        <v>2146</v>
      </c>
      <c r="C107" s="22" t="s">
        <v>45</v>
      </c>
      <c r="D107" s="9" t="s">
        <v>2147</v>
      </c>
      <c r="E107" s="16" t="s">
        <v>128</v>
      </c>
      <c r="F107" s="22"/>
      <c r="G107" s="17" t="s">
        <v>2289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B108" s="22" t="s">
        <v>2148</v>
      </c>
      <c r="C108" s="22" t="s">
        <v>45</v>
      </c>
      <c r="D108" s="9" t="s">
        <v>2149</v>
      </c>
      <c r="E108" s="16" t="s">
        <v>128</v>
      </c>
      <c r="F108" s="22"/>
      <c r="G108" s="17" t="s">
        <v>2290</v>
      </c>
      <c r="H108" s="18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B109" s="22" t="s">
        <v>2150</v>
      </c>
      <c r="C109" s="22" t="s">
        <v>45</v>
      </c>
      <c r="D109" s="9" t="s">
        <v>2151</v>
      </c>
      <c r="E109" s="16" t="s">
        <v>128</v>
      </c>
      <c r="F109" s="22"/>
      <c r="G109" s="17" t="s">
        <v>2291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11" t="s">
        <v>2261</v>
      </c>
      <c r="C110" s="11" t="s">
        <v>280</v>
      </c>
      <c r="D110" s="9" t="s">
        <v>2038</v>
      </c>
      <c r="E110" s="16" t="s">
        <v>128</v>
      </c>
      <c r="F110" s="72"/>
      <c r="G110" s="17" t="s">
        <v>3075</v>
      </c>
      <c r="H110" s="18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95" t="s">
        <v>2041</v>
      </c>
      <c r="C111" s="95" t="s">
        <v>45</v>
      </c>
      <c r="D111" s="96" t="s">
        <v>2042</v>
      </c>
      <c r="E111" s="16" t="s">
        <v>128</v>
      </c>
      <c r="F111" s="72"/>
      <c r="G111" s="17" t="s">
        <v>2292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95" t="s">
        <v>2043</v>
      </c>
      <c r="C112" s="95" t="s">
        <v>45</v>
      </c>
      <c r="D112" s="96" t="s">
        <v>2044</v>
      </c>
      <c r="E112" s="16" t="s">
        <v>128</v>
      </c>
      <c r="F112" s="72"/>
      <c r="G112" s="17" t="s">
        <v>2293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95" t="s">
        <v>2045</v>
      </c>
      <c r="C113" s="95" t="s">
        <v>45</v>
      </c>
      <c r="D113" s="96" t="s">
        <v>2046</v>
      </c>
      <c r="E113" s="16" t="s">
        <v>128</v>
      </c>
      <c r="F113" s="72"/>
      <c r="G113" s="17" t="s">
        <v>2294</v>
      </c>
      <c r="H113" s="18"/>
      <c r="I113" s="17"/>
      <c r="J113" s="19" t="s">
        <v>133</v>
      </c>
      <c r="K113" s="19" t="s">
        <v>903</v>
      </c>
      <c r="L113" s="19" t="s">
        <v>67</v>
      </c>
    </row>
    <row r="114" spans="1:12" s="1" customFormat="1">
      <c r="A114" s="15"/>
      <c r="B114" s="95" t="s">
        <v>2047</v>
      </c>
      <c r="C114" s="95" t="s">
        <v>45</v>
      </c>
      <c r="D114" s="96" t="s">
        <v>2048</v>
      </c>
      <c r="E114" s="16" t="s">
        <v>128</v>
      </c>
      <c r="F114" s="72"/>
      <c r="G114" s="17" t="s">
        <v>2295</v>
      </c>
      <c r="H114" s="18"/>
      <c r="I114" s="17"/>
      <c r="J114" s="19" t="s">
        <v>133</v>
      </c>
      <c r="K114" s="19" t="s">
        <v>903</v>
      </c>
      <c r="L114" s="19" t="s">
        <v>67</v>
      </c>
    </row>
    <row r="115" spans="1:12" s="1" customFormat="1">
      <c r="A115" s="15"/>
      <c r="B115" s="95" t="s">
        <v>2049</v>
      </c>
      <c r="C115" s="95" t="s">
        <v>45</v>
      </c>
      <c r="D115" s="96" t="s">
        <v>2050</v>
      </c>
      <c r="E115" s="16" t="s">
        <v>128</v>
      </c>
      <c r="F115" s="72"/>
      <c r="G115" s="17" t="s">
        <v>2296</v>
      </c>
      <c r="H115" s="18"/>
      <c r="I115" s="17"/>
      <c r="J115" s="19" t="s">
        <v>133</v>
      </c>
      <c r="K115" s="19" t="s">
        <v>903</v>
      </c>
      <c r="L115" s="19" t="s">
        <v>67</v>
      </c>
    </row>
    <row r="116" spans="1:12" s="1" customFormat="1">
      <c r="A116" s="15"/>
      <c r="B116" s="11" t="s">
        <v>2263</v>
      </c>
      <c r="C116" s="95" t="s">
        <v>280</v>
      </c>
      <c r="D116" s="9" t="s">
        <v>2052</v>
      </c>
      <c r="E116" s="16" t="s">
        <v>128</v>
      </c>
      <c r="F116" s="72"/>
      <c r="G116" s="17" t="s">
        <v>3076</v>
      </c>
      <c r="H116" s="18"/>
      <c r="I116" s="17"/>
      <c r="J116" s="19" t="s">
        <v>133</v>
      </c>
      <c r="K116" s="19" t="s">
        <v>203</v>
      </c>
      <c r="L116" s="19" t="s">
        <v>67</v>
      </c>
    </row>
    <row r="117" spans="1:12" s="1" customFormat="1">
      <c r="A117" s="15"/>
      <c r="B117" s="11" t="s">
        <v>2053</v>
      </c>
      <c r="C117" s="11" t="s">
        <v>45</v>
      </c>
      <c r="D117" s="9" t="s">
        <v>2054</v>
      </c>
      <c r="E117" s="16" t="s">
        <v>128</v>
      </c>
      <c r="F117" s="72"/>
      <c r="G117" s="17" t="s">
        <v>2297</v>
      </c>
      <c r="H117" s="18"/>
      <c r="I117" s="17"/>
      <c r="J117" s="19" t="s">
        <v>133</v>
      </c>
      <c r="K117" s="19" t="s">
        <v>903</v>
      </c>
      <c r="L117" s="19" t="s">
        <v>67</v>
      </c>
    </row>
    <row r="118" spans="1:12" s="1" customFormat="1">
      <c r="A118" s="15"/>
      <c r="B118" s="11" t="s">
        <v>2055</v>
      </c>
      <c r="C118" s="11" t="s">
        <v>45</v>
      </c>
      <c r="D118" s="9" t="s">
        <v>2056</v>
      </c>
      <c r="E118" s="16" t="s">
        <v>128</v>
      </c>
      <c r="F118" s="72"/>
      <c r="G118" s="17" t="s">
        <v>2298</v>
      </c>
      <c r="H118" s="18"/>
      <c r="I118" s="17"/>
      <c r="J118" s="19" t="s">
        <v>133</v>
      </c>
      <c r="K118" s="19" t="s">
        <v>903</v>
      </c>
      <c r="L118" s="19" t="s">
        <v>67</v>
      </c>
    </row>
    <row r="119" spans="1:12" s="1" customFormat="1">
      <c r="A119" s="15"/>
      <c r="B119" s="11" t="s">
        <v>2057</v>
      </c>
      <c r="C119" s="11" t="s">
        <v>45</v>
      </c>
      <c r="D119" s="9" t="s">
        <v>2058</v>
      </c>
      <c r="E119" s="16" t="s">
        <v>128</v>
      </c>
      <c r="F119" s="72"/>
      <c r="G119" s="17" t="s">
        <v>2299</v>
      </c>
      <c r="H119" s="18"/>
      <c r="I119" s="17"/>
      <c r="J119" s="19" t="s">
        <v>133</v>
      </c>
      <c r="K119" s="19" t="s">
        <v>903</v>
      </c>
      <c r="L119" s="19" t="s">
        <v>67</v>
      </c>
    </row>
    <row r="120" spans="1:12" s="1" customFormat="1">
      <c r="A120" s="15"/>
      <c r="B120" s="11" t="s">
        <v>2059</v>
      </c>
      <c r="C120" s="11" t="s">
        <v>45</v>
      </c>
      <c r="D120" s="9" t="s">
        <v>2060</v>
      </c>
      <c r="E120" s="16" t="s">
        <v>128</v>
      </c>
      <c r="F120" s="72"/>
      <c r="G120" s="17" t="s">
        <v>2300</v>
      </c>
      <c r="H120" s="18"/>
      <c r="I120" s="17"/>
      <c r="J120" s="19" t="s">
        <v>133</v>
      </c>
      <c r="K120" s="19" t="s">
        <v>903</v>
      </c>
      <c r="L120" s="19" t="s">
        <v>67</v>
      </c>
    </row>
    <row r="121" spans="1:12" s="1" customFormat="1">
      <c r="A121" s="15"/>
      <c r="B121" s="11" t="s">
        <v>2061</v>
      </c>
      <c r="C121" s="11" t="s">
        <v>45</v>
      </c>
      <c r="D121" s="9" t="s">
        <v>2062</v>
      </c>
      <c r="E121" s="16" t="s">
        <v>128</v>
      </c>
      <c r="F121" s="72"/>
      <c r="G121" s="17" t="s">
        <v>2301</v>
      </c>
      <c r="H121" s="18"/>
      <c r="I121" s="17"/>
      <c r="J121" s="19" t="s">
        <v>133</v>
      </c>
      <c r="K121" s="19" t="s">
        <v>903</v>
      </c>
      <c r="L121" s="19" t="s">
        <v>67</v>
      </c>
    </row>
    <row r="122" spans="1:12" s="1" customFormat="1">
      <c r="A122" s="15"/>
      <c r="B122" s="11" t="s">
        <v>2264</v>
      </c>
      <c r="C122" s="95" t="s">
        <v>280</v>
      </c>
      <c r="D122" s="9" t="s">
        <v>2158</v>
      </c>
      <c r="E122" s="16" t="s">
        <v>128</v>
      </c>
      <c r="F122" s="72"/>
      <c r="G122" s="17" t="s">
        <v>3077</v>
      </c>
      <c r="H122" s="18"/>
      <c r="I122" s="17"/>
      <c r="J122" s="19" t="s">
        <v>133</v>
      </c>
      <c r="K122" s="19" t="s">
        <v>202</v>
      </c>
      <c r="L122" s="19" t="s">
        <v>67</v>
      </c>
    </row>
    <row r="123" spans="1:12" s="1" customFormat="1">
      <c r="A123" s="15"/>
      <c r="B123" s="95" t="s">
        <v>2076</v>
      </c>
      <c r="C123" s="95" t="s">
        <v>45</v>
      </c>
      <c r="D123" s="96" t="s">
        <v>2077</v>
      </c>
      <c r="E123" s="16" t="s">
        <v>128</v>
      </c>
      <c r="F123" s="72"/>
      <c r="G123" s="17" t="s">
        <v>2302</v>
      </c>
      <c r="H123" s="18"/>
      <c r="I123" s="17"/>
      <c r="J123" s="19" t="s">
        <v>133</v>
      </c>
      <c r="K123" s="19" t="s">
        <v>903</v>
      </c>
      <c r="L123" s="19" t="s">
        <v>67</v>
      </c>
    </row>
    <row r="124" spans="1:12" s="1" customFormat="1">
      <c r="A124" s="15"/>
      <c r="B124" s="95" t="s">
        <v>2078</v>
      </c>
      <c r="C124" s="95" t="s">
        <v>45</v>
      </c>
      <c r="D124" s="96" t="s">
        <v>2079</v>
      </c>
      <c r="E124" s="16" t="s">
        <v>128</v>
      </c>
      <c r="F124" s="72"/>
      <c r="G124" s="17" t="s">
        <v>2303</v>
      </c>
      <c r="H124" s="18"/>
      <c r="I124" s="17"/>
      <c r="J124" s="19" t="s">
        <v>133</v>
      </c>
      <c r="K124" s="19" t="s">
        <v>903</v>
      </c>
      <c r="L124" s="19" t="s">
        <v>67</v>
      </c>
    </row>
    <row r="125" spans="1:12" s="1" customFormat="1">
      <c r="A125" s="15"/>
      <c r="B125" s="95" t="s">
        <v>2080</v>
      </c>
      <c r="C125" s="95" t="s">
        <v>45</v>
      </c>
      <c r="D125" s="96" t="s">
        <v>2081</v>
      </c>
      <c r="E125" s="16" t="s">
        <v>128</v>
      </c>
      <c r="F125" s="72"/>
      <c r="G125" s="17" t="s">
        <v>2304</v>
      </c>
      <c r="H125" s="18"/>
      <c r="I125" s="17"/>
      <c r="J125" s="19" t="s">
        <v>133</v>
      </c>
      <c r="K125" s="19" t="s">
        <v>903</v>
      </c>
      <c r="L125" s="19" t="s">
        <v>67</v>
      </c>
    </row>
    <row r="126" spans="1:12" s="1" customFormat="1">
      <c r="A126" s="15"/>
      <c r="B126" s="95" t="s">
        <v>2082</v>
      </c>
      <c r="C126" s="95" t="s">
        <v>45</v>
      </c>
      <c r="D126" s="96" t="s">
        <v>2083</v>
      </c>
      <c r="E126" s="16" t="s">
        <v>128</v>
      </c>
      <c r="F126" s="72"/>
      <c r="G126" s="17" t="s">
        <v>2305</v>
      </c>
      <c r="H126" s="18"/>
      <c r="I126" s="17"/>
      <c r="J126" s="19" t="s">
        <v>133</v>
      </c>
      <c r="K126" s="19" t="s">
        <v>903</v>
      </c>
      <c r="L126" s="19" t="s">
        <v>67</v>
      </c>
    </row>
    <row r="127" spans="1:12" s="1" customFormat="1">
      <c r="A127" s="15"/>
      <c r="B127" s="95" t="s">
        <v>2084</v>
      </c>
      <c r="C127" s="95" t="s">
        <v>45</v>
      </c>
      <c r="D127" s="96" t="s">
        <v>2085</v>
      </c>
      <c r="E127" s="16" t="s">
        <v>128</v>
      </c>
      <c r="F127" s="72"/>
      <c r="G127" s="17" t="s">
        <v>2306</v>
      </c>
      <c r="H127" s="18"/>
      <c r="I127" s="17"/>
      <c r="J127" s="19" t="s">
        <v>133</v>
      </c>
      <c r="K127" s="19" t="s">
        <v>903</v>
      </c>
      <c r="L127" s="19" t="s">
        <v>67</v>
      </c>
    </row>
    <row r="128" spans="1:12" s="1" customFormat="1">
      <c r="B128" s="22" t="s">
        <v>2206</v>
      </c>
      <c r="C128" s="22" t="s">
        <v>45</v>
      </c>
      <c r="D128" s="9" t="s">
        <v>2207</v>
      </c>
      <c r="E128" s="16" t="s">
        <v>128</v>
      </c>
      <c r="F128" s="22"/>
      <c r="G128" s="17" t="s">
        <v>2307</v>
      </c>
      <c r="H128" s="18"/>
      <c r="I128" s="17"/>
      <c r="J128" s="19" t="s">
        <v>133</v>
      </c>
      <c r="K128" s="19" t="s">
        <v>2235</v>
      </c>
      <c r="L128" s="19" t="s">
        <v>2237</v>
      </c>
    </row>
    <row r="129" spans="1:12" s="1" customFormat="1">
      <c r="B129" s="22" t="s">
        <v>2205</v>
      </c>
      <c r="C129" s="22" t="s">
        <v>45</v>
      </c>
      <c r="D129" s="9" t="s">
        <v>2199</v>
      </c>
      <c r="E129" s="16" t="s">
        <v>128</v>
      </c>
      <c r="F129" s="22"/>
      <c r="G129" s="17" t="s">
        <v>2319</v>
      </c>
      <c r="H129" s="18"/>
      <c r="I129" s="17"/>
      <c r="J129" s="19" t="s">
        <v>133</v>
      </c>
      <c r="K129" s="19" t="s">
        <v>1640</v>
      </c>
      <c r="L129" s="19" t="s">
        <v>67</v>
      </c>
    </row>
    <row r="130" spans="1:12" s="1" customFormat="1">
      <c r="A130" s="15"/>
      <c r="B130" s="95" t="s">
        <v>2104</v>
      </c>
      <c r="C130" s="95" t="s">
        <v>280</v>
      </c>
      <c r="D130" s="96" t="s">
        <v>2093</v>
      </c>
      <c r="E130" s="16" t="s">
        <v>128</v>
      </c>
      <c r="F130" s="72"/>
      <c r="G130" s="17" t="s">
        <v>2320</v>
      </c>
      <c r="H130" s="18"/>
      <c r="I130" s="17"/>
      <c r="J130" s="19" t="s">
        <v>133</v>
      </c>
      <c r="K130" s="19" t="s">
        <v>2235</v>
      </c>
      <c r="L130" s="19" t="s">
        <v>2237</v>
      </c>
    </row>
    <row r="131" spans="1:12" s="1" customFormat="1">
      <c r="A131" s="15"/>
      <c r="B131" s="95" t="s">
        <v>2094</v>
      </c>
      <c r="C131" s="95" t="s">
        <v>45</v>
      </c>
      <c r="D131" s="96" t="s">
        <v>2099</v>
      </c>
      <c r="E131" s="16" t="s">
        <v>128</v>
      </c>
      <c r="F131" s="72"/>
      <c r="G131" s="17" t="s">
        <v>2308</v>
      </c>
      <c r="H131" s="18"/>
      <c r="I131" s="17"/>
      <c r="J131" s="19" t="s">
        <v>133</v>
      </c>
      <c r="K131" s="19" t="s">
        <v>1640</v>
      </c>
      <c r="L131" s="19" t="s">
        <v>67</v>
      </c>
    </row>
    <row r="132" spans="1:12" s="1" customFormat="1">
      <c r="A132" s="15"/>
      <c r="B132" s="95" t="s">
        <v>2095</v>
      </c>
      <c r="C132" s="95" t="s">
        <v>45</v>
      </c>
      <c r="D132" s="96" t="s">
        <v>2100</v>
      </c>
      <c r="E132" s="16" t="s">
        <v>128</v>
      </c>
      <c r="F132" s="72"/>
      <c r="G132" s="17" t="s">
        <v>2309</v>
      </c>
      <c r="H132" s="18"/>
      <c r="I132" s="17"/>
      <c r="J132" s="19" t="s">
        <v>133</v>
      </c>
      <c r="K132" s="19" t="s">
        <v>1640</v>
      </c>
      <c r="L132" s="19" t="s">
        <v>67</v>
      </c>
    </row>
    <row r="133" spans="1:12" s="1" customFormat="1">
      <c r="A133" s="15"/>
      <c r="B133" s="95" t="s">
        <v>2096</v>
      </c>
      <c r="C133" s="95" t="s">
        <v>45</v>
      </c>
      <c r="D133" s="96" t="s">
        <v>2101</v>
      </c>
      <c r="E133" s="16" t="s">
        <v>128</v>
      </c>
      <c r="F133" s="72"/>
      <c r="G133" s="17" t="s">
        <v>2310</v>
      </c>
      <c r="H133" s="18"/>
      <c r="I133" s="17"/>
      <c r="J133" s="19" t="s">
        <v>133</v>
      </c>
      <c r="K133" s="19" t="s">
        <v>1640</v>
      </c>
      <c r="L133" s="19" t="s">
        <v>67</v>
      </c>
    </row>
    <row r="134" spans="1:12" s="1" customFormat="1">
      <c r="A134" s="15"/>
      <c r="B134" s="95" t="s">
        <v>2097</v>
      </c>
      <c r="C134" s="95" t="s">
        <v>45</v>
      </c>
      <c r="D134" s="96" t="s">
        <v>2102</v>
      </c>
      <c r="E134" s="16" t="s">
        <v>128</v>
      </c>
      <c r="F134" s="72"/>
      <c r="G134" s="17" t="s">
        <v>2311</v>
      </c>
      <c r="H134" s="18"/>
      <c r="I134" s="17"/>
      <c r="J134" s="19" t="s">
        <v>133</v>
      </c>
      <c r="K134" s="19" t="s">
        <v>1640</v>
      </c>
      <c r="L134" s="19" t="s">
        <v>67</v>
      </c>
    </row>
    <row r="135" spans="1:12" s="1" customFormat="1">
      <c r="A135" s="15"/>
      <c r="B135" s="95" t="s">
        <v>2098</v>
      </c>
      <c r="C135" s="95" t="s">
        <v>45</v>
      </c>
      <c r="D135" s="96" t="s">
        <v>2103</v>
      </c>
      <c r="E135" s="16" t="s">
        <v>128</v>
      </c>
      <c r="F135" s="72"/>
      <c r="G135" s="17" t="s">
        <v>2312</v>
      </c>
      <c r="H135" s="18"/>
      <c r="I135" s="17"/>
      <c r="J135" s="19" t="s">
        <v>133</v>
      </c>
      <c r="K135" s="19" t="s">
        <v>1640</v>
      </c>
      <c r="L135" s="19" t="s">
        <v>67</v>
      </c>
    </row>
    <row r="136" spans="1:12" s="1" customFormat="1">
      <c r="A136" s="15"/>
      <c r="B136" s="95" t="s">
        <v>2210</v>
      </c>
      <c r="C136" s="95" t="s">
        <v>45</v>
      </c>
      <c r="D136" s="9" t="s">
        <v>2212</v>
      </c>
      <c r="E136" s="16" t="s">
        <v>128</v>
      </c>
      <c r="F136" s="72"/>
      <c r="G136" s="17" t="s">
        <v>2313</v>
      </c>
      <c r="H136" s="18"/>
      <c r="I136" s="17"/>
      <c r="J136" s="19" t="s">
        <v>133</v>
      </c>
      <c r="K136" s="19" t="s">
        <v>2235</v>
      </c>
      <c r="L136" s="19" t="s">
        <v>2237</v>
      </c>
    </row>
    <row r="137" spans="1:12" s="1" customFormat="1">
      <c r="A137" s="15"/>
      <c r="B137" s="95" t="s">
        <v>2211</v>
      </c>
      <c r="C137" s="95" t="s">
        <v>45</v>
      </c>
      <c r="D137" s="9" t="s">
        <v>2213</v>
      </c>
      <c r="E137" s="16" t="s">
        <v>128</v>
      </c>
      <c r="F137" s="72"/>
      <c r="G137" s="17" t="s">
        <v>2321</v>
      </c>
      <c r="H137" s="18"/>
      <c r="I137" s="17"/>
      <c r="J137" s="19" t="s">
        <v>133</v>
      </c>
      <c r="K137" s="19" t="s">
        <v>1640</v>
      </c>
      <c r="L137" s="19" t="s">
        <v>67</v>
      </c>
    </row>
    <row r="138" spans="1:12" s="1" customFormat="1">
      <c r="A138" s="15"/>
      <c r="B138" s="95" t="s">
        <v>2112</v>
      </c>
      <c r="C138" s="95" t="s">
        <v>280</v>
      </c>
      <c r="D138" s="96" t="s">
        <v>2123</v>
      </c>
      <c r="E138" s="16" t="s">
        <v>128</v>
      </c>
      <c r="F138" s="72"/>
      <c r="G138" s="17" t="s">
        <v>2322</v>
      </c>
      <c r="H138" s="18"/>
      <c r="I138" s="17"/>
      <c r="J138" s="19" t="s">
        <v>133</v>
      </c>
      <c r="K138" s="19" t="s">
        <v>2235</v>
      </c>
      <c r="L138" s="19" t="s">
        <v>2237</v>
      </c>
    </row>
    <row r="139" spans="1:12" s="1" customFormat="1">
      <c r="A139" s="15"/>
      <c r="B139" s="95" t="s">
        <v>2113</v>
      </c>
      <c r="C139" s="95" t="s">
        <v>45</v>
      </c>
      <c r="D139" s="96" t="s">
        <v>2114</v>
      </c>
      <c r="E139" s="16" t="s">
        <v>128</v>
      </c>
      <c r="F139" s="72"/>
      <c r="G139" s="17" t="s">
        <v>2314</v>
      </c>
      <c r="H139" s="18"/>
      <c r="I139" s="17"/>
      <c r="J139" s="19" t="s">
        <v>133</v>
      </c>
      <c r="K139" s="19" t="s">
        <v>1640</v>
      </c>
      <c r="L139" s="19" t="s">
        <v>67</v>
      </c>
    </row>
    <row r="140" spans="1:12" s="1" customFormat="1">
      <c r="A140" s="15"/>
      <c r="B140" s="95" t="s">
        <v>2115</v>
      </c>
      <c r="C140" s="95" t="s">
        <v>45</v>
      </c>
      <c r="D140" s="96" t="s">
        <v>2116</v>
      </c>
      <c r="E140" s="16" t="s">
        <v>128</v>
      </c>
      <c r="F140" s="72"/>
      <c r="G140" s="17" t="s">
        <v>2315</v>
      </c>
      <c r="H140" s="18"/>
      <c r="I140" s="17"/>
      <c r="J140" s="19" t="s">
        <v>133</v>
      </c>
      <c r="K140" s="19" t="s">
        <v>1640</v>
      </c>
      <c r="L140" s="19" t="s">
        <v>67</v>
      </c>
    </row>
    <row r="141" spans="1:12" s="1" customFormat="1">
      <c r="A141" s="15"/>
      <c r="B141" s="95" t="s">
        <v>2117</v>
      </c>
      <c r="C141" s="95" t="s">
        <v>45</v>
      </c>
      <c r="D141" s="96" t="s">
        <v>2118</v>
      </c>
      <c r="E141" s="16" t="s">
        <v>128</v>
      </c>
      <c r="F141" s="72"/>
      <c r="G141" s="17" t="s">
        <v>2316</v>
      </c>
      <c r="H141" s="18"/>
      <c r="I141" s="17"/>
      <c r="J141" s="19" t="s">
        <v>133</v>
      </c>
      <c r="K141" s="19" t="s">
        <v>1640</v>
      </c>
      <c r="L141" s="19" t="s">
        <v>67</v>
      </c>
    </row>
    <row r="142" spans="1:12" s="1" customFormat="1">
      <c r="A142" s="15"/>
      <c r="B142" s="95" t="s">
        <v>2119</v>
      </c>
      <c r="C142" s="95" t="s">
        <v>45</v>
      </c>
      <c r="D142" s="96" t="s">
        <v>2120</v>
      </c>
      <c r="E142" s="16" t="s">
        <v>128</v>
      </c>
      <c r="F142" s="72"/>
      <c r="G142" s="17" t="s">
        <v>2317</v>
      </c>
      <c r="H142" s="18"/>
      <c r="I142" s="17"/>
      <c r="J142" s="19" t="s">
        <v>133</v>
      </c>
      <c r="K142" s="19" t="s">
        <v>1640</v>
      </c>
      <c r="L142" s="19" t="s">
        <v>67</v>
      </c>
    </row>
    <row r="143" spans="1:12" s="1" customFormat="1">
      <c r="A143" s="15"/>
      <c r="B143" s="95" t="s">
        <v>2121</v>
      </c>
      <c r="C143" s="95" t="s">
        <v>45</v>
      </c>
      <c r="D143" s="96" t="s">
        <v>2122</v>
      </c>
      <c r="E143" s="16" t="s">
        <v>128</v>
      </c>
      <c r="F143" s="72"/>
      <c r="G143" s="17" t="s">
        <v>2318</v>
      </c>
      <c r="H143" s="18"/>
      <c r="I143" s="17"/>
      <c r="J143" s="19" t="s">
        <v>133</v>
      </c>
      <c r="K143" s="19" t="s">
        <v>1640</v>
      </c>
      <c r="L143" s="19" t="s">
        <v>67</v>
      </c>
    </row>
    <row r="144" spans="1:12" s="1" customFormat="1">
      <c r="A144" s="15"/>
      <c r="B144" s="11" t="s">
        <v>315</v>
      </c>
      <c r="C144" s="11" t="s">
        <v>45</v>
      </c>
      <c r="D144" s="9" t="s">
        <v>112</v>
      </c>
      <c r="E144" s="16" t="s">
        <v>128</v>
      </c>
      <c r="F144" s="72"/>
      <c r="G144" s="17" t="s">
        <v>1145</v>
      </c>
      <c r="H144" s="18"/>
      <c r="I144" s="17"/>
      <c r="J144" s="19" t="s">
        <v>133</v>
      </c>
      <c r="K144" s="19" t="s">
        <v>44</v>
      </c>
      <c r="L144" s="19" t="s">
        <v>67</v>
      </c>
    </row>
    <row r="145" spans="1:17" s="1" customFormat="1">
      <c r="A145" s="15"/>
      <c r="B145" s="11" t="s">
        <v>2257</v>
      </c>
      <c r="C145" s="11" t="s">
        <v>43</v>
      </c>
      <c r="D145" s="9" t="s">
        <v>1281</v>
      </c>
      <c r="E145" s="16" t="s">
        <v>55</v>
      </c>
      <c r="F145" s="13"/>
      <c r="G145" s="13" t="s">
        <v>2258</v>
      </c>
      <c r="H145" s="18"/>
      <c r="I145" s="87">
        <v>20250415101139</v>
      </c>
      <c r="J145" s="19" t="s">
        <v>133</v>
      </c>
      <c r="K145" s="19" t="s">
        <v>44</v>
      </c>
      <c r="L145" s="19" t="s">
        <v>1306</v>
      </c>
    </row>
    <row r="146" spans="1:17" s="1" customFormat="1">
      <c r="A146" s="15"/>
      <c r="B146" s="11" t="s">
        <v>2259</v>
      </c>
      <c r="C146" s="11" t="s">
        <v>43</v>
      </c>
      <c r="D146" s="9" t="s">
        <v>1284</v>
      </c>
      <c r="E146" s="16" t="s">
        <v>55</v>
      </c>
      <c r="F146" s="13"/>
      <c r="G146" s="13" t="s">
        <v>2260</v>
      </c>
      <c r="H146" s="18"/>
      <c r="I146" s="87">
        <v>20250415101024</v>
      </c>
      <c r="J146" s="19" t="s">
        <v>133</v>
      </c>
      <c r="K146" s="19" t="s">
        <v>44</v>
      </c>
      <c r="L146" s="19" t="s">
        <v>1306</v>
      </c>
    </row>
    <row r="147" spans="1:17" s="3" customFormat="1">
      <c r="B147" s="23" t="s">
        <v>47</v>
      </c>
      <c r="C147" s="24" t="s">
        <v>46</v>
      </c>
      <c r="D147" s="21" t="s">
        <v>48</v>
      </c>
      <c r="E147" s="44"/>
      <c r="F147" s="44"/>
      <c r="G147" s="44" t="s">
        <v>282</v>
      </c>
      <c r="H147" s="23" t="s">
        <v>282</v>
      </c>
      <c r="I147" s="23"/>
      <c r="J147" s="23"/>
      <c r="K147" s="23"/>
      <c r="L147" s="23"/>
      <c r="M147" s="23"/>
      <c r="N147" s="23"/>
      <c r="O147" s="23"/>
      <c r="P147" s="23"/>
      <c r="Q147" s="23"/>
    </row>
    <row r="148" spans="1:17" s="3" customFormat="1">
      <c r="B148" s="23" t="s">
        <v>49</v>
      </c>
      <c r="C148" s="24" t="s">
        <v>43</v>
      </c>
      <c r="D148" s="21" t="s">
        <v>50</v>
      </c>
      <c r="E148" s="44"/>
      <c r="F148" s="44"/>
      <c r="G148" s="44" t="s">
        <v>282</v>
      </c>
      <c r="H148" s="23" t="s">
        <v>282</v>
      </c>
      <c r="I148" s="23"/>
      <c r="J148" s="23"/>
      <c r="K148" s="23"/>
      <c r="L148" s="23"/>
      <c r="M148" s="23"/>
      <c r="N148" s="23"/>
      <c r="O148" s="23"/>
      <c r="P148" s="23"/>
      <c r="Q148" s="23"/>
    </row>
    <row r="149" spans="1:17" s="3" customFormat="1">
      <c r="B149" s="23" t="s">
        <v>51</v>
      </c>
      <c r="C149" s="24" t="s">
        <v>46</v>
      </c>
      <c r="D149" s="21" t="s">
        <v>52</v>
      </c>
      <c r="E149" s="44"/>
      <c r="F149" s="44"/>
      <c r="G149" s="44" t="s">
        <v>282</v>
      </c>
      <c r="H149" s="23" t="s">
        <v>282</v>
      </c>
      <c r="I149" s="23"/>
      <c r="J149" s="23"/>
      <c r="K149" s="23"/>
      <c r="L149" s="23"/>
      <c r="M149" s="23"/>
      <c r="N149" s="23"/>
      <c r="O149" s="23"/>
      <c r="P149" s="23"/>
      <c r="Q149" s="23"/>
    </row>
  </sheetData>
  <autoFilter ref="A13:Q149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524B-D391-4A3A-8E50-B8B8D567DC0E}">
  <dimension ref="A1:Q145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6.2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3057</v>
      </c>
      <c r="D5" s="9" t="s">
        <v>3058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3055</v>
      </c>
      <c r="D9" s="9" t="s">
        <v>3056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6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3039</v>
      </c>
      <c r="C16" s="22" t="s">
        <v>94</v>
      </c>
      <c r="D16" s="9" t="s">
        <v>99</v>
      </c>
      <c r="E16" s="16" t="s">
        <v>128</v>
      </c>
      <c r="F16" s="17" t="s">
        <v>80</v>
      </c>
      <c r="G16" s="17" t="s">
        <v>129</v>
      </c>
      <c r="H16" s="16"/>
      <c r="I16" s="20"/>
      <c r="J16" s="19" t="s">
        <v>131</v>
      </c>
      <c r="K16" s="19" t="s">
        <v>132</v>
      </c>
      <c r="L16" s="19" t="s">
        <v>678</v>
      </c>
    </row>
    <row r="17" spans="1:13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138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679</v>
      </c>
    </row>
    <row r="18" spans="1:13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123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124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318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44</v>
      </c>
    </row>
    <row r="21" spans="1:13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273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272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81</v>
      </c>
      <c r="C23" s="11" t="s">
        <v>43</v>
      </c>
      <c r="D23" s="9" t="s">
        <v>57</v>
      </c>
      <c r="E23" s="16" t="s">
        <v>128</v>
      </c>
      <c r="F23" s="17" t="s">
        <v>81</v>
      </c>
      <c r="G23" s="17" t="s">
        <v>129</v>
      </c>
      <c r="H23" s="16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58</v>
      </c>
      <c r="C24" s="11" t="s">
        <v>43</v>
      </c>
      <c r="D24" s="9" t="s">
        <v>59</v>
      </c>
      <c r="E24" s="16" t="s">
        <v>128</v>
      </c>
      <c r="F24" s="9" t="s">
        <v>58</v>
      </c>
      <c r="G24" s="17" t="s">
        <v>129</v>
      </c>
      <c r="H24" s="16"/>
      <c r="I24" s="20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82</v>
      </c>
      <c r="C25" s="11" t="s">
        <v>43</v>
      </c>
      <c r="D25" s="9" t="s">
        <v>105</v>
      </c>
      <c r="E25" s="16" t="s">
        <v>128</v>
      </c>
      <c r="F25" s="17" t="s">
        <v>82</v>
      </c>
      <c r="G25" s="17" t="s">
        <v>129</v>
      </c>
      <c r="H25" s="16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B26" s="22" t="s">
        <v>85</v>
      </c>
      <c r="C26" s="11" t="s">
        <v>43</v>
      </c>
      <c r="D26" s="9" t="s">
        <v>107</v>
      </c>
      <c r="E26" s="16" t="s">
        <v>128</v>
      </c>
      <c r="F26" s="17" t="s">
        <v>85</v>
      </c>
      <c r="G26" s="17" t="s">
        <v>129</v>
      </c>
      <c r="H26" s="16"/>
      <c r="I26" s="19"/>
      <c r="J26" s="19" t="s">
        <v>131</v>
      </c>
      <c r="K26" s="19" t="s">
        <v>132</v>
      </c>
      <c r="L26" s="19" t="s">
        <v>44</v>
      </c>
    </row>
    <row r="27" spans="1:13" s="15" customFormat="1">
      <c r="B27" s="22" t="s">
        <v>87</v>
      </c>
      <c r="C27" s="11" t="s">
        <v>43</v>
      </c>
      <c r="D27" s="9" t="s">
        <v>109</v>
      </c>
      <c r="E27" s="16" t="s">
        <v>128</v>
      </c>
      <c r="F27" s="17" t="s">
        <v>87</v>
      </c>
      <c r="G27" s="17" t="s">
        <v>129</v>
      </c>
      <c r="H27" s="16"/>
      <c r="I27" s="20"/>
      <c r="J27" s="19" t="s">
        <v>131</v>
      </c>
      <c r="K27" s="19" t="s">
        <v>132</v>
      </c>
      <c r="L27" s="19" t="s">
        <v>679</v>
      </c>
      <c r="M27" s="1"/>
    </row>
    <row r="28" spans="1:13" s="1" customFormat="1">
      <c r="A28" s="15"/>
      <c r="B28" s="11" t="s">
        <v>145</v>
      </c>
      <c r="C28" s="11" t="s">
        <v>45</v>
      </c>
      <c r="D28" s="9" t="s">
        <v>146</v>
      </c>
      <c r="E28" s="16" t="s">
        <v>128</v>
      </c>
      <c r="F28" s="17"/>
      <c r="G28" s="17" t="s">
        <v>1289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3" s="1" customFormat="1">
      <c r="A29" s="15"/>
      <c r="B29" s="11" t="s">
        <v>192</v>
      </c>
      <c r="C29" s="11" t="s">
        <v>45</v>
      </c>
      <c r="D29" s="9" t="s">
        <v>193</v>
      </c>
      <c r="E29" s="16" t="s">
        <v>128</v>
      </c>
      <c r="F29" s="17"/>
      <c r="G29" s="17" t="s">
        <v>2265</v>
      </c>
      <c r="H29" s="18"/>
      <c r="I29" s="17"/>
      <c r="J29" s="19" t="s">
        <v>133</v>
      </c>
      <c r="K29" s="19" t="s">
        <v>132</v>
      </c>
      <c r="L29" s="19" t="s">
        <v>134</v>
      </c>
    </row>
    <row r="30" spans="1:13" s="1" customFormat="1">
      <c r="A30" s="15"/>
      <c r="B30" s="22" t="s">
        <v>255</v>
      </c>
      <c r="C30" s="22" t="s">
        <v>45</v>
      </c>
      <c r="D30" s="9" t="s">
        <v>348</v>
      </c>
      <c r="E30" s="16" t="s">
        <v>128</v>
      </c>
      <c r="F30" s="17"/>
      <c r="G30" s="17" t="s">
        <v>1667</v>
      </c>
      <c r="H30" s="18"/>
      <c r="I30" s="17"/>
      <c r="J30" s="19" t="s">
        <v>133</v>
      </c>
      <c r="K30" s="19" t="s">
        <v>203</v>
      </c>
      <c r="L30" s="19" t="s">
        <v>134</v>
      </c>
    </row>
    <row r="31" spans="1:13" s="1" customFormat="1">
      <c r="A31" s="15"/>
      <c r="B31" s="11" t="s">
        <v>207</v>
      </c>
      <c r="C31" s="11" t="s">
        <v>45</v>
      </c>
      <c r="D31" s="9" t="s">
        <v>759</v>
      </c>
      <c r="E31" s="16" t="s">
        <v>128</v>
      </c>
      <c r="F31" s="72"/>
      <c r="G31" s="17" t="s">
        <v>1200</v>
      </c>
      <c r="H31" s="18"/>
      <c r="I31" s="17"/>
      <c r="J31" s="19" t="s">
        <v>133</v>
      </c>
      <c r="K31" s="19" t="s">
        <v>204</v>
      </c>
      <c r="L31" s="19" t="s">
        <v>134</v>
      </c>
    </row>
    <row r="32" spans="1:13" s="1" customFormat="1">
      <c r="A32" s="15"/>
      <c r="B32" s="11" t="s">
        <v>208</v>
      </c>
      <c r="C32" s="11" t="s">
        <v>45</v>
      </c>
      <c r="D32" s="9" t="s">
        <v>160</v>
      </c>
      <c r="E32" s="16" t="s">
        <v>128</v>
      </c>
      <c r="F32" s="72"/>
      <c r="G32" s="17" t="s">
        <v>1201</v>
      </c>
      <c r="H32" s="18"/>
      <c r="I32" s="17"/>
      <c r="J32" s="19" t="s">
        <v>133</v>
      </c>
      <c r="K32" s="19" t="s">
        <v>204</v>
      </c>
      <c r="L32" s="19" t="s">
        <v>134</v>
      </c>
    </row>
    <row r="33" spans="1:12" s="1" customFormat="1">
      <c r="A33" s="15"/>
      <c r="B33" s="11" t="s">
        <v>210</v>
      </c>
      <c r="C33" s="11" t="s">
        <v>45</v>
      </c>
      <c r="D33" s="9" t="s">
        <v>1056</v>
      </c>
      <c r="E33" s="16" t="s">
        <v>128</v>
      </c>
      <c r="F33" s="72"/>
      <c r="G33" s="17" t="s">
        <v>224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209</v>
      </c>
      <c r="C34" s="11" t="s">
        <v>45</v>
      </c>
      <c r="D34" s="9" t="s">
        <v>1055</v>
      </c>
      <c r="E34" s="16" t="s">
        <v>128</v>
      </c>
      <c r="F34" s="72"/>
      <c r="G34" s="17" t="s">
        <v>223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211</v>
      </c>
      <c r="C35" s="11" t="s">
        <v>45</v>
      </c>
      <c r="D35" s="9" t="s">
        <v>163</v>
      </c>
      <c r="E35" s="16" t="s">
        <v>128</v>
      </c>
      <c r="F35" s="72"/>
      <c r="G35" s="17" t="s">
        <v>225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212</v>
      </c>
      <c r="C36" s="11" t="s">
        <v>45</v>
      </c>
      <c r="D36" s="9" t="s">
        <v>164</v>
      </c>
      <c r="E36" s="16" t="s">
        <v>128</v>
      </c>
      <c r="F36" s="72"/>
      <c r="G36" s="17" t="s">
        <v>226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213</v>
      </c>
      <c r="C37" s="11" t="s">
        <v>45</v>
      </c>
      <c r="D37" s="9" t="s">
        <v>165</v>
      </c>
      <c r="E37" s="16" t="s">
        <v>128</v>
      </c>
      <c r="F37" s="72"/>
      <c r="G37" s="17" t="s">
        <v>1114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214</v>
      </c>
      <c r="C38" s="11" t="s">
        <v>45</v>
      </c>
      <c r="D38" s="9" t="s">
        <v>166</v>
      </c>
      <c r="E38" s="16" t="s">
        <v>128</v>
      </c>
      <c r="F38" s="72"/>
      <c r="G38" s="17" t="s">
        <v>1115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217</v>
      </c>
      <c r="C39" s="11" t="s">
        <v>45</v>
      </c>
      <c r="D39" s="9" t="s">
        <v>171</v>
      </c>
      <c r="E39" s="16" t="s">
        <v>128</v>
      </c>
      <c r="F39" s="72"/>
      <c r="G39" s="17" t="s">
        <v>1116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218</v>
      </c>
      <c r="C40" s="11" t="s">
        <v>45</v>
      </c>
      <c r="D40" s="9" t="s">
        <v>172</v>
      </c>
      <c r="E40" s="16" t="s">
        <v>128</v>
      </c>
      <c r="F40" s="72"/>
      <c r="G40" s="17" t="s">
        <v>1117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219</v>
      </c>
      <c r="C41" s="11" t="s">
        <v>45</v>
      </c>
      <c r="D41" s="9" t="s">
        <v>173</v>
      </c>
      <c r="E41" s="16" t="s">
        <v>128</v>
      </c>
      <c r="F41" s="72"/>
      <c r="G41" s="17" t="s">
        <v>1118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220</v>
      </c>
      <c r="C42" s="11" t="s">
        <v>45</v>
      </c>
      <c r="D42" s="9" t="s">
        <v>174</v>
      </c>
      <c r="E42" s="16" t="s">
        <v>128</v>
      </c>
      <c r="F42" s="72"/>
      <c r="G42" s="17" t="s">
        <v>1119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215</v>
      </c>
      <c r="C43" s="11" t="s">
        <v>45</v>
      </c>
      <c r="D43" s="9" t="s">
        <v>1260</v>
      </c>
      <c r="E43" s="16" t="s">
        <v>128</v>
      </c>
      <c r="F43" s="72"/>
      <c r="G43" s="17" t="s">
        <v>227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216</v>
      </c>
      <c r="C44" s="11" t="s">
        <v>45</v>
      </c>
      <c r="D44" s="9" t="s">
        <v>1261</v>
      </c>
      <c r="E44" s="16" t="s">
        <v>128</v>
      </c>
      <c r="F44" s="72"/>
      <c r="G44" s="17" t="s">
        <v>228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316</v>
      </c>
      <c r="C45" s="11" t="s">
        <v>45</v>
      </c>
      <c r="D45" s="9" t="s">
        <v>167</v>
      </c>
      <c r="E45" s="16" t="s">
        <v>128</v>
      </c>
      <c r="F45" s="72"/>
      <c r="G45" s="17" t="s">
        <v>772</v>
      </c>
      <c r="H45" s="18"/>
      <c r="I45" s="17"/>
      <c r="J45" s="19" t="s">
        <v>133</v>
      </c>
      <c r="K45" s="19" t="s">
        <v>202</v>
      </c>
      <c r="L45" s="19" t="s">
        <v>67</v>
      </c>
    </row>
    <row r="46" spans="1:12" s="1" customFormat="1">
      <c r="A46" s="15"/>
      <c r="B46" s="11" t="s">
        <v>809</v>
      </c>
      <c r="C46" s="11" t="s">
        <v>45</v>
      </c>
      <c r="D46" s="9" t="s">
        <v>175</v>
      </c>
      <c r="E46" s="16" t="s">
        <v>128</v>
      </c>
      <c r="F46" s="72"/>
      <c r="G46" s="17" t="s">
        <v>1120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317</v>
      </c>
      <c r="C47" s="11" t="s">
        <v>45</v>
      </c>
      <c r="D47" s="9" t="s">
        <v>168</v>
      </c>
      <c r="E47" s="16" t="s">
        <v>128</v>
      </c>
      <c r="F47" s="72"/>
      <c r="G47" s="17" t="s">
        <v>778</v>
      </c>
      <c r="H47" s="18"/>
      <c r="I47" s="17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810</v>
      </c>
      <c r="C48" s="11" t="s">
        <v>45</v>
      </c>
      <c r="D48" s="9" t="s">
        <v>176</v>
      </c>
      <c r="E48" s="16" t="s">
        <v>128</v>
      </c>
      <c r="F48" s="72"/>
      <c r="G48" s="17" t="s">
        <v>1121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1213</v>
      </c>
      <c r="C49" s="11" t="s">
        <v>45</v>
      </c>
      <c r="D49" s="9" t="s">
        <v>178</v>
      </c>
      <c r="E49" s="16" t="s">
        <v>128</v>
      </c>
      <c r="F49" s="72"/>
      <c r="G49" s="17" t="s">
        <v>2266</v>
      </c>
      <c r="H49" s="18"/>
      <c r="I49" s="17"/>
      <c r="J49" s="19" t="s">
        <v>133</v>
      </c>
      <c r="K49" s="19" t="s">
        <v>202</v>
      </c>
      <c r="L49" s="19" t="s">
        <v>67</v>
      </c>
    </row>
    <row r="50" spans="1:12" s="1" customFormat="1">
      <c r="A50" s="15"/>
      <c r="B50" s="11" t="s">
        <v>221</v>
      </c>
      <c r="C50" s="11" t="s">
        <v>45</v>
      </c>
      <c r="D50" s="9" t="s">
        <v>177</v>
      </c>
      <c r="E50" s="16" t="s">
        <v>128</v>
      </c>
      <c r="F50" s="72"/>
      <c r="G50" s="17" t="s">
        <v>1122</v>
      </c>
      <c r="H50" s="18"/>
      <c r="I50" s="17"/>
      <c r="J50" s="19" t="s">
        <v>133</v>
      </c>
      <c r="K50" s="19" t="s">
        <v>204</v>
      </c>
      <c r="L50" s="19" t="s">
        <v>67</v>
      </c>
    </row>
    <row r="51" spans="1:12" s="1" customFormat="1">
      <c r="A51" s="15"/>
      <c r="B51" s="11" t="s">
        <v>1212</v>
      </c>
      <c r="C51" s="11" t="s">
        <v>45</v>
      </c>
      <c r="D51" s="9" t="s">
        <v>180</v>
      </c>
      <c r="E51" s="16" t="s">
        <v>128</v>
      </c>
      <c r="F51" s="72"/>
      <c r="G51" s="17" t="s">
        <v>2267</v>
      </c>
      <c r="H51" s="18"/>
      <c r="I51" s="17"/>
      <c r="J51" s="19" t="s">
        <v>133</v>
      </c>
      <c r="K51" s="19" t="s">
        <v>202</v>
      </c>
      <c r="L51" s="19" t="s">
        <v>67</v>
      </c>
    </row>
    <row r="52" spans="1:12" s="1" customFormat="1">
      <c r="A52" s="15"/>
      <c r="B52" s="11" t="s">
        <v>222</v>
      </c>
      <c r="C52" s="11" t="s">
        <v>45</v>
      </c>
      <c r="D52" s="9" t="s">
        <v>179</v>
      </c>
      <c r="E52" s="16" t="s">
        <v>128</v>
      </c>
      <c r="F52" s="72"/>
      <c r="G52" s="17" t="s">
        <v>1123</v>
      </c>
      <c r="H52" s="18"/>
      <c r="I52" s="17"/>
      <c r="J52" s="19" t="s">
        <v>133</v>
      </c>
      <c r="K52" s="19" t="s">
        <v>204</v>
      </c>
      <c r="L52" s="19" t="s">
        <v>67</v>
      </c>
    </row>
    <row r="53" spans="1:12" s="1" customFormat="1">
      <c r="A53" s="15"/>
      <c r="B53" s="11" t="s">
        <v>2167</v>
      </c>
      <c r="C53" s="11" t="s">
        <v>45</v>
      </c>
      <c r="D53" s="9" t="s">
        <v>2165</v>
      </c>
      <c r="E53" s="16" t="s">
        <v>128</v>
      </c>
      <c r="F53" s="72"/>
      <c r="G53" s="17" t="s">
        <v>2268</v>
      </c>
      <c r="H53" s="18"/>
      <c r="I53" s="17"/>
      <c r="J53" s="19" t="s">
        <v>133</v>
      </c>
      <c r="K53" s="19" t="s">
        <v>903</v>
      </c>
      <c r="L53" s="19" t="s">
        <v>134</v>
      </c>
    </row>
    <row r="54" spans="1:12" s="1" customFormat="1">
      <c r="A54" s="15"/>
      <c r="B54" s="11" t="s">
        <v>2168</v>
      </c>
      <c r="C54" s="11" t="s">
        <v>45</v>
      </c>
      <c r="D54" s="9" t="s">
        <v>2166</v>
      </c>
      <c r="E54" s="16" t="s">
        <v>128</v>
      </c>
      <c r="F54" s="72"/>
      <c r="G54" s="17" t="s">
        <v>2269</v>
      </c>
      <c r="H54" s="18"/>
      <c r="I54" s="17"/>
      <c r="J54" s="19" t="s">
        <v>133</v>
      </c>
      <c r="K54" s="19" t="s">
        <v>903</v>
      </c>
      <c r="L54" s="19" t="s">
        <v>134</v>
      </c>
    </row>
    <row r="55" spans="1:12" s="1" customFormat="1">
      <c r="A55" s="15"/>
      <c r="B55" s="11" t="s">
        <v>2179</v>
      </c>
      <c r="C55" s="11" t="s">
        <v>45</v>
      </c>
      <c r="D55" s="9" t="s">
        <v>2011</v>
      </c>
      <c r="E55" s="16" t="s">
        <v>128</v>
      </c>
      <c r="F55" s="72"/>
      <c r="G55" s="17" t="s">
        <v>2270</v>
      </c>
      <c r="H55" s="18"/>
      <c r="I55" s="17"/>
      <c r="J55" s="19" t="s">
        <v>133</v>
      </c>
      <c r="K55" s="19" t="s">
        <v>202</v>
      </c>
      <c r="L55" s="19" t="s">
        <v>67</v>
      </c>
    </row>
    <row r="56" spans="1:12" s="1" customFormat="1">
      <c r="A56" s="15"/>
      <c r="B56" s="11" t="s">
        <v>2172</v>
      </c>
      <c r="C56" s="11" t="s">
        <v>45</v>
      </c>
      <c r="D56" s="9" t="s">
        <v>2173</v>
      </c>
      <c r="E56" s="16" t="s">
        <v>128</v>
      </c>
      <c r="F56" s="72"/>
      <c r="G56" s="17" t="s">
        <v>2271</v>
      </c>
      <c r="H56" s="18"/>
      <c r="I56" s="17"/>
      <c r="J56" s="19" t="s">
        <v>133</v>
      </c>
      <c r="K56" s="19" t="s">
        <v>1640</v>
      </c>
      <c r="L56" s="19" t="s">
        <v>67</v>
      </c>
    </row>
    <row r="57" spans="1:12" s="1" customFormat="1">
      <c r="A57" s="15"/>
      <c r="B57" s="11" t="s">
        <v>2174</v>
      </c>
      <c r="C57" s="11" t="s">
        <v>45</v>
      </c>
      <c r="D57" s="9" t="s">
        <v>2175</v>
      </c>
      <c r="E57" s="16" t="s">
        <v>128</v>
      </c>
      <c r="F57" s="72"/>
      <c r="G57" s="17" t="s">
        <v>2272</v>
      </c>
      <c r="H57" s="18"/>
      <c r="I57" s="17"/>
      <c r="J57" s="19" t="s">
        <v>133</v>
      </c>
      <c r="K57" s="19" t="s">
        <v>1640</v>
      </c>
      <c r="L57" s="19" t="s">
        <v>67</v>
      </c>
    </row>
    <row r="58" spans="1:12" s="1" customFormat="1">
      <c r="A58" s="15"/>
      <c r="B58" s="11" t="s">
        <v>2181</v>
      </c>
      <c r="C58" s="11" t="s">
        <v>45</v>
      </c>
      <c r="D58" s="9" t="s">
        <v>2182</v>
      </c>
      <c r="E58" s="16" t="s">
        <v>128</v>
      </c>
      <c r="F58" s="72"/>
      <c r="G58" s="17" t="s">
        <v>2273</v>
      </c>
      <c r="H58" s="18"/>
      <c r="I58" s="17"/>
      <c r="J58" s="19" t="s">
        <v>133</v>
      </c>
      <c r="K58" s="19" t="s">
        <v>1640</v>
      </c>
      <c r="L58" s="19" t="s">
        <v>67</v>
      </c>
    </row>
    <row r="59" spans="1:12" s="1" customFormat="1">
      <c r="A59" s="15"/>
      <c r="B59" s="11" t="s">
        <v>2183</v>
      </c>
      <c r="C59" s="11" t="s">
        <v>45</v>
      </c>
      <c r="D59" s="9" t="s">
        <v>2184</v>
      </c>
      <c r="E59" s="16" t="s">
        <v>128</v>
      </c>
      <c r="F59" s="72"/>
      <c r="G59" s="17" t="s">
        <v>2274</v>
      </c>
      <c r="H59" s="18"/>
      <c r="I59" s="17"/>
      <c r="J59" s="19" t="s">
        <v>133</v>
      </c>
      <c r="K59" s="19" t="s">
        <v>1640</v>
      </c>
      <c r="L59" s="19" t="s">
        <v>67</v>
      </c>
    </row>
    <row r="60" spans="1:12" s="1" customFormat="1">
      <c r="A60" s="15"/>
      <c r="B60" s="11" t="s">
        <v>2185</v>
      </c>
      <c r="C60" s="11" t="s">
        <v>45</v>
      </c>
      <c r="D60" s="9" t="s">
        <v>2190</v>
      </c>
      <c r="E60" s="16" t="s">
        <v>128</v>
      </c>
      <c r="F60" s="72"/>
      <c r="G60" s="17" t="s">
        <v>2275</v>
      </c>
      <c r="H60" s="18"/>
      <c r="I60" s="17"/>
      <c r="J60" s="19" t="s">
        <v>133</v>
      </c>
      <c r="K60" s="19" t="s">
        <v>204</v>
      </c>
      <c r="L60" s="19" t="s">
        <v>67</v>
      </c>
    </row>
    <row r="61" spans="1:12" s="1" customFormat="1">
      <c r="A61" s="15"/>
      <c r="B61" s="11" t="s">
        <v>2186</v>
      </c>
      <c r="C61" s="11" t="s">
        <v>45</v>
      </c>
      <c r="D61" s="9" t="s">
        <v>2191</v>
      </c>
      <c r="E61" s="16" t="s">
        <v>128</v>
      </c>
      <c r="F61" s="72"/>
      <c r="G61" s="17" t="s">
        <v>2276</v>
      </c>
      <c r="H61" s="18"/>
      <c r="I61" s="17"/>
      <c r="J61" s="19" t="s">
        <v>133</v>
      </c>
      <c r="K61" s="19" t="s">
        <v>202</v>
      </c>
      <c r="L61" s="19" t="s">
        <v>67</v>
      </c>
    </row>
    <row r="62" spans="1:12" s="1" customFormat="1">
      <c r="A62" s="15"/>
      <c r="B62" s="11" t="s">
        <v>2245</v>
      </c>
      <c r="C62" s="11" t="s">
        <v>45</v>
      </c>
      <c r="D62" s="9" t="s">
        <v>2189</v>
      </c>
      <c r="E62" s="16" t="s">
        <v>128</v>
      </c>
      <c r="F62" s="72"/>
      <c r="G62" s="17" t="s">
        <v>2277</v>
      </c>
      <c r="H62" s="18"/>
      <c r="I62" s="17"/>
      <c r="J62" s="19" t="s">
        <v>133</v>
      </c>
      <c r="K62" s="19" t="s">
        <v>204</v>
      </c>
      <c r="L62" s="19" t="s">
        <v>67</v>
      </c>
    </row>
    <row r="63" spans="1:12" s="1" customFormat="1">
      <c r="A63" s="15"/>
      <c r="B63" s="11" t="s">
        <v>2159</v>
      </c>
      <c r="C63" s="95" t="s">
        <v>280</v>
      </c>
      <c r="D63" s="9" t="s">
        <v>2161</v>
      </c>
      <c r="E63" s="16" t="s">
        <v>128</v>
      </c>
      <c r="F63" s="72"/>
      <c r="G63" s="17" t="s">
        <v>2278</v>
      </c>
      <c r="H63" s="18"/>
      <c r="I63" s="17"/>
      <c r="J63" s="19" t="s">
        <v>133</v>
      </c>
      <c r="K63" s="19" t="s">
        <v>203</v>
      </c>
      <c r="L63" s="19" t="s">
        <v>67</v>
      </c>
    </row>
    <row r="64" spans="1:12" s="1" customFormat="1">
      <c r="A64" s="15"/>
      <c r="B64" s="11" t="s">
        <v>2160</v>
      </c>
      <c r="C64" s="95" t="s">
        <v>280</v>
      </c>
      <c r="D64" s="9" t="s">
        <v>2162</v>
      </c>
      <c r="E64" s="16" t="s">
        <v>128</v>
      </c>
      <c r="F64" s="72"/>
      <c r="G64" s="17" t="s">
        <v>2279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205</v>
      </c>
      <c r="C65" s="11" t="s">
        <v>45</v>
      </c>
      <c r="D65" s="9" t="s">
        <v>147</v>
      </c>
      <c r="E65" s="16" t="s">
        <v>128</v>
      </c>
      <c r="F65" s="72"/>
      <c r="G65" s="17" t="s">
        <v>2247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206</v>
      </c>
      <c r="C66" s="11" t="s">
        <v>280</v>
      </c>
      <c r="D66" s="9" t="s">
        <v>820</v>
      </c>
      <c r="E66" s="16" t="s">
        <v>128</v>
      </c>
      <c r="F66" s="72"/>
      <c r="G66" s="17" t="s">
        <v>1081</v>
      </c>
      <c r="H66" s="18"/>
      <c r="I66" s="17"/>
      <c r="J66" s="19" t="s">
        <v>133</v>
      </c>
      <c r="K66" s="19" t="s">
        <v>202</v>
      </c>
      <c r="L66" s="19" t="s">
        <v>67</v>
      </c>
    </row>
    <row r="67" spans="1:12" s="1" customFormat="1">
      <c r="A67" s="15"/>
      <c r="B67" s="11" t="s">
        <v>1022</v>
      </c>
      <c r="C67" s="11" t="s">
        <v>45</v>
      </c>
      <c r="D67" s="9" t="s">
        <v>1018</v>
      </c>
      <c r="E67" s="16" t="s">
        <v>128</v>
      </c>
      <c r="F67" s="72"/>
      <c r="G67" s="17" t="s">
        <v>1127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1014</v>
      </c>
      <c r="C68" s="11" t="s">
        <v>45</v>
      </c>
      <c r="D68" s="9" t="s">
        <v>1019</v>
      </c>
      <c r="E68" s="16" t="s">
        <v>128</v>
      </c>
      <c r="F68" s="72"/>
      <c r="G68" s="17" t="s">
        <v>1128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1015</v>
      </c>
      <c r="C69" s="11" t="s">
        <v>45</v>
      </c>
      <c r="D69" s="9" t="s">
        <v>1020</v>
      </c>
      <c r="E69" s="16" t="s">
        <v>128</v>
      </c>
      <c r="F69" s="72"/>
      <c r="G69" s="17" t="s">
        <v>1129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1016</v>
      </c>
      <c r="C70" s="11" t="s">
        <v>45</v>
      </c>
      <c r="D70" s="9" t="s">
        <v>1021</v>
      </c>
      <c r="E70" s="16" t="s">
        <v>128</v>
      </c>
      <c r="F70" s="72"/>
      <c r="G70" s="17" t="s">
        <v>1130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1017</v>
      </c>
      <c r="C71" s="11" t="s">
        <v>45</v>
      </c>
      <c r="D71" s="9" t="s">
        <v>1042</v>
      </c>
      <c r="E71" s="16" t="s">
        <v>128</v>
      </c>
      <c r="F71" s="72"/>
      <c r="G71" s="17" t="s">
        <v>1131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1049</v>
      </c>
      <c r="C72" s="11" t="s">
        <v>45</v>
      </c>
      <c r="D72" s="9" t="s">
        <v>153</v>
      </c>
      <c r="E72" s="16" t="s">
        <v>128</v>
      </c>
      <c r="F72" s="72"/>
      <c r="G72" s="17" t="s">
        <v>1262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823</v>
      </c>
      <c r="C73" s="11" t="s">
        <v>280</v>
      </c>
      <c r="D73" s="9" t="s">
        <v>1474</v>
      </c>
      <c r="E73" s="16" t="s">
        <v>128</v>
      </c>
      <c r="F73" s="72"/>
      <c r="G73" s="17" t="s">
        <v>1082</v>
      </c>
      <c r="H73" s="18"/>
      <c r="I73" s="17"/>
      <c r="J73" s="19" t="s">
        <v>133</v>
      </c>
      <c r="K73" s="19" t="s">
        <v>202</v>
      </c>
      <c r="L73" s="19" t="s">
        <v>67</v>
      </c>
    </row>
    <row r="74" spans="1:12" s="1" customFormat="1">
      <c r="A74" s="15"/>
      <c r="B74" s="11" t="s">
        <v>1030</v>
      </c>
      <c r="C74" s="11" t="s">
        <v>45</v>
      </c>
      <c r="D74" s="9" t="s">
        <v>1026</v>
      </c>
      <c r="E74" s="16" t="s">
        <v>128</v>
      </c>
      <c r="F74" s="72"/>
      <c r="G74" s="17" t="s">
        <v>1133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1023</v>
      </c>
      <c r="C75" s="11" t="s">
        <v>45</v>
      </c>
      <c r="D75" s="9" t="s">
        <v>1027</v>
      </c>
      <c r="E75" s="16" t="s">
        <v>128</v>
      </c>
      <c r="F75" s="72"/>
      <c r="G75" s="17" t="s">
        <v>1134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1024</v>
      </c>
      <c r="C76" s="11" t="s">
        <v>45</v>
      </c>
      <c r="D76" s="9" t="s">
        <v>1028</v>
      </c>
      <c r="E76" s="16" t="s">
        <v>128</v>
      </c>
      <c r="F76" s="72"/>
      <c r="G76" s="17" t="s">
        <v>1135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1032</v>
      </c>
      <c r="C77" s="11" t="s">
        <v>45</v>
      </c>
      <c r="D77" s="9" t="s">
        <v>1029</v>
      </c>
      <c r="E77" s="16" t="s">
        <v>128</v>
      </c>
      <c r="F77" s="72"/>
      <c r="G77" s="17" t="s">
        <v>1136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1025</v>
      </c>
      <c r="C78" s="11" t="s">
        <v>45</v>
      </c>
      <c r="D78" s="9" t="s">
        <v>1043</v>
      </c>
      <c r="E78" s="16" t="s">
        <v>128</v>
      </c>
      <c r="F78" s="72"/>
      <c r="G78" s="17" t="s">
        <v>1137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1084</v>
      </c>
      <c r="C79" s="11" t="s">
        <v>280</v>
      </c>
      <c r="D79" s="9" t="s">
        <v>1086</v>
      </c>
      <c r="E79" s="16" t="s">
        <v>128</v>
      </c>
      <c r="F79" s="72"/>
      <c r="G79" s="17" t="s">
        <v>2248</v>
      </c>
      <c r="H79" s="18"/>
      <c r="I79" s="17"/>
      <c r="J79" s="19" t="s">
        <v>133</v>
      </c>
      <c r="K79" s="19" t="s">
        <v>202</v>
      </c>
      <c r="L79" s="19" t="s">
        <v>67</v>
      </c>
    </row>
    <row r="80" spans="1:12" s="1" customFormat="1">
      <c r="A80" s="15"/>
      <c r="B80" s="11" t="s">
        <v>1083</v>
      </c>
      <c r="C80" s="11" t="s">
        <v>280</v>
      </c>
      <c r="D80" s="9" t="s">
        <v>841</v>
      </c>
      <c r="E80" s="16" t="s">
        <v>128</v>
      </c>
      <c r="F80" s="72"/>
      <c r="G80" s="17" t="s">
        <v>1866</v>
      </c>
      <c r="H80" s="18"/>
      <c r="I80" s="17"/>
      <c r="J80" s="19" t="s">
        <v>133</v>
      </c>
      <c r="K80" s="19" t="s">
        <v>202</v>
      </c>
      <c r="L80" s="19" t="s">
        <v>67</v>
      </c>
    </row>
    <row r="81" spans="1:12" s="1" customFormat="1">
      <c r="A81" s="15"/>
      <c r="B81" s="11" t="s">
        <v>1033</v>
      </c>
      <c r="C81" s="11" t="s">
        <v>45</v>
      </c>
      <c r="D81" s="9" t="s">
        <v>1038</v>
      </c>
      <c r="E81" s="16" t="s">
        <v>128</v>
      </c>
      <c r="F81" s="72"/>
      <c r="G81" s="17" t="s">
        <v>1138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1034</v>
      </c>
      <c r="C82" s="11" t="s">
        <v>45</v>
      </c>
      <c r="D82" s="9" t="s">
        <v>1039</v>
      </c>
      <c r="E82" s="16" t="s">
        <v>128</v>
      </c>
      <c r="F82" s="72"/>
      <c r="G82" s="17" t="s">
        <v>1139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1035</v>
      </c>
      <c r="C83" s="11" t="s">
        <v>45</v>
      </c>
      <c r="D83" s="9" t="s">
        <v>1040</v>
      </c>
      <c r="E83" s="16" t="s">
        <v>128</v>
      </c>
      <c r="F83" s="72"/>
      <c r="G83" s="17" t="s">
        <v>1140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1036</v>
      </c>
      <c r="C84" s="11" t="s">
        <v>45</v>
      </c>
      <c r="D84" s="9" t="s">
        <v>1041</v>
      </c>
      <c r="E84" s="16" t="s">
        <v>128</v>
      </c>
      <c r="F84" s="72"/>
      <c r="G84" s="17" t="s">
        <v>1141</v>
      </c>
      <c r="H84" s="18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1037</v>
      </c>
      <c r="C85" s="11" t="s">
        <v>45</v>
      </c>
      <c r="D85" s="9" t="s">
        <v>1044</v>
      </c>
      <c r="E85" s="16" t="s">
        <v>128</v>
      </c>
      <c r="F85" s="72"/>
      <c r="G85" s="17" t="s">
        <v>1142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816</v>
      </c>
      <c r="C86" s="11" t="s">
        <v>280</v>
      </c>
      <c r="D86" s="9" t="s">
        <v>839</v>
      </c>
      <c r="E86" s="16" t="s">
        <v>128</v>
      </c>
      <c r="F86" s="72"/>
      <c r="G86" s="17" t="s">
        <v>1088</v>
      </c>
      <c r="H86" s="18"/>
      <c r="I86" s="17"/>
      <c r="J86" s="19" t="s">
        <v>133</v>
      </c>
      <c r="K86" s="19" t="s">
        <v>202</v>
      </c>
      <c r="L86" s="19" t="s">
        <v>67</v>
      </c>
    </row>
    <row r="87" spans="1:12" s="1" customFormat="1">
      <c r="A87" s="15"/>
      <c r="B87" s="11" t="s">
        <v>817</v>
      </c>
      <c r="C87" s="11" t="s">
        <v>45</v>
      </c>
      <c r="D87" s="9" t="s">
        <v>658</v>
      </c>
      <c r="E87" s="16" t="s">
        <v>128</v>
      </c>
      <c r="F87" s="72"/>
      <c r="G87" s="17" t="s">
        <v>1089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818</v>
      </c>
      <c r="C88" s="11" t="s">
        <v>280</v>
      </c>
      <c r="D88" s="9" t="s">
        <v>842</v>
      </c>
      <c r="E88" s="16" t="s">
        <v>128</v>
      </c>
      <c r="F88" s="72"/>
      <c r="G88" s="17" t="s">
        <v>1091</v>
      </c>
      <c r="H88" s="18"/>
      <c r="I88" s="17"/>
      <c r="J88" s="19" t="s">
        <v>133</v>
      </c>
      <c r="K88" s="19" t="s">
        <v>202</v>
      </c>
      <c r="L88" s="19" t="s">
        <v>67</v>
      </c>
    </row>
    <row r="89" spans="1:12" s="1" customFormat="1">
      <c r="A89" s="15"/>
      <c r="B89" s="11" t="s">
        <v>819</v>
      </c>
      <c r="C89" s="11" t="s">
        <v>45</v>
      </c>
      <c r="D89" s="9" t="s">
        <v>660</v>
      </c>
      <c r="E89" s="16" t="s">
        <v>128</v>
      </c>
      <c r="F89" s="72"/>
      <c r="G89" s="17" t="s">
        <v>1092</v>
      </c>
      <c r="H89" s="18"/>
      <c r="I89" s="17"/>
      <c r="J89" s="19" t="s">
        <v>133</v>
      </c>
      <c r="K89" s="19" t="s">
        <v>44</v>
      </c>
      <c r="L89" s="19" t="s">
        <v>67</v>
      </c>
    </row>
    <row r="90" spans="1:12" s="1" customFormat="1">
      <c r="A90" s="15"/>
      <c r="B90" s="22" t="s">
        <v>2327</v>
      </c>
      <c r="C90" s="22" t="s">
        <v>45</v>
      </c>
      <c r="D90" s="9" t="s">
        <v>2017</v>
      </c>
      <c r="E90" s="16" t="s">
        <v>128</v>
      </c>
      <c r="F90" s="72"/>
      <c r="G90" s="17" t="s">
        <v>2330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22" t="s">
        <v>2194</v>
      </c>
      <c r="C91" s="22" t="s">
        <v>280</v>
      </c>
      <c r="D91" s="9" t="s">
        <v>2196</v>
      </c>
      <c r="E91" s="16" t="s">
        <v>128</v>
      </c>
      <c r="F91" s="72"/>
      <c r="G91" s="17" t="s">
        <v>2250</v>
      </c>
      <c r="H91" s="18"/>
      <c r="I91" s="17"/>
      <c r="J91" s="19" t="s">
        <v>133</v>
      </c>
      <c r="K91" s="19" t="s">
        <v>2024</v>
      </c>
      <c r="L91" s="19" t="s">
        <v>67</v>
      </c>
    </row>
    <row r="92" spans="1:12" s="1" customFormat="1">
      <c r="B92" s="22" t="s">
        <v>2132</v>
      </c>
      <c r="C92" s="22" t="s">
        <v>280</v>
      </c>
      <c r="D92" s="9" t="s">
        <v>2134</v>
      </c>
      <c r="E92" s="16" t="s">
        <v>128</v>
      </c>
      <c r="F92" s="22"/>
      <c r="G92" s="17" t="s">
        <v>2333</v>
      </c>
      <c r="H92" s="18"/>
      <c r="I92" s="88"/>
      <c r="J92" s="19" t="s">
        <v>133</v>
      </c>
      <c r="K92" s="19" t="s">
        <v>2136</v>
      </c>
      <c r="L92" s="19" t="s">
        <v>134</v>
      </c>
    </row>
    <row r="93" spans="1:12" s="1" customFormat="1">
      <c r="A93" s="15"/>
      <c r="B93" s="90" t="s">
        <v>2328</v>
      </c>
      <c r="C93" s="22" t="s">
        <v>45</v>
      </c>
      <c r="D93" s="9" t="s">
        <v>2034</v>
      </c>
      <c r="E93" s="16" t="s">
        <v>128</v>
      </c>
      <c r="F93" s="72"/>
      <c r="G93" s="17" t="s">
        <v>2332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90" t="s">
        <v>2193</v>
      </c>
      <c r="C94" s="22" t="s">
        <v>280</v>
      </c>
      <c r="D94" s="9" t="s">
        <v>2195</v>
      </c>
      <c r="E94" s="16" t="s">
        <v>128</v>
      </c>
      <c r="F94" s="72"/>
      <c r="G94" s="17" t="s">
        <v>2252</v>
      </c>
      <c r="H94" s="18"/>
      <c r="I94" s="17"/>
      <c r="J94" s="19" t="s">
        <v>133</v>
      </c>
      <c r="K94" s="19" t="s">
        <v>2024</v>
      </c>
      <c r="L94" s="19" t="s">
        <v>67</v>
      </c>
    </row>
    <row r="95" spans="1:12" s="1" customFormat="1">
      <c r="B95" s="90" t="s">
        <v>2133</v>
      </c>
      <c r="C95" s="22" t="s">
        <v>280</v>
      </c>
      <c r="D95" s="9" t="s">
        <v>2135</v>
      </c>
      <c r="E95" s="16" t="s">
        <v>128</v>
      </c>
      <c r="F95" s="22"/>
      <c r="G95" s="17" t="s">
        <v>2334</v>
      </c>
      <c r="H95" s="18"/>
      <c r="I95" s="88"/>
      <c r="J95" s="19" t="s">
        <v>133</v>
      </c>
      <c r="K95" s="19" t="s">
        <v>2136</v>
      </c>
      <c r="L95" s="19" t="s">
        <v>134</v>
      </c>
    </row>
    <row r="96" spans="1:12" s="1" customFormat="1">
      <c r="B96" s="22" t="s">
        <v>2255</v>
      </c>
      <c r="C96" s="22" t="s">
        <v>45</v>
      </c>
      <c r="D96" s="9" t="s">
        <v>2201</v>
      </c>
      <c r="E96" s="16" t="s">
        <v>128</v>
      </c>
      <c r="F96" s="22"/>
      <c r="G96" s="17" t="s">
        <v>2280</v>
      </c>
      <c r="H96" s="18"/>
      <c r="I96" s="17"/>
      <c r="J96" s="19" t="s">
        <v>133</v>
      </c>
      <c r="K96" s="19" t="s">
        <v>1640</v>
      </c>
      <c r="L96" s="19" t="s">
        <v>67</v>
      </c>
    </row>
    <row r="97" spans="1:12" s="1" customFormat="1">
      <c r="B97" s="22" t="s">
        <v>2254</v>
      </c>
      <c r="C97" s="22" t="s">
        <v>45</v>
      </c>
      <c r="D97" s="9" t="s">
        <v>2202</v>
      </c>
      <c r="E97" s="16" t="s">
        <v>128</v>
      </c>
      <c r="F97" s="22"/>
      <c r="G97" s="17" t="s">
        <v>2281</v>
      </c>
      <c r="H97" s="18"/>
      <c r="I97" s="17"/>
      <c r="J97" s="19" t="s">
        <v>133</v>
      </c>
      <c r="K97" s="19" t="s">
        <v>1640</v>
      </c>
      <c r="L97" s="19" t="s">
        <v>67</v>
      </c>
    </row>
    <row r="98" spans="1:12" s="1" customFormat="1">
      <c r="B98" s="22" t="s">
        <v>2203</v>
      </c>
      <c r="C98" s="22" t="s">
        <v>56</v>
      </c>
      <c r="D98" s="9" t="s">
        <v>2204</v>
      </c>
      <c r="E98" s="16" t="s">
        <v>128</v>
      </c>
      <c r="F98" s="22"/>
      <c r="G98" s="17" t="s">
        <v>2256</v>
      </c>
      <c r="H98" s="98"/>
      <c r="I98" s="88"/>
      <c r="J98" s="19" t="s">
        <v>133</v>
      </c>
      <c r="K98" s="19" t="s">
        <v>44</v>
      </c>
      <c r="L98" s="19" t="s">
        <v>1292</v>
      </c>
    </row>
    <row r="99" spans="1:12" s="1" customFormat="1">
      <c r="B99" s="22" t="s">
        <v>2216</v>
      </c>
      <c r="C99" s="22" t="s">
        <v>45</v>
      </c>
      <c r="D99" s="9" t="s">
        <v>2036</v>
      </c>
      <c r="E99" s="16" t="s">
        <v>128</v>
      </c>
      <c r="F99" s="22"/>
      <c r="G99" s="17" t="s">
        <v>2282</v>
      </c>
      <c r="H99" s="18"/>
      <c r="I99" s="17"/>
      <c r="J99" s="19" t="s">
        <v>133</v>
      </c>
      <c r="K99" s="19" t="s">
        <v>2235</v>
      </c>
      <c r="L99" s="19" t="s">
        <v>67</v>
      </c>
    </row>
    <row r="100" spans="1:12" s="1" customFormat="1">
      <c r="B100" s="22" t="s">
        <v>2218</v>
      </c>
      <c r="C100" s="22" t="s">
        <v>45</v>
      </c>
      <c r="D100" s="9" t="s">
        <v>2219</v>
      </c>
      <c r="E100" s="16" t="s">
        <v>128</v>
      </c>
      <c r="F100" s="22"/>
      <c r="G100" s="17" t="s">
        <v>2283</v>
      </c>
      <c r="H100" s="18"/>
      <c r="I100" s="17"/>
      <c r="J100" s="19" t="s">
        <v>133</v>
      </c>
      <c r="K100" s="19" t="s">
        <v>1640</v>
      </c>
      <c r="L100" s="19" t="s">
        <v>67</v>
      </c>
    </row>
    <row r="101" spans="1:12" s="1" customFormat="1">
      <c r="B101" s="22" t="s">
        <v>2217</v>
      </c>
      <c r="C101" s="22" t="s">
        <v>45</v>
      </c>
      <c r="D101" s="9" t="s">
        <v>2035</v>
      </c>
      <c r="E101" s="16" t="s">
        <v>128</v>
      </c>
      <c r="F101" s="22"/>
      <c r="G101" s="17" t="s">
        <v>2284</v>
      </c>
      <c r="H101" s="18"/>
      <c r="I101" s="17"/>
      <c r="J101" s="19" t="s">
        <v>133</v>
      </c>
      <c r="K101" s="19" t="s">
        <v>2235</v>
      </c>
      <c r="L101" s="19" t="s">
        <v>67</v>
      </c>
    </row>
    <row r="102" spans="1:12" s="1" customFormat="1">
      <c r="B102" s="22" t="s">
        <v>2220</v>
      </c>
      <c r="C102" s="22" t="s">
        <v>45</v>
      </c>
      <c r="D102" s="9" t="s">
        <v>2225</v>
      </c>
      <c r="E102" s="16" t="s">
        <v>128</v>
      </c>
      <c r="F102" s="22"/>
      <c r="G102" s="17" t="s">
        <v>2285</v>
      </c>
      <c r="H102" s="18"/>
      <c r="I102" s="17"/>
      <c r="J102" s="19" t="s">
        <v>133</v>
      </c>
      <c r="K102" s="19" t="s">
        <v>1640</v>
      </c>
      <c r="L102" s="19" t="s">
        <v>67</v>
      </c>
    </row>
    <row r="103" spans="1:12" s="1" customFormat="1">
      <c r="B103" s="22" t="s">
        <v>2140</v>
      </c>
      <c r="C103" s="22" t="s">
        <v>45</v>
      </c>
      <c r="D103" s="9" t="s">
        <v>2141</v>
      </c>
      <c r="E103" s="16" t="s">
        <v>128</v>
      </c>
      <c r="F103" s="22"/>
      <c r="G103" s="17" t="s">
        <v>2286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B104" s="22" t="s">
        <v>2142</v>
      </c>
      <c r="C104" s="22" t="s">
        <v>45</v>
      </c>
      <c r="D104" s="9" t="s">
        <v>2143</v>
      </c>
      <c r="E104" s="16" t="s">
        <v>128</v>
      </c>
      <c r="F104" s="22"/>
      <c r="G104" s="17" t="s">
        <v>2287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B105" s="22" t="s">
        <v>2144</v>
      </c>
      <c r="C105" s="22" t="s">
        <v>45</v>
      </c>
      <c r="D105" s="9" t="s">
        <v>2145</v>
      </c>
      <c r="E105" s="16" t="s">
        <v>128</v>
      </c>
      <c r="F105" s="22"/>
      <c r="G105" s="17" t="s">
        <v>2288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B106" s="22" t="s">
        <v>2146</v>
      </c>
      <c r="C106" s="22" t="s">
        <v>45</v>
      </c>
      <c r="D106" s="9" t="s">
        <v>2147</v>
      </c>
      <c r="E106" s="16" t="s">
        <v>128</v>
      </c>
      <c r="F106" s="22"/>
      <c r="G106" s="17" t="s">
        <v>2289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B107" s="22" t="s">
        <v>2148</v>
      </c>
      <c r="C107" s="22" t="s">
        <v>45</v>
      </c>
      <c r="D107" s="9" t="s">
        <v>2149</v>
      </c>
      <c r="E107" s="16" t="s">
        <v>128</v>
      </c>
      <c r="F107" s="22"/>
      <c r="G107" s="17" t="s">
        <v>2290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B108" s="22" t="s">
        <v>2150</v>
      </c>
      <c r="C108" s="22" t="s">
        <v>45</v>
      </c>
      <c r="D108" s="9" t="s">
        <v>2151</v>
      </c>
      <c r="E108" s="16" t="s">
        <v>128</v>
      </c>
      <c r="F108" s="22"/>
      <c r="G108" s="17" t="s">
        <v>2291</v>
      </c>
      <c r="H108" s="18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A109" s="15"/>
      <c r="B109" s="11" t="s">
        <v>2261</v>
      </c>
      <c r="C109" s="11" t="s">
        <v>280</v>
      </c>
      <c r="D109" s="9" t="s">
        <v>2038</v>
      </c>
      <c r="E109" s="16" t="s">
        <v>128</v>
      </c>
      <c r="F109" s="72"/>
      <c r="G109" s="17" t="s">
        <v>3075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95" t="s">
        <v>2041</v>
      </c>
      <c r="C110" s="95" t="s">
        <v>45</v>
      </c>
      <c r="D110" s="96" t="s">
        <v>2042</v>
      </c>
      <c r="E110" s="16" t="s">
        <v>128</v>
      </c>
      <c r="F110" s="72"/>
      <c r="G110" s="17" t="s">
        <v>2292</v>
      </c>
      <c r="H110" s="18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95" t="s">
        <v>2043</v>
      </c>
      <c r="C111" s="95" t="s">
        <v>45</v>
      </c>
      <c r="D111" s="96" t="s">
        <v>2044</v>
      </c>
      <c r="E111" s="16" t="s">
        <v>128</v>
      </c>
      <c r="F111" s="72"/>
      <c r="G111" s="17" t="s">
        <v>2293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95" t="s">
        <v>2045</v>
      </c>
      <c r="C112" s="95" t="s">
        <v>45</v>
      </c>
      <c r="D112" s="96" t="s">
        <v>2046</v>
      </c>
      <c r="E112" s="16" t="s">
        <v>128</v>
      </c>
      <c r="F112" s="72"/>
      <c r="G112" s="17" t="s">
        <v>2294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95" t="s">
        <v>2047</v>
      </c>
      <c r="C113" s="95" t="s">
        <v>45</v>
      </c>
      <c r="D113" s="96" t="s">
        <v>2048</v>
      </c>
      <c r="E113" s="16" t="s">
        <v>128</v>
      </c>
      <c r="F113" s="72"/>
      <c r="G113" s="17" t="s">
        <v>2295</v>
      </c>
      <c r="H113" s="18"/>
      <c r="I113" s="17"/>
      <c r="J113" s="19" t="s">
        <v>133</v>
      </c>
      <c r="K113" s="19" t="s">
        <v>903</v>
      </c>
      <c r="L113" s="19" t="s">
        <v>67</v>
      </c>
    </row>
    <row r="114" spans="1:12" s="1" customFormat="1">
      <c r="A114" s="15"/>
      <c r="B114" s="95" t="s">
        <v>2049</v>
      </c>
      <c r="C114" s="95" t="s">
        <v>45</v>
      </c>
      <c r="D114" s="96" t="s">
        <v>2050</v>
      </c>
      <c r="E114" s="16" t="s">
        <v>128</v>
      </c>
      <c r="F114" s="72"/>
      <c r="G114" s="17" t="s">
        <v>2296</v>
      </c>
      <c r="H114" s="18"/>
      <c r="I114" s="17"/>
      <c r="J114" s="19" t="s">
        <v>133</v>
      </c>
      <c r="K114" s="19" t="s">
        <v>903</v>
      </c>
      <c r="L114" s="19" t="s">
        <v>67</v>
      </c>
    </row>
    <row r="115" spans="1:12" s="1" customFormat="1">
      <c r="A115" s="15"/>
      <c r="B115" s="11" t="s">
        <v>2263</v>
      </c>
      <c r="C115" s="95" t="s">
        <v>280</v>
      </c>
      <c r="D115" s="9" t="s">
        <v>2052</v>
      </c>
      <c r="E115" s="16" t="s">
        <v>128</v>
      </c>
      <c r="F115" s="72"/>
      <c r="G115" s="17" t="s">
        <v>3076</v>
      </c>
      <c r="H115" s="18"/>
      <c r="I115" s="17"/>
      <c r="J115" s="19" t="s">
        <v>133</v>
      </c>
      <c r="K115" s="19" t="s">
        <v>203</v>
      </c>
      <c r="L115" s="19" t="s">
        <v>67</v>
      </c>
    </row>
    <row r="116" spans="1:12" s="1" customFormat="1">
      <c r="A116" s="15"/>
      <c r="B116" s="11" t="s">
        <v>2053</v>
      </c>
      <c r="C116" s="11" t="s">
        <v>45</v>
      </c>
      <c r="D116" s="9" t="s">
        <v>2054</v>
      </c>
      <c r="E116" s="16" t="s">
        <v>128</v>
      </c>
      <c r="F116" s="72"/>
      <c r="G116" s="17" t="s">
        <v>2297</v>
      </c>
      <c r="H116" s="18"/>
      <c r="I116" s="17"/>
      <c r="J116" s="19" t="s">
        <v>133</v>
      </c>
      <c r="K116" s="19" t="s">
        <v>903</v>
      </c>
      <c r="L116" s="19" t="s">
        <v>67</v>
      </c>
    </row>
    <row r="117" spans="1:12" s="1" customFormat="1">
      <c r="A117" s="15"/>
      <c r="B117" s="11" t="s">
        <v>2055</v>
      </c>
      <c r="C117" s="11" t="s">
        <v>45</v>
      </c>
      <c r="D117" s="9" t="s">
        <v>2056</v>
      </c>
      <c r="E117" s="16" t="s">
        <v>128</v>
      </c>
      <c r="F117" s="72"/>
      <c r="G117" s="17" t="s">
        <v>2298</v>
      </c>
      <c r="H117" s="18"/>
      <c r="I117" s="17"/>
      <c r="J117" s="19" t="s">
        <v>133</v>
      </c>
      <c r="K117" s="19" t="s">
        <v>903</v>
      </c>
      <c r="L117" s="19" t="s">
        <v>67</v>
      </c>
    </row>
    <row r="118" spans="1:12" s="1" customFormat="1">
      <c r="A118" s="15"/>
      <c r="B118" s="11" t="s">
        <v>2057</v>
      </c>
      <c r="C118" s="11" t="s">
        <v>45</v>
      </c>
      <c r="D118" s="9" t="s">
        <v>2058</v>
      </c>
      <c r="E118" s="16" t="s">
        <v>128</v>
      </c>
      <c r="F118" s="72"/>
      <c r="G118" s="17" t="s">
        <v>2299</v>
      </c>
      <c r="H118" s="18"/>
      <c r="I118" s="17"/>
      <c r="J118" s="19" t="s">
        <v>133</v>
      </c>
      <c r="K118" s="19" t="s">
        <v>903</v>
      </c>
      <c r="L118" s="19" t="s">
        <v>67</v>
      </c>
    </row>
    <row r="119" spans="1:12" s="1" customFormat="1">
      <c r="A119" s="15"/>
      <c r="B119" s="11" t="s">
        <v>2059</v>
      </c>
      <c r="C119" s="11" t="s">
        <v>45</v>
      </c>
      <c r="D119" s="9" t="s">
        <v>2060</v>
      </c>
      <c r="E119" s="16" t="s">
        <v>128</v>
      </c>
      <c r="F119" s="72"/>
      <c r="G119" s="17" t="s">
        <v>2300</v>
      </c>
      <c r="H119" s="18"/>
      <c r="I119" s="17"/>
      <c r="J119" s="19" t="s">
        <v>133</v>
      </c>
      <c r="K119" s="19" t="s">
        <v>903</v>
      </c>
      <c r="L119" s="19" t="s">
        <v>67</v>
      </c>
    </row>
    <row r="120" spans="1:12" s="1" customFormat="1">
      <c r="A120" s="15"/>
      <c r="B120" s="11" t="s">
        <v>2061</v>
      </c>
      <c r="C120" s="11" t="s">
        <v>45</v>
      </c>
      <c r="D120" s="9" t="s">
        <v>2062</v>
      </c>
      <c r="E120" s="16" t="s">
        <v>128</v>
      </c>
      <c r="F120" s="72"/>
      <c r="G120" s="17" t="s">
        <v>2301</v>
      </c>
      <c r="H120" s="18"/>
      <c r="I120" s="17"/>
      <c r="J120" s="19" t="s">
        <v>133</v>
      </c>
      <c r="K120" s="19" t="s">
        <v>903</v>
      </c>
      <c r="L120" s="19" t="s">
        <v>67</v>
      </c>
    </row>
    <row r="121" spans="1:12" s="1" customFormat="1">
      <c r="A121" s="15"/>
      <c r="B121" s="11" t="s">
        <v>2264</v>
      </c>
      <c r="C121" s="95" t="s">
        <v>280</v>
      </c>
      <c r="D121" s="9" t="s">
        <v>2158</v>
      </c>
      <c r="E121" s="16" t="s">
        <v>128</v>
      </c>
      <c r="F121" s="72"/>
      <c r="G121" s="17" t="s">
        <v>3077</v>
      </c>
      <c r="H121" s="18"/>
      <c r="I121" s="17"/>
      <c r="J121" s="19" t="s">
        <v>133</v>
      </c>
      <c r="K121" s="19" t="s">
        <v>202</v>
      </c>
      <c r="L121" s="19" t="s">
        <v>67</v>
      </c>
    </row>
    <row r="122" spans="1:12" s="1" customFormat="1">
      <c r="A122" s="15"/>
      <c r="B122" s="95" t="s">
        <v>2076</v>
      </c>
      <c r="C122" s="95" t="s">
        <v>45</v>
      </c>
      <c r="D122" s="96" t="s">
        <v>2077</v>
      </c>
      <c r="E122" s="16" t="s">
        <v>128</v>
      </c>
      <c r="F122" s="72"/>
      <c r="G122" s="17" t="s">
        <v>2302</v>
      </c>
      <c r="H122" s="18"/>
      <c r="I122" s="17"/>
      <c r="J122" s="19" t="s">
        <v>133</v>
      </c>
      <c r="K122" s="19" t="s">
        <v>903</v>
      </c>
      <c r="L122" s="19" t="s">
        <v>67</v>
      </c>
    </row>
    <row r="123" spans="1:12" s="1" customFormat="1">
      <c r="A123" s="15"/>
      <c r="B123" s="95" t="s">
        <v>2078</v>
      </c>
      <c r="C123" s="95" t="s">
        <v>45</v>
      </c>
      <c r="D123" s="96" t="s">
        <v>2079</v>
      </c>
      <c r="E123" s="16" t="s">
        <v>128</v>
      </c>
      <c r="F123" s="72"/>
      <c r="G123" s="17" t="s">
        <v>2303</v>
      </c>
      <c r="H123" s="18"/>
      <c r="I123" s="17"/>
      <c r="J123" s="19" t="s">
        <v>133</v>
      </c>
      <c r="K123" s="19" t="s">
        <v>903</v>
      </c>
      <c r="L123" s="19" t="s">
        <v>67</v>
      </c>
    </row>
    <row r="124" spans="1:12" s="1" customFormat="1">
      <c r="A124" s="15"/>
      <c r="B124" s="95" t="s">
        <v>2080</v>
      </c>
      <c r="C124" s="95" t="s">
        <v>45</v>
      </c>
      <c r="D124" s="96" t="s">
        <v>2081</v>
      </c>
      <c r="E124" s="16" t="s">
        <v>128</v>
      </c>
      <c r="F124" s="72"/>
      <c r="G124" s="17" t="s">
        <v>2304</v>
      </c>
      <c r="H124" s="18"/>
      <c r="I124" s="17"/>
      <c r="J124" s="19" t="s">
        <v>133</v>
      </c>
      <c r="K124" s="19" t="s">
        <v>903</v>
      </c>
      <c r="L124" s="19" t="s">
        <v>67</v>
      </c>
    </row>
    <row r="125" spans="1:12" s="1" customFormat="1">
      <c r="A125" s="15"/>
      <c r="B125" s="95" t="s">
        <v>2082</v>
      </c>
      <c r="C125" s="95" t="s">
        <v>45</v>
      </c>
      <c r="D125" s="96" t="s">
        <v>2083</v>
      </c>
      <c r="E125" s="16" t="s">
        <v>128</v>
      </c>
      <c r="F125" s="72"/>
      <c r="G125" s="17" t="s">
        <v>2305</v>
      </c>
      <c r="H125" s="18"/>
      <c r="I125" s="17"/>
      <c r="J125" s="19" t="s">
        <v>133</v>
      </c>
      <c r="K125" s="19" t="s">
        <v>903</v>
      </c>
      <c r="L125" s="19" t="s">
        <v>67</v>
      </c>
    </row>
    <row r="126" spans="1:12" s="1" customFormat="1">
      <c r="A126" s="15"/>
      <c r="B126" s="95" t="s">
        <v>2084</v>
      </c>
      <c r="C126" s="95" t="s">
        <v>45</v>
      </c>
      <c r="D126" s="96" t="s">
        <v>2085</v>
      </c>
      <c r="E126" s="16" t="s">
        <v>128</v>
      </c>
      <c r="F126" s="72"/>
      <c r="G126" s="17" t="s">
        <v>2306</v>
      </c>
      <c r="H126" s="18"/>
      <c r="I126" s="17"/>
      <c r="J126" s="19" t="s">
        <v>133</v>
      </c>
      <c r="K126" s="19" t="s">
        <v>903</v>
      </c>
      <c r="L126" s="19" t="s">
        <v>67</v>
      </c>
    </row>
    <row r="127" spans="1:12" s="1" customFormat="1">
      <c r="B127" s="22" t="s">
        <v>2206</v>
      </c>
      <c r="C127" s="22" t="s">
        <v>45</v>
      </c>
      <c r="D127" s="9" t="s">
        <v>2207</v>
      </c>
      <c r="E127" s="16" t="s">
        <v>128</v>
      </c>
      <c r="F127" s="22"/>
      <c r="G127" s="17" t="s">
        <v>2307</v>
      </c>
      <c r="H127" s="18"/>
      <c r="I127" s="17"/>
      <c r="J127" s="19" t="s">
        <v>133</v>
      </c>
      <c r="K127" s="19" t="s">
        <v>2235</v>
      </c>
      <c r="L127" s="19" t="s">
        <v>2237</v>
      </c>
    </row>
    <row r="128" spans="1:12" s="1" customFormat="1">
      <c r="B128" s="22" t="s">
        <v>2205</v>
      </c>
      <c r="C128" s="22" t="s">
        <v>45</v>
      </c>
      <c r="D128" s="9" t="s">
        <v>2199</v>
      </c>
      <c r="E128" s="16" t="s">
        <v>128</v>
      </c>
      <c r="F128" s="22"/>
      <c r="G128" s="17" t="s">
        <v>2319</v>
      </c>
      <c r="H128" s="18"/>
      <c r="I128" s="17"/>
      <c r="J128" s="19" t="s">
        <v>133</v>
      </c>
      <c r="K128" s="19" t="s">
        <v>1640</v>
      </c>
      <c r="L128" s="19" t="s">
        <v>67</v>
      </c>
    </row>
    <row r="129" spans="1:17" s="1" customFormat="1">
      <c r="A129" s="15"/>
      <c r="B129" s="95" t="s">
        <v>2104</v>
      </c>
      <c r="C129" s="95" t="s">
        <v>280</v>
      </c>
      <c r="D129" s="96" t="s">
        <v>2093</v>
      </c>
      <c r="E129" s="16" t="s">
        <v>128</v>
      </c>
      <c r="F129" s="72"/>
      <c r="G129" s="17" t="s">
        <v>2320</v>
      </c>
      <c r="H129" s="18"/>
      <c r="I129" s="17"/>
      <c r="J129" s="19" t="s">
        <v>133</v>
      </c>
      <c r="K129" s="19" t="s">
        <v>2235</v>
      </c>
      <c r="L129" s="19" t="s">
        <v>2237</v>
      </c>
    </row>
    <row r="130" spans="1:17" s="1" customFormat="1">
      <c r="A130" s="15"/>
      <c r="B130" s="95" t="s">
        <v>2094</v>
      </c>
      <c r="C130" s="95" t="s">
        <v>45</v>
      </c>
      <c r="D130" s="96" t="s">
        <v>2099</v>
      </c>
      <c r="E130" s="16" t="s">
        <v>128</v>
      </c>
      <c r="F130" s="72"/>
      <c r="G130" s="17" t="s">
        <v>2308</v>
      </c>
      <c r="H130" s="18"/>
      <c r="I130" s="17"/>
      <c r="J130" s="19" t="s">
        <v>133</v>
      </c>
      <c r="K130" s="19" t="s">
        <v>1640</v>
      </c>
      <c r="L130" s="19" t="s">
        <v>67</v>
      </c>
    </row>
    <row r="131" spans="1:17" s="1" customFormat="1">
      <c r="A131" s="15"/>
      <c r="B131" s="95" t="s">
        <v>2095</v>
      </c>
      <c r="C131" s="95" t="s">
        <v>45</v>
      </c>
      <c r="D131" s="96" t="s">
        <v>2100</v>
      </c>
      <c r="E131" s="16" t="s">
        <v>128</v>
      </c>
      <c r="F131" s="72"/>
      <c r="G131" s="17" t="s">
        <v>2309</v>
      </c>
      <c r="H131" s="18"/>
      <c r="I131" s="17"/>
      <c r="J131" s="19" t="s">
        <v>133</v>
      </c>
      <c r="K131" s="19" t="s">
        <v>1640</v>
      </c>
      <c r="L131" s="19" t="s">
        <v>67</v>
      </c>
    </row>
    <row r="132" spans="1:17" s="1" customFormat="1">
      <c r="A132" s="15"/>
      <c r="B132" s="95" t="s">
        <v>2096</v>
      </c>
      <c r="C132" s="95" t="s">
        <v>45</v>
      </c>
      <c r="D132" s="96" t="s">
        <v>2101</v>
      </c>
      <c r="E132" s="16" t="s">
        <v>128</v>
      </c>
      <c r="F132" s="72"/>
      <c r="G132" s="17" t="s">
        <v>2310</v>
      </c>
      <c r="H132" s="18"/>
      <c r="I132" s="17"/>
      <c r="J132" s="19" t="s">
        <v>133</v>
      </c>
      <c r="K132" s="19" t="s">
        <v>1640</v>
      </c>
      <c r="L132" s="19" t="s">
        <v>67</v>
      </c>
    </row>
    <row r="133" spans="1:17" s="1" customFormat="1">
      <c r="A133" s="15"/>
      <c r="B133" s="95" t="s">
        <v>2097</v>
      </c>
      <c r="C133" s="95" t="s">
        <v>45</v>
      </c>
      <c r="D133" s="96" t="s">
        <v>2102</v>
      </c>
      <c r="E133" s="16" t="s">
        <v>128</v>
      </c>
      <c r="F133" s="72"/>
      <c r="G133" s="17" t="s">
        <v>2311</v>
      </c>
      <c r="H133" s="18"/>
      <c r="I133" s="17"/>
      <c r="J133" s="19" t="s">
        <v>133</v>
      </c>
      <c r="K133" s="19" t="s">
        <v>1640</v>
      </c>
      <c r="L133" s="19" t="s">
        <v>67</v>
      </c>
    </row>
    <row r="134" spans="1:17" s="1" customFormat="1">
      <c r="A134" s="15"/>
      <c r="B134" s="95" t="s">
        <v>2098</v>
      </c>
      <c r="C134" s="95" t="s">
        <v>45</v>
      </c>
      <c r="D134" s="96" t="s">
        <v>2103</v>
      </c>
      <c r="E134" s="16" t="s">
        <v>128</v>
      </c>
      <c r="F134" s="72"/>
      <c r="G134" s="17" t="s">
        <v>2312</v>
      </c>
      <c r="H134" s="18"/>
      <c r="I134" s="17"/>
      <c r="J134" s="19" t="s">
        <v>133</v>
      </c>
      <c r="K134" s="19" t="s">
        <v>1640</v>
      </c>
      <c r="L134" s="19" t="s">
        <v>67</v>
      </c>
    </row>
    <row r="135" spans="1:17" s="1" customFormat="1">
      <c r="A135" s="15"/>
      <c r="B135" s="95" t="s">
        <v>2210</v>
      </c>
      <c r="C135" s="95" t="s">
        <v>45</v>
      </c>
      <c r="D135" s="9" t="s">
        <v>2212</v>
      </c>
      <c r="E135" s="16" t="s">
        <v>128</v>
      </c>
      <c r="F135" s="72"/>
      <c r="G135" s="17" t="s">
        <v>2313</v>
      </c>
      <c r="H135" s="18"/>
      <c r="I135" s="17"/>
      <c r="J135" s="19" t="s">
        <v>133</v>
      </c>
      <c r="K135" s="19" t="s">
        <v>2235</v>
      </c>
      <c r="L135" s="19" t="s">
        <v>2237</v>
      </c>
    </row>
    <row r="136" spans="1:17" s="1" customFormat="1">
      <c r="A136" s="15"/>
      <c r="B136" s="95" t="s">
        <v>2211</v>
      </c>
      <c r="C136" s="95" t="s">
        <v>45</v>
      </c>
      <c r="D136" s="9" t="s">
        <v>2213</v>
      </c>
      <c r="E136" s="16" t="s">
        <v>128</v>
      </c>
      <c r="F136" s="72"/>
      <c r="G136" s="17" t="s">
        <v>2321</v>
      </c>
      <c r="H136" s="18"/>
      <c r="I136" s="17"/>
      <c r="J136" s="19" t="s">
        <v>133</v>
      </c>
      <c r="K136" s="19" t="s">
        <v>1640</v>
      </c>
      <c r="L136" s="19" t="s">
        <v>67</v>
      </c>
    </row>
    <row r="137" spans="1:17" s="1" customFormat="1">
      <c r="A137" s="15"/>
      <c r="B137" s="95" t="s">
        <v>2112</v>
      </c>
      <c r="C137" s="95" t="s">
        <v>280</v>
      </c>
      <c r="D137" s="96" t="s">
        <v>2123</v>
      </c>
      <c r="E137" s="16" t="s">
        <v>128</v>
      </c>
      <c r="F137" s="72"/>
      <c r="G137" s="17" t="s">
        <v>2322</v>
      </c>
      <c r="H137" s="18"/>
      <c r="I137" s="17"/>
      <c r="J137" s="19" t="s">
        <v>133</v>
      </c>
      <c r="K137" s="19" t="s">
        <v>2235</v>
      </c>
      <c r="L137" s="19" t="s">
        <v>2237</v>
      </c>
    </row>
    <row r="138" spans="1:17" s="1" customFormat="1">
      <c r="A138" s="15"/>
      <c r="B138" s="95" t="s">
        <v>2113</v>
      </c>
      <c r="C138" s="95" t="s">
        <v>45</v>
      </c>
      <c r="D138" s="96" t="s">
        <v>2114</v>
      </c>
      <c r="E138" s="16" t="s">
        <v>128</v>
      </c>
      <c r="F138" s="72"/>
      <c r="G138" s="17" t="s">
        <v>2314</v>
      </c>
      <c r="H138" s="18"/>
      <c r="I138" s="17"/>
      <c r="J138" s="19" t="s">
        <v>133</v>
      </c>
      <c r="K138" s="19" t="s">
        <v>1640</v>
      </c>
      <c r="L138" s="19" t="s">
        <v>67</v>
      </c>
    </row>
    <row r="139" spans="1:17" s="1" customFormat="1">
      <c r="A139" s="15"/>
      <c r="B139" s="95" t="s">
        <v>2115</v>
      </c>
      <c r="C139" s="95" t="s">
        <v>45</v>
      </c>
      <c r="D139" s="96" t="s">
        <v>2116</v>
      </c>
      <c r="E139" s="16" t="s">
        <v>128</v>
      </c>
      <c r="F139" s="72"/>
      <c r="G139" s="17" t="s">
        <v>2315</v>
      </c>
      <c r="H139" s="18"/>
      <c r="I139" s="17"/>
      <c r="J139" s="19" t="s">
        <v>133</v>
      </c>
      <c r="K139" s="19" t="s">
        <v>1640</v>
      </c>
      <c r="L139" s="19" t="s">
        <v>67</v>
      </c>
    </row>
    <row r="140" spans="1:17" s="1" customFormat="1">
      <c r="A140" s="15"/>
      <c r="B140" s="95" t="s">
        <v>2117</v>
      </c>
      <c r="C140" s="95" t="s">
        <v>45</v>
      </c>
      <c r="D140" s="96" t="s">
        <v>2118</v>
      </c>
      <c r="E140" s="16" t="s">
        <v>128</v>
      </c>
      <c r="F140" s="72"/>
      <c r="G140" s="17" t="s">
        <v>2316</v>
      </c>
      <c r="H140" s="18"/>
      <c r="I140" s="17"/>
      <c r="J140" s="19" t="s">
        <v>133</v>
      </c>
      <c r="K140" s="19" t="s">
        <v>1640</v>
      </c>
      <c r="L140" s="19" t="s">
        <v>67</v>
      </c>
    </row>
    <row r="141" spans="1:17" s="1" customFormat="1">
      <c r="A141" s="15"/>
      <c r="B141" s="95" t="s">
        <v>2119</v>
      </c>
      <c r="C141" s="95" t="s">
        <v>45</v>
      </c>
      <c r="D141" s="96" t="s">
        <v>2120</v>
      </c>
      <c r="E141" s="16" t="s">
        <v>128</v>
      </c>
      <c r="F141" s="72"/>
      <c r="G141" s="17" t="s">
        <v>2317</v>
      </c>
      <c r="H141" s="18"/>
      <c r="I141" s="17"/>
      <c r="J141" s="19" t="s">
        <v>133</v>
      </c>
      <c r="K141" s="19" t="s">
        <v>1640</v>
      </c>
      <c r="L141" s="19" t="s">
        <v>67</v>
      </c>
    </row>
    <row r="142" spans="1:17" s="1" customFormat="1">
      <c r="A142" s="15"/>
      <c r="B142" s="95" t="s">
        <v>2121</v>
      </c>
      <c r="C142" s="95" t="s">
        <v>45</v>
      </c>
      <c r="D142" s="96" t="s">
        <v>2122</v>
      </c>
      <c r="E142" s="16" t="s">
        <v>128</v>
      </c>
      <c r="F142" s="72"/>
      <c r="G142" s="17" t="s">
        <v>2318</v>
      </c>
      <c r="H142" s="18"/>
      <c r="I142" s="17"/>
      <c r="J142" s="19" t="s">
        <v>133</v>
      </c>
      <c r="K142" s="19" t="s">
        <v>1640</v>
      </c>
      <c r="L142" s="19" t="s">
        <v>67</v>
      </c>
    </row>
    <row r="143" spans="1:17" s="1" customFormat="1">
      <c r="A143" s="15"/>
      <c r="B143" s="11" t="s">
        <v>315</v>
      </c>
      <c r="C143" s="11" t="s">
        <v>45</v>
      </c>
      <c r="D143" s="9" t="s">
        <v>112</v>
      </c>
      <c r="E143" s="16" t="s">
        <v>128</v>
      </c>
      <c r="F143" s="72"/>
      <c r="G143" s="17" t="s">
        <v>1145</v>
      </c>
      <c r="H143" s="18"/>
      <c r="I143" s="17"/>
      <c r="J143" s="19" t="s">
        <v>133</v>
      </c>
      <c r="K143" s="19" t="s">
        <v>44</v>
      </c>
      <c r="L143" s="19" t="s">
        <v>67</v>
      </c>
    </row>
    <row r="144" spans="1:17" s="3" customFormat="1">
      <c r="B144" s="23" t="s">
        <v>47</v>
      </c>
      <c r="C144" s="24" t="s">
        <v>46</v>
      </c>
      <c r="D144" s="21" t="s">
        <v>48</v>
      </c>
      <c r="E144" s="44"/>
      <c r="F144" s="44"/>
      <c r="G144" s="44" t="s">
        <v>282</v>
      </c>
      <c r="H144" s="23" t="s">
        <v>282</v>
      </c>
      <c r="I144" s="23"/>
      <c r="J144" s="23"/>
      <c r="K144" s="23"/>
      <c r="L144" s="23"/>
      <c r="M144" s="23"/>
      <c r="N144" s="23"/>
      <c r="O144" s="23"/>
      <c r="P144" s="23"/>
      <c r="Q144" s="23"/>
    </row>
    <row r="145" spans="2:17" s="3" customFormat="1">
      <c r="B145" s="23" t="s">
        <v>49</v>
      </c>
      <c r="C145" s="24" t="s">
        <v>43</v>
      </c>
      <c r="D145" s="21" t="s">
        <v>50</v>
      </c>
      <c r="E145" s="44"/>
      <c r="F145" s="44"/>
      <c r="G145" s="44" t="s">
        <v>282</v>
      </c>
      <c r="H145" s="23" t="s">
        <v>282</v>
      </c>
      <c r="I145" s="23"/>
      <c r="J145" s="23"/>
      <c r="K145" s="23"/>
      <c r="L145" s="23"/>
      <c r="M145" s="23"/>
      <c r="N145" s="23"/>
      <c r="O145" s="23"/>
      <c r="P145" s="23"/>
      <c r="Q145" s="23"/>
    </row>
  </sheetData>
  <autoFilter ref="A13:Q145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6C68-7736-455D-922D-A2609E9AC730}">
  <dimension ref="A1:Q34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4.77734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26" t="s">
        <v>3066</v>
      </c>
      <c r="D5" s="9" t="s">
        <v>3067</v>
      </c>
      <c r="E5" s="11" t="s">
        <v>90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26" t="s">
        <v>3049</v>
      </c>
      <c r="D9" s="9" t="s">
        <v>3046</v>
      </c>
      <c r="E9" s="11" t="s">
        <v>55</v>
      </c>
      <c r="F9" s="17"/>
      <c r="G9" s="17" t="s">
        <v>1672</v>
      </c>
      <c r="H9" s="14" t="s">
        <v>17</v>
      </c>
    </row>
    <row r="10" spans="2:14">
      <c r="B10" s="11"/>
      <c r="C10" s="26" t="s">
        <v>3057</v>
      </c>
      <c r="D10" s="9" t="s">
        <v>3058</v>
      </c>
      <c r="E10" s="11" t="s">
        <v>1617</v>
      </c>
      <c r="F10" s="17"/>
      <c r="G10" s="17"/>
      <c r="H10" s="14"/>
    </row>
    <row r="11" spans="2:14">
      <c r="B11" s="11"/>
      <c r="C11" s="26" t="s">
        <v>1310</v>
      </c>
      <c r="D11" s="9" t="s">
        <v>3063</v>
      </c>
      <c r="E11" s="11" t="s">
        <v>271</v>
      </c>
      <c r="F11" s="17"/>
      <c r="G11" s="17"/>
      <c r="H11" s="14"/>
    </row>
    <row r="13" spans="2:14">
      <c r="B13" s="4" t="s">
        <v>32</v>
      </c>
    </row>
    <row r="14" spans="2:14">
      <c r="B14" s="124" t="s">
        <v>32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5" spans="2:14">
      <c r="B15" s="7" t="s">
        <v>33</v>
      </c>
      <c r="C15" s="7" t="s">
        <v>34</v>
      </c>
      <c r="D15" s="7" t="s">
        <v>35</v>
      </c>
      <c r="E15" s="7" t="s">
        <v>36</v>
      </c>
      <c r="F15" s="12" t="s">
        <v>37</v>
      </c>
      <c r="G15" s="12" t="s">
        <v>38</v>
      </c>
      <c r="H15" s="7" t="s">
        <v>39</v>
      </c>
      <c r="I15" s="7" t="s">
        <v>14</v>
      </c>
      <c r="J15" s="7" t="s">
        <v>40</v>
      </c>
      <c r="K15" s="7" t="s">
        <v>41</v>
      </c>
      <c r="L15" s="7" t="s">
        <v>42</v>
      </c>
    </row>
    <row r="16" spans="2:14" s="1" customFormat="1">
      <c r="B16" s="22" t="s">
        <v>77</v>
      </c>
      <c r="C16" s="22" t="s">
        <v>46</v>
      </c>
      <c r="D16" s="9" t="s">
        <v>329</v>
      </c>
      <c r="E16" s="16" t="s">
        <v>2981</v>
      </c>
      <c r="F16" s="13" t="s">
        <v>77</v>
      </c>
      <c r="G16" s="17" t="s">
        <v>129</v>
      </c>
      <c r="H16" s="16"/>
      <c r="I16" s="19"/>
      <c r="J16" s="19" t="s">
        <v>60</v>
      </c>
      <c r="K16" s="19" t="s">
        <v>3207</v>
      </c>
      <c r="L16" s="19" t="s">
        <v>3208</v>
      </c>
    </row>
    <row r="17" spans="1:13" s="1" customFormat="1">
      <c r="A17" s="15"/>
      <c r="B17" s="22" t="s">
        <v>1168</v>
      </c>
      <c r="C17" s="22" t="s">
        <v>43</v>
      </c>
      <c r="D17" s="9" t="s">
        <v>1169</v>
      </c>
      <c r="E17" s="16" t="s">
        <v>2981</v>
      </c>
      <c r="F17" s="17" t="s">
        <v>118</v>
      </c>
      <c r="G17" s="17"/>
      <c r="H17" s="16"/>
      <c r="I17" s="20"/>
      <c r="J17" s="19" t="s">
        <v>60</v>
      </c>
      <c r="K17" s="19" t="s">
        <v>3207</v>
      </c>
      <c r="L17" s="19" t="s">
        <v>3207</v>
      </c>
    </row>
    <row r="18" spans="1:13" s="1" customFormat="1">
      <c r="A18" s="15"/>
      <c r="B18" s="22" t="s">
        <v>80</v>
      </c>
      <c r="C18" s="22" t="s">
        <v>46</v>
      </c>
      <c r="D18" s="9" t="s">
        <v>1924</v>
      </c>
      <c r="E18" s="16" t="s">
        <v>2981</v>
      </c>
      <c r="F18" s="17"/>
      <c r="G18" s="17" t="s">
        <v>1334</v>
      </c>
      <c r="H18" s="16"/>
      <c r="I18" s="20"/>
      <c r="J18" s="19" t="s">
        <v>60</v>
      </c>
      <c r="K18" s="19" t="s">
        <v>3207</v>
      </c>
      <c r="L18" s="19" t="s">
        <v>3207</v>
      </c>
    </row>
    <row r="19" spans="1:13" s="1" customFormat="1">
      <c r="A19" s="15"/>
      <c r="B19" s="11" t="s">
        <v>3212</v>
      </c>
      <c r="C19" s="22" t="s">
        <v>43</v>
      </c>
      <c r="D19" s="9" t="s">
        <v>59</v>
      </c>
      <c r="E19" s="16" t="s">
        <v>2981</v>
      </c>
      <c r="F19" s="9" t="s">
        <v>58</v>
      </c>
      <c r="G19" s="17" t="s">
        <v>129</v>
      </c>
      <c r="H19" s="16"/>
      <c r="I19" s="20"/>
      <c r="J19" s="19" t="s">
        <v>60</v>
      </c>
      <c r="K19" s="19" t="s">
        <v>3207</v>
      </c>
      <c r="L19" s="19" t="s">
        <v>3207</v>
      </c>
    </row>
    <row r="20" spans="1:13" s="1" customFormat="1" ht="26.4">
      <c r="A20" s="15"/>
      <c r="B20" s="11" t="s">
        <v>3211</v>
      </c>
      <c r="C20" s="22" t="s">
        <v>43</v>
      </c>
      <c r="D20" s="9" t="s">
        <v>3060</v>
      </c>
      <c r="E20" s="16" t="s">
        <v>2981</v>
      </c>
      <c r="F20" s="9"/>
      <c r="G20" s="84" t="s">
        <v>3064</v>
      </c>
      <c r="H20" s="16"/>
      <c r="I20" s="20"/>
      <c r="J20" s="19" t="s">
        <v>60</v>
      </c>
      <c r="K20" s="19" t="s">
        <v>3207</v>
      </c>
      <c r="L20" s="119" t="s">
        <v>3209</v>
      </c>
    </row>
    <row r="21" spans="1:13" s="1" customFormat="1">
      <c r="A21" s="15"/>
      <c r="B21" s="11" t="s">
        <v>3213</v>
      </c>
      <c r="C21" s="11" t="s">
        <v>43</v>
      </c>
      <c r="D21" s="9" t="s">
        <v>107</v>
      </c>
      <c r="E21" s="16" t="s">
        <v>2981</v>
      </c>
      <c r="F21" s="17" t="s">
        <v>85</v>
      </c>
      <c r="G21" s="17" t="s">
        <v>129</v>
      </c>
      <c r="H21" s="16"/>
      <c r="I21" s="20"/>
      <c r="J21" s="19" t="s">
        <v>60</v>
      </c>
      <c r="K21" s="19" t="s">
        <v>3207</v>
      </c>
      <c r="L21" s="19" t="s">
        <v>3207</v>
      </c>
    </row>
    <row r="22" spans="1:13" s="1" customFormat="1">
      <c r="A22" s="15"/>
      <c r="B22" s="11" t="s">
        <v>1279</v>
      </c>
      <c r="C22" s="11" t="s">
        <v>43</v>
      </c>
      <c r="D22" s="9" t="s">
        <v>3061</v>
      </c>
      <c r="E22" s="11" t="s">
        <v>271</v>
      </c>
      <c r="F22" s="9"/>
      <c r="G22" s="17" t="s">
        <v>3065</v>
      </c>
      <c r="H22" s="16"/>
      <c r="I22" s="20"/>
      <c r="J22" s="19" t="s">
        <v>60</v>
      </c>
      <c r="K22" s="19" t="s">
        <v>3207</v>
      </c>
      <c r="L22" s="19" t="s">
        <v>3207</v>
      </c>
    </row>
    <row r="23" spans="1:13" s="1" customFormat="1">
      <c r="A23" s="15"/>
      <c r="B23" s="11" t="s">
        <v>1068</v>
      </c>
      <c r="C23" s="11" t="s">
        <v>43</v>
      </c>
      <c r="D23" s="9" t="s">
        <v>1598</v>
      </c>
      <c r="E23" s="16" t="s">
        <v>2981</v>
      </c>
      <c r="F23" s="17" t="s">
        <v>138</v>
      </c>
      <c r="G23" s="17"/>
      <c r="H23" s="16"/>
      <c r="I23" s="20"/>
      <c r="J23" s="19" t="s">
        <v>60</v>
      </c>
      <c r="K23" s="19" t="s">
        <v>3207</v>
      </c>
      <c r="L23" s="19" t="s">
        <v>3207</v>
      </c>
    </row>
    <row r="24" spans="1:13" s="1" customFormat="1">
      <c r="B24" s="22" t="s">
        <v>64</v>
      </c>
      <c r="C24" s="11" t="s">
        <v>43</v>
      </c>
      <c r="D24" s="9" t="s">
        <v>63</v>
      </c>
      <c r="E24" s="16" t="s">
        <v>2981</v>
      </c>
      <c r="F24" s="17" t="s">
        <v>64</v>
      </c>
      <c r="G24" s="17"/>
      <c r="H24" s="16"/>
      <c r="I24" s="19"/>
      <c r="J24" s="19" t="s">
        <v>60</v>
      </c>
      <c r="K24" s="19" t="s">
        <v>3207</v>
      </c>
      <c r="L24" s="19" t="s">
        <v>3207</v>
      </c>
    </row>
    <row r="25" spans="1:13" s="15" customFormat="1">
      <c r="B25" s="22" t="s">
        <v>61</v>
      </c>
      <c r="C25" s="11" t="s">
        <v>43</v>
      </c>
      <c r="D25" s="9" t="s">
        <v>1599</v>
      </c>
      <c r="E25" s="16" t="s">
        <v>2981</v>
      </c>
      <c r="F25" s="17" t="s">
        <v>61</v>
      </c>
      <c r="G25" s="17"/>
      <c r="H25" s="16"/>
      <c r="I25" s="20"/>
      <c r="J25" s="19" t="s">
        <v>60</v>
      </c>
      <c r="K25" s="19" t="s">
        <v>3207</v>
      </c>
      <c r="L25" s="19" t="s">
        <v>3207</v>
      </c>
      <c r="M25" s="1"/>
    </row>
    <row r="26" spans="1:13" s="15" customFormat="1">
      <c r="B26" s="22" t="s">
        <v>65</v>
      </c>
      <c r="C26" s="69" t="s">
        <v>43</v>
      </c>
      <c r="D26" s="9" t="s">
        <v>102</v>
      </c>
      <c r="E26" s="16" t="s">
        <v>2981</v>
      </c>
      <c r="F26" s="17" t="s">
        <v>65</v>
      </c>
      <c r="G26" s="17"/>
      <c r="H26" s="16"/>
      <c r="I26" s="20"/>
      <c r="J26" s="19" t="s">
        <v>60</v>
      </c>
      <c r="K26" s="19" t="s">
        <v>3207</v>
      </c>
      <c r="L26" s="19" t="s">
        <v>3207</v>
      </c>
      <c r="M26" s="1"/>
    </row>
    <row r="27" spans="1:13" s="15" customFormat="1">
      <c r="B27" s="22" t="s">
        <v>62</v>
      </c>
      <c r="C27" s="69" t="s">
        <v>46</v>
      </c>
      <c r="D27" s="9" t="s">
        <v>1600</v>
      </c>
      <c r="E27" s="16" t="s">
        <v>2981</v>
      </c>
      <c r="F27" s="17" t="s">
        <v>62</v>
      </c>
      <c r="G27" s="17"/>
      <c r="H27" s="16"/>
      <c r="I27" s="20"/>
      <c r="J27" s="19" t="s">
        <v>60</v>
      </c>
      <c r="K27" s="19" t="s">
        <v>3207</v>
      </c>
      <c r="L27" s="19" t="s">
        <v>3207</v>
      </c>
      <c r="M27" s="1"/>
    </row>
    <row r="28" spans="1:13" s="15" customFormat="1">
      <c r="B28" s="22" t="s">
        <v>66</v>
      </c>
      <c r="C28" s="69" t="s">
        <v>43</v>
      </c>
      <c r="D28" s="9" t="s">
        <v>68</v>
      </c>
      <c r="E28" s="16" t="s">
        <v>2981</v>
      </c>
      <c r="F28" s="17" t="s">
        <v>66</v>
      </c>
      <c r="G28" s="17"/>
      <c r="H28" s="16"/>
      <c r="I28" s="20"/>
      <c r="J28" s="19" t="s">
        <v>60</v>
      </c>
      <c r="K28" s="19" t="s">
        <v>3207</v>
      </c>
      <c r="L28" s="19" t="s">
        <v>3207</v>
      </c>
      <c r="M28" s="1"/>
    </row>
    <row r="29" spans="1:13" s="15" customFormat="1">
      <c r="B29" s="22" t="s">
        <v>3215</v>
      </c>
      <c r="C29" s="69" t="s">
        <v>45</v>
      </c>
      <c r="D29" s="9" t="s">
        <v>1185</v>
      </c>
      <c r="E29" s="16" t="s">
        <v>2981</v>
      </c>
      <c r="F29" s="17"/>
      <c r="G29" s="17" t="s">
        <v>320</v>
      </c>
      <c r="H29" s="16"/>
      <c r="I29" s="20"/>
      <c r="J29" s="19" t="s">
        <v>1186</v>
      </c>
      <c r="K29" s="19" t="s">
        <v>204</v>
      </c>
      <c r="L29" s="19" t="s">
        <v>3210</v>
      </c>
      <c r="M29" s="1"/>
    </row>
    <row r="30" spans="1:13" s="15" customFormat="1">
      <c r="B30" s="22" t="s">
        <v>3216</v>
      </c>
      <c r="C30" s="69" t="s">
        <v>45</v>
      </c>
      <c r="D30" s="9" t="s">
        <v>160</v>
      </c>
      <c r="E30" s="16" t="s">
        <v>2981</v>
      </c>
      <c r="F30" s="17"/>
      <c r="G30" s="17" t="s">
        <v>319</v>
      </c>
      <c r="H30" s="16"/>
      <c r="I30" s="20"/>
      <c r="J30" s="19" t="s">
        <v>1186</v>
      </c>
      <c r="K30" s="19" t="s">
        <v>204</v>
      </c>
      <c r="L30" s="19" t="s">
        <v>3210</v>
      </c>
      <c r="M30" s="1"/>
    </row>
    <row r="31" spans="1:13" s="15" customFormat="1">
      <c r="B31" s="22" t="s">
        <v>3059</v>
      </c>
      <c r="C31" s="69" t="s">
        <v>45</v>
      </c>
      <c r="D31" s="9" t="s">
        <v>3062</v>
      </c>
      <c r="E31" s="16" t="s">
        <v>2981</v>
      </c>
      <c r="F31" s="17"/>
      <c r="G31" s="17" t="s">
        <v>1309</v>
      </c>
      <c r="H31" s="16"/>
      <c r="I31" s="20"/>
      <c r="J31" s="19" t="s">
        <v>1186</v>
      </c>
      <c r="K31" s="19" t="s">
        <v>204</v>
      </c>
      <c r="L31" s="19" t="s">
        <v>3210</v>
      </c>
      <c r="M31" s="1"/>
    </row>
    <row r="32" spans="1:13" s="15" customFormat="1">
      <c r="B32" s="22" t="s">
        <v>3214</v>
      </c>
      <c r="C32" s="69" t="s">
        <v>45</v>
      </c>
      <c r="D32" s="9" t="s">
        <v>2756</v>
      </c>
      <c r="E32" s="16" t="s">
        <v>2981</v>
      </c>
      <c r="F32" s="17"/>
      <c r="G32" s="17" t="s">
        <v>1667</v>
      </c>
      <c r="H32" s="16"/>
      <c r="I32" s="20"/>
      <c r="J32" s="19" t="s">
        <v>1186</v>
      </c>
      <c r="K32" s="19" t="s">
        <v>202</v>
      </c>
      <c r="L32" s="19" t="s">
        <v>3210</v>
      </c>
      <c r="M32" s="1"/>
    </row>
    <row r="33" spans="2:17" s="3" customFormat="1">
      <c r="B33" s="23" t="s">
        <v>47</v>
      </c>
      <c r="C33" s="24" t="s">
        <v>46</v>
      </c>
      <c r="D33" s="21" t="s">
        <v>48</v>
      </c>
      <c r="E33" s="44"/>
      <c r="F33" s="44"/>
      <c r="G33" s="44" t="s">
        <v>282</v>
      </c>
      <c r="H33" s="23" t="s">
        <v>282</v>
      </c>
      <c r="I33" s="23"/>
      <c r="J33" s="23"/>
      <c r="K33" s="23"/>
      <c r="L33" s="23"/>
      <c r="M33" s="23"/>
      <c r="N33" s="23"/>
      <c r="O33" s="23"/>
      <c r="P33" s="23"/>
      <c r="Q33" s="23"/>
    </row>
    <row r="34" spans="2:17" s="3" customFormat="1">
      <c r="B34" s="23" t="s">
        <v>49</v>
      </c>
      <c r="C34" s="24" t="s">
        <v>43</v>
      </c>
      <c r="D34" s="21" t="s">
        <v>50</v>
      </c>
      <c r="E34" s="44"/>
      <c r="F34" s="44"/>
      <c r="G34" s="44" t="s">
        <v>282</v>
      </c>
      <c r="H34" s="23" t="s">
        <v>282</v>
      </c>
      <c r="I34" s="23"/>
      <c r="J34" s="23"/>
      <c r="K34" s="23"/>
      <c r="L34" s="23"/>
      <c r="M34" s="23"/>
      <c r="N34" s="23"/>
      <c r="O34" s="23"/>
      <c r="P34" s="23"/>
      <c r="Q34" s="23"/>
    </row>
  </sheetData>
  <autoFilter ref="A15:Q34" xr:uid="{E16EFA29-E820-4A10-98BC-CF6E577605DD}"/>
  <mergeCells count="4">
    <mergeCell ref="B2:H2"/>
    <mergeCell ref="B3:H3"/>
    <mergeCell ref="B7:H7"/>
    <mergeCell ref="B14:L14"/>
  </mergeCells>
  <phoneticPr fontId="16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7888-E426-49B2-93F5-4B4EB4129776}">
  <dimension ref="A1:Q147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8.66406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2430</v>
      </c>
      <c r="D5" s="9" t="s">
        <v>2431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2427</v>
      </c>
      <c r="D9" s="9" t="s">
        <v>2428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6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6"/>
      <c r="I16" s="20"/>
      <c r="J16" s="19" t="s">
        <v>131</v>
      </c>
      <c r="K16" s="19" t="s">
        <v>132</v>
      </c>
      <c r="L16" s="19" t="s">
        <v>677</v>
      </c>
    </row>
    <row r="17" spans="1:12" s="1" customFormat="1">
      <c r="A17" s="15"/>
      <c r="B17" s="22" t="s">
        <v>80</v>
      </c>
      <c r="C17" s="22" t="s">
        <v>94</v>
      </c>
      <c r="D17" s="9" t="s">
        <v>99</v>
      </c>
      <c r="E17" s="16" t="s">
        <v>128</v>
      </c>
      <c r="F17" s="17" t="s">
        <v>80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678</v>
      </c>
    </row>
    <row r="18" spans="1:12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138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123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124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679</v>
      </c>
    </row>
    <row r="21" spans="1:12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318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273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272</v>
      </c>
      <c r="G23" s="17" t="s">
        <v>129</v>
      </c>
      <c r="H23" s="16"/>
      <c r="I23" s="20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95</v>
      </c>
      <c r="G24" s="17" t="s">
        <v>129</v>
      </c>
      <c r="H24" s="16"/>
      <c r="I24" s="35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6"/>
      <c r="I25" s="20"/>
      <c r="J25" s="19" t="s">
        <v>131</v>
      </c>
      <c r="K25" s="19" t="s">
        <v>132</v>
      </c>
      <c r="L25" s="19" t="s">
        <v>44</v>
      </c>
    </row>
    <row r="26" spans="1:12" s="1" customFormat="1">
      <c r="B26" s="22" t="s">
        <v>85</v>
      </c>
      <c r="C26" s="11" t="s">
        <v>43</v>
      </c>
      <c r="D26" s="9" t="s">
        <v>107</v>
      </c>
      <c r="E26" s="16" t="s">
        <v>128</v>
      </c>
      <c r="F26" s="17" t="s">
        <v>85</v>
      </c>
      <c r="G26" s="17" t="s">
        <v>129</v>
      </c>
      <c r="H26" s="16"/>
      <c r="I26" s="19"/>
      <c r="J26" s="19" t="s">
        <v>131</v>
      </c>
      <c r="K26" s="19" t="s">
        <v>132</v>
      </c>
      <c r="L26" s="19" t="s">
        <v>44</v>
      </c>
    </row>
    <row r="27" spans="1:12" s="1" customFormat="1">
      <c r="A27" s="15"/>
      <c r="B27" s="11" t="s">
        <v>145</v>
      </c>
      <c r="C27" s="11" t="s">
        <v>45</v>
      </c>
      <c r="D27" s="9" t="s">
        <v>146</v>
      </c>
      <c r="E27" s="16" t="s">
        <v>128</v>
      </c>
      <c r="F27" s="17"/>
      <c r="G27" s="17" t="s">
        <v>1289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2" s="1" customFormat="1">
      <c r="A28" s="15"/>
      <c r="B28" s="11" t="s">
        <v>192</v>
      </c>
      <c r="C28" s="11" t="s">
        <v>45</v>
      </c>
      <c r="D28" s="9" t="s">
        <v>193</v>
      </c>
      <c r="E28" s="16" t="s">
        <v>128</v>
      </c>
      <c r="F28" s="17"/>
      <c r="G28" s="17" t="s">
        <v>2265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2" s="1" customFormat="1">
      <c r="A29" s="15"/>
      <c r="B29" s="22" t="s">
        <v>255</v>
      </c>
      <c r="C29" s="22" t="s">
        <v>45</v>
      </c>
      <c r="D29" s="9" t="s">
        <v>348</v>
      </c>
      <c r="E29" s="16" t="s">
        <v>128</v>
      </c>
      <c r="F29" s="17"/>
      <c r="G29" s="17" t="s">
        <v>1667</v>
      </c>
      <c r="H29" s="18"/>
      <c r="I29" s="17"/>
      <c r="J29" s="19" t="s">
        <v>133</v>
      </c>
      <c r="K29" s="19" t="s">
        <v>203</v>
      </c>
      <c r="L29" s="19" t="s">
        <v>134</v>
      </c>
    </row>
    <row r="30" spans="1:12" s="1" customFormat="1">
      <c r="A30" s="15"/>
      <c r="B30" s="11" t="s">
        <v>207</v>
      </c>
      <c r="C30" s="11" t="s">
        <v>45</v>
      </c>
      <c r="D30" s="9" t="s">
        <v>759</v>
      </c>
      <c r="E30" s="16" t="s">
        <v>128</v>
      </c>
      <c r="F30" s="72"/>
      <c r="G30" s="17" t="s">
        <v>1200</v>
      </c>
      <c r="H30" s="18"/>
      <c r="I30" s="17"/>
      <c r="J30" s="19" t="s">
        <v>133</v>
      </c>
      <c r="K30" s="19" t="s">
        <v>204</v>
      </c>
      <c r="L30" s="19" t="s">
        <v>134</v>
      </c>
    </row>
    <row r="31" spans="1:12" s="1" customFormat="1">
      <c r="A31" s="15"/>
      <c r="B31" s="11" t="s">
        <v>208</v>
      </c>
      <c r="C31" s="11" t="s">
        <v>45</v>
      </c>
      <c r="D31" s="9" t="s">
        <v>160</v>
      </c>
      <c r="E31" s="16" t="s">
        <v>128</v>
      </c>
      <c r="F31" s="72"/>
      <c r="G31" s="17" t="s">
        <v>1201</v>
      </c>
      <c r="H31" s="18"/>
      <c r="I31" s="17"/>
      <c r="J31" s="19" t="s">
        <v>133</v>
      </c>
      <c r="K31" s="19" t="s">
        <v>204</v>
      </c>
      <c r="L31" s="19" t="s">
        <v>134</v>
      </c>
    </row>
    <row r="32" spans="1:12" s="1" customFormat="1">
      <c r="A32" s="15"/>
      <c r="B32" s="11" t="s">
        <v>210</v>
      </c>
      <c r="C32" s="11" t="s">
        <v>45</v>
      </c>
      <c r="D32" s="9" t="s">
        <v>1056</v>
      </c>
      <c r="E32" s="16" t="s">
        <v>128</v>
      </c>
      <c r="F32" s="72"/>
      <c r="G32" s="17" t="s">
        <v>224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" t="s">
        <v>209</v>
      </c>
      <c r="C33" s="11" t="s">
        <v>45</v>
      </c>
      <c r="D33" s="9" t="s">
        <v>1055</v>
      </c>
      <c r="E33" s="16" t="s">
        <v>128</v>
      </c>
      <c r="F33" s="72"/>
      <c r="G33" s="17" t="s">
        <v>223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211</v>
      </c>
      <c r="C34" s="11" t="s">
        <v>45</v>
      </c>
      <c r="D34" s="9" t="s">
        <v>163</v>
      </c>
      <c r="E34" s="16" t="s">
        <v>128</v>
      </c>
      <c r="F34" s="72"/>
      <c r="G34" s="17" t="s">
        <v>225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212</v>
      </c>
      <c r="C35" s="11" t="s">
        <v>45</v>
      </c>
      <c r="D35" s="9" t="s">
        <v>164</v>
      </c>
      <c r="E35" s="16" t="s">
        <v>128</v>
      </c>
      <c r="F35" s="72"/>
      <c r="G35" s="17" t="s">
        <v>226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213</v>
      </c>
      <c r="C36" s="11" t="s">
        <v>45</v>
      </c>
      <c r="D36" s="9" t="s">
        <v>165</v>
      </c>
      <c r="E36" s="16" t="s">
        <v>128</v>
      </c>
      <c r="F36" s="72"/>
      <c r="G36" s="17" t="s">
        <v>1114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214</v>
      </c>
      <c r="C37" s="11" t="s">
        <v>45</v>
      </c>
      <c r="D37" s="9" t="s">
        <v>166</v>
      </c>
      <c r="E37" s="16" t="s">
        <v>128</v>
      </c>
      <c r="F37" s="72"/>
      <c r="G37" s="17" t="s">
        <v>1115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217</v>
      </c>
      <c r="C38" s="11" t="s">
        <v>45</v>
      </c>
      <c r="D38" s="9" t="s">
        <v>171</v>
      </c>
      <c r="E38" s="16" t="s">
        <v>128</v>
      </c>
      <c r="F38" s="72"/>
      <c r="G38" s="17" t="s">
        <v>1116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218</v>
      </c>
      <c r="C39" s="11" t="s">
        <v>45</v>
      </c>
      <c r="D39" s="9" t="s">
        <v>172</v>
      </c>
      <c r="E39" s="16" t="s">
        <v>128</v>
      </c>
      <c r="F39" s="72"/>
      <c r="G39" s="17" t="s">
        <v>1117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219</v>
      </c>
      <c r="C40" s="11" t="s">
        <v>45</v>
      </c>
      <c r="D40" s="9" t="s">
        <v>173</v>
      </c>
      <c r="E40" s="16" t="s">
        <v>128</v>
      </c>
      <c r="F40" s="72"/>
      <c r="G40" s="17" t="s">
        <v>1118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220</v>
      </c>
      <c r="C41" s="11" t="s">
        <v>45</v>
      </c>
      <c r="D41" s="9" t="s">
        <v>174</v>
      </c>
      <c r="E41" s="16" t="s">
        <v>128</v>
      </c>
      <c r="F41" s="72"/>
      <c r="G41" s="17" t="s">
        <v>1119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215</v>
      </c>
      <c r="C42" s="11" t="s">
        <v>45</v>
      </c>
      <c r="D42" s="9" t="s">
        <v>1260</v>
      </c>
      <c r="E42" s="16" t="s">
        <v>128</v>
      </c>
      <c r="F42" s="72"/>
      <c r="G42" s="17" t="s">
        <v>227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216</v>
      </c>
      <c r="C43" s="11" t="s">
        <v>45</v>
      </c>
      <c r="D43" s="9" t="s">
        <v>1261</v>
      </c>
      <c r="E43" s="16" t="s">
        <v>128</v>
      </c>
      <c r="F43" s="72"/>
      <c r="G43" s="17" t="s">
        <v>228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316</v>
      </c>
      <c r="C44" s="11" t="s">
        <v>45</v>
      </c>
      <c r="D44" s="9" t="s">
        <v>167</v>
      </c>
      <c r="E44" s="16" t="s">
        <v>128</v>
      </c>
      <c r="F44" s="72"/>
      <c r="G44" s="17" t="s">
        <v>772</v>
      </c>
      <c r="H44" s="18"/>
      <c r="I44" s="17"/>
      <c r="J44" s="19" t="s">
        <v>133</v>
      </c>
      <c r="K44" s="19" t="s">
        <v>202</v>
      </c>
      <c r="L44" s="19" t="s">
        <v>67</v>
      </c>
    </row>
    <row r="45" spans="1:12" s="1" customFormat="1">
      <c r="A45" s="15"/>
      <c r="B45" s="11" t="s">
        <v>809</v>
      </c>
      <c r="C45" s="11" t="s">
        <v>45</v>
      </c>
      <c r="D45" s="9" t="s">
        <v>175</v>
      </c>
      <c r="E45" s="16" t="s">
        <v>128</v>
      </c>
      <c r="F45" s="72"/>
      <c r="G45" s="17" t="s">
        <v>1120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317</v>
      </c>
      <c r="C46" s="11" t="s">
        <v>45</v>
      </c>
      <c r="D46" s="9" t="s">
        <v>168</v>
      </c>
      <c r="E46" s="16" t="s">
        <v>128</v>
      </c>
      <c r="F46" s="72"/>
      <c r="G46" s="17" t="s">
        <v>778</v>
      </c>
      <c r="H46" s="18"/>
      <c r="I46" s="17"/>
      <c r="J46" s="19" t="s">
        <v>133</v>
      </c>
      <c r="K46" s="19" t="s">
        <v>202</v>
      </c>
      <c r="L46" s="19" t="s">
        <v>67</v>
      </c>
    </row>
    <row r="47" spans="1:12" s="1" customFormat="1">
      <c r="A47" s="15"/>
      <c r="B47" s="11" t="s">
        <v>810</v>
      </c>
      <c r="C47" s="11" t="s">
        <v>45</v>
      </c>
      <c r="D47" s="9" t="s">
        <v>176</v>
      </c>
      <c r="E47" s="16" t="s">
        <v>128</v>
      </c>
      <c r="F47" s="72"/>
      <c r="G47" s="17" t="s">
        <v>1121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1213</v>
      </c>
      <c r="C48" s="11" t="s">
        <v>45</v>
      </c>
      <c r="D48" s="9" t="s">
        <v>178</v>
      </c>
      <c r="E48" s="16" t="s">
        <v>128</v>
      </c>
      <c r="F48" s="72"/>
      <c r="G48" s="17" t="s">
        <v>2266</v>
      </c>
      <c r="H48" s="18"/>
      <c r="I48" s="17"/>
      <c r="J48" s="19" t="s">
        <v>133</v>
      </c>
      <c r="K48" s="19" t="s">
        <v>202</v>
      </c>
      <c r="L48" s="19" t="s">
        <v>67</v>
      </c>
    </row>
    <row r="49" spans="1:12" s="1" customFormat="1">
      <c r="A49" s="15"/>
      <c r="B49" s="11" t="s">
        <v>221</v>
      </c>
      <c r="C49" s="11" t="s">
        <v>45</v>
      </c>
      <c r="D49" s="9" t="s">
        <v>177</v>
      </c>
      <c r="E49" s="16" t="s">
        <v>128</v>
      </c>
      <c r="F49" s="72"/>
      <c r="G49" s="17" t="s">
        <v>1122</v>
      </c>
      <c r="H49" s="18"/>
      <c r="I49" s="17"/>
      <c r="J49" s="19" t="s">
        <v>133</v>
      </c>
      <c r="K49" s="19" t="s">
        <v>204</v>
      </c>
      <c r="L49" s="19" t="s">
        <v>67</v>
      </c>
    </row>
    <row r="50" spans="1:12" s="1" customFormat="1">
      <c r="A50" s="15"/>
      <c r="B50" s="11" t="s">
        <v>1212</v>
      </c>
      <c r="C50" s="11" t="s">
        <v>45</v>
      </c>
      <c r="D50" s="9" t="s">
        <v>180</v>
      </c>
      <c r="E50" s="16" t="s">
        <v>128</v>
      </c>
      <c r="F50" s="72"/>
      <c r="G50" s="17" t="s">
        <v>2267</v>
      </c>
      <c r="H50" s="18"/>
      <c r="I50" s="17"/>
      <c r="J50" s="19" t="s">
        <v>133</v>
      </c>
      <c r="K50" s="19" t="s">
        <v>202</v>
      </c>
      <c r="L50" s="19" t="s">
        <v>67</v>
      </c>
    </row>
    <row r="51" spans="1:12" s="1" customFormat="1">
      <c r="A51" s="15"/>
      <c r="B51" s="11" t="s">
        <v>222</v>
      </c>
      <c r="C51" s="11" t="s">
        <v>45</v>
      </c>
      <c r="D51" s="9" t="s">
        <v>179</v>
      </c>
      <c r="E51" s="16" t="s">
        <v>128</v>
      </c>
      <c r="F51" s="72"/>
      <c r="G51" s="17" t="s">
        <v>1123</v>
      </c>
      <c r="H51" s="18"/>
      <c r="I51" s="17"/>
      <c r="J51" s="19" t="s">
        <v>133</v>
      </c>
      <c r="K51" s="19" t="s">
        <v>204</v>
      </c>
      <c r="L51" s="19" t="s">
        <v>67</v>
      </c>
    </row>
    <row r="52" spans="1:12" s="1" customFormat="1">
      <c r="A52" s="15"/>
      <c r="B52" s="11" t="s">
        <v>2167</v>
      </c>
      <c r="C52" s="11" t="s">
        <v>45</v>
      </c>
      <c r="D52" s="9" t="s">
        <v>2165</v>
      </c>
      <c r="E52" s="16" t="s">
        <v>128</v>
      </c>
      <c r="F52" s="72"/>
      <c r="G52" s="17" t="s">
        <v>2268</v>
      </c>
      <c r="H52" s="18"/>
      <c r="I52" s="17"/>
      <c r="J52" s="19" t="s">
        <v>133</v>
      </c>
      <c r="K52" s="19" t="s">
        <v>903</v>
      </c>
      <c r="L52" s="19" t="s">
        <v>134</v>
      </c>
    </row>
    <row r="53" spans="1:12" s="1" customFormat="1">
      <c r="A53" s="15"/>
      <c r="B53" s="11" t="s">
        <v>2168</v>
      </c>
      <c r="C53" s="11" t="s">
        <v>45</v>
      </c>
      <c r="D53" s="9" t="s">
        <v>2166</v>
      </c>
      <c r="E53" s="16" t="s">
        <v>128</v>
      </c>
      <c r="F53" s="72"/>
      <c r="G53" s="17" t="s">
        <v>2269</v>
      </c>
      <c r="H53" s="18"/>
      <c r="I53" s="17"/>
      <c r="J53" s="19" t="s">
        <v>133</v>
      </c>
      <c r="K53" s="19" t="s">
        <v>903</v>
      </c>
      <c r="L53" s="19" t="s">
        <v>134</v>
      </c>
    </row>
    <row r="54" spans="1:12" s="1" customFormat="1">
      <c r="A54" s="15"/>
      <c r="B54" s="11" t="s">
        <v>2179</v>
      </c>
      <c r="C54" s="11" t="s">
        <v>45</v>
      </c>
      <c r="D54" s="9" t="s">
        <v>2011</v>
      </c>
      <c r="E54" s="16" t="s">
        <v>128</v>
      </c>
      <c r="F54" s="72"/>
      <c r="G54" s="17" t="s">
        <v>2270</v>
      </c>
      <c r="H54" s="18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11" t="s">
        <v>2172</v>
      </c>
      <c r="C55" s="11" t="s">
        <v>45</v>
      </c>
      <c r="D55" s="9" t="s">
        <v>2173</v>
      </c>
      <c r="E55" s="16" t="s">
        <v>128</v>
      </c>
      <c r="F55" s="72"/>
      <c r="G55" s="17" t="s">
        <v>2271</v>
      </c>
      <c r="H55" s="18"/>
      <c r="I55" s="17"/>
      <c r="J55" s="19" t="s">
        <v>133</v>
      </c>
      <c r="K55" s="19" t="s">
        <v>1640</v>
      </c>
      <c r="L55" s="19" t="s">
        <v>67</v>
      </c>
    </row>
    <row r="56" spans="1:12" s="1" customFormat="1">
      <c r="A56" s="15"/>
      <c r="B56" s="11" t="s">
        <v>2174</v>
      </c>
      <c r="C56" s="11" t="s">
        <v>45</v>
      </c>
      <c r="D56" s="9" t="s">
        <v>2175</v>
      </c>
      <c r="E56" s="16" t="s">
        <v>128</v>
      </c>
      <c r="F56" s="72"/>
      <c r="G56" s="17" t="s">
        <v>2272</v>
      </c>
      <c r="H56" s="18"/>
      <c r="I56" s="17"/>
      <c r="J56" s="19" t="s">
        <v>133</v>
      </c>
      <c r="K56" s="19" t="s">
        <v>1640</v>
      </c>
      <c r="L56" s="19" t="s">
        <v>67</v>
      </c>
    </row>
    <row r="57" spans="1:12" s="1" customFormat="1">
      <c r="A57" s="15"/>
      <c r="B57" s="11" t="s">
        <v>2181</v>
      </c>
      <c r="C57" s="11" t="s">
        <v>45</v>
      </c>
      <c r="D57" s="9" t="s">
        <v>2182</v>
      </c>
      <c r="E57" s="16" t="s">
        <v>128</v>
      </c>
      <c r="F57" s="72"/>
      <c r="G57" s="17" t="s">
        <v>2273</v>
      </c>
      <c r="H57" s="18"/>
      <c r="I57" s="17"/>
      <c r="J57" s="19" t="s">
        <v>133</v>
      </c>
      <c r="K57" s="19" t="s">
        <v>1640</v>
      </c>
      <c r="L57" s="19" t="s">
        <v>67</v>
      </c>
    </row>
    <row r="58" spans="1:12" s="1" customFormat="1">
      <c r="A58" s="15"/>
      <c r="B58" s="11" t="s">
        <v>2183</v>
      </c>
      <c r="C58" s="11" t="s">
        <v>45</v>
      </c>
      <c r="D58" s="9" t="s">
        <v>2184</v>
      </c>
      <c r="E58" s="16" t="s">
        <v>128</v>
      </c>
      <c r="F58" s="72"/>
      <c r="G58" s="17" t="s">
        <v>2274</v>
      </c>
      <c r="H58" s="18"/>
      <c r="I58" s="17"/>
      <c r="J58" s="19" t="s">
        <v>133</v>
      </c>
      <c r="K58" s="19" t="s">
        <v>1640</v>
      </c>
      <c r="L58" s="19" t="s">
        <v>67</v>
      </c>
    </row>
    <row r="59" spans="1:12" s="1" customFormat="1">
      <c r="A59" s="15"/>
      <c r="B59" s="11" t="s">
        <v>2185</v>
      </c>
      <c r="C59" s="11" t="s">
        <v>45</v>
      </c>
      <c r="D59" s="9" t="s">
        <v>2190</v>
      </c>
      <c r="E59" s="16" t="s">
        <v>128</v>
      </c>
      <c r="F59" s="72"/>
      <c r="G59" s="17" t="s">
        <v>2275</v>
      </c>
      <c r="H59" s="18"/>
      <c r="I59" s="17"/>
      <c r="J59" s="19" t="s">
        <v>133</v>
      </c>
      <c r="K59" s="19" t="s">
        <v>204</v>
      </c>
      <c r="L59" s="19" t="s">
        <v>67</v>
      </c>
    </row>
    <row r="60" spans="1:12" s="1" customFormat="1">
      <c r="A60" s="15"/>
      <c r="B60" s="11" t="s">
        <v>2186</v>
      </c>
      <c r="C60" s="11" t="s">
        <v>45</v>
      </c>
      <c r="D60" s="9" t="s">
        <v>2191</v>
      </c>
      <c r="E60" s="16" t="s">
        <v>128</v>
      </c>
      <c r="F60" s="72"/>
      <c r="G60" s="17" t="s">
        <v>2276</v>
      </c>
      <c r="H60" s="18"/>
      <c r="I60" s="17"/>
      <c r="J60" s="19" t="s">
        <v>133</v>
      </c>
      <c r="K60" s="19" t="s">
        <v>202</v>
      </c>
      <c r="L60" s="19" t="s">
        <v>67</v>
      </c>
    </row>
    <row r="61" spans="1:12" s="1" customFormat="1">
      <c r="A61" s="15"/>
      <c r="B61" s="11" t="s">
        <v>2245</v>
      </c>
      <c r="C61" s="11" t="s">
        <v>45</v>
      </c>
      <c r="D61" s="9" t="s">
        <v>2189</v>
      </c>
      <c r="E61" s="16" t="s">
        <v>128</v>
      </c>
      <c r="F61" s="72"/>
      <c r="G61" s="17" t="s">
        <v>2277</v>
      </c>
      <c r="H61" s="18"/>
      <c r="I61" s="17"/>
      <c r="J61" s="19" t="s">
        <v>133</v>
      </c>
      <c r="K61" s="19" t="s">
        <v>204</v>
      </c>
      <c r="L61" s="19" t="s">
        <v>67</v>
      </c>
    </row>
    <row r="62" spans="1:12" s="1" customFormat="1">
      <c r="A62" s="15"/>
      <c r="B62" s="11" t="s">
        <v>2159</v>
      </c>
      <c r="C62" s="95" t="s">
        <v>280</v>
      </c>
      <c r="D62" s="9" t="s">
        <v>2161</v>
      </c>
      <c r="E62" s="16" t="s">
        <v>128</v>
      </c>
      <c r="F62" s="72"/>
      <c r="G62" s="17" t="s">
        <v>2278</v>
      </c>
      <c r="H62" s="18"/>
      <c r="I62" s="17"/>
      <c r="J62" s="19" t="s">
        <v>133</v>
      </c>
      <c r="K62" s="19" t="s">
        <v>203</v>
      </c>
      <c r="L62" s="19" t="s">
        <v>67</v>
      </c>
    </row>
    <row r="63" spans="1:12" s="1" customFormat="1">
      <c r="A63" s="15"/>
      <c r="B63" s="11" t="s">
        <v>2160</v>
      </c>
      <c r="C63" s="95" t="s">
        <v>280</v>
      </c>
      <c r="D63" s="9" t="s">
        <v>2162</v>
      </c>
      <c r="E63" s="16" t="s">
        <v>128</v>
      </c>
      <c r="F63" s="72"/>
      <c r="G63" s="17" t="s">
        <v>2279</v>
      </c>
      <c r="H63" s="18"/>
      <c r="I63" s="17"/>
      <c r="J63" s="19" t="s">
        <v>133</v>
      </c>
      <c r="K63" s="19" t="s">
        <v>202</v>
      </c>
      <c r="L63" s="19" t="s">
        <v>67</v>
      </c>
    </row>
    <row r="64" spans="1:12" s="1" customFormat="1">
      <c r="A64" s="15"/>
      <c r="B64" s="11" t="s">
        <v>205</v>
      </c>
      <c r="C64" s="11" t="s">
        <v>45</v>
      </c>
      <c r="D64" s="9" t="s">
        <v>147</v>
      </c>
      <c r="E64" s="16" t="s">
        <v>128</v>
      </c>
      <c r="F64" s="72"/>
      <c r="G64" s="17" t="s">
        <v>2247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206</v>
      </c>
      <c r="C65" s="11" t="s">
        <v>280</v>
      </c>
      <c r="D65" s="9" t="s">
        <v>820</v>
      </c>
      <c r="E65" s="16" t="s">
        <v>128</v>
      </c>
      <c r="F65" s="72"/>
      <c r="G65" s="17" t="s">
        <v>1081</v>
      </c>
      <c r="H65" s="18"/>
      <c r="I65" s="17"/>
      <c r="J65" s="19" t="s">
        <v>133</v>
      </c>
      <c r="K65" s="19" t="s">
        <v>202</v>
      </c>
      <c r="L65" s="19" t="s">
        <v>67</v>
      </c>
    </row>
    <row r="66" spans="1:12" s="1" customFormat="1">
      <c r="A66" s="15"/>
      <c r="B66" s="11" t="s">
        <v>1022</v>
      </c>
      <c r="C66" s="11" t="s">
        <v>45</v>
      </c>
      <c r="D66" s="9" t="s">
        <v>1018</v>
      </c>
      <c r="E66" s="16" t="s">
        <v>128</v>
      </c>
      <c r="F66" s="72"/>
      <c r="G66" s="17" t="s">
        <v>1127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1014</v>
      </c>
      <c r="C67" s="11" t="s">
        <v>45</v>
      </c>
      <c r="D67" s="9" t="s">
        <v>1019</v>
      </c>
      <c r="E67" s="16" t="s">
        <v>128</v>
      </c>
      <c r="F67" s="72"/>
      <c r="G67" s="17" t="s">
        <v>1128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1015</v>
      </c>
      <c r="C68" s="11" t="s">
        <v>45</v>
      </c>
      <c r="D68" s="9" t="s">
        <v>1020</v>
      </c>
      <c r="E68" s="16" t="s">
        <v>128</v>
      </c>
      <c r="F68" s="72"/>
      <c r="G68" s="17" t="s">
        <v>1129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1016</v>
      </c>
      <c r="C69" s="11" t="s">
        <v>45</v>
      </c>
      <c r="D69" s="9" t="s">
        <v>1021</v>
      </c>
      <c r="E69" s="16" t="s">
        <v>128</v>
      </c>
      <c r="F69" s="72"/>
      <c r="G69" s="17" t="s">
        <v>1130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1017</v>
      </c>
      <c r="C70" s="11" t="s">
        <v>45</v>
      </c>
      <c r="D70" s="9" t="s">
        <v>1042</v>
      </c>
      <c r="E70" s="16" t="s">
        <v>128</v>
      </c>
      <c r="F70" s="72"/>
      <c r="G70" s="17" t="s">
        <v>1131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1049</v>
      </c>
      <c r="C71" s="11" t="s">
        <v>45</v>
      </c>
      <c r="D71" s="9" t="s">
        <v>153</v>
      </c>
      <c r="E71" s="16" t="s">
        <v>128</v>
      </c>
      <c r="F71" s="72"/>
      <c r="G71" s="17" t="s">
        <v>1262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823</v>
      </c>
      <c r="C72" s="11" t="s">
        <v>280</v>
      </c>
      <c r="D72" s="9" t="s">
        <v>1474</v>
      </c>
      <c r="E72" s="16" t="s">
        <v>128</v>
      </c>
      <c r="F72" s="72"/>
      <c r="G72" s="17" t="s">
        <v>1082</v>
      </c>
      <c r="H72" s="18"/>
      <c r="I72" s="17"/>
      <c r="J72" s="19" t="s">
        <v>133</v>
      </c>
      <c r="K72" s="19" t="s">
        <v>202</v>
      </c>
      <c r="L72" s="19" t="s">
        <v>67</v>
      </c>
    </row>
    <row r="73" spans="1:12" s="1" customFormat="1">
      <c r="A73" s="15"/>
      <c r="B73" s="11" t="s">
        <v>1030</v>
      </c>
      <c r="C73" s="11" t="s">
        <v>45</v>
      </c>
      <c r="D73" s="9" t="s">
        <v>1026</v>
      </c>
      <c r="E73" s="16" t="s">
        <v>128</v>
      </c>
      <c r="F73" s="72"/>
      <c r="G73" s="17" t="s">
        <v>1133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1023</v>
      </c>
      <c r="C74" s="11" t="s">
        <v>45</v>
      </c>
      <c r="D74" s="9" t="s">
        <v>1027</v>
      </c>
      <c r="E74" s="16" t="s">
        <v>128</v>
      </c>
      <c r="F74" s="72"/>
      <c r="G74" s="17" t="s">
        <v>1134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1024</v>
      </c>
      <c r="C75" s="11" t="s">
        <v>45</v>
      </c>
      <c r="D75" s="9" t="s">
        <v>1028</v>
      </c>
      <c r="E75" s="16" t="s">
        <v>128</v>
      </c>
      <c r="F75" s="72"/>
      <c r="G75" s="17" t="s">
        <v>1135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1032</v>
      </c>
      <c r="C76" s="11" t="s">
        <v>45</v>
      </c>
      <c r="D76" s="9" t="s">
        <v>1029</v>
      </c>
      <c r="E76" s="16" t="s">
        <v>128</v>
      </c>
      <c r="F76" s="72"/>
      <c r="G76" s="17" t="s">
        <v>1136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1025</v>
      </c>
      <c r="C77" s="11" t="s">
        <v>45</v>
      </c>
      <c r="D77" s="9" t="s">
        <v>1043</v>
      </c>
      <c r="E77" s="16" t="s">
        <v>128</v>
      </c>
      <c r="F77" s="72"/>
      <c r="G77" s="17" t="s">
        <v>1137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1084</v>
      </c>
      <c r="C78" s="11" t="s">
        <v>280</v>
      </c>
      <c r="D78" s="9" t="s">
        <v>1086</v>
      </c>
      <c r="E78" s="16" t="s">
        <v>128</v>
      </c>
      <c r="F78" s="72"/>
      <c r="G78" s="17" t="s">
        <v>2248</v>
      </c>
      <c r="H78" s="18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1083</v>
      </c>
      <c r="C79" s="11" t="s">
        <v>280</v>
      </c>
      <c r="D79" s="9" t="s">
        <v>841</v>
      </c>
      <c r="E79" s="16" t="s">
        <v>128</v>
      </c>
      <c r="F79" s="72"/>
      <c r="G79" s="17" t="s">
        <v>1866</v>
      </c>
      <c r="H79" s="18"/>
      <c r="I79" s="17"/>
      <c r="J79" s="19" t="s">
        <v>133</v>
      </c>
      <c r="K79" s="19" t="s">
        <v>202</v>
      </c>
      <c r="L79" s="19" t="s">
        <v>67</v>
      </c>
    </row>
    <row r="80" spans="1:12" s="1" customFormat="1">
      <c r="A80" s="15"/>
      <c r="B80" s="11" t="s">
        <v>1033</v>
      </c>
      <c r="C80" s="11" t="s">
        <v>45</v>
      </c>
      <c r="D80" s="9" t="s">
        <v>1038</v>
      </c>
      <c r="E80" s="16" t="s">
        <v>128</v>
      </c>
      <c r="F80" s="72"/>
      <c r="G80" s="17" t="s">
        <v>1138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1034</v>
      </c>
      <c r="C81" s="11" t="s">
        <v>45</v>
      </c>
      <c r="D81" s="9" t="s">
        <v>1039</v>
      </c>
      <c r="E81" s="16" t="s">
        <v>128</v>
      </c>
      <c r="F81" s="72"/>
      <c r="G81" s="17" t="s">
        <v>1139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1035</v>
      </c>
      <c r="C82" s="11" t="s">
        <v>45</v>
      </c>
      <c r="D82" s="9" t="s">
        <v>1040</v>
      </c>
      <c r="E82" s="16" t="s">
        <v>128</v>
      </c>
      <c r="F82" s="72"/>
      <c r="G82" s="17" t="s">
        <v>1140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1036</v>
      </c>
      <c r="C83" s="11" t="s">
        <v>45</v>
      </c>
      <c r="D83" s="9" t="s">
        <v>1041</v>
      </c>
      <c r="E83" s="16" t="s">
        <v>128</v>
      </c>
      <c r="F83" s="72"/>
      <c r="G83" s="17" t="s">
        <v>1141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1037</v>
      </c>
      <c r="C84" s="11" t="s">
        <v>45</v>
      </c>
      <c r="D84" s="9" t="s">
        <v>1044</v>
      </c>
      <c r="E84" s="16" t="s">
        <v>128</v>
      </c>
      <c r="F84" s="72"/>
      <c r="G84" s="17" t="s">
        <v>1142</v>
      </c>
      <c r="H84" s="18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816</v>
      </c>
      <c r="C85" s="11" t="s">
        <v>280</v>
      </c>
      <c r="D85" s="9" t="s">
        <v>839</v>
      </c>
      <c r="E85" s="16" t="s">
        <v>128</v>
      </c>
      <c r="F85" s="72"/>
      <c r="G85" s="17" t="s">
        <v>1088</v>
      </c>
      <c r="H85" s="18"/>
      <c r="I85" s="17"/>
      <c r="J85" s="19" t="s">
        <v>133</v>
      </c>
      <c r="K85" s="19" t="s">
        <v>202</v>
      </c>
      <c r="L85" s="19" t="s">
        <v>67</v>
      </c>
    </row>
    <row r="86" spans="1:12" s="1" customFormat="1">
      <c r="A86" s="15"/>
      <c r="B86" s="11" t="s">
        <v>817</v>
      </c>
      <c r="C86" s="11" t="s">
        <v>45</v>
      </c>
      <c r="D86" s="9" t="s">
        <v>658</v>
      </c>
      <c r="E86" s="16" t="s">
        <v>128</v>
      </c>
      <c r="F86" s="72"/>
      <c r="G86" s="17" t="s">
        <v>1089</v>
      </c>
      <c r="H86" s="18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818</v>
      </c>
      <c r="C87" s="11" t="s">
        <v>280</v>
      </c>
      <c r="D87" s="9" t="s">
        <v>842</v>
      </c>
      <c r="E87" s="16" t="s">
        <v>128</v>
      </c>
      <c r="F87" s="72"/>
      <c r="G87" s="17" t="s">
        <v>1091</v>
      </c>
      <c r="H87" s="18"/>
      <c r="I87" s="17"/>
      <c r="J87" s="19" t="s">
        <v>133</v>
      </c>
      <c r="K87" s="19" t="s">
        <v>202</v>
      </c>
      <c r="L87" s="19" t="s">
        <v>67</v>
      </c>
    </row>
    <row r="88" spans="1:12" s="1" customFormat="1">
      <c r="A88" s="15"/>
      <c r="B88" s="11" t="s">
        <v>819</v>
      </c>
      <c r="C88" s="11" t="s">
        <v>45</v>
      </c>
      <c r="D88" s="9" t="s">
        <v>660</v>
      </c>
      <c r="E88" s="16" t="s">
        <v>128</v>
      </c>
      <c r="F88" s="72"/>
      <c r="G88" s="17" t="s">
        <v>1092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22" t="s">
        <v>2327</v>
      </c>
      <c r="C89" s="22" t="s">
        <v>45</v>
      </c>
      <c r="D89" s="9" t="s">
        <v>2017</v>
      </c>
      <c r="E89" s="16" t="s">
        <v>128</v>
      </c>
      <c r="F89" s="72"/>
      <c r="G89" s="17" t="s">
        <v>2330</v>
      </c>
      <c r="H89" s="18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22" t="s">
        <v>2194</v>
      </c>
      <c r="C90" s="22" t="s">
        <v>280</v>
      </c>
      <c r="D90" s="9" t="s">
        <v>2196</v>
      </c>
      <c r="E90" s="16" t="s">
        <v>128</v>
      </c>
      <c r="F90" s="72"/>
      <c r="G90" s="17" t="s">
        <v>2250</v>
      </c>
      <c r="H90" s="18"/>
      <c r="I90" s="17"/>
      <c r="J90" s="19" t="s">
        <v>133</v>
      </c>
      <c r="K90" s="19" t="s">
        <v>2024</v>
      </c>
      <c r="L90" s="19" t="s">
        <v>67</v>
      </c>
    </row>
    <row r="91" spans="1:12" s="1" customFormat="1">
      <c r="B91" s="22" t="s">
        <v>2132</v>
      </c>
      <c r="C91" s="22" t="s">
        <v>280</v>
      </c>
      <c r="D91" s="9" t="s">
        <v>2134</v>
      </c>
      <c r="E91" s="16" t="s">
        <v>128</v>
      </c>
      <c r="F91" s="22"/>
      <c r="G91" s="17" t="s">
        <v>2333</v>
      </c>
      <c r="H91" s="18"/>
      <c r="I91" s="88"/>
      <c r="J91" s="19" t="s">
        <v>133</v>
      </c>
      <c r="K91" s="19" t="s">
        <v>2136</v>
      </c>
      <c r="L91" s="19" t="s">
        <v>134</v>
      </c>
    </row>
    <row r="92" spans="1:12" s="1" customFormat="1">
      <c r="A92" s="15"/>
      <c r="B92" s="90" t="s">
        <v>2328</v>
      </c>
      <c r="C92" s="22" t="s">
        <v>45</v>
      </c>
      <c r="D92" s="9" t="s">
        <v>2034</v>
      </c>
      <c r="E92" s="16" t="s">
        <v>128</v>
      </c>
      <c r="F92" s="72"/>
      <c r="G92" s="17" t="s">
        <v>2332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90" t="s">
        <v>2193</v>
      </c>
      <c r="C93" s="22" t="s">
        <v>280</v>
      </c>
      <c r="D93" s="9" t="s">
        <v>2195</v>
      </c>
      <c r="E93" s="16" t="s">
        <v>128</v>
      </c>
      <c r="F93" s="72"/>
      <c r="G93" s="17" t="s">
        <v>2252</v>
      </c>
      <c r="H93" s="18"/>
      <c r="I93" s="17"/>
      <c r="J93" s="19" t="s">
        <v>133</v>
      </c>
      <c r="K93" s="19" t="s">
        <v>2024</v>
      </c>
      <c r="L93" s="19" t="s">
        <v>67</v>
      </c>
    </row>
    <row r="94" spans="1:12" s="1" customFormat="1">
      <c r="B94" s="90" t="s">
        <v>2133</v>
      </c>
      <c r="C94" s="22" t="s">
        <v>280</v>
      </c>
      <c r="D94" s="9" t="s">
        <v>2135</v>
      </c>
      <c r="E94" s="16" t="s">
        <v>128</v>
      </c>
      <c r="F94" s="22"/>
      <c r="G94" s="17" t="s">
        <v>2334</v>
      </c>
      <c r="H94" s="18"/>
      <c r="I94" s="88"/>
      <c r="J94" s="19" t="s">
        <v>133</v>
      </c>
      <c r="K94" s="19" t="s">
        <v>2136</v>
      </c>
      <c r="L94" s="19" t="s">
        <v>134</v>
      </c>
    </row>
    <row r="95" spans="1:12" s="1" customFormat="1">
      <c r="B95" s="22" t="s">
        <v>2255</v>
      </c>
      <c r="C95" s="22" t="s">
        <v>45</v>
      </c>
      <c r="D95" s="9" t="s">
        <v>2201</v>
      </c>
      <c r="E95" s="16" t="s">
        <v>128</v>
      </c>
      <c r="F95" s="22"/>
      <c r="G95" s="17" t="s">
        <v>2280</v>
      </c>
      <c r="H95" s="18"/>
      <c r="I95" s="17"/>
      <c r="J95" s="19" t="s">
        <v>133</v>
      </c>
      <c r="K95" s="19" t="s">
        <v>1640</v>
      </c>
      <c r="L95" s="19" t="s">
        <v>67</v>
      </c>
    </row>
    <row r="96" spans="1:12" s="1" customFormat="1">
      <c r="B96" s="22" t="s">
        <v>2254</v>
      </c>
      <c r="C96" s="22" t="s">
        <v>45</v>
      </c>
      <c r="D96" s="9" t="s">
        <v>2202</v>
      </c>
      <c r="E96" s="16" t="s">
        <v>128</v>
      </c>
      <c r="F96" s="22"/>
      <c r="G96" s="17" t="s">
        <v>2281</v>
      </c>
      <c r="H96" s="18"/>
      <c r="I96" s="17"/>
      <c r="J96" s="19" t="s">
        <v>133</v>
      </c>
      <c r="K96" s="19" t="s">
        <v>1640</v>
      </c>
      <c r="L96" s="19" t="s">
        <v>67</v>
      </c>
    </row>
    <row r="97" spans="1:12" s="1" customFormat="1">
      <c r="B97" s="22" t="s">
        <v>2203</v>
      </c>
      <c r="C97" s="22" t="s">
        <v>56</v>
      </c>
      <c r="D97" s="9" t="s">
        <v>2204</v>
      </c>
      <c r="E97" s="16" t="s">
        <v>128</v>
      </c>
      <c r="F97" s="22"/>
      <c r="G97" s="17" t="s">
        <v>2256</v>
      </c>
      <c r="H97" s="98"/>
      <c r="I97" s="88"/>
      <c r="J97" s="19" t="s">
        <v>133</v>
      </c>
      <c r="K97" s="19" t="s">
        <v>44</v>
      </c>
      <c r="L97" s="19" t="s">
        <v>1292</v>
      </c>
    </row>
    <row r="98" spans="1:12" s="1" customFormat="1">
      <c r="B98" s="22" t="s">
        <v>2216</v>
      </c>
      <c r="C98" s="22" t="s">
        <v>45</v>
      </c>
      <c r="D98" s="9" t="s">
        <v>2036</v>
      </c>
      <c r="E98" s="16" t="s">
        <v>128</v>
      </c>
      <c r="F98" s="22"/>
      <c r="G98" s="17" t="s">
        <v>2282</v>
      </c>
      <c r="H98" s="18"/>
      <c r="I98" s="17"/>
      <c r="J98" s="19" t="s">
        <v>133</v>
      </c>
      <c r="K98" s="19" t="s">
        <v>2235</v>
      </c>
      <c r="L98" s="19" t="s">
        <v>67</v>
      </c>
    </row>
    <row r="99" spans="1:12" s="1" customFormat="1">
      <c r="B99" s="22" t="s">
        <v>2218</v>
      </c>
      <c r="C99" s="22" t="s">
        <v>45</v>
      </c>
      <c r="D99" s="9" t="s">
        <v>2219</v>
      </c>
      <c r="E99" s="16" t="s">
        <v>128</v>
      </c>
      <c r="F99" s="22"/>
      <c r="G99" s="17" t="s">
        <v>2283</v>
      </c>
      <c r="H99" s="18"/>
      <c r="I99" s="17"/>
      <c r="J99" s="19" t="s">
        <v>133</v>
      </c>
      <c r="K99" s="19" t="s">
        <v>1640</v>
      </c>
      <c r="L99" s="19" t="s">
        <v>67</v>
      </c>
    </row>
    <row r="100" spans="1:12" s="1" customFormat="1">
      <c r="B100" s="22" t="s">
        <v>2217</v>
      </c>
      <c r="C100" s="22" t="s">
        <v>45</v>
      </c>
      <c r="D100" s="9" t="s">
        <v>2035</v>
      </c>
      <c r="E100" s="16" t="s">
        <v>128</v>
      </c>
      <c r="F100" s="22"/>
      <c r="G100" s="17" t="s">
        <v>2284</v>
      </c>
      <c r="H100" s="18"/>
      <c r="I100" s="17"/>
      <c r="J100" s="19" t="s">
        <v>133</v>
      </c>
      <c r="K100" s="19" t="s">
        <v>2235</v>
      </c>
      <c r="L100" s="19" t="s">
        <v>67</v>
      </c>
    </row>
    <row r="101" spans="1:12" s="1" customFormat="1">
      <c r="B101" s="22" t="s">
        <v>2220</v>
      </c>
      <c r="C101" s="22" t="s">
        <v>45</v>
      </c>
      <c r="D101" s="9" t="s">
        <v>2225</v>
      </c>
      <c r="E101" s="16" t="s">
        <v>128</v>
      </c>
      <c r="F101" s="22"/>
      <c r="G101" s="17" t="s">
        <v>2285</v>
      </c>
      <c r="H101" s="18"/>
      <c r="I101" s="17"/>
      <c r="J101" s="19" t="s">
        <v>133</v>
      </c>
      <c r="K101" s="19" t="s">
        <v>1640</v>
      </c>
      <c r="L101" s="19" t="s">
        <v>67</v>
      </c>
    </row>
    <row r="102" spans="1:12" s="1" customFormat="1">
      <c r="B102" s="22" t="s">
        <v>2140</v>
      </c>
      <c r="C102" s="22" t="s">
        <v>45</v>
      </c>
      <c r="D102" s="9" t="s">
        <v>2141</v>
      </c>
      <c r="E102" s="16" t="s">
        <v>128</v>
      </c>
      <c r="F102" s="22"/>
      <c r="G102" s="17" t="s">
        <v>2286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B103" s="22" t="s">
        <v>2142</v>
      </c>
      <c r="C103" s="22" t="s">
        <v>45</v>
      </c>
      <c r="D103" s="9" t="s">
        <v>2143</v>
      </c>
      <c r="E103" s="16" t="s">
        <v>128</v>
      </c>
      <c r="F103" s="22"/>
      <c r="G103" s="17" t="s">
        <v>2287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B104" s="22" t="s">
        <v>2144</v>
      </c>
      <c r="C104" s="22" t="s">
        <v>45</v>
      </c>
      <c r="D104" s="9" t="s">
        <v>2145</v>
      </c>
      <c r="E104" s="16" t="s">
        <v>128</v>
      </c>
      <c r="F104" s="22"/>
      <c r="G104" s="17" t="s">
        <v>2288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B105" s="22" t="s">
        <v>2146</v>
      </c>
      <c r="C105" s="22" t="s">
        <v>45</v>
      </c>
      <c r="D105" s="9" t="s">
        <v>2147</v>
      </c>
      <c r="E105" s="16" t="s">
        <v>128</v>
      </c>
      <c r="F105" s="22"/>
      <c r="G105" s="17" t="s">
        <v>2289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B106" s="22" t="s">
        <v>2148</v>
      </c>
      <c r="C106" s="22" t="s">
        <v>45</v>
      </c>
      <c r="D106" s="9" t="s">
        <v>2149</v>
      </c>
      <c r="E106" s="16" t="s">
        <v>128</v>
      </c>
      <c r="F106" s="22"/>
      <c r="G106" s="17" t="s">
        <v>2290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B107" s="22" t="s">
        <v>2150</v>
      </c>
      <c r="C107" s="22" t="s">
        <v>45</v>
      </c>
      <c r="D107" s="9" t="s">
        <v>2151</v>
      </c>
      <c r="E107" s="16" t="s">
        <v>128</v>
      </c>
      <c r="F107" s="22"/>
      <c r="G107" s="17" t="s">
        <v>2291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2261</v>
      </c>
      <c r="C108" s="11" t="s">
        <v>280</v>
      </c>
      <c r="D108" s="9" t="s">
        <v>2038</v>
      </c>
      <c r="E108" s="16" t="s">
        <v>128</v>
      </c>
      <c r="F108" s="72"/>
      <c r="G108" s="17" t="s">
        <v>3075</v>
      </c>
      <c r="H108" s="18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A109" s="15"/>
      <c r="B109" s="95" t="s">
        <v>2041</v>
      </c>
      <c r="C109" s="95" t="s">
        <v>45</v>
      </c>
      <c r="D109" s="96" t="s">
        <v>2042</v>
      </c>
      <c r="E109" s="16" t="s">
        <v>128</v>
      </c>
      <c r="F109" s="72"/>
      <c r="G109" s="17" t="s">
        <v>2292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95" t="s">
        <v>2043</v>
      </c>
      <c r="C110" s="95" t="s">
        <v>45</v>
      </c>
      <c r="D110" s="96" t="s">
        <v>2044</v>
      </c>
      <c r="E110" s="16" t="s">
        <v>128</v>
      </c>
      <c r="F110" s="72"/>
      <c r="G110" s="17" t="s">
        <v>2293</v>
      </c>
      <c r="H110" s="18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95" t="s">
        <v>2045</v>
      </c>
      <c r="C111" s="95" t="s">
        <v>45</v>
      </c>
      <c r="D111" s="96" t="s">
        <v>2046</v>
      </c>
      <c r="E111" s="16" t="s">
        <v>128</v>
      </c>
      <c r="F111" s="72"/>
      <c r="G111" s="17" t="s">
        <v>2294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95" t="s">
        <v>2047</v>
      </c>
      <c r="C112" s="95" t="s">
        <v>45</v>
      </c>
      <c r="D112" s="96" t="s">
        <v>2048</v>
      </c>
      <c r="E112" s="16" t="s">
        <v>128</v>
      </c>
      <c r="F112" s="72"/>
      <c r="G112" s="17" t="s">
        <v>2295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95" t="s">
        <v>2049</v>
      </c>
      <c r="C113" s="95" t="s">
        <v>45</v>
      </c>
      <c r="D113" s="96" t="s">
        <v>2050</v>
      </c>
      <c r="E113" s="16" t="s">
        <v>128</v>
      </c>
      <c r="F113" s="72"/>
      <c r="G113" s="17" t="s">
        <v>2296</v>
      </c>
      <c r="H113" s="18"/>
      <c r="I113" s="17"/>
      <c r="J113" s="19" t="s">
        <v>133</v>
      </c>
      <c r="K113" s="19" t="s">
        <v>903</v>
      </c>
      <c r="L113" s="19" t="s">
        <v>67</v>
      </c>
    </row>
    <row r="114" spans="1:12" s="1" customFormat="1">
      <c r="A114" s="15"/>
      <c r="B114" s="11" t="s">
        <v>2263</v>
      </c>
      <c r="C114" s="95" t="s">
        <v>280</v>
      </c>
      <c r="D114" s="9" t="s">
        <v>2052</v>
      </c>
      <c r="E114" s="16" t="s">
        <v>128</v>
      </c>
      <c r="F114" s="72"/>
      <c r="G114" s="17" t="s">
        <v>3076</v>
      </c>
      <c r="H114" s="18"/>
      <c r="I114" s="17"/>
      <c r="J114" s="19" t="s">
        <v>133</v>
      </c>
      <c r="K114" s="19" t="s">
        <v>203</v>
      </c>
      <c r="L114" s="19" t="s">
        <v>67</v>
      </c>
    </row>
    <row r="115" spans="1:12" s="1" customFormat="1">
      <c r="A115" s="15"/>
      <c r="B115" s="11" t="s">
        <v>2053</v>
      </c>
      <c r="C115" s="11" t="s">
        <v>45</v>
      </c>
      <c r="D115" s="9" t="s">
        <v>2054</v>
      </c>
      <c r="E115" s="16" t="s">
        <v>128</v>
      </c>
      <c r="F115" s="72"/>
      <c r="G115" s="17" t="s">
        <v>2297</v>
      </c>
      <c r="H115" s="18"/>
      <c r="I115" s="17"/>
      <c r="J115" s="19" t="s">
        <v>133</v>
      </c>
      <c r="K115" s="19" t="s">
        <v>903</v>
      </c>
      <c r="L115" s="19" t="s">
        <v>67</v>
      </c>
    </row>
    <row r="116" spans="1:12" s="1" customFormat="1">
      <c r="A116" s="15"/>
      <c r="B116" s="11" t="s">
        <v>2055</v>
      </c>
      <c r="C116" s="11" t="s">
        <v>45</v>
      </c>
      <c r="D116" s="9" t="s">
        <v>2056</v>
      </c>
      <c r="E116" s="16" t="s">
        <v>128</v>
      </c>
      <c r="F116" s="72"/>
      <c r="G116" s="17" t="s">
        <v>2298</v>
      </c>
      <c r="H116" s="18"/>
      <c r="I116" s="17"/>
      <c r="J116" s="19" t="s">
        <v>133</v>
      </c>
      <c r="K116" s="19" t="s">
        <v>903</v>
      </c>
      <c r="L116" s="19" t="s">
        <v>67</v>
      </c>
    </row>
    <row r="117" spans="1:12" s="1" customFormat="1">
      <c r="A117" s="15"/>
      <c r="B117" s="11" t="s">
        <v>2057</v>
      </c>
      <c r="C117" s="11" t="s">
        <v>45</v>
      </c>
      <c r="D117" s="9" t="s">
        <v>2058</v>
      </c>
      <c r="E117" s="16" t="s">
        <v>128</v>
      </c>
      <c r="F117" s="72"/>
      <c r="G117" s="17" t="s">
        <v>2299</v>
      </c>
      <c r="H117" s="18"/>
      <c r="I117" s="17"/>
      <c r="J117" s="19" t="s">
        <v>133</v>
      </c>
      <c r="K117" s="19" t="s">
        <v>903</v>
      </c>
      <c r="L117" s="19" t="s">
        <v>67</v>
      </c>
    </row>
    <row r="118" spans="1:12" s="1" customFormat="1">
      <c r="A118" s="15"/>
      <c r="B118" s="11" t="s">
        <v>2059</v>
      </c>
      <c r="C118" s="11" t="s">
        <v>45</v>
      </c>
      <c r="D118" s="9" t="s">
        <v>2060</v>
      </c>
      <c r="E118" s="16" t="s">
        <v>128</v>
      </c>
      <c r="F118" s="72"/>
      <c r="G118" s="17" t="s">
        <v>2300</v>
      </c>
      <c r="H118" s="18"/>
      <c r="I118" s="17"/>
      <c r="J118" s="19" t="s">
        <v>133</v>
      </c>
      <c r="K118" s="19" t="s">
        <v>903</v>
      </c>
      <c r="L118" s="19" t="s">
        <v>67</v>
      </c>
    </row>
    <row r="119" spans="1:12" s="1" customFormat="1">
      <c r="A119" s="15"/>
      <c r="B119" s="11" t="s">
        <v>2061</v>
      </c>
      <c r="C119" s="11" t="s">
        <v>45</v>
      </c>
      <c r="D119" s="9" t="s">
        <v>2062</v>
      </c>
      <c r="E119" s="16" t="s">
        <v>128</v>
      </c>
      <c r="F119" s="72"/>
      <c r="G119" s="17" t="s">
        <v>2301</v>
      </c>
      <c r="H119" s="18"/>
      <c r="I119" s="17"/>
      <c r="J119" s="19" t="s">
        <v>133</v>
      </c>
      <c r="K119" s="19" t="s">
        <v>903</v>
      </c>
      <c r="L119" s="19" t="s">
        <v>67</v>
      </c>
    </row>
    <row r="120" spans="1:12" s="1" customFormat="1">
      <c r="A120" s="15"/>
      <c r="B120" s="11" t="s">
        <v>2264</v>
      </c>
      <c r="C120" s="95" t="s">
        <v>280</v>
      </c>
      <c r="D120" s="9" t="s">
        <v>2158</v>
      </c>
      <c r="E120" s="16" t="s">
        <v>128</v>
      </c>
      <c r="F120" s="72"/>
      <c r="G120" s="17" t="s">
        <v>3077</v>
      </c>
      <c r="H120" s="18"/>
      <c r="I120" s="17"/>
      <c r="J120" s="19" t="s">
        <v>133</v>
      </c>
      <c r="K120" s="19" t="s">
        <v>202</v>
      </c>
      <c r="L120" s="19" t="s">
        <v>67</v>
      </c>
    </row>
    <row r="121" spans="1:12" s="1" customFormat="1">
      <c r="A121" s="15"/>
      <c r="B121" s="95" t="s">
        <v>2076</v>
      </c>
      <c r="C121" s="95" t="s">
        <v>45</v>
      </c>
      <c r="D121" s="96" t="s">
        <v>2077</v>
      </c>
      <c r="E121" s="16" t="s">
        <v>128</v>
      </c>
      <c r="F121" s="72"/>
      <c r="G121" s="17" t="s">
        <v>2302</v>
      </c>
      <c r="H121" s="18"/>
      <c r="I121" s="17"/>
      <c r="J121" s="19" t="s">
        <v>133</v>
      </c>
      <c r="K121" s="19" t="s">
        <v>903</v>
      </c>
      <c r="L121" s="19" t="s">
        <v>67</v>
      </c>
    </row>
    <row r="122" spans="1:12" s="1" customFormat="1">
      <c r="A122" s="15"/>
      <c r="B122" s="95" t="s">
        <v>2078</v>
      </c>
      <c r="C122" s="95" t="s">
        <v>45</v>
      </c>
      <c r="D122" s="96" t="s">
        <v>2079</v>
      </c>
      <c r="E122" s="16" t="s">
        <v>128</v>
      </c>
      <c r="F122" s="72"/>
      <c r="G122" s="17" t="s">
        <v>2303</v>
      </c>
      <c r="H122" s="18"/>
      <c r="I122" s="17"/>
      <c r="J122" s="19" t="s">
        <v>133</v>
      </c>
      <c r="K122" s="19" t="s">
        <v>903</v>
      </c>
      <c r="L122" s="19" t="s">
        <v>67</v>
      </c>
    </row>
    <row r="123" spans="1:12" s="1" customFormat="1">
      <c r="A123" s="15"/>
      <c r="B123" s="95" t="s">
        <v>2080</v>
      </c>
      <c r="C123" s="95" t="s">
        <v>45</v>
      </c>
      <c r="D123" s="96" t="s">
        <v>2081</v>
      </c>
      <c r="E123" s="16" t="s">
        <v>128</v>
      </c>
      <c r="F123" s="72"/>
      <c r="G123" s="17" t="s">
        <v>2304</v>
      </c>
      <c r="H123" s="18"/>
      <c r="I123" s="17"/>
      <c r="J123" s="19" t="s">
        <v>133</v>
      </c>
      <c r="K123" s="19" t="s">
        <v>903</v>
      </c>
      <c r="L123" s="19" t="s">
        <v>67</v>
      </c>
    </row>
    <row r="124" spans="1:12" s="1" customFormat="1">
      <c r="A124" s="15"/>
      <c r="B124" s="95" t="s">
        <v>2082</v>
      </c>
      <c r="C124" s="95" t="s">
        <v>45</v>
      </c>
      <c r="D124" s="96" t="s">
        <v>2083</v>
      </c>
      <c r="E124" s="16" t="s">
        <v>128</v>
      </c>
      <c r="F124" s="72"/>
      <c r="G124" s="17" t="s">
        <v>2305</v>
      </c>
      <c r="H124" s="18"/>
      <c r="I124" s="17"/>
      <c r="J124" s="19" t="s">
        <v>133</v>
      </c>
      <c r="K124" s="19" t="s">
        <v>903</v>
      </c>
      <c r="L124" s="19" t="s">
        <v>67</v>
      </c>
    </row>
    <row r="125" spans="1:12" s="1" customFormat="1">
      <c r="A125" s="15"/>
      <c r="B125" s="95" t="s">
        <v>2084</v>
      </c>
      <c r="C125" s="95" t="s">
        <v>45</v>
      </c>
      <c r="D125" s="96" t="s">
        <v>2085</v>
      </c>
      <c r="E125" s="16" t="s">
        <v>128</v>
      </c>
      <c r="F125" s="72"/>
      <c r="G125" s="17" t="s">
        <v>2306</v>
      </c>
      <c r="H125" s="18"/>
      <c r="I125" s="17"/>
      <c r="J125" s="19" t="s">
        <v>133</v>
      </c>
      <c r="K125" s="19" t="s">
        <v>903</v>
      </c>
      <c r="L125" s="19" t="s">
        <v>67</v>
      </c>
    </row>
    <row r="126" spans="1:12" s="1" customFormat="1">
      <c r="B126" s="22" t="s">
        <v>2206</v>
      </c>
      <c r="C126" s="22" t="s">
        <v>45</v>
      </c>
      <c r="D126" s="9" t="s">
        <v>2207</v>
      </c>
      <c r="E126" s="16" t="s">
        <v>128</v>
      </c>
      <c r="F126" s="22"/>
      <c r="G126" s="17" t="s">
        <v>2307</v>
      </c>
      <c r="H126" s="18"/>
      <c r="I126" s="17"/>
      <c r="J126" s="19" t="s">
        <v>133</v>
      </c>
      <c r="K126" s="19" t="s">
        <v>2235</v>
      </c>
      <c r="L126" s="19" t="s">
        <v>2237</v>
      </c>
    </row>
    <row r="127" spans="1:12" s="1" customFormat="1">
      <c r="B127" s="22" t="s">
        <v>2205</v>
      </c>
      <c r="C127" s="22" t="s">
        <v>45</v>
      </c>
      <c r="D127" s="9" t="s">
        <v>2199</v>
      </c>
      <c r="E127" s="16" t="s">
        <v>128</v>
      </c>
      <c r="F127" s="22"/>
      <c r="G127" s="17" t="s">
        <v>2319</v>
      </c>
      <c r="H127" s="18"/>
      <c r="I127" s="17"/>
      <c r="J127" s="19" t="s">
        <v>133</v>
      </c>
      <c r="K127" s="19" t="s">
        <v>1640</v>
      </c>
      <c r="L127" s="19" t="s">
        <v>67</v>
      </c>
    </row>
    <row r="128" spans="1:12" s="1" customFormat="1">
      <c r="A128" s="15"/>
      <c r="B128" s="95" t="s">
        <v>2104</v>
      </c>
      <c r="C128" s="95" t="s">
        <v>280</v>
      </c>
      <c r="D128" s="96" t="s">
        <v>2093</v>
      </c>
      <c r="E128" s="16" t="s">
        <v>128</v>
      </c>
      <c r="F128" s="72"/>
      <c r="G128" s="17" t="s">
        <v>2320</v>
      </c>
      <c r="H128" s="18"/>
      <c r="I128" s="17"/>
      <c r="J128" s="19" t="s">
        <v>133</v>
      </c>
      <c r="K128" s="19" t="s">
        <v>2235</v>
      </c>
      <c r="L128" s="19" t="s">
        <v>2237</v>
      </c>
    </row>
    <row r="129" spans="1:12" s="1" customFormat="1">
      <c r="A129" s="15"/>
      <c r="B129" s="95" t="s">
        <v>2094</v>
      </c>
      <c r="C129" s="95" t="s">
        <v>45</v>
      </c>
      <c r="D129" s="96" t="s">
        <v>2099</v>
      </c>
      <c r="E129" s="16" t="s">
        <v>128</v>
      </c>
      <c r="F129" s="72"/>
      <c r="G129" s="17" t="s">
        <v>2308</v>
      </c>
      <c r="H129" s="18"/>
      <c r="I129" s="17"/>
      <c r="J129" s="19" t="s">
        <v>133</v>
      </c>
      <c r="K129" s="19" t="s">
        <v>1640</v>
      </c>
      <c r="L129" s="19" t="s">
        <v>67</v>
      </c>
    </row>
    <row r="130" spans="1:12" s="1" customFormat="1">
      <c r="A130" s="15"/>
      <c r="B130" s="95" t="s">
        <v>2095</v>
      </c>
      <c r="C130" s="95" t="s">
        <v>45</v>
      </c>
      <c r="D130" s="96" t="s">
        <v>2100</v>
      </c>
      <c r="E130" s="16" t="s">
        <v>128</v>
      </c>
      <c r="F130" s="72"/>
      <c r="G130" s="17" t="s">
        <v>2309</v>
      </c>
      <c r="H130" s="18"/>
      <c r="I130" s="17"/>
      <c r="J130" s="19" t="s">
        <v>133</v>
      </c>
      <c r="K130" s="19" t="s">
        <v>1640</v>
      </c>
      <c r="L130" s="19" t="s">
        <v>67</v>
      </c>
    </row>
    <row r="131" spans="1:12" s="1" customFormat="1">
      <c r="A131" s="15"/>
      <c r="B131" s="95" t="s">
        <v>2096</v>
      </c>
      <c r="C131" s="95" t="s">
        <v>45</v>
      </c>
      <c r="D131" s="96" t="s">
        <v>2101</v>
      </c>
      <c r="E131" s="16" t="s">
        <v>128</v>
      </c>
      <c r="F131" s="72"/>
      <c r="G131" s="17" t="s">
        <v>2310</v>
      </c>
      <c r="H131" s="18"/>
      <c r="I131" s="17"/>
      <c r="J131" s="19" t="s">
        <v>133</v>
      </c>
      <c r="K131" s="19" t="s">
        <v>1640</v>
      </c>
      <c r="L131" s="19" t="s">
        <v>67</v>
      </c>
    </row>
    <row r="132" spans="1:12" s="1" customFormat="1">
      <c r="A132" s="15"/>
      <c r="B132" s="95" t="s">
        <v>2097</v>
      </c>
      <c r="C132" s="95" t="s">
        <v>45</v>
      </c>
      <c r="D132" s="96" t="s">
        <v>2102</v>
      </c>
      <c r="E132" s="16" t="s">
        <v>128</v>
      </c>
      <c r="F132" s="72"/>
      <c r="G132" s="17" t="s">
        <v>2311</v>
      </c>
      <c r="H132" s="18"/>
      <c r="I132" s="17"/>
      <c r="J132" s="19" t="s">
        <v>133</v>
      </c>
      <c r="K132" s="19" t="s">
        <v>1640</v>
      </c>
      <c r="L132" s="19" t="s">
        <v>67</v>
      </c>
    </row>
    <row r="133" spans="1:12" s="1" customFormat="1">
      <c r="A133" s="15"/>
      <c r="B133" s="95" t="s">
        <v>2098</v>
      </c>
      <c r="C133" s="95" t="s">
        <v>45</v>
      </c>
      <c r="D133" s="96" t="s">
        <v>2103</v>
      </c>
      <c r="E133" s="16" t="s">
        <v>128</v>
      </c>
      <c r="F133" s="72"/>
      <c r="G133" s="17" t="s">
        <v>2312</v>
      </c>
      <c r="H133" s="18"/>
      <c r="I133" s="17"/>
      <c r="J133" s="19" t="s">
        <v>133</v>
      </c>
      <c r="K133" s="19" t="s">
        <v>1640</v>
      </c>
      <c r="L133" s="19" t="s">
        <v>67</v>
      </c>
    </row>
    <row r="134" spans="1:12" s="1" customFormat="1">
      <c r="A134" s="15"/>
      <c r="B134" s="95" t="s">
        <v>2210</v>
      </c>
      <c r="C134" s="95" t="s">
        <v>45</v>
      </c>
      <c r="D134" s="9" t="s">
        <v>2212</v>
      </c>
      <c r="E134" s="16" t="s">
        <v>128</v>
      </c>
      <c r="F134" s="72"/>
      <c r="G134" s="17" t="s">
        <v>2313</v>
      </c>
      <c r="H134" s="18"/>
      <c r="I134" s="17"/>
      <c r="J134" s="19" t="s">
        <v>133</v>
      </c>
      <c r="K134" s="19" t="s">
        <v>2235</v>
      </c>
      <c r="L134" s="19" t="s">
        <v>2237</v>
      </c>
    </row>
    <row r="135" spans="1:12" s="1" customFormat="1">
      <c r="A135" s="15"/>
      <c r="B135" s="95" t="s">
        <v>2211</v>
      </c>
      <c r="C135" s="95" t="s">
        <v>45</v>
      </c>
      <c r="D135" s="9" t="s">
        <v>2213</v>
      </c>
      <c r="E135" s="16" t="s">
        <v>128</v>
      </c>
      <c r="F135" s="72"/>
      <c r="G135" s="17" t="s">
        <v>2321</v>
      </c>
      <c r="H135" s="18"/>
      <c r="I135" s="17"/>
      <c r="J135" s="19" t="s">
        <v>133</v>
      </c>
      <c r="K135" s="19" t="s">
        <v>1640</v>
      </c>
      <c r="L135" s="19" t="s">
        <v>67</v>
      </c>
    </row>
    <row r="136" spans="1:12" s="1" customFormat="1">
      <c r="A136" s="15"/>
      <c r="B136" s="95" t="s">
        <v>3069</v>
      </c>
      <c r="C136" s="95" t="s">
        <v>280</v>
      </c>
      <c r="D136" s="96" t="s">
        <v>2123</v>
      </c>
      <c r="E136" s="16" t="s">
        <v>128</v>
      </c>
      <c r="F136" s="72"/>
      <c r="G136" s="17" t="s">
        <v>2322</v>
      </c>
      <c r="H136" s="18"/>
      <c r="I136" s="17"/>
      <c r="J136" s="19" t="s">
        <v>133</v>
      </c>
      <c r="K136" s="19" t="s">
        <v>2235</v>
      </c>
      <c r="L136" s="19" t="s">
        <v>2237</v>
      </c>
    </row>
    <row r="137" spans="1:12" s="1" customFormat="1">
      <c r="A137" s="15"/>
      <c r="B137" s="95" t="s">
        <v>2113</v>
      </c>
      <c r="C137" s="95" t="s">
        <v>45</v>
      </c>
      <c r="D137" s="96" t="s">
        <v>2114</v>
      </c>
      <c r="E137" s="16" t="s">
        <v>128</v>
      </c>
      <c r="F137" s="72"/>
      <c r="G137" s="17" t="s">
        <v>2314</v>
      </c>
      <c r="H137" s="18"/>
      <c r="I137" s="17"/>
      <c r="J137" s="19" t="s">
        <v>133</v>
      </c>
      <c r="K137" s="19" t="s">
        <v>1640</v>
      </c>
      <c r="L137" s="19" t="s">
        <v>67</v>
      </c>
    </row>
    <row r="138" spans="1:12" s="1" customFormat="1">
      <c r="A138" s="15"/>
      <c r="B138" s="95" t="s">
        <v>2115</v>
      </c>
      <c r="C138" s="95" t="s">
        <v>45</v>
      </c>
      <c r="D138" s="96" t="s">
        <v>2116</v>
      </c>
      <c r="E138" s="16" t="s">
        <v>128</v>
      </c>
      <c r="F138" s="72"/>
      <c r="G138" s="17" t="s">
        <v>2315</v>
      </c>
      <c r="H138" s="18"/>
      <c r="I138" s="17"/>
      <c r="J138" s="19" t="s">
        <v>133</v>
      </c>
      <c r="K138" s="19" t="s">
        <v>1640</v>
      </c>
      <c r="L138" s="19" t="s">
        <v>67</v>
      </c>
    </row>
    <row r="139" spans="1:12" s="1" customFormat="1">
      <c r="A139" s="15"/>
      <c r="B139" s="95" t="s">
        <v>2117</v>
      </c>
      <c r="C139" s="95" t="s">
        <v>45</v>
      </c>
      <c r="D139" s="96" t="s">
        <v>2118</v>
      </c>
      <c r="E139" s="16" t="s">
        <v>128</v>
      </c>
      <c r="F139" s="72"/>
      <c r="G139" s="17" t="s">
        <v>2316</v>
      </c>
      <c r="H139" s="18"/>
      <c r="I139" s="17"/>
      <c r="J139" s="19" t="s">
        <v>133</v>
      </c>
      <c r="K139" s="19" t="s">
        <v>1640</v>
      </c>
      <c r="L139" s="19" t="s">
        <v>67</v>
      </c>
    </row>
    <row r="140" spans="1:12" s="1" customFormat="1">
      <c r="A140" s="15"/>
      <c r="B140" s="95" t="s">
        <v>2119</v>
      </c>
      <c r="C140" s="95" t="s">
        <v>45</v>
      </c>
      <c r="D140" s="96" t="s">
        <v>2120</v>
      </c>
      <c r="E140" s="16" t="s">
        <v>128</v>
      </c>
      <c r="F140" s="72"/>
      <c r="G140" s="17" t="s">
        <v>2317</v>
      </c>
      <c r="H140" s="18"/>
      <c r="I140" s="17"/>
      <c r="J140" s="19" t="s">
        <v>133</v>
      </c>
      <c r="K140" s="19" t="s">
        <v>1640</v>
      </c>
      <c r="L140" s="19" t="s">
        <v>67</v>
      </c>
    </row>
    <row r="141" spans="1:12" s="1" customFormat="1">
      <c r="A141" s="15"/>
      <c r="B141" s="95" t="s">
        <v>2121</v>
      </c>
      <c r="C141" s="95" t="s">
        <v>45</v>
      </c>
      <c r="D141" s="96" t="s">
        <v>2122</v>
      </c>
      <c r="E141" s="16" t="s">
        <v>128</v>
      </c>
      <c r="F141" s="72"/>
      <c r="G141" s="17" t="s">
        <v>2318</v>
      </c>
      <c r="H141" s="18"/>
      <c r="I141" s="17"/>
      <c r="J141" s="19" t="s">
        <v>133</v>
      </c>
      <c r="K141" s="19" t="s">
        <v>1640</v>
      </c>
      <c r="L141" s="19" t="s">
        <v>67</v>
      </c>
    </row>
    <row r="142" spans="1:12" s="1" customFormat="1">
      <c r="A142" s="15"/>
      <c r="B142" s="11" t="s">
        <v>315</v>
      </c>
      <c r="C142" s="11" t="s">
        <v>45</v>
      </c>
      <c r="D142" s="9" t="s">
        <v>112</v>
      </c>
      <c r="E142" s="16" t="s">
        <v>128</v>
      </c>
      <c r="F142" s="72"/>
      <c r="G142" s="17" t="s">
        <v>1145</v>
      </c>
      <c r="H142" s="18"/>
      <c r="I142" s="17"/>
      <c r="J142" s="19" t="s">
        <v>133</v>
      </c>
      <c r="K142" s="19" t="s">
        <v>44</v>
      </c>
      <c r="L142" s="19" t="s">
        <v>67</v>
      </c>
    </row>
    <row r="143" spans="1:12" s="1" customFormat="1">
      <c r="A143" s="15"/>
      <c r="B143" s="11" t="s">
        <v>2257</v>
      </c>
      <c r="C143" s="11" t="s">
        <v>43</v>
      </c>
      <c r="D143" s="9" t="s">
        <v>1281</v>
      </c>
      <c r="E143" s="16" t="s">
        <v>55</v>
      </c>
      <c r="F143" s="13"/>
      <c r="G143" s="13" t="s">
        <v>2258</v>
      </c>
      <c r="H143" s="18"/>
      <c r="I143" s="87">
        <v>20250415101139</v>
      </c>
      <c r="J143" s="19" t="s">
        <v>133</v>
      </c>
      <c r="K143" s="19" t="s">
        <v>44</v>
      </c>
      <c r="L143" s="19" t="s">
        <v>1306</v>
      </c>
    </row>
    <row r="144" spans="1:12" s="1" customFormat="1">
      <c r="A144" s="15"/>
      <c r="B144" s="11" t="s">
        <v>2259</v>
      </c>
      <c r="C144" s="11" t="s">
        <v>43</v>
      </c>
      <c r="D144" s="9" t="s">
        <v>1284</v>
      </c>
      <c r="E144" s="16" t="s">
        <v>55</v>
      </c>
      <c r="F144" s="13"/>
      <c r="G144" s="13" t="s">
        <v>2260</v>
      </c>
      <c r="H144" s="18"/>
      <c r="I144" s="87">
        <v>20250415101024</v>
      </c>
      <c r="J144" s="19" t="s">
        <v>133</v>
      </c>
      <c r="K144" s="19" t="s">
        <v>44</v>
      </c>
      <c r="L144" s="19" t="s">
        <v>1306</v>
      </c>
    </row>
    <row r="145" spans="2:17" s="3" customFormat="1">
      <c r="B145" s="23" t="s">
        <v>47</v>
      </c>
      <c r="C145" s="24" t="s">
        <v>46</v>
      </c>
      <c r="D145" s="21" t="s">
        <v>48</v>
      </c>
      <c r="E145" s="44"/>
      <c r="F145" s="44"/>
      <c r="G145" s="44" t="s">
        <v>282</v>
      </c>
      <c r="H145" s="23" t="s">
        <v>282</v>
      </c>
      <c r="I145" s="23"/>
      <c r="J145" s="23"/>
      <c r="K145" s="23"/>
      <c r="L145" s="23"/>
      <c r="M145" s="23"/>
      <c r="N145" s="23"/>
      <c r="O145" s="23"/>
      <c r="P145" s="23"/>
      <c r="Q145" s="23"/>
    </row>
    <row r="146" spans="2:17" s="3" customFormat="1">
      <c r="B146" s="23" t="s">
        <v>49</v>
      </c>
      <c r="C146" s="24" t="s">
        <v>43</v>
      </c>
      <c r="D146" s="21" t="s">
        <v>50</v>
      </c>
      <c r="E146" s="44"/>
      <c r="F146" s="44"/>
      <c r="G146" s="44" t="s">
        <v>282</v>
      </c>
      <c r="H146" s="23" t="s">
        <v>282</v>
      </c>
      <c r="I146" s="23"/>
      <c r="J146" s="23"/>
      <c r="K146" s="23"/>
      <c r="L146" s="23"/>
      <c r="M146" s="23"/>
      <c r="N146" s="23"/>
      <c r="O146" s="23"/>
      <c r="P146" s="23"/>
      <c r="Q146" s="23"/>
    </row>
    <row r="147" spans="2:17" s="3" customFormat="1">
      <c r="B147" s="23" t="s">
        <v>51</v>
      </c>
      <c r="C147" s="24" t="s">
        <v>46</v>
      </c>
      <c r="D147" s="21" t="s">
        <v>52</v>
      </c>
      <c r="E147" s="44"/>
      <c r="F147" s="44"/>
      <c r="G147" s="44" t="s">
        <v>282</v>
      </c>
      <c r="H147" s="23" t="s">
        <v>282</v>
      </c>
      <c r="I147" s="23"/>
      <c r="J147" s="23"/>
      <c r="K147" s="23"/>
      <c r="L147" s="23"/>
      <c r="M147" s="23"/>
      <c r="N147" s="23"/>
      <c r="O147" s="23"/>
      <c r="P147" s="23"/>
      <c r="Q147" s="23"/>
    </row>
  </sheetData>
  <autoFilter ref="A13:Q147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A6B8-C3EB-4267-A1B8-4EB374722AE9}">
  <dimension ref="A1:Q143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6.109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0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2468</v>
      </c>
      <c r="D5" s="9" t="s">
        <v>2433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2430</v>
      </c>
      <c r="D9" s="9" t="s">
        <v>2431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 ht="2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2483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6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80</v>
      </c>
      <c r="C16" s="22" t="s">
        <v>94</v>
      </c>
      <c r="D16" s="9" t="s">
        <v>99</v>
      </c>
      <c r="E16" s="16" t="s">
        <v>128</v>
      </c>
      <c r="F16" s="17" t="s">
        <v>80</v>
      </c>
      <c r="G16" s="17" t="s">
        <v>129</v>
      </c>
      <c r="H16" s="16"/>
      <c r="I16" s="20"/>
      <c r="J16" s="19" t="s">
        <v>131</v>
      </c>
      <c r="K16" s="19" t="s">
        <v>132</v>
      </c>
      <c r="L16" s="19" t="s">
        <v>678</v>
      </c>
    </row>
    <row r="17" spans="1:12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138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123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124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318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273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272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95</v>
      </c>
      <c r="C23" s="11" t="s">
        <v>93</v>
      </c>
      <c r="D23" s="9" t="s">
        <v>114</v>
      </c>
      <c r="E23" s="16" t="s">
        <v>128</v>
      </c>
      <c r="F23" s="9" t="s">
        <v>95</v>
      </c>
      <c r="G23" s="17" t="s">
        <v>129</v>
      </c>
      <c r="H23" s="16"/>
      <c r="I23" s="35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78</v>
      </c>
      <c r="C24" s="11" t="s">
        <v>93</v>
      </c>
      <c r="D24" s="9" t="s">
        <v>103</v>
      </c>
      <c r="E24" s="16" t="s">
        <v>128</v>
      </c>
      <c r="F24" s="17" t="s">
        <v>78</v>
      </c>
      <c r="G24" s="17" t="s">
        <v>129</v>
      </c>
      <c r="H24" s="16"/>
      <c r="I24" s="20"/>
      <c r="J24" s="19" t="s">
        <v>131</v>
      </c>
      <c r="K24" s="19" t="s">
        <v>132</v>
      </c>
      <c r="L24" s="19" t="s">
        <v>44</v>
      </c>
    </row>
    <row r="25" spans="1:12" s="1" customFormat="1">
      <c r="B25" s="22" t="s">
        <v>85</v>
      </c>
      <c r="C25" s="11" t="s">
        <v>43</v>
      </c>
      <c r="D25" s="9" t="s">
        <v>107</v>
      </c>
      <c r="E25" s="16" t="s">
        <v>128</v>
      </c>
      <c r="F25" s="17" t="s">
        <v>85</v>
      </c>
      <c r="G25" s="17" t="s">
        <v>129</v>
      </c>
      <c r="H25" s="16"/>
      <c r="I25" s="19"/>
      <c r="J25" s="19" t="s">
        <v>131</v>
      </c>
      <c r="K25" s="19" t="s">
        <v>132</v>
      </c>
      <c r="L25" s="19" t="s">
        <v>44</v>
      </c>
    </row>
    <row r="26" spans="1:12" s="1" customFormat="1">
      <c r="A26" s="15"/>
      <c r="B26" s="11" t="s">
        <v>145</v>
      </c>
      <c r="C26" s="11" t="s">
        <v>45</v>
      </c>
      <c r="D26" s="9" t="s">
        <v>146</v>
      </c>
      <c r="E26" s="16" t="s">
        <v>128</v>
      </c>
      <c r="F26" s="17"/>
      <c r="G26" s="17" t="s">
        <v>1289</v>
      </c>
      <c r="H26" s="16"/>
      <c r="I26" s="17"/>
      <c r="J26" s="19" t="s">
        <v>133</v>
      </c>
      <c r="K26" s="19" t="s">
        <v>132</v>
      </c>
      <c r="L26" s="19" t="s">
        <v>134</v>
      </c>
    </row>
    <row r="27" spans="1:12" s="1" customFormat="1">
      <c r="A27" s="15"/>
      <c r="B27" s="11" t="s">
        <v>192</v>
      </c>
      <c r="C27" s="11" t="s">
        <v>45</v>
      </c>
      <c r="D27" s="9" t="s">
        <v>193</v>
      </c>
      <c r="E27" s="16" t="s">
        <v>128</v>
      </c>
      <c r="F27" s="17"/>
      <c r="G27" s="17" t="s">
        <v>2265</v>
      </c>
      <c r="H27" s="16"/>
      <c r="I27" s="17"/>
      <c r="J27" s="19" t="s">
        <v>133</v>
      </c>
      <c r="K27" s="19" t="s">
        <v>132</v>
      </c>
      <c r="L27" s="19" t="s">
        <v>134</v>
      </c>
    </row>
    <row r="28" spans="1:12" s="1" customFormat="1">
      <c r="A28" s="15"/>
      <c r="B28" s="90" t="s">
        <v>3214</v>
      </c>
      <c r="C28" s="22" t="s">
        <v>45</v>
      </c>
      <c r="D28" s="9" t="s">
        <v>348</v>
      </c>
      <c r="E28" s="16" t="s">
        <v>128</v>
      </c>
      <c r="F28" s="17"/>
      <c r="G28" s="17" t="s">
        <v>1667</v>
      </c>
      <c r="H28" s="16"/>
      <c r="I28" s="17"/>
      <c r="J28" s="19" t="s">
        <v>133</v>
      </c>
      <c r="K28" s="19" t="s">
        <v>203</v>
      </c>
      <c r="L28" s="19" t="s">
        <v>134</v>
      </c>
    </row>
    <row r="29" spans="1:12" s="1" customFormat="1">
      <c r="A29" s="15"/>
      <c r="B29" s="112" t="s">
        <v>1476</v>
      </c>
      <c r="C29" s="11" t="s">
        <v>45</v>
      </c>
      <c r="D29" s="9" t="s">
        <v>759</v>
      </c>
      <c r="E29" s="16" t="s">
        <v>128</v>
      </c>
      <c r="F29" s="72"/>
      <c r="G29" s="17" t="s">
        <v>1200</v>
      </c>
      <c r="H29" s="16"/>
      <c r="I29" s="17"/>
      <c r="J29" s="19" t="s">
        <v>133</v>
      </c>
      <c r="K29" s="19" t="s">
        <v>204</v>
      </c>
      <c r="L29" s="19" t="s">
        <v>134</v>
      </c>
    </row>
    <row r="30" spans="1:12" s="1" customFormat="1">
      <c r="A30" s="15"/>
      <c r="B30" s="112" t="s">
        <v>3216</v>
      </c>
      <c r="C30" s="11" t="s">
        <v>45</v>
      </c>
      <c r="D30" s="9" t="s">
        <v>160</v>
      </c>
      <c r="E30" s="16" t="s">
        <v>128</v>
      </c>
      <c r="F30" s="72"/>
      <c r="G30" s="17" t="s">
        <v>1201</v>
      </c>
      <c r="H30" s="16"/>
      <c r="I30" s="17"/>
      <c r="J30" s="19" t="s">
        <v>133</v>
      </c>
      <c r="K30" s="19" t="s">
        <v>204</v>
      </c>
      <c r="L30" s="19" t="s">
        <v>134</v>
      </c>
    </row>
    <row r="31" spans="1:12" s="1" customFormat="1">
      <c r="A31" s="15"/>
      <c r="B31" s="112" t="s">
        <v>3223</v>
      </c>
      <c r="C31" s="11" t="s">
        <v>45</v>
      </c>
      <c r="D31" s="9" t="s">
        <v>1056</v>
      </c>
      <c r="E31" s="16" t="s">
        <v>128</v>
      </c>
      <c r="F31" s="72"/>
      <c r="G31" s="17" t="s">
        <v>224</v>
      </c>
      <c r="H31" s="16"/>
      <c r="I31" s="17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112" t="s">
        <v>3224</v>
      </c>
      <c r="C32" s="11" t="s">
        <v>45</v>
      </c>
      <c r="D32" s="9" t="s">
        <v>1055</v>
      </c>
      <c r="E32" s="16" t="s">
        <v>128</v>
      </c>
      <c r="F32" s="72"/>
      <c r="G32" s="17" t="s">
        <v>223</v>
      </c>
      <c r="H32" s="16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2" t="s">
        <v>3219</v>
      </c>
      <c r="C33" s="11" t="s">
        <v>45</v>
      </c>
      <c r="D33" s="9" t="s">
        <v>163</v>
      </c>
      <c r="E33" s="16" t="s">
        <v>128</v>
      </c>
      <c r="F33" s="72"/>
      <c r="G33" s="17" t="s">
        <v>225</v>
      </c>
      <c r="H33" s="16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2" t="s">
        <v>3220</v>
      </c>
      <c r="C34" s="11" t="s">
        <v>45</v>
      </c>
      <c r="D34" s="9" t="s">
        <v>164</v>
      </c>
      <c r="E34" s="16" t="s">
        <v>128</v>
      </c>
      <c r="F34" s="72"/>
      <c r="G34" s="17" t="s">
        <v>226</v>
      </c>
      <c r="H34" s="16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2" t="s">
        <v>3221</v>
      </c>
      <c r="C35" s="11" t="s">
        <v>45</v>
      </c>
      <c r="D35" s="9" t="s">
        <v>165</v>
      </c>
      <c r="E35" s="16" t="s">
        <v>128</v>
      </c>
      <c r="F35" s="72"/>
      <c r="G35" s="17" t="s">
        <v>1114</v>
      </c>
      <c r="H35" s="16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2" t="s">
        <v>3222</v>
      </c>
      <c r="C36" s="11" t="s">
        <v>45</v>
      </c>
      <c r="D36" s="9" t="s">
        <v>166</v>
      </c>
      <c r="E36" s="16" t="s">
        <v>128</v>
      </c>
      <c r="F36" s="72"/>
      <c r="G36" s="17" t="s">
        <v>1115</v>
      </c>
      <c r="H36" s="16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217</v>
      </c>
      <c r="C37" s="11" t="s">
        <v>45</v>
      </c>
      <c r="D37" s="9" t="s">
        <v>171</v>
      </c>
      <c r="E37" s="16" t="s">
        <v>128</v>
      </c>
      <c r="F37" s="72"/>
      <c r="G37" s="17" t="s">
        <v>1116</v>
      </c>
      <c r="H37" s="16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218</v>
      </c>
      <c r="C38" s="11" t="s">
        <v>45</v>
      </c>
      <c r="D38" s="9" t="s">
        <v>172</v>
      </c>
      <c r="E38" s="16" t="s">
        <v>128</v>
      </c>
      <c r="F38" s="72"/>
      <c r="G38" s="17" t="s">
        <v>1117</v>
      </c>
      <c r="H38" s="16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219</v>
      </c>
      <c r="C39" s="11" t="s">
        <v>45</v>
      </c>
      <c r="D39" s="9" t="s">
        <v>173</v>
      </c>
      <c r="E39" s="16" t="s">
        <v>128</v>
      </c>
      <c r="F39" s="72"/>
      <c r="G39" s="17" t="s">
        <v>1118</v>
      </c>
      <c r="H39" s="16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220</v>
      </c>
      <c r="C40" s="11" t="s">
        <v>45</v>
      </c>
      <c r="D40" s="9" t="s">
        <v>174</v>
      </c>
      <c r="E40" s="16" t="s">
        <v>128</v>
      </c>
      <c r="F40" s="72"/>
      <c r="G40" s="17" t="s">
        <v>1119</v>
      </c>
      <c r="H40" s="16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215</v>
      </c>
      <c r="C41" s="11" t="s">
        <v>45</v>
      </c>
      <c r="D41" s="9" t="s">
        <v>1260</v>
      </c>
      <c r="E41" s="16" t="s">
        <v>128</v>
      </c>
      <c r="F41" s="72"/>
      <c r="G41" s="17" t="s">
        <v>227</v>
      </c>
      <c r="H41" s="16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216</v>
      </c>
      <c r="C42" s="11" t="s">
        <v>45</v>
      </c>
      <c r="D42" s="9" t="s">
        <v>1261</v>
      </c>
      <c r="E42" s="16" t="s">
        <v>128</v>
      </c>
      <c r="F42" s="72"/>
      <c r="G42" s="17" t="s">
        <v>228</v>
      </c>
      <c r="H42" s="16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316</v>
      </c>
      <c r="C43" s="11" t="s">
        <v>45</v>
      </c>
      <c r="D43" s="9" t="s">
        <v>167</v>
      </c>
      <c r="E43" s="16" t="s">
        <v>128</v>
      </c>
      <c r="F43" s="72"/>
      <c r="G43" s="17" t="s">
        <v>772</v>
      </c>
      <c r="H43" s="16"/>
      <c r="I43" s="17"/>
      <c r="J43" s="19" t="s">
        <v>133</v>
      </c>
      <c r="K43" s="19" t="s">
        <v>202</v>
      </c>
      <c r="L43" s="19" t="s">
        <v>67</v>
      </c>
    </row>
    <row r="44" spans="1:12" s="1" customFormat="1">
      <c r="A44" s="15"/>
      <c r="B44" s="11" t="s">
        <v>809</v>
      </c>
      <c r="C44" s="11" t="s">
        <v>45</v>
      </c>
      <c r="D44" s="9" t="s">
        <v>175</v>
      </c>
      <c r="E44" s="16" t="s">
        <v>128</v>
      </c>
      <c r="F44" s="72"/>
      <c r="G44" s="17" t="s">
        <v>1120</v>
      </c>
      <c r="H44" s="16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317</v>
      </c>
      <c r="C45" s="11" t="s">
        <v>45</v>
      </c>
      <c r="D45" s="9" t="s">
        <v>168</v>
      </c>
      <c r="E45" s="16" t="s">
        <v>128</v>
      </c>
      <c r="F45" s="72"/>
      <c r="G45" s="17" t="s">
        <v>778</v>
      </c>
      <c r="H45" s="16"/>
      <c r="I45" s="17"/>
      <c r="J45" s="19" t="s">
        <v>133</v>
      </c>
      <c r="K45" s="19" t="s">
        <v>202</v>
      </c>
      <c r="L45" s="19" t="s">
        <v>67</v>
      </c>
    </row>
    <row r="46" spans="1:12" s="1" customFormat="1">
      <c r="A46" s="15"/>
      <c r="B46" s="11" t="s">
        <v>810</v>
      </c>
      <c r="C46" s="11" t="s">
        <v>45</v>
      </c>
      <c r="D46" s="9" t="s">
        <v>176</v>
      </c>
      <c r="E46" s="16" t="s">
        <v>128</v>
      </c>
      <c r="F46" s="72"/>
      <c r="G46" s="17" t="s">
        <v>1121</v>
      </c>
      <c r="H46" s="16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1213</v>
      </c>
      <c r="C47" s="11" t="s">
        <v>45</v>
      </c>
      <c r="D47" s="9" t="s">
        <v>178</v>
      </c>
      <c r="E47" s="16" t="s">
        <v>128</v>
      </c>
      <c r="F47" s="72"/>
      <c r="G47" s="17" t="s">
        <v>2266</v>
      </c>
      <c r="H47" s="16"/>
      <c r="I47" s="17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221</v>
      </c>
      <c r="C48" s="11" t="s">
        <v>45</v>
      </c>
      <c r="D48" s="9" t="s">
        <v>177</v>
      </c>
      <c r="E48" s="16" t="s">
        <v>128</v>
      </c>
      <c r="F48" s="72"/>
      <c r="G48" s="17" t="s">
        <v>1122</v>
      </c>
      <c r="H48" s="16"/>
      <c r="I48" s="17"/>
      <c r="J48" s="19" t="s">
        <v>133</v>
      </c>
      <c r="K48" s="19" t="s">
        <v>204</v>
      </c>
      <c r="L48" s="19" t="s">
        <v>67</v>
      </c>
    </row>
    <row r="49" spans="1:12" s="1" customFormat="1">
      <c r="A49" s="15"/>
      <c r="B49" s="11" t="s">
        <v>1212</v>
      </c>
      <c r="C49" s="11" t="s">
        <v>45</v>
      </c>
      <c r="D49" s="9" t="s">
        <v>180</v>
      </c>
      <c r="E49" s="16" t="s">
        <v>128</v>
      </c>
      <c r="F49" s="72"/>
      <c r="G49" s="17" t="s">
        <v>2267</v>
      </c>
      <c r="H49" s="16"/>
      <c r="I49" s="17"/>
      <c r="J49" s="19" t="s">
        <v>133</v>
      </c>
      <c r="K49" s="19" t="s">
        <v>202</v>
      </c>
      <c r="L49" s="19" t="s">
        <v>67</v>
      </c>
    </row>
    <row r="50" spans="1:12" s="1" customFormat="1">
      <c r="A50" s="15"/>
      <c r="B50" s="11" t="s">
        <v>222</v>
      </c>
      <c r="C50" s="11" t="s">
        <v>45</v>
      </c>
      <c r="D50" s="9" t="s">
        <v>179</v>
      </c>
      <c r="E50" s="16" t="s">
        <v>128</v>
      </c>
      <c r="F50" s="72"/>
      <c r="G50" s="17" t="s">
        <v>1123</v>
      </c>
      <c r="H50" s="16"/>
      <c r="I50" s="17"/>
      <c r="J50" s="19" t="s">
        <v>133</v>
      </c>
      <c r="K50" s="19" t="s">
        <v>204</v>
      </c>
      <c r="L50" s="19" t="s">
        <v>67</v>
      </c>
    </row>
    <row r="51" spans="1:12" s="1" customFormat="1">
      <c r="A51" s="15"/>
      <c r="B51" s="112" t="s">
        <v>3217</v>
      </c>
      <c r="C51" s="11" t="s">
        <v>45</v>
      </c>
      <c r="D51" s="9" t="s">
        <v>2165</v>
      </c>
      <c r="E51" s="16" t="s">
        <v>128</v>
      </c>
      <c r="F51" s="72"/>
      <c r="G51" s="17" t="s">
        <v>2268</v>
      </c>
      <c r="H51" s="16"/>
      <c r="I51" s="17"/>
      <c r="J51" s="19" t="s">
        <v>133</v>
      </c>
      <c r="K51" s="19" t="s">
        <v>903</v>
      </c>
      <c r="L51" s="19" t="s">
        <v>134</v>
      </c>
    </row>
    <row r="52" spans="1:12" s="1" customFormat="1">
      <c r="A52" s="15"/>
      <c r="B52" s="112" t="s">
        <v>3218</v>
      </c>
      <c r="C52" s="11" t="s">
        <v>45</v>
      </c>
      <c r="D52" s="9" t="s">
        <v>2166</v>
      </c>
      <c r="E52" s="16" t="s">
        <v>128</v>
      </c>
      <c r="F52" s="72"/>
      <c r="G52" s="17" t="s">
        <v>2269</v>
      </c>
      <c r="H52" s="16"/>
      <c r="I52" s="17"/>
      <c r="J52" s="19" t="s">
        <v>133</v>
      </c>
      <c r="K52" s="19" t="s">
        <v>903</v>
      </c>
      <c r="L52" s="19" t="s">
        <v>134</v>
      </c>
    </row>
    <row r="53" spans="1:12" s="1" customFormat="1">
      <c r="A53" s="15"/>
      <c r="B53" s="11" t="s">
        <v>2179</v>
      </c>
      <c r="C53" s="11" t="s">
        <v>45</v>
      </c>
      <c r="D53" s="9" t="s">
        <v>2011</v>
      </c>
      <c r="E53" s="16" t="s">
        <v>128</v>
      </c>
      <c r="F53" s="72"/>
      <c r="G53" s="17" t="s">
        <v>2270</v>
      </c>
      <c r="H53" s="16"/>
      <c r="I53" s="17"/>
      <c r="J53" s="19" t="s">
        <v>133</v>
      </c>
      <c r="K53" s="19" t="s">
        <v>202</v>
      </c>
      <c r="L53" s="19" t="s">
        <v>67</v>
      </c>
    </row>
    <row r="54" spans="1:12" s="1" customFormat="1">
      <c r="A54" s="15"/>
      <c r="B54" s="11" t="s">
        <v>2172</v>
      </c>
      <c r="C54" s="11" t="s">
        <v>45</v>
      </c>
      <c r="D54" s="9" t="s">
        <v>2173</v>
      </c>
      <c r="E54" s="16" t="s">
        <v>128</v>
      </c>
      <c r="F54" s="72"/>
      <c r="G54" s="17" t="s">
        <v>2271</v>
      </c>
      <c r="H54" s="16"/>
      <c r="I54" s="17"/>
      <c r="J54" s="19" t="s">
        <v>133</v>
      </c>
      <c r="K54" s="19" t="s">
        <v>1640</v>
      </c>
      <c r="L54" s="19" t="s">
        <v>67</v>
      </c>
    </row>
    <row r="55" spans="1:12" s="1" customFormat="1">
      <c r="A55" s="15"/>
      <c r="B55" s="11" t="s">
        <v>2174</v>
      </c>
      <c r="C55" s="11" t="s">
        <v>45</v>
      </c>
      <c r="D55" s="9" t="s">
        <v>2175</v>
      </c>
      <c r="E55" s="16" t="s">
        <v>128</v>
      </c>
      <c r="F55" s="72"/>
      <c r="G55" s="17" t="s">
        <v>2272</v>
      </c>
      <c r="H55" s="16"/>
      <c r="I55" s="17"/>
      <c r="J55" s="19" t="s">
        <v>133</v>
      </c>
      <c r="K55" s="19" t="s">
        <v>1640</v>
      </c>
      <c r="L55" s="19" t="s">
        <v>67</v>
      </c>
    </row>
    <row r="56" spans="1:12" s="1" customFormat="1">
      <c r="A56" s="15"/>
      <c r="B56" s="11" t="s">
        <v>2181</v>
      </c>
      <c r="C56" s="11" t="s">
        <v>45</v>
      </c>
      <c r="D56" s="9" t="s">
        <v>2182</v>
      </c>
      <c r="E56" s="16" t="s">
        <v>128</v>
      </c>
      <c r="F56" s="72"/>
      <c r="G56" s="17" t="s">
        <v>2273</v>
      </c>
      <c r="H56" s="16"/>
      <c r="I56" s="17"/>
      <c r="J56" s="19" t="s">
        <v>133</v>
      </c>
      <c r="K56" s="19" t="s">
        <v>1640</v>
      </c>
      <c r="L56" s="19" t="s">
        <v>67</v>
      </c>
    </row>
    <row r="57" spans="1:12" s="1" customFormat="1">
      <c r="A57" s="15"/>
      <c r="B57" s="11" t="s">
        <v>2183</v>
      </c>
      <c r="C57" s="11" t="s">
        <v>45</v>
      </c>
      <c r="D57" s="9" t="s">
        <v>2184</v>
      </c>
      <c r="E57" s="16" t="s">
        <v>128</v>
      </c>
      <c r="F57" s="72"/>
      <c r="G57" s="17" t="s">
        <v>2274</v>
      </c>
      <c r="H57" s="16"/>
      <c r="I57" s="17"/>
      <c r="J57" s="19" t="s">
        <v>133</v>
      </c>
      <c r="K57" s="19" t="s">
        <v>1640</v>
      </c>
      <c r="L57" s="19" t="s">
        <v>67</v>
      </c>
    </row>
    <row r="58" spans="1:12" s="1" customFormat="1">
      <c r="A58" s="15"/>
      <c r="B58" s="11" t="s">
        <v>2185</v>
      </c>
      <c r="C58" s="11" t="s">
        <v>45</v>
      </c>
      <c r="D58" s="9" t="s">
        <v>2190</v>
      </c>
      <c r="E58" s="16" t="s">
        <v>128</v>
      </c>
      <c r="F58" s="72"/>
      <c r="G58" s="17" t="s">
        <v>2275</v>
      </c>
      <c r="H58" s="16"/>
      <c r="I58" s="17"/>
      <c r="J58" s="19" t="s">
        <v>133</v>
      </c>
      <c r="K58" s="19" t="s">
        <v>204</v>
      </c>
      <c r="L58" s="19" t="s">
        <v>67</v>
      </c>
    </row>
    <row r="59" spans="1:12" s="1" customFormat="1">
      <c r="A59" s="15"/>
      <c r="B59" s="11" t="s">
        <v>2186</v>
      </c>
      <c r="C59" s="11" t="s">
        <v>45</v>
      </c>
      <c r="D59" s="9" t="s">
        <v>2191</v>
      </c>
      <c r="E59" s="16" t="s">
        <v>128</v>
      </c>
      <c r="F59" s="72"/>
      <c r="G59" s="17" t="s">
        <v>2276</v>
      </c>
      <c r="H59" s="16"/>
      <c r="I59" s="17"/>
      <c r="J59" s="19" t="s">
        <v>133</v>
      </c>
      <c r="K59" s="19" t="s">
        <v>202</v>
      </c>
      <c r="L59" s="19" t="s">
        <v>67</v>
      </c>
    </row>
    <row r="60" spans="1:12" s="1" customFormat="1">
      <c r="A60" s="15"/>
      <c r="B60" s="11" t="s">
        <v>2245</v>
      </c>
      <c r="C60" s="11" t="s">
        <v>45</v>
      </c>
      <c r="D60" s="9" t="s">
        <v>2189</v>
      </c>
      <c r="E60" s="16" t="s">
        <v>128</v>
      </c>
      <c r="F60" s="72"/>
      <c r="G60" s="17" t="s">
        <v>2277</v>
      </c>
      <c r="H60" s="16"/>
      <c r="I60" s="17"/>
      <c r="J60" s="19" t="s">
        <v>133</v>
      </c>
      <c r="K60" s="19" t="s">
        <v>204</v>
      </c>
      <c r="L60" s="19" t="s">
        <v>67</v>
      </c>
    </row>
    <row r="61" spans="1:12" s="1" customFormat="1">
      <c r="A61" s="15"/>
      <c r="B61" s="11" t="s">
        <v>2159</v>
      </c>
      <c r="C61" s="95" t="s">
        <v>280</v>
      </c>
      <c r="D61" s="9" t="s">
        <v>2161</v>
      </c>
      <c r="E61" s="16" t="s">
        <v>128</v>
      </c>
      <c r="F61" s="72"/>
      <c r="G61" s="17" t="s">
        <v>2278</v>
      </c>
      <c r="H61" s="16"/>
      <c r="I61" s="17"/>
      <c r="J61" s="19" t="s">
        <v>133</v>
      </c>
      <c r="K61" s="19" t="s">
        <v>203</v>
      </c>
      <c r="L61" s="19" t="s">
        <v>67</v>
      </c>
    </row>
    <row r="62" spans="1:12" s="1" customFormat="1">
      <c r="A62" s="15"/>
      <c r="B62" s="11" t="s">
        <v>2160</v>
      </c>
      <c r="C62" s="95" t="s">
        <v>280</v>
      </c>
      <c r="D62" s="9" t="s">
        <v>2162</v>
      </c>
      <c r="E62" s="16" t="s">
        <v>128</v>
      </c>
      <c r="F62" s="72"/>
      <c r="G62" s="17" t="s">
        <v>2279</v>
      </c>
      <c r="H62" s="16"/>
      <c r="I62" s="17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11" t="s">
        <v>205</v>
      </c>
      <c r="C63" s="11" t="s">
        <v>45</v>
      </c>
      <c r="D63" s="9" t="s">
        <v>147</v>
      </c>
      <c r="E63" s="16" t="s">
        <v>128</v>
      </c>
      <c r="F63" s="72"/>
      <c r="G63" s="17" t="s">
        <v>2247</v>
      </c>
      <c r="H63" s="16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206</v>
      </c>
      <c r="C64" s="11" t="s">
        <v>280</v>
      </c>
      <c r="D64" s="9" t="s">
        <v>820</v>
      </c>
      <c r="E64" s="16" t="s">
        <v>128</v>
      </c>
      <c r="F64" s="72"/>
      <c r="G64" s="17" t="s">
        <v>1081</v>
      </c>
      <c r="H64" s="16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2" t="s">
        <v>3225</v>
      </c>
      <c r="C65" s="11" t="s">
        <v>45</v>
      </c>
      <c r="D65" s="9" t="s">
        <v>1018</v>
      </c>
      <c r="E65" s="16" t="s">
        <v>128</v>
      </c>
      <c r="F65" s="72"/>
      <c r="G65" s="17" t="s">
        <v>1127</v>
      </c>
      <c r="H65" s="16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2" t="s">
        <v>287</v>
      </c>
      <c r="C66" s="11" t="s">
        <v>45</v>
      </c>
      <c r="D66" s="9" t="s">
        <v>1019</v>
      </c>
      <c r="E66" s="16" t="s">
        <v>128</v>
      </c>
      <c r="F66" s="72"/>
      <c r="G66" s="17" t="s">
        <v>1128</v>
      </c>
      <c r="H66" s="16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2" t="s">
        <v>288</v>
      </c>
      <c r="C67" s="11" t="s">
        <v>45</v>
      </c>
      <c r="D67" s="9" t="s">
        <v>1020</v>
      </c>
      <c r="E67" s="16" t="s">
        <v>128</v>
      </c>
      <c r="F67" s="72"/>
      <c r="G67" s="17" t="s">
        <v>1129</v>
      </c>
      <c r="H67" s="16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2" t="s">
        <v>289</v>
      </c>
      <c r="C68" s="11" t="s">
        <v>45</v>
      </c>
      <c r="D68" s="9" t="s">
        <v>1021</v>
      </c>
      <c r="E68" s="16" t="s">
        <v>128</v>
      </c>
      <c r="F68" s="72"/>
      <c r="G68" s="17" t="s">
        <v>1130</v>
      </c>
      <c r="H68" s="16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2" t="s">
        <v>290</v>
      </c>
      <c r="C69" s="11" t="s">
        <v>45</v>
      </c>
      <c r="D69" s="9" t="s">
        <v>1042</v>
      </c>
      <c r="E69" s="16" t="s">
        <v>128</v>
      </c>
      <c r="F69" s="72"/>
      <c r="G69" s="17" t="s">
        <v>1131</v>
      </c>
      <c r="H69" s="16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1049</v>
      </c>
      <c r="C70" s="11" t="s">
        <v>45</v>
      </c>
      <c r="D70" s="9" t="s">
        <v>153</v>
      </c>
      <c r="E70" s="16" t="s">
        <v>128</v>
      </c>
      <c r="F70" s="72"/>
      <c r="G70" s="17" t="s">
        <v>1262</v>
      </c>
      <c r="H70" s="16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823</v>
      </c>
      <c r="C71" s="11" t="s">
        <v>280</v>
      </c>
      <c r="D71" s="9" t="s">
        <v>1474</v>
      </c>
      <c r="E71" s="16" t="s">
        <v>128</v>
      </c>
      <c r="F71" s="72"/>
      <c r="G71" s="17" t="s">
        <v>1082</v>
      </c>
      <c r="H71" s="16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2" t="s">
        <v>3226</v>
      </c>
      <c r="C72" s="11" t="s">
        <v>45</v>
      </c>
      <c r="D72" s="9" t="s">
        <v>1026</v>
      </c>
      <c r="E72" s="16" t="s">
        <v>128</v>
      </c>
      <c r="F72" s="72"/>
      <c r="G72" s="17" t="s">
        <v>1133</v>
      </c>
      <c r="H72" s="16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2" t="s">
        <v>292</v>
      </c>
      <c r="C73" s="11" t="s">
        <v>45</v>
      </c>
      <c r="D73" s="9" t="s">
        <v>1027</v>
      </c>
      <c r="E73" s="16" t="s">
        <v>128</v>
      </c>
      <c r="F73" s="72"/>
      <c r="G73" s="17" t="s">
        <v>1134</v>
      </c>
      <c r="H73" s="16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2" t="s">
        <v>293</v>
      </c>
      <c r="C74" s="11" t="s">
        <v>45</v>
      </c>
      <c r="D74" s="9" t="s">
        <v>1028</v>
      </c>
      <c r="E74" s="16" t="s">
        <v>128</v>
      </c>
      <c r="F74" s="72"/>
      <c r="G74" s="17" t="s">
        <v>1135</v>
      </c>
      <c r="H74" s="16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2" t="s">
        <v>294</v>
      </c>
      <c r="C75" s="11" t="s">
        <v>45</v>
      </c>
      <c r="D75" s="9" t="s">
        <v>1029</v>
      </c>
      <c r="E75" s="16" t="s">
        <v>128</v>
      </c>
      <c r="F75" s="72"/>
      <c r="G75" s="17" t="s">
        <v>1136</v>
      </c>
      <c r="H75" s="16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2" t="s">
        <v>295</v>
      </c>
      <c r="C76" s="11" t="s">
        <v>45</v>
      </c>
      <c r="D76" s="9" t="s">
        <v>1043</v>
      </c>
      <c r="E76" s="16" t="s">
        <v>128</v>
      </c>
      <c r="F76" s="72"/>
      <c r="G76" s="17" t="s">
        <v>1137</v>
      </c>
      <c r="H76" s="16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1084</v>
      </c>
      <c r="C77" s="11" t="s">
        <v>280</v>
      </c>
      <c r="D77" s="9" t="s">
        <v>1086</v>
      </c>
      <c r="E77" s="16" t="s">
        <v>128</v>
      </c>
      <c r="F77" s="72"/>
      <c r="G77" s="17" t="s">
        <v>2248</v>
      </c>
      <c r="H77" s="16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1083</v>
      </c>
      <c r="C78" s="11" t="s">
        <v>280</v>
      </c>
      <c r="D78" s="9" t="s">
        <v>841</v>
      </c>
      <c r="E78" s="16" t="s">
        <v>128</v>
      </c>
      <c r="F78" s="72"/>
      <c r="G78" s="17" t="s">
        <v>1866</v>
      </c>
      <c r="H78" s="16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2" t="s">
        <v>1469</v>
      </c>
      <c r="C79" s="11" t="s">
        <v>45</v>
      </c>
      <c r="D79" s="9" t="s">
        <v>1038</v>
      </c>
      <c r="E79" s="16" t="s">
        <v>128</v>
      </c>
      <c r="F79" s="72"/>
      <c r="G79" s="17" t="s">
        <v>1138</v>
      </c>
      <c r="H79" s="16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2" t="s">
        <v>1470</v>
      </c>
      <c r="C80" s="11" t="s">
        <v>45</v>
      </c>
      <c r="D80" s="9" t="s">
        <v>1039</v>
      </c>
      <c r="E80" s="16" t="s">
        <v>128</v>
      </c>
      <c r="F80" s="72"/>
      <c r="G80" s="17" t="s">
        <v>1139</v>
      </c>
      <c r="H80" s="16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2" t="s">
        <v>1471</v>
      </c>
      <c r="C81" s="11" t="s">
        <v>45</v>
      </c>
      <c r="D81" s="9" t="s">
        <v>1040</v>
      </c>
      <c r="E81" s="16" t="s">
        <v>128</v>
      </c>
      <c r="F81" s="72"/>
      <c r="G81" s="17" t="s">
        <v>1140</v>
      </c>
      <c r="H81" s="16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2" t="s">
        <v>1472</v>
      </c>
      <c r="C82" s="11" t="s">
        <v>45</v>
      </c>
      <c r="D82" s="9" t="s">
        <v>1041</v>
      </c>
      <c r="E82" s="16" t="s">
        <v>128</v>
      </c>
      <c r="F82" s="72"/>
      <c r="G82" s="17" t="s">
        <v>1141</v>
      </c>
      <c r="H82" s="16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2" t="s">
        <v>1473</v>
      </c>
      <c r="C83" s="11" t="s">
        <v>45</v>
      </c>
      <c r="D83" s="9" t="s">
        <v>1044</v>
      </c>
      <c r="E83" s="16" t="s">
        <v>128</v>
      </c>
      <c r="F83" s="72"/>
      <c r="G83" s="17" t="s">
        <v>1142</v>
      </c>
      <c r="H83" s="16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816</v>
      </c>
      <c r="C84" s="11" t="s">
        <v>280</v>
      </c>
      <c r="D84" s="9" t="s">
        <v>839</v>
      </c>
      <c r="E84" s="16" t="s">
        <v>128</v>
      </c>
      <c r="F84" s="72"/>
      <c r="G84" s="17" t="s">
        <v>1088</v>
      </c>
      <c r="H84" s="16"/>
      <c r="I84" s="17"/>
      <c r="J84" s="19" t="s">
        <v>133</v>
      </c>
      <c r="K84" s="19" t="s">
        <v>202</v>
      </c>
      <c r="L84" s="19" t="s">
        <v>67</v>
      </c>
    </row>
    <row r="85" spans="1:12" s="1" customFormat="1">
      <c r="A85" s="15"/>
      <c r="B85" s="11" t="s">
        <v>817</v>
      </c>
      <c r="C85" s="11" t="s">
        <v>45</v>
      </c>
      <c r="D85" s="9" t="s">
        <v>658</v>
      </c>
      <c r="E85" s="16" t="s">
        <v>128</v>
      </c>
      <c r="F85" s="72"/>
      <c r="G85" s="17" t="s">
        <v>1089</v>
      </c>
      <c r="H85" s="16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818</v>
      </c>
      <c r="C86" s="11" t="s">
        <v>280</v>
      </c>
      <c r="D86" s="9" t="s">
        <v>842</v>
      </c>
      <c r="E86" s="16" t="s">
        <v>128</v>
      </c>
      <c r="F86" s="72"/>
      <c r="G86" s="17" t="s">
        <v>1091</v>
      </c>
      <c r="H86" s="16"/>
      <c r="I86" s="17"/>
      <c r="J86" s="19" t="s">
        <v>133</v>
      </c>
      <c r="K86" s="19" t="s">
        <v>202</v>
      </c>
      <c r="L86" s="19" t="s">
        <v>67</v>
      </c>
    </row>
    <row r="87" spans="1:12" s="1" customFormat="1">
      <c r="A87" s="15"/>
      <c r="B87" s="11" t="s">
        <v>819</v>
      </c>
      <c r="C87" s="11" t="s">
        <v>45</v>
      </c>
      <c r="D87" s="9" t="s">
        <v>660</v>
      </c>
      <c r="E87" s="16" t="s">
        <v>128</v>
      </c>
      <c r="F87" s="72"/>
      <c r="G87" s="17" t="s">
        <v>1092</v>
      </c>
      <c r="H87" s="16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22" t="s">
        <v>2327</v>
      </c>
      <c r="C88" s="22" t="s">
        <v>45</v>
      </c>
      <c r="D88" s="9" t="s">
        <v>2017</v>
      </c>
      <c r="E88" s="16" t="s">
        <v>128</v>
      </c>
      <c r="F88" s="72"/>
      <c r="G88" s="17" t="s">
        <v>2330</v>
      </c>
      <c r="H88" s="16"/>
      <c r="I88" s="17"/>
      <c r="J88" s="19" t="s">
        <v>133</v>
      </c>
      <c r="K88" s="19" t="s">
        <v>903</v>
      </c>
      <c r="L88" s="19" t="s">
        <v>67</v>
      </c>
    </row>
    <row r="89" spans="1:12" s="1" customFormat="1">
      <c r="A89" s="15"/>
      <c r="B89" s="22" t="s">
        <v>2194</v>
      </c>
      <c r="C89" s="22" t="s">
        <v>280</v>
      </c>
      <c r="D89" s="9" t="s">
        <v>2196</v>
      </c>
      <c r="E89" s="16" t="s">
        <v>128</v>
      </c>
      <c r="F89" s="72"/>
      <c r="G89" s="17" t="s">
        <v>2250</v>
      </c>
      <c r="H89" s="16"/>
      <c r="I89" s="17"/>
      <c r="J89" s="19" t="s">
        <v>133</v>
      </c>
      <c r="K89" s="19" t="s">
        <v>2024</v>
      </c>
      <c r="L89" s="19" t="s">
        <v>67</v>
      </c>
    </row>
    <row r="90" spans="1:12" s="1" customFormat="1">
      <c r="B90" s="22" t="s">
        <v>2132</v>
      </c>
      <c r="C90" s="22" t="s">
        <v>280</v>
      </c>
      <c r="D90" s="9" t="s">
        <v>2134</v>
      </c>
      <c r="E90" s="16" t="s">
        <v>128</v>
      </c>
      <c r="F90" s="22"/>
      <c r="G90" s="17" t="s">
        <v>2333</v>
      </c>
      <c r="H90" s="16"/>
      <c r="I90" s="88"/>
      <c r="J90" s="19" t="s">
        <v>133</v>
      </c>
      <c r="K90" s="19" t="s">
        <v>2136</v>
      </c>
      <c r="L90" s="19" t="s">
        <v>134</v>
      </c>
    </row>
    <row r="91" spans="1:12" s="1" customFormat="1">
      <c r="A91" s="15"/>
      <c r="B91" s="90" t="s">
        <v>2328</v>
      </c>
      <c r="C91" s="22" t="s">
        <v>45</v>
      </c>
      <c r="D91" s="9" t="s">
        <v>2034</v>
      </c>
      <c r="E91" s="16" t="s">
        <v>128</v>
      </c>
      <c r="F91" s="72"/>
      <c r="G91" s="17" t="s">
        <v>2332</v>
      </c>
      <c r="H91" s="16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90" t="s">
        <v>2193</v>
      </c>
      <c r="C92" s="22" t="s">
        <v>280</v>
      </c>
      <c r="D92" s="9" t="s">
        <v>2195</v>
      </c>
      <c r="E92" s="16" t="s">
        <v>128</v>
      </c>
      <c r="F92" s="72"/>
      <c r="G92" s="17" t="s">
        <v>2252</v>
      </c>
      <c r="H92" s="16"/>
      <c r="I92" s="17"/>
      <c r="J92" s="19" t="s">
        <v>133</v>
      </c>
      <c r="K92" s="19" t="s">
        <v>2024</v>
      </c>
      <c r="L92" s="19" t="s">
        <v>67</v>
      </c>
    </row>
    <row r="93" spans="1:12" s="1" customFormat="1">
      <c r="B93" s="90" t="s">
        <v>2133</v>
      </c>
      <c r="C93" s="22" t="s">
        <v>280</v>
      </c>
      <c r="D93" s="9" t="s">
        <v>2135</v>
      </c>
      <c r="E93" s="16" t="s">
        <v>128</v>
      </c>
      <c r="F93" s="22"/>
      <c r="G93" s="17" t="s">
        <v>2334</v>
      </c>
      <c r="H93" s="16"/>
      <c r="I93" s="88"/>
      <c r="J93" s="19" t="s">
        <v>133</v>
      </c>
      <c r="K93" s="19" t="s">
        <v>2136</v>
      </c>
      <c r="L93" s="19" t="s">
        <v>134</v>
      </c>
    </row>
    <row r="94" spans="1:12" s="1" customFormat="1">
      <c r="B94" s="22" t="s">
        <v>2255</v>
      </c>
      <c r="C94" s="22" t="s">
        <v>45</v>
      </c>
      <c r="D94" s="9" t="s">
        <v>2201</v>
      </c>
      <c r="E94" s="16" t="s">
        <v>128</v>
      </c>
      <c r="F94" s="22"/>
      <c r="G94" s="17" t="s">
        <v>2280</v>
      </c>
      <c r="H94" s="16"/>
      <c r="I94" s="17"/>
      <c r="J94" s="19" t="s">
        <v>133</v>
      </c>
      <c r="K94" s="19" t="s">
        <v>1640</v>
      </c>
      <c r="L94" s="19" t="s">
        <v>67</v>
      </c>
    </row>
    <row r="95" spans="1:12" s="1" customFormat="1">
      <c r="B95" s="112" t="s">
        <v>3256</v>
      </c>
      <c r="C95" s="22" t="s">
        <v>45</v>
      </c>
      <c r="D95" s="9" t="s">
        <v>2202</v>
      </c>
      <c r="E95" s="16" t="s">
        <v>128</v>
      </c>
      <c r="F95" s="22"/>
      <c r="G95" s="17" t="s">
        <v>2281</v>
      </c>
      <c r="H95" s="16"/>
      <c r="I95" s="17"/>
      <c r="J95" s="19" t="s">
        <v>133</v>
      </c>
      <c r="K95" s="19" t="s">
        <v>1640</v>
      </c>
      <c r="L95" s="19" t="s">
        <v>67</v>
      </c>
    </row>
    <row r="96" spans="1:12" s="1" customFormat="1">
      <c r="B96" s="22" t="s">
        <v>2203</v>
      </c>
      <c r="C96" s="22" t="s">
        <v>56</v>
      </c>
      <c r="D96" s="9" t="s">
        <v>2204</v>
      </c>
      <c r="E96" s="16" t="s">
        <v>128</v>
      </c>
      <c r="F96" s="22"/>
      <c r="G96" s="17" t="s">
        <v>2256</v>
      </c>
      <c r="H96" s="16"/>
      <c r="I96" s="88"/>
      <c r="J96" s="19" t="s">
        <v>133</v>
      </c>
      <c r="K96" s="19" t="s">
        <v>44</v>
      </c>
      <c r="L96" s="19" t="s">
        <v>1292</v>
      </c>
    </row>
    <row r="97" spans="1:12" s="1" customFormat="1">
      <c r="B97" s="22" t="s">
        <v>2216</v>
      </c>
      <c r="C97" s="22" t="s">
        <v>45</v>
      </c>
      <c r="D97" s="9" t="s">
        <v>2036</v>
      </c>
      <c r="E97" s="16" t="s">
        <v>128</v>
      </c>
      <c r="F97" s="22"/>
      <c r="G97" s="17" t="s">
        <v>2282</v>
      </c>
      <c r="H97" s="16"/>
      <c r="I97" s="17"/>
      <c r="J97" s="19" t="s">
        <v>133</v>
      </c>
      <c r="K97" s="19" t="s">
        <v>2235</v>
      </c>
      <c r="L97" s="19" t="s">
        <v>67</v>
      </c>
    </row>
    <row r="98" spans="1:12" s="1" customFormat="1">
      <c r="B98" s="22" t="s">
        <v>2218</v>
      </c>
      <c r="C98" s="22" t="s">
        <v>45</v>
      </c>
      <c r="D98" s="9" t="s">
        <v>2219</v>
      </c>
      <c r="E98" s="16" t="s">
        <v>128</v>
      </c>
      <c r="F98" s="22"/>
      <c r="G98" s="17" t="s">
        <v>2283</v>
      </c>
      <c r="H98" s="16"/>
      <c r="I98" s="17"/>
      <c r="J98" s="19" t="s">
        <v>133</v>
      </c>
      <c r="K98" s="19" t="s">
        <v>1640</v>
      </c>
      <c r="L98" s="19" t="s">
        <v>67</v>
      </c>
    </row>
    <row r="99" spans="1:12" s="1" customFormat="1">
      <c r="B99" s="22" t="s">
        <v>2217</v>
      </c>
      <c r="C99" s="22" t="s">
        <v>45</v>
      </c>
      <c r="D99" s="9" t="s">
        <v>2035</v>
      </c>
      <c r="E99" s="16" t="s">
        <v>128</v>
      </c>
      <c r="F99" s="22"/>
      <c r="G99" s="17" t="s">
        <v>2284</v>
      </c>
      <c r="H99" s="16"/>
      <c r="I99" s="17"/>
      <c r="J99" s="19" t="s">
        <v>133</v>
      </c>
      <c r="K99" s="19" t="s">
        <v>2235</v>
      </c>
      <c r="L99" s="19" t="s">
        <v>67</v>
      </c>
    </row>
    <row r="100" spans="1:12" s="1" customFormat="1">
      <c r="B100" s="22" t="s">
        <v>2220</v>
      </c>
      <c r="C100" s="22" t="s">
        <v>45</v>
      </c>
      <c r="D100" s="9" t="s">
        <v>2225</v>
      </c>
      <c r="E100" s="16" t="s">
        <v>128</v>
      </c>
      <c r="F100" s="22"/>
      <c r="G100" s="17" t="s">
        <v>2285</v>
      </c>
      <c r="H100" s="16"/>
      <c r="I100" s="17"/>
      <c r="J100" s="19" t="s">
        <v>133</v>
      </c>
      <c r="K100" s="19" t="s">
        <v>1640</v>
      </c>
      <c r="L100" s="19" t="s">
        <v>67</v>
      </c>
    </row>
    <row r="101" spans="1:12" s="1" customFormat="1">
      <c r="B101" s="22" t="s">
        <v>2140</v>
      </c>
      <c r="C101" s="22" t="s">
        <v>45</v>
      </c>
      <c r="D101" s="9" t="s">
        <v>2141</v>
      </c>
      <c r="E101" s="16" t="s">
        <v>128</v>
      </c>
      <c r="F101" s="22"/>
      <c r="G101" s="17" t="s">
        <v>2286</v>
      </c>
      <c r="H101" s="16"/>
      <c r="I101" s="17"/>
      <c r="J101" s="19" t="s">
        <v>133</v>
      </c>
      <c r="K101" s="19" t="s">
        <v>903</v>
      </c>
      <c r="L101" s="19" t="s">
        <v>67</v>
      </c>
    </row>
    <row r="102" spans="1:12" s="1" customFormat="1">
      <c r="B102" s="22" t="s">
        <v>2142</v>
      </c>
      <c r="C102" s="22" t="s">
        <v>45</v>
      </c>
      <c r="D102" s="9" t="s">
        <v>2143</v>
      </c>
      <c r="E102" s="16" t="s">
        <v>128</v>
      </c>
      <c r="F102" s="22"/>
      <c r="G102" s="17" t="s">
        <v>2287</v>
      </c>
      <c r="H102" s="16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B103" s="22" t="s">
        <v>2144</v>
      </c>
      <c r="C103" s="22" t="s">
        <v>45</v>
      </c>
      <c r="D103" s="9" t="s">
        <v>2145</v>
      </c>
      <c r="E103" s="16" t="s">
        <v>128</v>
      </c>
      <c r="F103" s="22"/>
      <c r="G103" s="17" t="s">
        <v>2288</v>
      </c>
      <c r="H103" s="16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B104" s="22" t="s">
        <v>2146</v>
      </c>
      <c r="C104" s="22" t="s">
        <v>45</v>
      </c>
      <c r="D104" s="9" t="s">
        <v>2147</v>
      </c>
      <c r="E104" s="16" t="s">
        <v>128</v>
      </c>
      <c r="F104" s="22"/>
      <c r="G104" s="17" t="s">
        <v>2289</v>
      </c>
      <c r="H104" s="16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B105" s="22" t="s">
        <v>2148</v>
      </c>
      <c r="C105" s="22" t="s">
        <v>45</v>
      </c>
      <c r="D105" s="9" t="s">
        <v>2149</v>
      </c>
      <c r="E105" s="16" t="s">
        <v>128</v>
      </c>
      <c r="F105" s="22"/>
      <c r="G105" s="17" t="s">
        <v>2290</v>
      </c>
      <c r="H105" s="16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B106" s="22" t="s">
        <v>2150</v>
      </c>
      <c r="C106" s="22" t="s">
        <v>45</v>
      </c>
      <c r="D106" s="9" t="s">
        <v>2151</v>
      </c>
      <c r="E106" s="16" t="s">
        <v>128</v>
      </c>
      <c r="F106" s="22"/>
      <c r="G106" s="17" t="s">
        <v>2291</v>
      </c>
      <c r="H106" s="16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11" t="s">
        <v>2261</v>
      </c>
      <c r="C107" s="11" t="s">
        <v>280</v>
      </c>
      <c r="D107" s="9" t="s">
        <v>2038</v>
      </c>
      <c r="E107" s="16" t="s">
        <v>128</v>
      </c>
      <c r="F107" s="72"/>
      <c r="G107" s="17" t="s">
        <v>3075</v>
      </c>
      <c r="H107" s="16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95" t="s">
        <v>2041</v>
      </c>
      <c r="C108" s="95" t="s">
        <v>45</v>
      </c>
      <c r="D108" s="96" t="s">
        <v>2042</v>
      </c>
      <c r="E108" s="16" t="s">
        <v>128</v>
      </c>
      <c r="F108" s="72"/>
      <c r="G108" s="17" t="s">
        <v>2292</v>
      </c>
      <c r="H108" s="16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A109" s="15"/>
      <c r="B109" s="95" t="s">
        <v>2043</v>
      </c>
      <c r="C109" s="95" t="s">
        <v>45</v>
      </c>
      <c r="D109" s="96" t="s">
        <v>2044</v>
      </c>
      <c r="E109" s="16" t="s">
        <v>128</v>
      </c>
      <c r="F109" s="72"/>
      <c r="G109" s="17" t="s">
        <v>2293</v>
      </c>
      <c r="H109" s="16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95" t="s">
        <v>2045</v>
      </c>
      <c r="C110" s="95" t="s">
        <v>45</v>
      </c>
      <c r="D110" s="96" t="s">
        <v>2046</v>
      </c>
      <c r="E110" s="16" t="s">
        <v>128</v>
      </c>
      <c r="F110" s="72"/>
      <c r="G110" s="17" t="s">
        <v>2294</v>
      </c>
      <c r="H110" s="16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95" t="s">
        <v>2047</v>
      </c>
      <c r="C111" s="95" t="s">
        <v>45</v>
      </c>
      <c r="D111" s="96" t="s">
        <v>2048</v>
      </c>
      <c r="E111" s="16" t="s">
        <v>128</v>
      </c>
      <c r="F111" s="72"/>
      <c r="G111" s="17" t="s">
        <v>2295</v>
      </c>
      <c r="H111" s="16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95" t="s">
        <v>2049</v>
      </c>
      <c r="C112" s="95" t="s">
        <v>45</v>
      </c>
      <c r="D112" s="96" t="s">
        <v>2050</v>
      </c>
      <c r="E112" s="16" t="s">
        <v>128</v>
      </c>
      <c r="F112" s="72"/>
      <c r="G112" s="17" t="s">
        <v>2296</v>
      </c>
      <c r="H112" s="16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11" t="s">
        <v>2263</v>
      </c>
      <c r="C113" s="95" t="s">
        <v>280</v>
      </c>
      <c r="D113" s="9" t="s">
        <v>2052</v>
      </c>
      <c r="E113" s="16" t="s">
        <v>128</v>
      </c>
      <c r="F113" s="72"/>
      <c r="G113" s="17" t="s">
        <v>3076</v>
      </c>
      <c r="H113" s="16"/>
      <c r="I113" s="17"/>
      <c r="J113" s="19" t="s">
        <v>133</v>
      </c>
      <c r="K113" s="19" t="s">
        <v>203</v>
      </c>
      <c r="L113" s="19" t="s">
        <v>67</v>
      </c>
    </row>
    <row r="114" spans="1:12" s="1" customFormat="1">
      <c r="A114" s="15"/>
      <c r="B114" s="11" t="s">
        <v>2053</v>
      </c>
      <c r="C114" s="11" t="s">
        <v>45</v>
      </c>
      <c r="D114" s="9" t="s">
        <v>2054</v>
      </c>
      <c r="E114" s="16" t="s">
        <v>128</v>
      </c>
      <c r="F114" s="72"/>
      <c r="G114" s="17" t="s">
        <v>2297</v>
      </c>
      <c r="H114" s="16"/>
      <c r="I114" s="17"/>
      <c r="J114" s="19" t="s">
        <v>133</v>
      </c>
      <c r="K114" s="19" t="s">
        <v>903</v>
      </c>
      <c r="L114" s="19" t="s">
        <v>67</v>
      </c>
    </row>
    <row r="115" spans="1:12" s="1" customFormat="1">
      <c r="A115" s="15"/>
      <c r="B115" s="11" t="s">
        <v>2055</v>
      </c>
      <c r="C115" s="11" t="s">
        <v>45</v>
      </c>
      <c r="D115" s="9" t="s">
        <v>2056</v>
      </c>
      <c r="E115" s="16" t="s">
        <v>128</v>
      </c>
      <c r="F115" s="72"/>
      <c r="G115" s="17" t="s">
        <v>2298</v>
      </c>
      <c r="H115" s="16"/>
      <c r="I115" s="17"/>
      <c r="J115" s="19" t="s">
        <v>133</v>
      </c>
      <c r="K115" s="19" t="s">
        <v>903</v>
      </c>
      <c r="L115" s="19" t="s">
        <v>67</v>
      </c>
    </row>
    <row r="116" spans="1:12" s="1" customFormat="1">
      <c r="A116" s="15"/>
      <c r="B116" s="11" t="s">
        <v>2057</v>
      </c>
      <c r="C116" s="11" t="s">
        <v>45</v>
      </c>
      <c r="D116" s="9" t="s">
        <v>2058</v>
      </c>
      <c r="E116" s="16" t="s">
        <v>128</v>
      </c>
      <c r="F116" s="72"/>
      <c r="G116" s="17" t="s">
        <v>2299</v>
      </c>
      <c r="H116" s="16"/>
      <c r="I116" s="17"/>
      <c r="J116" s="19" t="s">
        <v>133</v>
      </c>
      <c r="K116" s="19" t="s">
        <v>903</v>
      </c>
      <c r="L116" s="19" t="s">
        <v>67</v>
      </c>
    </row>
    <row r="117" spans="1:12" s="1" customFormat="1">
      <c r="A117" s="15"/>
      <c r="B117" s="11" t="s">
        <v>2059</v>
      </c>
      <c r="C117" s="11" t="s">
        <v>45</v>
      </c>
      <c r="D117" s="9" t="s">
        <v>2060</v>
      </c>
      <c r="E117" s="16" t="s">
        <v>128</v>
      </c>
      <c r="F117" s="72"/>
      <c r="G117" s="17" t="s">
        <v>2300</v>
      </c>
      <c r="H117" s="16"/>
      <c r="I117" s="17"/>
      <c r="J117" s="19" t="s">
        <v>133</v>
      </c>
      <c r="K117" s="19" t="s">
        <v>903</v>
      </c>
      <c r="L117" s="19" t="s">
        <v>67</v>
      </c>
    </row>
    <row r="118" spans="1:12" s="1" customFormat="1">
      <c r="A118" s="15"/>
      <c r="B118" s="11" t="s">
        <v>2061</v>
      </c>
      <c r="C118" s="11" t="s">
        <v>45</v>
      </c>
      <c r="D118" s="9" t="s">
        <v>2062</v>
      </c>
      <c r="E118" s="16" t="s">
        <v>128</v>
      </c>
      <c r="F118" s="72"/>
      <c r="G118" s="17" t="s">
        <v>2301</v>
      </c>
      <c r="H118" s="16"/>
      <c r="I118" s="17"/>
      <c r="J118" s="19" t="s">
        <v>133</v>
      </c>
      <c r="K118" s="19" t="s">
        <v>903</v>
      </c>
      <c r="L118" s="19" t="s">
        <v>67</v>
      </c>
    </row>
    <row r="119" spans="1:12" s="1" customFormat="1">
      <c r="A119" s="15"/>
      <c r="B119" s="11" t="s">
        <v>2264</v>
      </c>
      <c r="C119" s="95" t="s">
        <v>280</v>
      </c>
      <c r="D119" s="9" t="s">
        <v>2158</v>
      </c>
      <c r="E119" s="16" t="s">
        <v>128</v>
      </c>
      <c r="F119" s="72"/>
      <c r="G119" s="17" t="s">
        <v>3077</v>
      </c>
      <c r="H119" s="16"/>
      <c r="I119" s="17"/>
      <c r="J119" s="19" t="s">
        <v>133</v>
      </c>
      <c r="K119" s="19" t="s">
        <v>202</v>
      </c>
      <c r="L119" s="19" t="s">
        <v>67</v>
      </c>
    </row>
    <row r="120" spans="1:12" s="1" customFormat="1">
      <c r="A120" s="15"/>
      <c r="B120" s="95" t="s">
        <v>2076</v>
      </c>
      <c r="C120" s="95" t="s">
        <v>45</v>
      </c>
      <c r="D120" s="96" t="s">
        <v>2077</v>
      </c>
      <c r="E120" s="16" t="s">
        <v>128</v>
      </c>
      <c r="F120" s="72"/>
      <c r="G120" s="17" t="s">
        <v>2302</v>
      </c>
      <c r="H120" s="16"/>
      <c r="I120" s="17"/>
      <c r="J120" s="19" t="s">
        <v>133</v>
      </c>
      <c r="K120" s="19" t="s">
        <v>903</v>
      </c>
      <c r="L120" s="19" t="s">
        <v>67</v>
      </c>
    </row>
    <row r="121" spans="1:12" s="1" customFormat="1">
      <c r="A121" s="15"/>
      <c r="B121" s="95" t="s">
        <v>2078</v>
      </c>
      <c r="C121" s="95" t="s">
        <v>45</v>
      </c>
      <c r="D121" s="96" t="s">
        <v>2079</v>
      </c>
      <c r="E121" s="16" t="s">
        <v>128</v>
      </c>
      <c r="F121" s="72"/>
      <c r="G121" s="17" t="s">
        <v>2303</v>
      </c>
      <c r="H121" s="16"/>
      <c r="I121" s="17"/>
      <c r="J121" s="19" t="s">
        <v>133</v>
      </c>
      <c r="K121" s="19" t="s">
        <v>903</v>
      </c>
      <c r="L121" s="19" t="s">
        <v>67</v>
      </c>
    </row>
    <row r="122" spans="1:12" s="1" customFormat="1">
      <c r="A122" s="15"/>
      <c r="B122" s="95" t="s">
        <v>2080</v>
      </c>
      <c r="C122" s="95" t="s">
        <v>45</v>
      </c>
      <c r="D122" s="96" t="s">
        <v>2081</v>
      </c>
      <c r="E122" s="16" t="s">
        <v>128</v>
      </c>
      <c r="F122" s="72"/>
      <c r="G122" s="17" t="s">
        <v>2304</v>
      </c>
      <c r="H122" s="16"/>
      <c r="I122" s="17"/>
      <c r="J122" s="19" t="s">
        <v>133</v>
      </c>
      <c r="K122" s="19" t="s">
        <v>903</v>
      </c>
      <c r="L122" s="19" t="s">
        <v>67</v>
      </c>
    </row>
    <row r="123" spans="1:12" s="1" customFormat="1">
      <c r="A123" s="15"/>
      <c r="B123" s="95" t="s">
        <v>2082</v>
      </c>
      <c r="C123" s="95" t="s">
        <v>45</v>
      </c>
      <c r="D123" s="96" t="s">
        <v>2083</v>
      </c>
      <c r="E123" s="16" t="s">
        <v>128</v>
      </c>
      <c r="F123" s="72"/>
      <c r="G123" s="17" t="s">
        <v>2305</v>
      </c>
      <c r="H123" s="16"/>
      <c r="I123" s="17"/>
      <c r="J123" s="19" t="s">
        <v>133</v>
      </c>
      <c r="K123" s="19" t="s">
        <v>903</v>
      </c>
      <c r="L123" s="19" t="s">
        <v>67</v>
      </c>
    </row>
    <row r="124" spans="1:12" s="1" customFormat="1">
      <c r="A124" s="15"/>
      <c r="B124" s="95" t="s">
        <v>2084</v>
      </c>
      <c r="C124" s="95" t="s">
        <v>45</v>
      </c>
      <c r="D124" s="96" t="s">
        <v>2085</v>
      </c>
      <c r="E124" s="16" t="s">
        <v>128</v>
      </c>
      <c r="F124" s="72"/>
      <c r="G124" s="17" t="s">
        <v>2306</v>
      </c>
      <c r="H124" s="16"/>
      <c r="I124" s="17"/>
      <c r="J124" s="19" t="s">
        <v>133</v>
      </c>
      <c r="K124" s="19" t="s">
        <v>903</v>
      </c>
      <c r="L124" s="19" t="s">
        <v>67</v>
      </c>
    </row>
    <row r="125" spans="1:12" s="1" customFormat="1">
      <c r="B125" s="22" t="s">
        <v>2206</v>
      </c>
      <c r="C125" s="22" t="s">
        <v>45</v>
      </c>
      <c r="D125" s="9" t="s">
        <v>2207</v>
      </c>
      <c r="E125" s="16" t="s">
        <v>128</v>
      </c>
      <c r="F125" s="22"/>
      <c r="G125" s="17" t="s">
        <v>2307</v>
      </c>
      <c r="H125" s="16"/>
      <c r="I125" s="17"/>
      <c r="J125" s="19" t="s">
        <v>133</v>
      </c>
      <c r="K125" s="19" t="s">
        <v>2235</v>
      </c>
      <c r="L125" s="19" t="s">
        <v>2237</v>
      </c>
    </row>
    <row r="126" spans="1:12" s="1" customFormat="1">
      <c r="B126" s="22" t="s">
        <v>2205</v>
      </c>
      <c r="C126" s="22" t="s">
        <v>45</v>
      </c>
      <c r="D126" s="9" t="s">
        <v>2199</v>
      </c>
      <c r="E126" s="16" t="s">
        <v>128</v>
      </c>
      <c r="F126" s="22"/>
      <c r="G126" s="17" t="s">
        <v>2319</v>
      </c>
      <c r="H126" s="16"/>
      <c r="I126" s="17"/>
      <c r="J126" s="19" t="s">
        <v>133</v>
      </c>
      <c r="K126" s="19" t="s">
        <v>1640</v>
      </c>
      <c r="L126" s="19" t="s">
        <v>67</v>
      </c>
    </row>
    <row r="127" spans="1:12" s="1" customFormat="1">
      <c r="A127" s="15"/>
      <c r="B127" s="95" t="s">
        <v>2104</v>
      </c>
      <c r="C127" s="95" t="s">
        <v>280</v>
      </c>
      <c r="D127" s="96" t="s">
        <v>2093</v>
      </c>
      <c r="E127" s="16" t="s">
        <v>128</v>
      </c>
      <c r="F127" s="72"/>
      <c r="G127" s="17" t="s">
        <v>2320</v>
      </c>
      <c r="H127" s="16"/>
      <c r="I127" s="17"/>
      <c r="J127" s="19" t="s">
        <v>133</v>
      </c>
      <c r="K127" s="19" t="s">
        <v>2235</v>
      </c>
      <c r="L127" s="19" t="s">
        <v>2237</v>
      </c>
    </row>
    <row r="128" spans="1:12" s="1" customFormat="1">
      <c r="A128" s="15"/>
      <c r="B128" s="95" t="s">
        <v>2094</v>
      </c>
      <c r="C128" s="95" t="s">
        <v>45</v>
      </c>
      <c r="D128" s="96" t="s">
        <v>2099</v>
      </c>
      <c r="E128" s="16" t="s">
        <v>128</v>
      </c>
      <c r="F128" s="72"/>
      <c r="G128" s="17" t="s">
        <v>2308</v>
      </c>
      <c r="H128" s="16"/>
      <c r="I128" s="17"/>
      <c r="J128" s="19" t="s">
        <v>133</v>
      </c>
      <c r="K128" s="19" t="s">
        <v>1640</v>
      </c>
      <c r="L128" s="19" t="s">
        <v>67</v>
      </c>
    </row>
    <row r="129" spans="1:17" s="1" customFormat="1">
      <c r="A129" s="15"/>
      <c r="B129" s="95" t="s">
        <v>2095</v>
      </c>
      <c r="C129" s="95" t="s">
        <v>45</v>
      </c>
      <c r="D129" s="96" t="s">
        <v>2100</v>
      </c>
      <c r="E129" s="16" t="s">
        <v>128</v>
      </c>
      <c r="F129" s="72"/>
      <c r="G129" s="17" t="s">
        <v>2309</v>
      </c>
      <c r="H129" s="16"/>
      <c r="I129" s="17"/>
      <c r="J129" s="19" t="s">
        <v>133</v>
      </c>
      <c r="K129" s="19" t="s">
        <v>1640</v>
      </c>
      <c r="L129" s="19" t="s">
        <v>67</v>
      </c>
    </row>
    <row r="130" spans="1:17" s="1" customFormat="1">
      <c r="A130" s="15"/>
      <c r="B130" s="95" t="s">
        <v>2096</v>
      </c>
      <c r="C130" s="95" t="s">
        <v>45</v>
      </c>
      <c r="D130" s="96" t="s">
        <v>2101</v>
      </c>
      <c r="E130" s="16" t="s">
        <v>128</v>
      </c>
      <c r="F130" s="72"/>
      <c r="G130" s="17" t="s">
        <v>2310</v>
      </c>
      <c r="H130" s="16"/>
      <c r="I130" s="17"/>
      <c r="J130" s="19" t="s">
        <v>133</v>
      </c>
      <c r="K130" s="19" t="s">
        <v>1640</v>
      </c>
      <c r="L130" s="19" t="s">
        <v>67</v>
      </c>
    </row>
    <row r="131" spans="1:17" s="1" customFormat="1">
      <c r="A131" s="15"/>
      <c r="B131" s="95" t="s">
        <v>2097</v>
      </c>
      <c r="C131" s="95" t="s">
        <v>45</v>
      </c>
      <c r="D131" s="96" t="s">
        <v>2102</v>
      </c>
      <c r="E131" s="16" t="s">
        <v>128</v>
      </c>
      <c r="F131" s="72"/>
      <c r="G131" s="17" t="s">
        <v>2311</v>
      </c>
      <c r="H131" s="16"/>
      <c r="I131" s="17"/>
      <c r="J131" s="19" t="s">
        <v>133</v>
      </c>
      <c r="K131" s="19" t="s">
        <v>1640</v>
      </c>
      <c r="L131" s="19" t="s">
        <v>67</v>
      </c>
    </row>
    <row r="132" spans="1:17" s="1" customFormat="1">
      <c r="A132" s="15"/>
      <c r="B132" s="95" t="s">
        <v>2098</v>
      </c>
      <c r="C132" s="95" t="s">
        <v>45</v>
      </c>
      <c r="D132" s="96" t="s">
        <v>2103</v>
      </c>
      <c r="E132" s="16" t="s">
        <v>128</v>
      </c>
      <c r="F132" s="72"/>
      <c r="G132" s="17" t="s">
        <v>2312</v>
      </c>
      <c r="H132" s="16"/>
      <c r="I132" s="17"/>
      <c r="J132" s="19" t="s">
        <v>133</v>
      </c>
      <c r="K132" s="19" t="s">
        <v>1640</v>
      </c>
      <c r="L132" s="19" t="s">
        <v>67</v>
      </c>
    </row>
    <row r="133" spans="1:17" s="1" customFormat="1">
      <c r="A133" s="15"/>
      <c r="B133" s="95" t="s">
        <v>2210</v>
      </c>
      <c r="C133" s="95" t="s">
        <v>45</v>
      </c>
      <c r="D133" s="9" t="s">
        <v>2212</v>
      </c>
      <c r="E133" s="16" t="s">
        <v>128</v>
      </c>
      <c r="F133" s="72"/>
      <c r="G133" s="17" t="s">
        <v>2313</v>
      </c>
      <c r="H133" s="16"/>
      <c r="I133" s="17"/>
      <c r="J133" s="19" t="s">
        <v>133</v>
      </c>
      <c r="K133" s="19" t="s">
        <v>2235</v>
      </c>
      <c r="L133" s="19" t="s">
        <v>2237</v>
      </c>
    </row>
    <row r="134" spans="1:17" s="1" customFormat="1">
      <c r="A134" s="15"/>
      <c r="B134" s="95" t="s">
        <v>2211</v>
      </c>
      <c r="C134" s="95" t="s">
        <v>45</v>
      </c>
      <c r="D134" s="9" t="s">
        <v>2213</v>
      </c>
      <c r="E134" s="16" t="s">
        <v>128</v>
      </c>
      <c r="F134" s="72"/>
      <c r="G134" s="17" t="s">
        <v>2321</v>
      </c>
      <c r="H134" s="16"/>
      <c r="I134" s="17"/>
      <c r="J134" s="19" t="s">
        <v>133</v>
      </c>
      <c r="K134" s="19" t="s">
        <v>1640</v>
      </c>
      <c r="L134" s="19" t="s">
        <v>67</v>
      </c>
    </row>
    <row r="135" spans="1:17" s="1" customFormat="1">
      <c r="A135" s="15"/>
      <c r="B135" s="95" t="s">
        <v>2112</v>
      </c>
      <c r="C135" s="95" t="s">
        <v>280</v>
      </c>
      <c r="D135" s="96" t="s">
        <v>2123</v>
      </c>
      <c r="E135" s="16" t="s">
        <v>128</v>
      </c>
      <c r="F135" s="72"/>
      <c r="G135" s="17" t="s">
        <v>2322</v>
      </c>
      <c r="H135" s="16"/>
      <c r="I135" s="17"/>
      <c r="J135" s="19" t="s">
        <v>133</v>
      </c>
      <c r="K135" s="19" t="s">
        <v>2235</v>
      </c>
      <c r="L135" s="19" t="s">
        <v>2237</v>
      </c>
    </row>
    <row r="136" spans="1:17" s="1" customFormat="1">
      <c r="A136" s="15"/>
      <c r="B136" s="95" t="s">
        <v>2113</v>
      </c>
      <c r="C136" s="95" t="s">
        <v>45</v>
      </c>
      <c r="D136" s="96" t="s">
        <v>2114</v>
      </c>
      <c r="E136" s="16" t="s">
        <v>128</v>
      </c>
      <c r="F136" s="72"/>
      <c r="G136" s="17" t="s">
        <v>2314</v>
      </c>
      <c r="H136" s="16"/>
      <c r="I136" s="17"/>
      <c r="J136" s="19" t="s">
        <v>133</v>
      </c>
      <c r="K136" s="19" t="s">
        <v>1640</v>
      </c>
      <c r="L136" s="19" t="s">
        <v>67</v>
      </c>
    </row>
    <row r="137" spans="1:17" s="1" customFormat="1">
      <c r="A137" s="15"/>
      <c r="B137" s="95" t="s">
        <v>2115</v>
      </c>
      <c r="C137" s="95" t="s">
        <v>45</v>
      </c>
      <c r="D137" s="96" t="s">
        <v>2116</v>
      </c>
      <c r="E137" s="16" t="s">
        <v>128</v>
      </c>
      <c r="F137" s="72"/>
      <c r="G137" s="17" t="s">
        <v>2315</v>
      </c>
      <c r="H137" s="16"/>
      <c r="I137" s="17"/>
      <c r="J137" s="19" t="s">
        <v>133</v>
      </c>
      <c r="K137" s="19" t="s">
        <v>1640</v>
      </c>
      <c r="L137" s="19" t="s">
        <v>67</v>
      </c>
    </row>
    <row r="138" spans="1:17" s="1" customFormat="1">
      <c r="A138" s="15"/>
      <c r="B138" s="95" t="s">
        <v>2117</v>
      </c>
      <c r="C138" s="95" t="s">
        <v>45</v>
      </c>
      <c r="D138" s="96" t="s">
        <v>2118</v>
      </c>
      <c r="E138" s="16" t="s">
        <v>128</v>
      </c>
      <c r="F138" s="72"/>
      <c r="G138" s="17" t="s">
        <v>2316</v>
      </c>
      <c r="H138" s="16"/>
      <c r="I138" s="17"/>
      <c r="J138" s="19" t="s">
        <v>133</v>
      </c>
      <c r="K138" s="19" t="s">
        <v>1640</v>
      </c>
      <c r="L138" s="19" t="s">
        <v>67</v>
      </c>
    </row>
    <row r="139" spans="1:17" s="1" customFormat="1">
      <c r="A139" s="15"/>
      <c r="B139" s="95" t="s">
        <v>2119</v>
      </c>
      <c r="C139" s="95" t="s">
        <v>45</v>
      </c>
      <c r="D139" s="96" t="s">
        <v>2120</v>
      </c>
      <c r="E139" s="16" t="s">
        <v>128</v>
      </c>
      <c r="F139" s="72"/>
      <c r="G139" s="17" t="s">
        <v>2317</v>
      </c>
      <c r="H139" s="16"/>
      <c r="I139" s="17"/>
      <c r="J139" s="19" t="s">
        <v>133</v>
      </c>
      <c r="K139" s="19" t="s">
        <v>1640</v>
      </c>
      <c r="L139" s="19" t="s">
        <v>67</v>
      </c>
    </row>
    <row r="140" spans="1:17" s="1" customFormat="1">
      <c r="A140" s="15"/>
      <c r="B140" s="95" t="s">
        <v>2121</v>
      </c>
      <c r="C140" s="95" t="s">
        <v>45</v>
      </c>
      <c r="D140" s="96" t="s">
        <v>2122</v>
      </c>
      <c r="E140" s="16" t="s">
        <v>128</v>
      </c>
      <c r="F140" s="72"/>
      <c r="G140" s="17" t="s">
        <v>2318</v>
      </c>
      <c r="H140" s="16"/>
      <c r="I140" s="17"/>
      <c r="J140" s="19" t="s">
        <v>133</v>
      </c>
      <c r="K140" s="19" t="s">
        <v>1640</v>
      </c>
      <c r="L140" s="19" t="s">
        <v>67</v>
      </c>
    </row>
    <row r="141" spans="1:17" s="1" customFormat="1">
      <c r="A141" s="15"/>
      <c r="B141" s="11" t="s">
        <v>315</v>
      </c>
      <c r="C141" s="11" t="s">
        <v>45</v>
      </c>
      <c r="D141" s="9" t="s">
        <v>112</v>
      </c>
      <c r="E141" s="16" t="s">
        <v>128</v>
      </c>
      <c r="F141" s="72"/>
      <c r="G141" s="17" t="s">
        <v>1145</v>
      </c>
      <c r="H141" s="16"/>
      <c r="I141" s="17"/>
      <c r="J141" s="19" t="s">
        <v>133</v>
      </c>
      <c r="K141" s="19" t="s">
        <v>44</v>
      </c>
      <c r="L141" s="19" t="s">
        <v>67</v>
      </c>
    </row>
    <row r="142" spans="1:17" s="3" customFormat="1">
      <c r="B142" s="23" t="s">
        <v>47</v>
      </c>
      <c r="C142" s="24" t="s">
        <v>46</v>
      </c>
      <c r="D142" s="21" t="s">
        <v>48</v>
      </c>
      <c r="E142" s="44"/>
      <c r="F142" s="44"/>
      <c r="G142" s="44" t="s">
        <v>282</v>
      </c>
      <c r="H142" s="23"/>
      <c r="I142" s="23"/>
      <c r="J142" s="23"/>
      <c r="K142" s="23"/>
      <c r="L142" s="23"/>
      <c r="M142" s="23"/>
      <c r="N142" s="23"/>
      <c r="O142" s="23"/>
      <c r="P142" s="23"/>
      <c r="Q142" s="23"/>
    </row>
    <row r="143" spans="1:17" s="3" customFormat="1">
      <c r="B143" s="23" t="s">
        <v>49</v>
      </c>
      <c r="C143" s="24" t="s">
        <v>43</v>
      </c>
      <c r="D143" s="21" t="s">
        <v>50</v>
      </c>
      <c r="E143" s="44"/>
      <c r="F143" s="44"/>
      <c r="G143" s="44" t="s">
        <v>282</v>
      </c>
      <c r="H143" s="23"/>
      <c r="I143" s="23"/>
      <c r="J143" s="23"/>
      <c r="K143" s="23"/>
      <c r="L143" s="23"/>
      <c r="M143" s="23"/>
      <c r="N143" s="23"/>
      <c r="O143" s="23"/>
      <c r="P143" s="23"/>
      <c r="Q143" s="23"/>
    </row>
  </sheetData>
  <autoFilter ref="A13:Q143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B588-6FC6-4318-96E6-50A5D3236238}">
  <dimension ref="A1:Q142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0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2438</v>
      </c>
      <c r="D5" s="9" t="s">
        <v>2449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2468</v>
      </c>
      <c r="D9" s="9" t="s">
        <v>2433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 ht="2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2483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6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80</v>
      </c>
      <c r="C16" s="22" t="s">
        <v>94</v>
      </c>
      <c r="D16" s="9" t="s">
        <v>99</v>
      </c>
      <c r="E16" s="16" t="s">
        <v>128</v>
      </c>
      <c r="F16" s="17" t="s">
        <v>80</v>
      </c>
      <c r="G16" s="17" t="s">
        <v>129</v>
      </c>
      <c r="H16" s="16"/>
      <c r="I16" s="20"/>
      <c r="J16" s="19" t="s">
        <v>131</v>
      </c>
      <c r="K16" s="19" t="s">
        <v>132</v>
      </c>
      <c r="L16" s="19" t="s">
        <v>678</v>
      </c>
    </row>
    <row r="17" spans="1:12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138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123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124</v>
      </c>
      <c r="C19" s="22" t="s">
        <v>94</v>
      </c>
      <c r="D19" s="9" t="s">
        <v>101</v>
      </c>
      <c r="E19" s="16" t="s">
        <v>128</v>
      </c>
      <c r="F19" s="9" t="s">
        <v>124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318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273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272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95</v>
      </c>
      <c r="C23" s="11" t="s">
        <v>93</v>
      </c>
      <c r="D23" s="9" t="s">
        <v>114</v>
      </c>
      <c r="E23" s="16" t="s">
        <v>128</v>
      </c>
      <c r="F23" s="9" t="s">
        <v>95</v>
      </c>
      <c r="G23" s="17" t="s">
        <v>129</v>
      </c>
      <c r="H23" s="16"/>
      <c r="I23" s="35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78</v>
      </c>
      <c r="C24" s="11" t="s">
        <v>93</v>
      </c>
      <c r="D24" s="9" t="s">
        <v>103</v>
      </c>
      <c r="E24" s="16" t="s">
        <v>128</v>
      </c>
      <c r="F24" s="17" t="s">
        <v>78</v>
      </c>
      <c r="G24" s="17" t="s">
        <v>129</v>
      </c>
      <c r="H24" s="16"/>
      <c r="I24" s="20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145</v>
      </c>
      <c r="C25" s="11" t="s">
        <v>45</v>
      </c>
      <c r="D25" s="9" t="s">
        <v>146</v>
      </c>
      <c r="E25" s="16" t="s">
        <v>128</v>
      </c>
      <c r="F25" s="17"/>
      <c r="G25" s="17" t="s">
        <v>1289</v>
      </c>
      <c r="H25" s="16"/>
      <c r="I25" s="17"/>
      <c r="J25" s="19" t="s">
        <v>133</v>
      </c>
      <c r="K25" s="19" t="s">
        <v>132</v>
      </c>
      <c r="L25" s="19" t="s">
        <v>134</v>
      </c>
    </row>
    <row r="26" spans="1:12" s="1" customFormat="1">
      <c r="A26" s="15"/>
      <c r="B26" s="11" t="s">
        <v>192</v>
      </c>
      <c r="C26" s="11" t="s">
        <v>45</v>
      </c>
      <c r="D26" s="9" t="s">
        <v>193</v>
      </c>
      <c r="E26" s="16" t="s">
        <v>128</v>
      </c>
      <c r="F26" s="17"/>
      <c r="G26" s="17" t="s">
        <v>2265</v>
      </c>
      <c r="H26" s="16"/>
      <c r="I26" s="17"/>
      <c r="J26" s="19" t="s">
        <v>133</v>
      </c>
      <c r="K26" s="19" t="s">
        <v>132</v>
      </c>
      <c r="L26" s="19" t="s">
        <v>134</v>
      </c>
    </row>
    <row r="27" spans="1:12" s="1" customFormat="1">
      <c r="A27" s="15"/>
      <c r="B27" s="90" t="s">
        <v>1475</v>
      </c>
      <c r="C27" s="22" t="s">
        <v>45</v>
      </c>
      <c r="D27" s="9" t="s">
        <v>348</v>
      </c>
      <c r="E27" s="16" t="s">
        <v>128</v>
      </c>
      <c r="F27" s="17"/>
      <c r="G27" s="17" t="s">
        <v>1426</v>
      </c>
      <c r="H27" s="16"/>
      <c r="I27" s="17"/>
      <c r="J27" s="19" t="s">
        <v>133</v>
      </c>
      <c r="K27" s="19" t="s">
        <v>203</v>
      </c>
      <c r="L27" s="19" t="s">
        <v>134</v>
      </c>
    </row>
    <row r="28" spans="1:12" s="1" customFormat="1">
      <c r="A28" s="15"/>
      <c r="B28" s="112" t="s">
        <v>1476</v>
      </c>
      <c r="C28" s="11" t="s">
        <v>45</v>
      </c>
      <c r="D28" s="9" t="s">
        <v>759</v>
      </c>
      <c r="E28" s="16" t="s">
        <v>128</v>
      </c>
      <c r="F28" s="72"/>
      <c r="G28" s="17" t="s">
        <v>1427</v>
      </c>
      <c r="H28" s="16"/>
      <c r="I28" s="17"/>
      <c r="J28" s="19" t="s">
        <v>133</v>
      </c>
      <c r="K28" s="19" t="s">
        <v>204</v>
      </c>
      <c r="L28" s="19" t="s">
        <v>134</v>
      </c>
    </row>
    <row r="29" spans="1:12" s="1" customFormat="1">
      <c r="A29" s="15"/>
      <c r="B29" s="112" t="s">
        <v>1477</v>
      </c>
      <c r="C29" s="11" t="s">
        <v>45</v>
      </c>
      <c r="D29" s="9" t="s">
        <v>160</v>
      </c>
      <c r="E29" s="16" t="s">
        <v>128</v>
      </c>
      <c r="F29" s="72"/>
      <c r="G29" s="17" t="s">
        <v>1428</v>
      </c>
      <c r="H29" s="16"/>
      <c r="I29" s="17"/>
      <c r="J29" s="19" t="s">
        <v>133</v>
      </c>
      <c r="K29" s="19" t="s">
        <v>204</v>
      </c>
      <c r="L29" s="19" t="s">
        <v>134</v>
      </c>
    </row>
    <row r="30" spans="1:12" s="1" customFormat="1">
      <c r="A30" s="15"/>
      <c r="B30" s="112" t="s">
        <v>299</v>
      </c>
      <c r="C30" s="11" t="s">
        <v>45</v>
      </c>
      <c r="D30" s="9" t="s">
        <v>1056</v>
      </c>
      <c r="E30" s="16" t="s">
        <v>128</v>
      </c>
      <c r="F30" s="72"/>
      <c r="G30" s="17" t="s">
        <v>1429</v>
      </c>
      <c r="H30" s="16"/>
      <c r="I30" s="17"/>
      <c r="J30" s="19" t="s">
        <v>133</v>
      </c>
      <c r="K30" s="19" t="s">
        <v>44</v>
      </c>
      <c r="L30" s="19" t="s">
        <v>67</v>
      </c>
    </row>
    <row r="31" spans="1:12" s="1" customFormat="1">
      <c r="A31" s="15"/>
      <c r="B31" s="112" t="s">
        <v>298</v>
      </c>
      <c r="C31" s="11" t="s">
        <v>45</v>
      </c>
      <c r="D31" s="9" t="s">
        <v>1055</v>
      </c>
      <c r="E31" s="16" t="s">
        <v>128</v>
      </c>
      <c r="F31" s="72"/>
      <c r="G31" s="17" t="s">
        <v>1430</v>
      </c>
      <c r="H31" s="16"/>
      <c r="I31" s="17"/>
      <c r="J31" s="19" t="s">
        <v>133</v>
      </c>
      <c r="K31" s="19" t="s">
        <v>44</v>
      </c>
      <c r="L31" s="19" t="s">
        <v>67</v>
      </c>
    </row>
    <row r="32" spans="1:12" s="1" customFormat="1">
      <c r="A32" s="15"/>
      <c r="B32" s="112" t="s">
        <v>300</v>
      </c>
      <c r="C32" s="11" t="s">
        <v>45</v>
      </c>
      <c r="D32" s="9" t="s">
        <v>163</v>
      </c>
      <c r="E32" s="16" t="s">
        <v>128</v>
      </c>
      <c r="F32" s="72"/>
      <c r="G32" s="17" t="s">
        <v>1431</v>
      </c>
      <c r="H32" s="16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2" t="s">
        <v>301</v>
      </c>
      <c r="C33" s="11" t="s">
        <v>45</v>
      </c>
      <c r="D33" s="9" t="s">
        <v>164</v>
      </c>
      <c r="E33" s="16" t="s">
        <v>128</v>
      </c>
      <c r="F33" s="72"/>
      <c r="G33" s="17" t="s">
        <v>1432</v>
      </c>
      <c r="H33" s="16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2" t="s">
        <v>302</v>
      </c>
      <c r="C34" s="11" t="s">
        <v>45</v>
      </c>
      <c r="D34" s="9" t="s">
        <v>165</v>
      </c>
      <c r="E34" s="16" t="s">
        <v>128</v>
      </c>
      <c r="F34" s="72"/>
      <c r="G34" s="17" t="s">
        <v>1433</v>
      </c>
      <c r="H34" s="16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2" t="s">
        <v>303</v>
      </c>
      <c r="C35" s="11" t="s">
        <v>45</v>
      </c>
      <c r="D35" s="9" t="s">
        <v>166</v>
      </c>
      <c r="E35" s="16" t="s">
        <v>128</v>
      </c>
      <c r="F35" s="72"/>
      <c r="G35" s="17" t="s">
        <v>1434</v>
      </c>
      <c r="H35" s="16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217</v>
      </c>
      <c r="C36" s="11" t="s">
        <v>45</v>
      </c>
      <c r="D36" s="9" t="s">
        <v>171</v>
      </c>
      <c r="E36" s="16" t="s">
        <v>128</v>
      </c>
      <c r="F36" s="72"/>
      <c r="G36" s="17" t="s">
        <v>1116</v>
      </c>
      <c r="H36" s="16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218</v>
      </c>
      <c r="C37" s="11" t="s">
        <v>45</v>
      </c>
      <c r="D37" s="9" t="s">
        <v>172</v>
      </c>
      <c r="E37" s="16" t="s">
        <v>128</v>
      </c>
      <c r="F37" s="72"/>
      <c r="G37" s="17" t="s">
        <v>1117</v>
      </c>
      <c r="H37" s="16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219</v>
      </c>
      <c r="C38" s="11" t="s">
        <v>45</v>
      </c>
      <c r="D38" s="9" t="s">
        <v>173</v>
      </c>
      <c r="E38" s="16" t="s">
        <v>128</v>
      </c>
      <c r="F38" s="72"/>
      <c r="G38" s="17" t="s">
        <v>1118</v>
      </c>
      <c r="H38" s="16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220</v>
      </c>
      <c r="C39" s="11" t="s">
        <v>45</v>
      </c>
      <c r="D39" s="9" t="s">
        <v>174</v>
      </c>
      <c r="E39" s="16" t="s">
        <v>128</v>
      </c>
      <c r="F39" s="72"/>
      <c r="G39" s="17" t="s">
        <v>1119</v>
      </c>
      <c r="H39" s="16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215</v>
      </c>
      <c r="C40" s="11" t="s">
        <v>45</v>
      </c>
      <c r="D40" s="9" t="s">
        <v>1260</v>
      </c>
      <c r="E40" s="16" t="s">
        <v>128</v>
      </c>
      <c r="F40" s="72"/>
      <c r="G40" s="17" t="s">
        <v>227</v>
      </c>
      <c r="H40" s="16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216</v>
      </c>
      <c r="C41" s="11" t="s">
        <v>45</v>
      </c>
      <c r="D41" s="9" t="s">
        <v>1261</v>
      </c>
      <c r="E41" s="16" t="s">
        <v>128</v>
      </c>
      <c r="F41" s="72"/>
      <c r="G41" s="17" t="s">
        <v>228</v>
      </c>
      <c r="H41" s="16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316</v>
      </c>
      <c r="C42" s="11" t="s">
        <v>45</v>
      </c>
      <c r="D42" s="9" t="s">
        <v>167</v>
      </c>
      <c r="E42" s="16" t="s">
        <v>128</v>
      </c>
      <c r="F42" s="72"/>
      <c r="G42" s="17" t="s">
        <v>772</v>
      </c>
      <c r="H42" s="16"/>
      <c r="I42" s="17"/>
      <c r="J42" s="19" t="s">
        <v>133</v>
      </c>
      <c r="K42" s="19" t="s">
        <v>202</v>
      </c>
      <c r="L42" s="19" t="s">
        <v>67</v>
      </c>
    </row>
    <row r="43" spans="1:12" s="1" customFormat="1">
      <c r="A43" s="15"/>
      <c r="B43" s="11" t="s">
        <v>809</v>
      </c>
      <c r="C43" s="11" t="s">
        <v>45</v>
      </c>
      <c r="D43" s="9" t="s">
        <v>175</v>
      </c>
      <c r="E43" s="16" t="s">
        <v>128</v>
      </c>
      <c r="F43" s="72"/>
      <c r="G43" s="17" t="s">
        <v>1120</v>
      </c>
      <c r="H43" s="16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317</v>
      </c>
      <c r="C44" s="11" t="s">
        <v>45</v>
      </c>
      <c r="D44" s="9" t="s">
        <v>168</v>
      </c>
      <c r="E44" s="16" t="s">
        <v>128</v>
      </c>
      <c r="F44" s="72"/>
      <c r="G44" s="17" t="s">
        <v>778</v>
      </c>
      <c r="H44" s="16"/>
      <c r="I44" s="17"/>
      <c r="J44" s="19" t="s">
        <v>133</v>
      </c>
      <c r="K44" s="19" t="s">
        <v>202</v>
      </c>
      <c r="L44" s="19" t="s">
        <v>67</v>
      </c>
    </row>
    <row r="45" spans="1:12" s="1" customFormat="1">
      <c r="A45" s="15"/>
      <c r="B45" s="11" t="s">
        <v>810</v>
      </c>
      <c r="C45" s="11" t="s">
        <v>45</v>
      </c>
      <c r="D45" s="9" t="s">
        <v>176</v>
      </c>
      <c r="E45" s="16" t="s">
        <v>128</v>
      </c>
      <c r="F45" s="72"/>
      <c r="G45" s="17" t="s">
        <v>1121</v>
      </c>
      <c r="H45" s="16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1213</v>
      </c>
      <c r="C46" s="11" t="s">
        <v>45</v>
      </c>
      <c r="D46" s="9" t="s">
        <v>178</v>
      </c>
      <c r="E46" s="16" t="s">
        <v>128</v>
      </c>
      <c r="F46" s="72"/>
      <c r="G46" s="17" t="s">
        <v>2266</v>
      </c>
      <c r="H46" s="16"/>
      <c r="I46" s="17"/>
      <c r="J46" s="19" t="s">
        <v>133</v>
      </c>
      <c r="K46" s="19" t="s">
        <v>202</v>
      </c>
      <c r="L46" s="19" t="s">
        <v>67</v>
      </c>
    </row>
    <row r="47" spans="1:12" s="1" customFormat="1">
      <c r="A47" s="15"/>
      <c r="B47" s="11" t="s">
        <v>221</v>
      </c>
      <c r="C47" s="11" t="s">
        <v>45</v>
      </c>
      <c r="D47" s="9" t="s">
        <v>177</v>
      </c>
      <c r="E47" s="16" t="s">
        <v>128</v>
      </c>
      <c r="F47" s="72"/>
      <c r="G47" s="17" t="s">
        <v>1122</v>
      </c>
      <c r="H47" s="16"/>
      <c r="I47" s="17"/>
      <c r="J47" s="19" t="s">
        <v>133</v>
      </c>
      <c r="K47" s="19" t="s">
        <v>204</v>
      </c>
      <c r="L47" s="19" t="s">
        <v>67</v>
      </c>
    </row>
    <row r="48" spans="1:12" s="1" customFormat="1">
      <c r="A48" s="15"/>
      <c r="B48" s="11" t="s">
        <v>1212</v>
      </c>
      <c r="C48" s="11" t="s">
        <v>45</v>
      </c>
      <c r="D48" s="9" t="s">
        <v>180</v>
      </c>
      <c r="E48" s="16" t="s">
        <v>128</v>
      </c>
      <c r="F48" s="72"/>
      <c r="G48" s="17" t="s">
        <v>2267</v>
      </c>
      <c r="H48" s="16"/>
      <c r="I48" s="17"/>
      <c r="J48" s="19" t="s">
        <v>133</v>
      </c>
      <c r="K48" s="19" t="s">
        <v>202</v>
      </c>
      <c r="L48" s="19" t="s">
        <v>67</v>
      </c>
    </row>
    <row r="49" spans="1:12" s="1" customFormat="1">
      <c r="A49" s="15"/>
      <c r="B49" s="11" t="s">
        <v>222</v>
      </c>
      <c r="C49" s="11" t="s">
        <v>45</v>
      </c>
      <c r="D49" s="9" t="s">
        <v>179</v>
      </c>
      <c r="E49" s="16" t="s">
        <v>128</v>
      </c>
      <c r="F49" s="72"/>
      <c r="G49" s="17" t="s">
        <v>1123</v>
      </c>
      <c r="H49" s="16"/>
      <c r="I49" s="17"/>
      <c r="J49" s="19" t="s">
        <v>133</v>
      </c>
      <c r="K49" s="19" t="s">
        <v>204</v>
      </c>
      <c r="L49" s="19" t="s">
        <v>67</v>
      </c>
    </row>
    <row r="50" spans="1:12" s="1" customFormat="1">
      <c r="A50" s="15"/>
      <c r="B50" s="112" t="s">
        <v>2469</v>
      </c>
      <c r="C50" s="11" t="s">
        <v>45</v>
      </c>
      <c r="D50" s="9" t="s">
        <v>2165</v>
      </c>
      <c r="E50" s="16" t="s">
        <v>128</v>
      </c>
      <c r="F50" s="72"/>
      <c r="G50" s="17" t="s">
        <v>2484</v>
      </c>
      <c r="H50" s="16"/>
      <c r="I50" s="17"/>
      <c r="J50" s="19" t="s">
        <v>133</v>
      </c>
      <c r="K50" s="19" t="s">
        <v>903</v>
      </c>
      <c r="L50" s="19" t="s">
        <v>134</v>
      </c>
    </row>
    <row r="51" spans="1:12" s="1" customFormat="1">
      <c r="A51" s="15"/>
      <c r="B51" s="112" t="s">
        <v>2407</v>
      </c>
      <c r="C51" s="11" t="s">
        <v>45</v>
      </c>
      <c r="D51" s="9" t="s">
        <v>2166</v>
      </c>
      <c r="E51" s="16" t="s">
        <v>128</v>
      </c>
      <c r="F51" s="72"/>
      <c r="G51" s="17" t="s">
        <v>2485</v>
      </c>
      <c r="H51" s="16"/>
      <c r="I51" s="17"/>
      <c r="J51" s="19" t="s">
        <v>133</v>
      </c>
      <c r="K51" s="19" t="s">
        <v>903</v>
      </c>
      <c r="L51" s="19" t="s">
        <v>134</v>
      </c>
    </row>
    <row r="52" spans="1:12" s="1" customFormat="1">
      <c r="A52" s="15"/>
      <c r="B52" s="11" t="s">
        <v>2179</v>
      </c>
      <c r="C52" s="11" t="s">
        <v>45</v>
      </c>
      <c r="D52" s="9" t="s">
        <v>2011</v>
      </c>
      <c r="E52" s="16" t="s">
        <v>128</v>
      </c>
      <c r="F52" s="72"/>
      <c r="G52" s="17" t="s">
        <v>2270</v>
      </c>
      <c r="H52" s="16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2172</v>
      </c>
      <c r="C53" s="11" t="s">
        <v>45</v>
      </c>
      <c r="D53" s="9" t="s">
        <v>2173</v>
      </c>
      <c r="E53" s="16" t="s">
        <v>128</v>
      </c>
      <c r="F53" s="72"/>
      <c r="G53" s="17" t="s">
        <v>2271</v>
      </c>
      <c r="H53" s="16"/>
      <c r="I53" s="17"/>
      <c r="J53" s="19" t="s">
        <v>133</v>
      </c>
      <c r="K53" s="19" t="s">
        <v>1640</v>
      </c>
      <c r="L53" s="19" t="s">
        <v>67</v>
      </c>
    </row>
    <row r="54" spans="1:12" s="1" customFormat="1">
      <c r="A54" s="15"/>
      <c r="B54" s="11" t="s">
        <v>2174</v>
      </c>
      <c r="C54" s="11" t="s">
        <v>45</v>
      </c>
      <c r="D54" s="9" t="s">
        <v>2175</v>
      </c>
      <c r="E54" s="16" t="s">
        <v>128</v>
      </c>
      <c r="F54" s="72"/>
      <c r="G54" s="17" t="s">
        <v>2272</v>
      </c>
      <c r="H54" s="16"/>
      <c r="I54" s="17"/>
      <c r="J54" s="19" t="s">
        <v>133</v>
      </c>
      <c r="K54" s="19" t="s">
        <v>1640</v>
      </c>
      <c r="L54" s="19" t="s">
        <v>67</v>
      </c>
    </row>
    <row r="55" spans="1:12" s="1" customFormat="1">
      <c r="A55" s="15"/>
      <c r="B55" s="11" t="s">
        <v>2181</v>
      </c>
      <c r="C55" s="11" t="s">
        <v>45</v>
      </c>
      <c r="D55" s="9" t="s">
        <v>2182</v>
      </c>
      <c r="E55" s="16" t="s">
        <v>128</v>
      </c>
      <c r="F55" s="72"/>
      <c r="G55" s="17" t="s">
        <v>2273</v>
      </c>
      <c r="H55" s="16"/>
      <c r="I55" s="17"/>
      <c r="J55" s="19" t="s">
        <v>133</v>
      </c>
      <c r="K55" s="19" t="s">
        <v>1640</v>
      </c>
      <c r="L55" s="19" t="s">
        <v>67</v>
      </c>
    </row>
    <row r="56" spans="1:12" s="1" customFormat="1">
      <c r="A56" s="15"/>
      <c r="B56" s="11" t="s">
        <v>2183</v>
      </c>
      <c r="C56" s="11" t="s">
        <v>45</v>
      </c>
      <c r="D56" s="9" t="s">
        <v>2184</v>
      </c>
      <c r="E56" s="16" t="s">
        <v>128</v>
      </c>
      <c r="F56" s="72"/>
      <c r="G56" s="17" t="s">
        <v>2274</v>
      </c>
      <c r="H56" s="16"/>
      <c r="I56" s="17"/>
      <c r="J56" s="19" t="s">
        <v>133</v>
      </c>
      <c r="K56" s="19" t="s">
        <v>1640</v>
      </c>
      <c r="L56" s="19" t="s">
        <v>67</v>
      </c>
    </row>
    <row r="57" spans="1:12" s="1" customFormat="1">
      <c r="A57" s="15"/>
      <c r="B57" s="11" t="s">
        <v>2185</v>
      </c>
      <c r="C57" s="11" t="s">
        <v>45</v>
      </c>
      <c r="D57" s="9" t="s">
        <v>2190</v>
      </c>
      <c r="E57" s="16" t="s">
        <v>128</v>
      </c>
      <c r="F57" s="72"/>
      <c r="G57" s="17" t="s">
        <v>2275</v>
      </c>
      <c r="H57" s="16"/>
      <c r="I57" s="17"/>
      <c r="J57" s="19" t="s">
        <v>133</v>
      </c>
      <c r="K57" s="19" t="s">
        <v>204</v>
      </c>
      <c r="L57" s="19" t="s">
        <v>67</v>
      </c>
    </row>
    <row r="58" spans="1:12" s="1" customFormat="1">
      <c r="A58" s="15"/>
      <c r="B58" s="11" t="s">
        <v>2186</v>
      </c>
      <c r="C58" s="11" t="s">
        <v>45</v>
      </c>
      <c r="D58" s="9" t="s">
        <v>2191</v>
      </c>
      <c r="E58" s="16" t="s">
        <v>128</v>
      </c>
      <c r="F58" s="72"/>
      <c r="G58" s="17" t="s">
        <v>2276</v>
      </c>
      <c r="H58" s="16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2245</v>
      </c>
      <c r="C59" s="11" t="s">
        <v>45</v>
      </c>
      <c r="D59" s="9" t="s">
        <v>2189</v>
      </c>
      <c r="E59" s="16" t="s">
        <v>128</v>
      </c>
      <c r="F59" s="72"/>
      <c r="G59" s="17" t="s">
        <v>2277</v>
      </c>
      <c r="H59" s="16"/>
      <c r="I59" s="17"/>
      <c r="J59" s="19" t="s">
        <v>133</v>
      </c>
      <c r="K59" s="19" t="s">
        <v>204</v>
      </c>
      <c r="L59" s="19" t="s">
        <v>67</v>
      </c>
    </row>
    <row r="60" spans="1:12" s="1" customFormat="1">
      <c r="A60" s="15"/>
      <c r="B60" s="11" t="s">
        <v>2159</v>
      </c>
      <c r="C60" s="95" t="s">
        <v>280</v>
      </c>
      <c r="D60" s="9" t="s">
        <v>2161</v>
      </c>
      <c r="E60" s="16" t="s">
        <v>128</v>
      </c>
      <c r="F60" s="72"/>
      <c r="G60" s="17" t="s">
        <v>2278</v>
      </c>
      <c r="H60" s="16"/>
      <c r="I60" s="17"/>
      <c r="J60" s="19" t="s">
        <v>133</v>
      </c>
      <c r="K60" s="19" t="s">
        <v>203</v>
      </c>
      <c r="L60" s="19" t="s">
        <v>67</v>
      </c>
    </row>
    <row r="61" spans="1:12" s="1" customFormat="1">
      <c r="A61" s="15"/>
      <c r="B61" s="11" t="s">
        <v>2160</v>
      </c>
      <c r="C61" s="95" t="s">
        <v>280</v>
      </c>
      <c r="D61" s="9" t="s">
        <v>2162</v>
      </c>
      <c r="E61" s="16" t="s">
        <v>128</v>
      </c>
      <c r="F61" s="72"/>
      <c r="G61" s="17" t="s">
        <v>2279</v>
      </c>
      <c r="H61" s="16"/>
      <c r="I61" s="17"/>
      <c r="J61" s="19" t="s">
        <v>133</v>
      </c>
      <c r="K61" s="19" t="s">
        <v>202</v>
      </c>
      <c r="L61" s="19" t="s">
        <v>67</v>
      </c>
    </row>
    <row r="62" spans="1:12" s="1" customFormat="1">
      <c r="A62" s="15"/>
      <c r="B62" s="11" t="s">
        <v>205</v>
      </c>
      <c r="C62" s="11" t="s">
        <v>45</v>
      </c>
      <c r="D62" s="9" t="s">
        <v>147</v>
      </c>
      <c r="E62" s="16" t="s">
        <v>128</v>
      </c>
      <c r="F62" s="72"/>
      <c r="G62" s="17" t="s">
        <v>2247</v>
      </c>
      <c r="H62" s="16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206</v>
      </c>
      <c r="C63" s="11" t="s">
        <v>280</v>
      </c>
      <c r="D63" s="9" t="s">
        <v>820</v>
      </c>
      <c r="E63" s="16" t="s">
        <v>128</v>
      </c>
      <c r="F63" s="72"/>
      <c r="G63" s="17" t="s">
        <v>1081</v>
      </c>
      <c r="H63" s="16"/>
      <c r="I63" s="17"/>
      <c r="J63" s="19" t="s">
        <v>133</v>
      </c>
      <c r="K63" s="19" t="s">
        <v>202</v>
      </c>
      <c r="L63" s="19" t="s">
        <v>67</v>
      </c>
    </row>
    <row r="64" spans="1:12" s="1" customFormat="1">
      <c r="A64" s="15"/>
      <c r="B64" s="112" t="s">
        <v>286</v>
      </c>
      <c r="C64" s="11" t="s">
        <v>45</v>
      </c>
      <c r="D64" s="9" t="s">
        <v>1018</v>
      </c>
      <c r="E64" s="16" t="s">
        <v>128</v>
      </c>
      <c r="F64" s="72"/>
      <c r="G64" s="17" t="s">
        <v>1441</v>
      </c>
      <c r="H64" s="16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2" t="s">
        <v>287</v>
      </c>
      <c r="C65" s="11" t="s">
        <v>45</v>
      </c>
      <c r="D65" s="9" t="s">
        <v>1019</v>
      </c>
      <c r="E65" s="16" t="s">
        <v>128</v>
      </c>
      <c r="F65" s="72"/>
      <c r="G65" s="17" t="s">
        <v>1442</v>
      </c>
      <c r="H65" s="16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2" t="s">
        <v>288</v>
      </c>
      <c r="C66" s="11" t="s">
        <v>45</v>
      </c>
      <c r="D66" s="9" t="s">
        <v>1020</v>
      </c>
      <c r="E66" s="16" t="s">
        <v>128</v>
      </c>
      <c r="F66" s="72"/>
      <c r="G66" s="17" t="s">
        <v>1443</v>
      </c>
      <c r="H66" s="16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2" t="s">
        <v>289</v>
      </c>
      <c r="C67" s="11" t="s">
        <v>45</v>
      </c>
      <c r="D67" s="9" t="s">
        <v>1021</v>
      </c>
      <c r="E67" s="16" t="s">
        <v>128</v>
      </c>
      <c r="F67" s="72"/>
      <c r="G67" s="17" t="s">
        <v>1444</v>
      </c>
      <c r="H67" s="16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2" t="s">
        <v>290</v>
      </c>
      <c r="C68" s="11" t="s">
        <v>45</v>
      </c>
      <c r="D68" s="9" t="s">
        <v>1042</v>
      </c>
      <c r="E68" s="16" t="s">
        <v>128</v>
      </c>
      <c r="F68" s="72"/>
      <c r="G68" s="17" t="s">
        <v>1445</v>
      </c>
      <c r="H68" s="16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1049</v>
      </c>
      <c r="C69" s="11" t="s">
        <v>45</v>
      </c>
      <c r="D69" s="9" t="s">
        <v>153</v>
      </c>
      <c r="E69" s="16" t="s">
        <v>128</v>
      </c>
      <c r="F69" s="72"/>
      <c r="G69" s="17" t="s">
        <v>1262</v>
      </c>
      <c r="H69" s="16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823</v>
      </c>
      <c r="C70" s="11" t="s">
        <v>280</v>
      </c>
      <c r="D70" s="9" t="s">
        <v>1474</v>
      </c>
      <c r="E70" s="16" t="s">
        <v>128</v>
      </c>
      <c r="F70" s="72"/>
      <c r="G70" s="17" t="s">
        <v>1082</v>
      </c>
      <c r="H70" s="16"/>
      <c r="I70" s="17"/>
      <c r="J70" s="19" t="s">
        <v>133</v>
      </c>
      <c r="K70" s="19" t="s">
        <v>202</v>
      </c>
      <c r="L70" s="19" t="s">
        <v>67</v>
      </c>
    </row>
    <row r="71" spans="1:12" s="1" customFormat="1">
      <c r="A71" s="15"/>
      <c r="B71" s="112" t="s">
        <v>291</v>
      </c>
      <c r="C71" s="11" t="s">
        <v>45</v>
      </c>
      <c r="D71" s="9" t="s">
        <v>1026</v>
      </c>
      <c r="E71" s="16" t="s">
        <v>128</v>
      </c>
      <c r="F71" s="72"/>
      <c r="G71" s="17" t="s">
        <v>1446</v>
      </c>
      <c r="H71" s="16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2" t="s">
        <v>292</v>
      </c>
      <c r="C72" s="11" t="s">
        <v>45</v>
      </c>
      <c r="D72" s="9" t="s">
        <v>1027</v>
      </c>
      <c r="E72" s="16" t="s">
        <v>128</v>
      </c>
      <c r="F72" s="72"/>
      <c r="G72" s="17" t="s">
        <v>1447</v>
      </c>
      <c r="H72" s="16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2" t="s">
        <v>293</v>
      </c>
      <c r="C73" s="11" t="s">
        <v>45</v>
      </c>
      <c r="D73" s="9" t="s">
        <v>1028</v>
      </c>
      <c r="E73" s="16" t="s">
        <v>128</v>
      </c>
      <c r="F73" s="72"/>
      <c r="G73" s="17" t="s">
        <v>1448</v>
      </c>
      <c r="H73" s="16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2" t="s">
        <v>294</v>
      </c>
      <c r="C74" s="11" t="s">
        <v>45</v>
      </c>
      <c r="D74" s="9" t="s">
        <v>1029</v>
      </c>
      <c r="E74" s="16" t="s">
        <v>128</v>
      </c>
      <c r="F74" s="72"/>
      <c r="G74" s="17" t="s">
        <v>1449</v>
      </c>
      <c r="H74" s="16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2" t="s">
        <v>295</v>
      </c>
      <c r="C75" s="11" t="s">
        <v>45</v>
      </c>
      <c r="D75" s="9" t="s">
        <v>1043</v>
      </c>
      <c r="E75" s="16" t="s">
        <v>128</v>
      </c>
      <c r="F75" s="72"/>
      <c r="G75" s="17" t="s">
        <v>1450</v>
      </c>
      <c r="H75" s="16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1084</v>
      </c>
      <c r="C76" s="11" t="s">
        <v>280</v>
      </c>
      <c r="D76" s="9" t="s">
        <v>1086</v>
      </c>
      <c r="E76" s="16" t="s">
        <v>128</v>
      </c>
      <c r="F76" s="72"/>
      <c r="G76" s="17" t="s">
        <v>2248</v>
      </c>
      <c r="H76" s="16"/>
      <c r="I76" s="17"/>
      <c r="J76" s="19" t="s">
        <v>133</v>
      </c>
      <c r="K76" s="19" t="s">
        <v>202</v>
      </c>
      <c r="L76" s="19" t="s">
        <v>67</v>
      </c>
    </row>
    <row r="77" spans="1:12" s="1" customFormat="1">
      <c r="A77" s="15"/>
      <c r="B77" s="11" t="s">
        <v>1083</v>
      </c>
      <c r="C77" s="11" t="s">
        <v>280</v>
      </c>
      <c r="D77" s="9" t="s">
        <v>841</v>
      </c>
      <c r="E77" s="16" t="s">
        <v>128</v>
      </c>
      <c r="F77" s="72"/>
      <c r="G77" s="17" t="s">
        <v>1866</v>
      </c>
      <c r="H77" s="16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2" t="s">
        <v>1469</v>
      </c>
      <c r="C78" s="11" t="s">
        <v>45</v>
      </c>
      <c r="D78" s="9" t="s">
        <v>1038</v>
      </c>
      <c r="E78" s="16" t="s">
        <v>128</v>
      </c>
      <c r="F78" s="72"/>
      <c r="G78" s="17" t="s">
        <v>1451</v>
      </c>
      <c r="H78" s="16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2" t="s">
        <v>1470</v>
      </c>
      <c r="C79" s="11" t="s">
        <v>45</v>
      </c>
      <c r="D79" s="9" t="s">
        <v>1039</v>
      </c>
      <c r="E79" s="16" t="s">
        <v>128</v>
      </c>
      <c r="F79" s="72"/>
      <c r="G79" s="17" t="s">
        <v>1452</v>
      </c>
      <c r="H79" s="16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2" t="s">
        <v>1471</v>
      </c>
      <c r="C80" s="11" t="s">
        <v>45</v>
      </c>
      <c r="D80" s="9" t="s">
        <v>1040</v>
      </c>
      <c r="E80" s="16" t="s">
        <v>128</v>
      </c>
      <c r="F80" s="72"/>
      <c r="G80" s="17" t="s">
        <v>1453</v>
      </c>
      <c r="H80" s="16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2" t="s">
        <v>1472</v>
      </c>
      <c r="C81" s="11" t="s">
        <v>45</v>
      </c>
      <c r="D81" s="9" t="s">
        <v>1041</v>
      </c>
      <c r="E81" s="16" t="s">
        <v>128</v>
      </c>
      <c r="F81" s="72"/>
      <c r="G81" s="17" t="s">
        <v>1454</v>
      </c>
      <c r="H81" s="16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2" t="s">
        <v>1473</v>
      </c>
      <c r="C82" s="11" t="s">
        <v>45</v>
      </c>
      <c r="D82" s="9" t="s">
        <v>1044</v>
      </c>
      <c r="E82" s="16" t="s">
        <v>128</v>
      </c>
      <c r="F82" s="72"/>
      <c r="G82" s="17" t="s">
        <v>1455</v>
      </c>
      <c r="H82" s="16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816</v>
      </c>
      <c r="C83" s="11" t="s">
        <v>280</v>
      </c>
      <c r="D83" s="9" t="s">
        <v>839</v>
      </c>
      <c r="E83" s="16" t="s">
        <v>128</v>
      </c>
      <c r="F83" s="72"/>
      <c r="G83" s="17" t="s">
        <v>1088</v>
      </c>
      <c r="H83" s="16"/>
      <c r="I83" s="17"/>
      <c r="J83" s="19" t="s">
        <v>133</v>
      </c>
      <c r="K83" s="19" t="s">
        <v>202</v>
      </c>
      <c r="L83" s="19" t="s">
        <v>67</v>
      </c>
    </row>
    <row r="84" spans="1:12" s="1" customFormat="1">
      <c r="A84" s="15"/>
      <c r="B84" s="11" t="s">
        <v>817</v>
      </c>
      <c r="C84" s="11" t="s">
        <v>45</v>
      </c>
      <c r="D84" s="9" t="s">
        <v>658</v>
      </c>
      <c r="E84" s="16" t="s">
        <v>128</v>
      </c>
      <c r="F84" s="72"/>
      <c r="G84" s="17" t="s">
        <v>1089</v>
      </c>
      <c r="H84" s="16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818</v>
      </c>
      <c r="C85" s="11" t="s">
        <v>280</v>
      </c>
      <c r="D85" s="9" t="s">
        <v>842</v>
      </c>
      <c r="E85" s="16" t="s">
        <v>128</v>
      </c>
      <c r="F85" s="72"/>
      <c r="G85" s="17" t="s">
        <v>1091</v>
      </c>
      <c r="H85" s="16"/>
      <c r="I85" s="17"/>
      <c r="J85" s="19" t="s">
        <v>133</v>
      </c>
      <c r="K85" s="19" t="s">
        <v>202</v>
      </c>
      <c r="L85" s="19" t="s">
        <v>67</v>
      </c>
    </row>
    <row r="86" spans="1:12" s="1" customFormat="1">
      <c r="A86" s="15"/>
      <c r="B86" s="11" t="s">
        <v>819</v>
      </c>
      <c r="C86" s="11" t="s">
        <v>45</v>
      </c>
      <c r="D86" s="9" t="s">
        <v>660</v>
      </c>
      <c r="E86" s="16" t="s">
        <v>128</v>
      </c>
      <c r="F86" s="72"/>
      <c r="G86" s="17" t="s">
        <v>1092</v>
      </c>
      <c r="H86" s="16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22" t="s">
        <v>2327</v>
      </c>
      <c r="C87" s="22" t="s">
        <v>45</v>
      </c>
      <c r="D87" s="9" t="s">
        <v>2017</v>
      </c>
      <c r="E87" s="16" t="s">
        <v>128</v>
      </c>
      <c r="F87" s="72"/>
      <c r="G87" s="17" t="s">
        <v>2330</v>
      </c>
      <c r="H87" s="16"/>
      <c r="I87" s="17"/>
      <c r="J87" s="19" t="s">
        <v>133</v>
      </c>
      <c r="K87" s="19" t="s">
        <v>903</v>
      </c>
      <c r="L87" s="19" t="s">
        <v>67</v>
      </c>
    </row>
    <row r="88" spans="1:12" s="1" customFormat="1">
      <c r="A88" s="15"/>
      <c r="B88" s="22" t="s">
        <v>2194</v>
      </c>
      <c r="C88" s="22" t="s">
        <v>280</v>
      </c>
      <c r="D88" s="9" t="s">
        <v>2196</v>
      </c>
      <c r="E88" s="16" t="s">
        <v>128</v>
      </c>
      <c r="F88" s="72"/>
      <c r="G88" s="17" t="s">
        <v>2250</v>
      </c>
      <c r="H88" s="16"/>
      <c r="I88" s="17"/>
      <c r="J88" s="19" t="s">
        <v>133</v>
      </c>
      <c r="K88" s="19" t="s">
        <v>2024</v>
      </c>
      <c r="L88" s="19" t="s">
        <v>67</v>
      </c>
    </row>
    <row r="89" spans="1:12" s="1" customFormat="1">
      <c r="B89" s="22" t="s">
        <v>2132</v>
      </c>
      <c r="C89" s="22" t="s">
        <v>280</v>
      </c>
      <c r="D89" s="9" t="s">
        <v>2134</v>
      </c>
      <c r="E89" s="16" t="s">
        <v>128</v>
      </c>
      <c r="F89" s="22"/>
      <c r="G89" s="17" t="s">
        <v>2333</v>
      </c>
      <c r="H89" s="16"/>
      <c r="I89" s="88"/>
      <c r="J89" s="19" t="s">
        <v>133</v>
      </c>
      <c r="K89" s="19" t="s">
        <v>2136</v>
      </c>
      <c r="L89" s="19" t="s">
        <v>134</v>
      </c>
    </row>
    <row r="90" spans="1:12" s="1" customFormat="1">
      <c r="A90" s="15"/>
      <c r="B90" s="90" t="s">
        <v>2328</v>
      </c>
      <c r="C90" s="22" t="s">
        <v>45</v>
      </c>
      <c r="D90" s="9" t="s">
        <v>2034</v>
      </c>
      <c r="E90" s="16" t="s">
        <v>128</v>
      </c>
      <c r="F90" s="72"/>
      <c r="G90" s="17" t="s">
        <v>2331</v>
      </c>
      <c r="H90" s="16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90" t="s">
        <v>2193</v>
      </c>
      <c r="C91" s="22" t="s">
        <v>280</v>
      </c>
      <c r="D91" s="9" t="s">
        <v>2195</v>
      </c>
      <c r="E91" s="16" t="s">
        <v>128</v>
      </c>
      <c r="F91" s="72"/>
      <c r="G91" s="17" t="s">
        <v>2429</v>
      </c>
      <c r="H91" s="16"/>
      <c r="I91" s="17"/>
      <c r="J91" s="19" t="s">
        <v>133</v>
      </c>
      <c r="K91" s="19" t="s">
        <v>2024</v>
      </c>
      <c r="L91" s="19" t="s">
        <v>67</v>
      </c>
    </row>
    <row r="92" spans="1:12" s="1" customFormat="1">
      <c r="B92" s="90" t="s">
        <v>2133</v>
      </c>
      <c r="C92" s="22" t="s">
        <v>280</v>
      </c>
      <c r="D92" s="9" t="s">
        <v>2135</v>
      </c>
      <c r="E92" s="16" t="s">
        <v>128</v>
      </c>
      <c r="F92" s="22"/>
      <c r="G92" s="113" t="s">
        <v>2334</v>
      </c>
      <c r="H92" s="16"/>
      <c r="I92" s="88"/>
      <c r="J92" s="19" t="s">
        <v>133</v>
      </c>
      <c r="K92" s="19" t="s">
        <v>2136</v>
      </c>
      <c r="L92" s="19" t="s">
        <v>134</v>
      </c>
    </row>
    <row r="93" spans="1:12" s="1" customFormat="1">
      <c r="B93" s="22" t="s">
        <v>2255</v>
      </c>
      <c r="C93" s="22" t="s">
        <v>45</v>
      </c>
      <c r="D93" s="9" t="s">
        <v>2201</v>
      </c>
      <c r="E93" s="16" t="s">
        <v>128</v>
      </c>
      <c r="F93" s="22"/>
      <c r="G93" s="113" t="s">
        <v>2487</v>
      </c>
      <c r="H93" s="16"/>
      <c r="I93" s="17"/>
      <c r="J93" s="19" t="s">
        <v>133</v>
      </c>
      <c r="K93" s="19" t="s">
        <v>1640</v>
      </c>
      <c r="L93" s="19" t="s">
        <v>67</v>
      </c>
    </row>
    <row r="94" spans="1:12" s="1" customFormat="1">
      <c r="B94" s="112" t="s">
        <v>3044</v>
      </c>
      <c r="C94" s="22" t="s">
        <v>45</v>
      </c>
      <c r="D94" s="9" t="s">
        <v>2202</v>
      </c>
      <c r="E94" s="16" t="s">
        <v>128</v>
      </c>
      <c r="F94" s="22"/>
      <c r="G94" s="113" t="s">
        <v>2486</v>
      </c>
      <c r="H94" s="16"/>
      <c r="I94" s="17"/>
      <c r="J94" s="19" t="s">
        <v>133</v>
      </c>
      <c r="K94" s="19" t="s">
        <v>1640</v>
      </c>
      <c r="L94" s="19" t="s">
        <v>67</v>
      </c>
    </row>
    <row r="95" spans="1:12" s="1" customFormat="1">
      <c r="B95" s="22" t="s">
        <v>2203</v>
      </c>
      <c r="C95" s="22" t="s">
        <v>56</v>
      </c>
      <c r="D95" s="9" t="s">
        <v>2204</v>
      </c>
      <c r="E95" s="16" t="s">
        <v>128</v>
      </c>
      <c r="F95" s="22"/>
      <c r="G95" s="113" t="s">
        <v>2488</v>
      </c>
      <c r="H95" s="16"/>
      <c r="I95" s="88"/>
      <c r="J95" s="19" t="s">
        <v>133</v>
      </c>
      <c r="K95" s="19" t="s">
        <v>44</v>
      </c>
      <c r="L95" s="19" t="s">
        <v>1292</v>
      </c>
    </row>
    <row r="96" spans="1:12" s="1" customFormat="1">
      <c r="B96" s="22" t="s">
        <v>2216</v>
      </c>
      <c r="C96" s="22" t="s">
        <v>45</v>
      </c>
      <c r="D96" s="9" t="s">
        <v>2036</v>
      </c>
      <c r="E96" s="16" t="s">
        <v>128</v>
      </c>
      <c r="F96" s="22"/>
      <c r="G96" s="113" t="s">
        <v>2282</v>
      </c>
      <c r="H96" s="16"/>
      <c r="I96" s="17"/>
      <c r="J96" s="19" t="s">
        <v>133</v>
      </c>
      <c r="K96" s="19" t="s">
        <v>2235</v>
      </c>
      <c r="L96" s="19" t="s">
        <v>67</v>
      </c>
    </row>
    <row r="97" spans="1:12" s="1" customFormat="1">
      <c r="B97" s="22" t="s">
        <v>2218</v>
      </c>
      <c r="C97" s="22" t="s">
        <v>45</v>
      </c>
      <c r="D97" s="9" t="s">
        <v>2219</v>
      </c>
      <c r="E97" s="16" t="s">
        <v>128</v>
      </c>
      <c r="F97" s="22"/>
      <c r="G97" s="17" t="s">
        <v>2283</v>
      </c>
      <c r="H97" s="16"/>
      <c r="I97" s="17"/>
      <c r="J97" s="19" t="s">
        <v>133</v>
      </c>
      <c r="K97" s="19" t="s">
        <v>1640</v>
      </c>
      <c r="L97" s="19" t="s">
        <v>67</v>
      </c>
    </row>
    <row r="98" spans="1:12" s="1" customFormat="1">
      <c r="B98" s="22" t="s">
        <v>2217</v>
      </c>
      <c r="C98" s="22" t="s">
        <v>45</v>
      </c>
      <c r="D98" s="9" t="s">
        <v>2035</v>
      </c>
      <c r="E98" s="16" t="s">
        <v>128</v>
      </c>
      <c r="F98" s="22"/>
      <c r="G98" s="17" t="s">
        <v>2284</v>
      </c>
      <c r="H98" s="16"/>
      <c r="I98" s="17"/>
      <c r="J98" s="19" t="s">
        <v>133</v>
      </c>
      <c r="K98" s="19" t="s">
        <v>2235</v>
      </c>
      <c r="L98" s="19" t="s">
        <v>67</v>
      </c>
    </row>
    <row r="99" spans="1:12" s="1" customFormat="1">
      <c r="B99" s="22" t="s">
        <v>2220</v>
      </c>
      <c r="C99" s="22" t="s">
        <v>45</v>
      </c>
      <c r="D99" s="9" t="s">
        <v>2225</v>
      </c>
      <c r="E99" s="16" t="s">
        <v>128</v>
      </c>
      <c r="F99" s="22"/>
      <c r="G99" s="17" t="s">
        <v>2285</v>
      </c>
      <c r="H99" s="16"/>
      <c r="I99" s="17"/>
      <c r="J99" s="19" t="s">
        <v>133</v>
      </c>
      <c r="K99" s="19" t="s">
        <v>1640</v>
      </c>
      <c r="L99" s="19" t="s">
        <v>67</v>
      </c>
    </row>
    <row r="100" spans="1:12" s="1" customFormat="1">
      <c r="B100" s="22" t="s">
        <v>2140</v>
      </c>
      <c r="C100" s="22" t="s">
        <v>45</v>
      </c>
      <c r="D100" s="9" t="s">
        <v>2141</v>
      </c>
      <c r="E100" s="16" t="s">
        <v>128</v>
      </c>
      <c r="F100" s="22"/>
      <c r="G100" s="17" t="s">
        <v>2286</v>
      </c>
      <c r="H100" s="16"/>
      <c r="I100" s="17"/>
      <c r="J100" s="19" t="s">
        <v>133</v>
      </c>
      <c r="K100" s="19" t="s">
        <v>903</v>
      </c>
      <c r="L100" s="19" t="s">
        <v>67</v>
      </c>
    </row>
    <row r="101" spans="1:12" s="1" customFormat="1">
      <c r="B101" s="22" t="s">
        <v>3040</v>
      </c>
      <c r="C101" s="22" t="s">
        <v>45</v>
      </c>
      <c r="D101" s="9" t="s">
        <v>2143</v>
      </c>
      <c r="E101" s="16" t="s">
        <v>128</v>
      </c>
      <c r="F101" s="22"/>
      <c r="G101" s="17" t="s">
        <v>2287</v>
      </c>
      <c r="H101" s="16"/>
      <c r="I101" s="17"/>
      <c r="J101" s="19" t="s">
        <v>133</v>
      </c>
      <c r="K101" s="19" t="s">
        <v>903</v>
      </c>
      <c r="L101" s="19" t="s">
        <v>67</v>
      </c>
    </row>
    <row r="102" spans="1:12" s="1" customFormat="1">
      <c r="B102" s="22" t="s">
        <v>2144</v>
      </c>
      <c r="C102" s="22" t="s">
        <v>45</v>
      </c>
      <c r="D102" s="9" t="s">
        <v>2145</v>
      </c>
      <c r="E102" s="16" t="s">
        <v>128</v>
      </c>
      <c r="F102" s="22"/>
      <c r="G102" s="17" t="s">
        <v>2288</v>
      </c>
      <c r="H102" s="16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B103" s="22" t="s">
        <v>2146</v>
      </c>
      <c r="C103" s="22" t="s">
        <v>45</v>
      </c>
      <c r="D103" s="9" t="s">
        <v>2147</v>
      </c>
      <c r="E103" s="16" t="s">
        <v>128</v>
      </c>
      <c r="F103" s="22"/>
      <c r="G103" s="17" t="s">
        <v>2289</v>
      </c>
      <c r="H103" s="16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B104" s="22" t="s">
        <v>2148</v>
      </c>
      <c r="C104" s="22" t="s">
        <v>45</v>
      </c>
      <c r="D104" s="9" t="s">
        <v>2149</v>
      </c>
      <c r="E104" s="16" t="s">
        <v>128</v>
      </c>
      <c r="F104" s="22"/>
      <c r="G104" s="17" t="s">
        <v>2290</v>
      </c>
      <c r="H104" s="16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B105" s="22" t="s">
        <v>2150</v>
      </c>
      <c r="C105" s="22" t="s">
        <v>45</v>
      </c>
      <c r="D105" s="9" t="s">
        <v>2151</v>
      </c>
      <c r="E105" s="16" t="s">
        <v>128</v>
      </c>
      <c r="F105" s="22"/>
      <c r="G105" s="17" t="s">
        <v>2291</v>
      </c>
      <c r="H105" s="16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A106" s="15"/>
      <c r="B106" s="11" t="s">
        <v>2261</v>
      </c>
      <c r="C106" s="11" t="s">
        <v>280</v>
      </c>
      <c r="D106" s="9" t="s">
        <v>2038</v>
      </c>
      <c r="E106" s="16" t="s">
        <v>128</v>
      </c>
      <c r="F106" s="72"/>
      <c r="G106" s="17" t="s">
        <v>3075</v>
      </c>
      <c r="H106" s="16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95" t="s">
        <v>2041</v>
      </c>
      <c r="C107" s="95" t="s">
        <v>45</v>
      </c>
      <c r="D107" s="96" t="s">
        <v>2042</v>
      </c>
      <c r="E107" s="16" t="s">
        <v>128</v>
      </c>
      <c r="F107" s="72"/>
      <c r="G107" s="17" t="s">
        <v>2292</v>
      </c>
      <c r="H107" s="16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95" t="s">
        <v>2043</v>
      </c>
      <c r="C108" s="95" t="s">
        <v>45</v>
      </c>
      <c r="D108" s="96" t="s">
        <v>2044</v>
      </c>
      <c r="E108" s="16" t="s">
        <v>128</v>
      </c>
      <c r="F108" s="72"/>
      <c r="G108" s="17" t="s">
        <v>2293</v>
      </c>
      <c r="H108" s="16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A109" s="15"/>
      <c r="B109" s="95" t="s">
        <v>2045</v>
      </c>
      <c r="C109" s="95" t="s">
        <v>45</v>
      </c>
      <c r="D109" s="96" t="s">
        <v>2046</v>
      </c>
      <c r="E109" s="16" t="s">
        <v>128</v>
      </c>
      <c r="F109" s="72"/>
      <c r="G109" s="17" t="s">
        <v>2294</v>
      </c>
      <c r="H109" s="16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95" t="s">
        <v>2047</v>
      </c>
      <c r="C110" s="95" t="s">
        <v>45</v>
      </c>
      <c r="D110" s="96" t="s">
        <v>2048</v>
      </c>
      <c r="E110" s="16" t="s">
        <v>128</v>
      </c>
      <c r="F110" s="72"/>
      <c r="G110" s="17" t="s">
        <v>2295</v>
      </c>
      <c r="H110" s="16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95" t="s">
        <v>2049</v>
      </c>
      <c r="C111" s="95" t="s">
        <v>45</v>
      </c>
      <c r="D111" s="96" t="s">
        <v>2050</v>
      </c>
      <c r="E111" s="16" t="s">
        <v>128</v>
      </c>
      <c r="F111" s="72"/>
      <c r="G111" s="17" t="s">
        <v>2296</v>
      </c>
      <c r="H111" s="16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11" t="s">
        <v>2263</v>
      </c>
      <c r="C112" s="95" t="s">
        <v>280</v>
      </c>
      <c r="D112" s="9" t="s">
        <v>2052</v>
      </c>
      <c r="E112" s="16" t="s">
        <v>128</v>
      </c>
      <c r="F112" s="72"/>
      <c r="G112" s="17" t="s">
        <v>3076</v>
      </c>
      <c r="H112" s="16"/>
      <c r="I112" s="17"/>
      <c r="J112" s="19" t="s">
        <v>133</v>
      </c>
      <c r="K112" s="19" t="s">
        <v>203</v>
      </c>
      <c r="L112" s="19" t="s">
        <v>67</v>
      </c>
    </row>
    <row r="113" spans="1:12" s="1" customFormat="1">
      <c r="A113" s="15"/>
      <c r="B113" s="11" t="s">
        <v>2053</v>
      </c>
      <c r="C113" s="11" t="s">
        <v>45</v>
      </c>
      <c r="D113" s="9" t="s">
        <v>2054</v>
      </c>
      <c r="E113" s="16" t="s">
        <v>128</v>
      </c>
      <c r="F113" s="72"/>
      <c r="G113" s="17" t="s">
        <v>2297</v>
      </c>
      <c r="H113" s="16"/>
      <c r="I113" s="17"/>
      <c r="J113" s="19" t="s">
        <v>133</v>
      </c>
      <c r="K113" s="19" t="s">
        <v>903</v>
      </c>
      <c r="L113" s="19" t="s">
        <v>67</v>
      </c>
    </row>
    <row r="114" spans="1:12" s="1" customFormat="1">
      <c r="A114" s="15"/>
      <c r="B114" s="11" t="s">
        <v>2055</v>
      </c>
      <c r="C114" s="11" t="s">
        <v>45</v>
      </c>
      <c r="D114" s="9" t="s">
        <v>2056</v>
      </c>
      <c r="E114" s="16" t="s">
        <v>128</v>
      </c>
      <c r="F114" s="72"/>
      <c r="G114" s="17" t="s">
        <v>2298</v>
      </c>
      <c r="H114" s="16"/>
      <c r="I114" s="17"/>
      <c r="J114" s="19" t="s">
        <v>133</v>
      </c>
      <c r="K114" s="19" t="s">
        <v>903</v>
      </c>
      <c r="L114" s="19" t="s">
        <v>67</v>
      </c>
    </row>
    <row r="115" spans="1:12" s="1" customFormat="1">
      <c r="A115" s="15"/>
      <c r="B115" s="11" t="s">
        <v>2057</v>
      </c>
      <c r="C115" s="11" t="s">
        <v>45</v>
      </c>
      <c r="D115" s="9" t="s">
        <v>2058</v>
      </c>
      <c r="E115" s="16" t="s">
        <v>128</v>
      </c>
      <c r="F115" s="72"/>
      <c r="G115" s="17" t="s">
        <v>2299</v>
      </c>
      <c r="H115" s="16"/>
      <c r="I115" s="17"/>
      <c r="J115" s="19" t="s">
        <v>133</v>
      </c>
      <c r="K115" s="19" t="s">
        <v>903</v>
      </c>
      <c r="L115" s="19" t="s">
        <v>67</v>
      </c>
    </row>
    <row r="116" spans="1:12" s="1" customFormat="1">
      <c r="A116" s="15"/>
      <c r="B116" s="11" t="s">
        <v>2059</v>
      </c>
      <c r="C116" s="11" t="s">
        <v>45</v>
      </c>
      <c r="D116" s="9" t="s">
        <v>2060</v>
      </c>
      <c r="E116" s="16" t="s">
        <v>128</v>
      </c>
      <c r="F116" s="72"/>
      <c r="G116" s="17" t="s">
        <v>2300</v>
      </c>
      <c r="H116" s="16"/>
      <c r="I116" s="17"/>
      <c r="J116" s="19" t="s">
        <v>133</v>
      </c>
      <c r="K116" s="19" t="s">
        <v>903</v>
      </c>
      <c r="L116" s="19" t="s">
        <v>67</v>
      </c>
    </row>
    <row r="117" spans="1:12" s="1" customFormat="1">
      <c r="A117" s="15"/>
      <c r="B117" s="11" t="s">
        <v>2061</v>
      </c>
      <c r="C117" s="11" t="s">
        <v>45</v>
      </c>
      <c r="D117" s="9" t="s">
        <v>2062</v>
      </c>
      <c r="E117" s="16" t="s">
        <v>128</v>
      </c>
      <c r="F117" s="72"/>
      <c r="G117" s="17" t="s">
        <v>2301</v>
      </c>
      <c r="H117" s="16"/>
      <c r="I117" s="17"/>
      <c r="J117" s="19" t="s">
        <v>133</v>
      </c>
      <c r="K117" s="19" t="s">
        <v>903</v>
      </c>
      <c r="L117" s="19" t="s">
        <v>67</v>
      </c>
    </row>
    <row r="118" spans="1:12" s="1" customFormat="1">
      <c r="A118" s="15"/>
      <c r="B118" s="11" t="s">
        <v>2264</v>
      </c>
      <c r="C118" s="95" t="s">
        <v>280</v>
      </c>
      <c r="D118" s="9" t="s">
        <v>2158</v>
      </c>
      <c r="E118" s="16" t="s">
        <v>128</v>
      </c>
      <c r="F118" s="72"/>
      <c r="G118" s="17" t="s">
        <v>3077</v>
      </c>
      <c r="H118" s="16"/>
      <c r="I118" s="17"/>
      <c r="J118" s="19" t="s">
        <v>133</v>
      </c>
      <c r="K118" s="19" t="s">
        <v>202</v>
      </c>
      <c r="L118" s="19" t="s">
        <v>67</v>
      </c>
    </row>
    <row r="119" spans="1:12" s="1" customFormat="1">
      <c r="A119" s="15"/>
      <c r="B119" s="95" t="s">
        <v>2076</v>
      </c>
      <c r="C119" s="95" t="s">
        <v>45</v>
      </c>
      <c r="D119" s="96" t="s">
        <v>2077</v>
      </c>
      <c r="E119" s="16" t="s">
        <v>128</v>
      </c>
      <c r="F119" s="72"/>
      <c r="G119" s="17" t="s">
        <v>2302</v>
      </c>
      <c r="H119" s="16"/>
      <c r="I119" s="17"/>
      <c r="J119" s="19" t="s">
        <v>133</v>
      </c>
      <c r="K119" s="19" t="s">
        <v>903</v>
      </c>
      <c r="L119" s="19" t="s">
        <v>67</v>
      </c>
    </row>
    <row r="120" spans="1:12" s="1" customFormat="1">
      <c r="A120" s="15"/>
      <c r="B120" s="95" t="s">
        <v>2078</v>
      </c>
      <c r="C120" s="95" t="s">
        <v>45</v>
      </c>
      <c r="D120" s="96" t="s">
        <v>2079</v>
      </c>
      <c r="E120" s="16" t="s">
        <v>128</v>
      </c>
      <c r="F120" s="72"/>
      <c r="G120" s="17" t="s">
        <v>2303</v>
      </c>
      <c r="H120" s="16"/>
      <c r="I120" s="17"/>
      <c r="J120" s="19" t="s">
        <v>133</v>
      </c>
      <c r="K120" s="19" t="s">
        <v>903</v>
      </c>
      <c r="L120" s="19" t="s">
        <v>67</v>
      </c>
    </row>
    <row r="121" spans="1:12" s="1" customFormat="1">
      <c r="A121" s="15"/>
      <c r="B121" s="95" t="s">
        <v>2080</v>
      </c>
      <c r="C121" s="95" t="s">
        <v>45</v>
      </c>
      <c r="D121" s="96" t="s">
        <v>2081</v>
      </c>
      <c r="E121" s="16" t="s">
        <v>128</v>
      </c>
      <c r="F121" s="72"/>
      <c r="G121" s="17" t="s">
        <v>2304</v>
      </c>
      <c r="H121" s="16"/>
      <c r="I121" s="17"/>
      <c r="J121" s="19" t="s">
        <v>133</v>
      </c>
      <c r="K121" s="19" t="s">
        <v>903</v>
      </c>
      <c r="L121" s="19" t="s">
        <v>67</v>
      </c>
    </row>
    <row r="122" spans="1:12" s="1" customFormat="1">
      <c r="A122" s="15"/>
      <c r="B122" s="95" t="s">
        <v>2082</v>
      </c>
      <c r="C122" s="95" t="s">
        <v>45</v>
      </c>
      <c r="D122" s="96" t="s">
        <v>2083</v>
      </c>
      <c r="E122" s="16" t="s">
        <v>128</v>
      </c>
      <c r="F122" s="72"/>
      <c r="G122" s="17" t="s">
        <v>2305</v>
      </c>
      <c r="H122" s="16"/>
      <c r="I122" s="17"/>
      <c r="J122" s="19" t="s">
        <v>133</v>
      </c>
      <c r="K122" s="19" t="s">
        <v>903</v>
      </c>
      <c r="L122" s="19" t="s">
        <v>67</v>
      </c>
    </row>
    <row r="123" spans="1:12" s="1" customFormat="1">
      <c r="A123" s="15"/>
      <c r="B123" s="95" t="s">
        <v>2084</v>
      </c>
      <c r="C123" s="95" t="s">
        <v>45</v>
      </c>
      <c r="D123" s="96" t="s">
        <v>2085</v>
      </c>
      <c r="E123" s="16" t="s">
        <v>128</v>
      </c>
      <c r="F123" s="72"/>
      <c r="G123" s="17" t="s">
        <v>2306</v>
      </c>
      <c r="H123" s="16"/>
      <c r="I123" s="17"/>
      <c r="J123" s="19" t="s">
        <v>133</v>
      </c>
      <c r="K123" s="19" t="s">
        <v>903</v>
      </c>
      <c r="L123" s="19" t="s">
        <v>67</v>
      </c>
    </row>
    <row r="124" spans="1:12" s="1" customFormat="1">
      <c r="B124" s="22" t="s">
        <v>2206</v>
      </c>
      <c r="C124" s="22" t="s">
        <v>45</v>
      </c>
      <c r="D124" s="9" t="s">
        <v>2207</v>
      </c>
      <c r="E124" s="16" t="s">
        <v>128</v>
      </c>
      <c r="F124" s="22"/>
      <c r="G124" s="17" t="s">
        <v>2307</v>
      </c>
      <c r="H124" s="16"/>
      <c r="I124" s="17"/>
      <c r="J124" s="19" t="s">
        <v>133</v>
      </c>
      <c r="K124" s="19" t="s">
        <v>2235</v>
      </c>
      <c r="L124" s="19" t="s">
        <v>2237</v>
      </c>
    </row>
    <row r="125" spans="1:12" s="1" customFormat="1">
      <c r="B125" s="22" t="s">
        <v>2205</v>
      </c>
      <c r="C125" s="22" t="s">
        <v>45</v>
      </c>
      <c r="D125" s="9" t="s">
        <v>2199</v>
      </c>
      <c r="E125" s="16" t="s">
        <v>128</v>
      </c>
      <c r="F125" s="22"/>
      <c r="G125" s="17" t="s">
        <v>2319</v>
      </c>
      <c r="H125" s="16"/>
      <c r="I125" s="17"/>
      <c r="J125" s="19" t="s">
        <v>133</v>
      </c>
      <c r="K125" s="19" t="s">
        <v>1640</v>
      </c>
      <c r="L125" s="19" t="s">
        <v>67</v>
      </c>
    </row>
    <row r="126" spans="1:12" s="1" customFormat="1">
      <c r="A126" s="15"/>
      <c r="B126" s="95" t="s">
        <v>2104</v>
      </c>
      <c r="C126" s="95" t="s">
        <v>280</v>
      </c>
      <c r="D126" s="96" t="s">
        <v>2093</v>
      </c>
      <c r="E126" s="16" t="s">
        <v>128</v>
      </c>
      <c r="F126" s="72"/>
      <c r="G126" s="17" t="s">
        <v>2320</v>
      </c>
      <c r="H126" s="16"/>
      <c r="I126" s="17"/>
      <c r="J126" s="19" t="s">
        <v>133</v>
      </c>
      <c r="K126" s="19" t="s">
        <v>2235</v>
      </c>
      <c r="L126" s="19" t="s">
        <v>2237</v>
      </c>
    </row>
    <row r="127" spans="1:12" s="1" customFormat="1">
      <c r="A127" s="15"/>
      <c r="B127" s="95" t="s">
        <v>2094</v>
      </c>
      <c r="C127" s="95" t="s">
        <v>45</v>
      </c>
      <c r="D127" s="96" t="s">
        <v>2099</v>
      </c>
      <c r="E127" s="16" t="s">
        <v>128</v>
      </c>
      <c r="F127" s="72"/>
      <c r="G127" s="17" t="s">
        <v>2308</v>
      </c>
      <c r="H127" s="16"/>
      <c r="I127" s="17"/>
      <c r="J127" s="19" t="s">
        <v>133</v>
      </c>
      <c r="K127" s="19" t="s">
        <v>1640</v>
      </c>
      <c r="L127" s="19" t="s">
        <v>67</v>
      </c>
    </row>
    <row r="128" spans="1:12" s="1" customFormat="1">
      <c r="A128" s="15"/>
      <c r="B128" s="95" t="s">
        <v>2095</v>
      </c>
      <c r="C128" s="95" t="s">
        <v>45</v>
      </c>
      <c r="D128" s="96" t="s">
        <v>2100</v>
      </c>
      <c r="E128" s="16" t="s">
        <v>128</v>
      </c>
      <c r="F128" s="72"/>
      <c r="G128" s="17" t="s">
        <v>2309</v>
      </c>
      <c r="H128" s="16"/>
      <c r="I128" s="17"/>
      <c r="J128" s="19" t="s">
        <v>133</v>
      </c>
      <c r="K128" s="19" t="s">
        <v>1640</v>
      </c>
      <c r="L128" s="19" t="s">
        <v>67</v>
      </c>
    </row>
    <row r="129" spans="1:17" s="1" customFormat="1">
      <c r="A129" s="15"/>
      <c r="B129" s="95" t="s">
        <v>2096</v>
      </c>
      <c r="C129" s="95" t="s">
        <v>45</v>
      </c>
      <c r="D129" s="96" t="s">
        <v>2101</v>
      </c>
      <c r="E129" s="16" t="s">
        <v>128</v>
      </c>
      <c r="F129" s="72"/>
      <c r="G129" s="17" t="s">
        <v>2310</v>
      </c>
      <c r="H129" s="16"/>
      <c r="I129" s="17"/>
      <c r="J129" s="19" t="s">
        <v>133</v>
      </c>
      <c r="K129" s="19" t="s">
        <v>1640</v>
      </c>
      <c r="L129" s="19" t="s">
        <v>67</v>
      </c>
    </row>
    <row r="130" spans="1:17" s="1" customFormat="1">
      <c r="A130" s="15"/>
      <c r="B130" s="95" t="s">
        <v>2097</v>
      </c>
      <c r="C130" s="95" t="s">
        <v>45</v>
      </c>
      <c r="D130" s="96" t="s">
        <v>2102</v>
      </c>
      <c r="E130" s="16" t="s">
        <v>128</v>
      </c>
      <c r="F130" s="72"/>
      <c r="G130" s="17" t="s">
        <v>2311</v>
      </c>
      <c r="H130" s="16"/>
      <c r="I130" s="17"/>
      <c r="J130" s="19" t="s">
        <v>133</v>
      </c>
      <c r="K130" s="19" t="s">
        <v>1640</v>
      </c>
      <c r="L130" s="19" t="s">
        <v>67</v>
      </c>
    </row>
    <row r="131" spans="1:17" s="1" customFormat="1">
      <c r="A131" s="15"/>
      <c r="B131" s="95" t="s">
        <v>2098</v>
      </c>
      <c r="C131" s="95" t="s">
        <v>45</v>
      </c>
      <c r="D131" s="96" t="s">
        <v>2103</v>
      </c>
      <c r="E131" s="16" t="s">
        <v>128</v>
      </c>
      <c r="F131" s="72"/>
      <c r="G131" s="17" t="s">
        <v>2312</v>
      </c>
      <c r="H131" s="16"/>
      <c r="I131" s="17"/>
      <c r="J131" s="19" t="s">
        <v>133</v>
      </c>
      <c r="K131" s="19" t="s">
        <v>1640</v>
      </c>
      <c r="L131" s="19" t="s">
        <v>67</v>
      </c>
    </row>
    <row r="132" spans="1:17" s="1" customFormat="1">
      <c r="A132" s="15"/>
      <c r="B132" s="95" t="s">
        <v>2210</v>
      </c>
      <c r="C132" s="95" t="s">
        <v>45</v>
      </c>
      <c r="D132" s="9" t="s">
        <v>2212</v>
      </c>
      <c r="E132" s="16" t="s">
        <v>128</v>
      </c>
      <c r="F132" s="72"/>
      <c r="G132" s="17" t="s">
        <v>2313</v>
      </c>
      <c r="H132" s="16"/>
      <c r="I132" s="17"/>
      <c r="J132" s="19" t="s">
        <v>133</v>
      </c>
      <c r="K132" s="19" t="s">
        <v>2235</v>
      </c>
      <c r="L132" s="19" t="s">
        <v>2237</v>
      </c>
    </row>
    <row r="133" spans="1:17" s="1" customFormat="1">
      <c r="A133" s="15"/>
      <c r="B133" s="95" t="s">
        <v>2211</v>
      </c>
      <c r="C133" s="95" t="s">
        <v>45</v>
      </c>
      <c r="D133" s="9" t="s">
        <v>2213</v>
      </c>
      <c r="E133" s="16" t="s">
        <v>128</v>
      </c>
      <c r="F133" s="72"/>
      <c r="G133" s="17" t="s">
        <v>2321</v>
      </c>
      <c r="H133" s="16"/>
      <c r="I133" s="17"/>
      <c r="J133" s="19" t="s">
        <v>133</v>
      </c>
      <c r="K133" s="19" t="s">
        <v>1640</v>
      </c>
      <c r="L133" s="19" t="s">
        <v>67</v>
      </c>
    </row>
    <row r="134" spans="1:17" s="1" customFormat="1">
      <c r="A134" s="15"/>
      <c r="B134" s="95" t="s">
        <v>2112</v>
      </c>
      <c r="C134" s="95" t="s">
        <v>280</v>
      </c>
      <c r="D134" s="96" t="s">
        <v>2123</v>
      </c>
      <c r="E134" s="16" t="s">
        <v>128</v>
      </c>
      <c r="F134" s="72"/>
      <c r="G134" s="17" t="s">
        <v>2322</v>
      </c>
      <c r="H134" s="16"/>
      <c r="I134" s="17"/>
      <c r="J134" s="19" t="s">
        <v>133</v>
      </c>
      <c r="K134" s="19" t="s">
        <v>2235</v>
      </c>
      <c r="L134" s="19" t="s">
        <v>2237</v>
      </c>
    </row>
    <row r="135" spans="1:17" s="1" customFormat="1">
      <c r="A135" s="15"/>
      <c r="B135" s="95" t="s">
        <v>2113</v>
      </c>
      <c r="C135" s="95" t="s">
        <v>45</v>
      </c>
      <c r="D135" s="96" t="s">
        <v>2114</v>
      </c>
      <c r="E135" s="16" t="s">
        <v>128</v>
      </c>
      <c r="F135" s="72"/>
      <c r="G135" s="17" t="s">
        <v>2314</v>
      </c>
      <c r="H135" s="16"/>
      <c r="I135" s="17"/>
      <c r="J135" s="19" t="s">
        <v>133</v>
      </c>
      <c r="K135" s="19" t="s">
        <v>1640</v>
      </c>
      <c r="L135" s="19" t="s">
        <v>67</v>
      </c>
    </row>
    <row r="136" spans="1:17" s="1" customFormat="1">
      <c r="A136" s="15"/>
      <c r="B136" s="95" t="s">
        <v>2115</v>
      </c>
      <c r="C136" s="95" t="s">
        <v>45</v>
      </c>
      <c r="D136" s="96" t="s">
        <v>2116</v>
      </c>
      <c r="E136" s="16" t="s">
        <v>128</v>
      </c>
      <c r="F136" s="72"/>
      <c r="G136" s="17" t="s">
        <v>2315</v>
      </c>
      <c r="H136" s="16"/>
      <c r="I136" s="17"/>
      <c r="J136" s="19" t="s">
        <v>133</v>
      </c>
      <c r="K136" s="19" t="s">
        <v>1640</v>
      </c>
      <c r="L136" s="19" t="s">
        <v>67</v>
      </c>
    </row>
    <row r="137" spans="1:17" s="1" customFormat="1">
      <c r="A137" s="15"/>
      <c r="B137" s="95" t="s">
        <v>2117</v>
      </c>
      <c r="C137" s="95" t="s">
        <v>45</v>
      </c>
      <c r="D137" s="96" t="s">
        <v>2118</v>
      </c>
      <c r="E137" s="16" t="s">
        <v>128</v>
      </c>
      <c r="F137" s="72"/>
      <c r="G137" s="17" t="s">
        <v>2316</v>
      </c>
      <c r="H137" s="16"/>
      <c r="I137" s="17"/>
      <c r="J137" s="19" t="s">
        <v>133</v>
      </c>
      <c r="K137" s="19" t="s">
        <v>1640</v>
      </c>
      <c r="L137" s="19" t="s">
        <v>67</v>
      </c>
    </row>
    <row r="138" spans="1:17" s="1" customFormat="1">
      <c r="A138" s="15"/>
      <c r="B138" s="95" t="s">
        <v>2119</v>
      </c>
      <c r="C138" s="95" t="s">
        <v>45</v>
      </c>
      <c r="D138" s="96" t="s">
        <v>2120</v>
      </c>
      <c r="E138" s="16" t="s">
        <v>128</v>
      </c>
      <c r="F138" s="72"/>
      <c r="G138" s="17" t="s">
        <v>2317</v>
      </c>
      <c r="H138" s="16"/>
      <c r="I138" s="17"/>
      <c r="J138" s="19" t="s">
        <v>133</v>
      </c>
      <c r="K138" s="19" t="s">
        <v>1640</v>
      </c>
      <c r="L138" s="19" t="s">
        <v>67</v>
      </c>
    </row>
    <row r="139" spans="1:17" s="1" customFormat="1">
      <c r="A139" s="15"/>
      <c r="B139" s="95" t="s">
        <v>2121</v>
      </c>
      <c r="C139" s="95" t="s">
        <v>45</v>
      </c>
      <c r="D139" s="96" t="s">
        <v>2122</v>
      </c>
      <c r="E139" s="16" t="s">
        <v>128</v>
      </c>
      <c r="F139" s="72"/>
      <c r="G139" s="17" t="s">
        <v>2318</v>
      </c>
      <c r="H139" s="16"/>
      <c r="I139" s="17"/>
      <c r="J139" s="19" t="s">
        <v>133</v>
      </c>
      <c r="K139" s="19" t="s">
        <v>1640</v>
      </c>
      <c r="L139" s="19" t="s">
        <v>67</v>
      </c>
    </row>
    <row r="140" spans="1:17" s="1" customFormat="1">
      <c r="A140" s="15"/>
      <c r="B140" s="11" t="s">
        <v>315</v>
      </c>
      <c r="C140" s="11" t="s">
        <v>45</v>
      </c>
      <c r="D140" s="9" t="s">
        <v>112</v>
      </c>
      <c r="E140" s="16" t="s">
        <v>128</v>
      </c>
      <c r="F140" s="72"/>
      <c r="G140" s="17" t="s">
        <v>1145</v>
      </c>
      <c r="H140" s="16"/>
      <c r="I140" s="17"/>
      <c r="J140" s="19" t="s">
        <v>133</v>
      </c>
      <c r="K140" s="19" t="s">
        <v>44</v>
      </c>
      <c r="L140" s="19" t="s">
        <v>67</v>
      </c>
    </row>
    <row r="141" spans="1:17" s="3" customFormat="1">
      <c r="B141" s="23" t="s">
        <v>47</v>
      </c>
      <c r="C141" s="24" t="s">
        <v>46</v>
      </c>
      <c r="D141" s="21" t="s">
        <v>48</v>
      </c>
      <c r="E141" s="44"/>
      <c r="F141" s="44"/>
      <c r="G141" s="44" t="s">
        <v>282</v>
      </c>
      <c r="H141" s="23"/>
      <c r="I141" s="23"/>
      <c r="J141" s="23"/>
      <c r="K141" s="23"/>
      <c r="L141" s="23"/>
      <c r="M141" s="23"/>
      <c r="N141" s="23"/>
      <c r="O141" s="23"/>
      <c r="P141" s="23"/>
      <c r="Q141" s="23"/>
    </row>
    <row r="142" spans="1:17" s="3" customFormat="1">
      <c r="B142" s="23" t="s">
        <v>49</v>
      </c>
      <c r="C142" s="24" t="s">
        <v>43</v>
      </c>
      <c r="D142" s="21" t="s">
        <v>50</v>
      </c>
      <c r="E142" s="44"/>
      <c r="F142" s="44"/>
      <c r="G142" s="44" t="s">
        <v>282</v>
      </c>
      <c r="H142" s="23"/>
      <c r="I142" s="23"/>
      <c r="J142" s="23"/>
      <c r="K142" s="23"/>
      <c r="L142" s="23"/>
      <c r="M142" s="23"/>
      <c r="N142" s="23"/>
      <c r="O142" s="23"/>
      <c r="P142" s="23"/>
      <c r="Q142" s="23"/>
    </row>
  </sheetData>
  <autoFilter ref="A13:Q142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72C6-8B08-47D5-9E66-D689A7C7CC2F}">
  <dimension ref="A1:Q49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1.66406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0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2450</v>
      </c>
      <c r="D5" s="9" t="s">
        <v>2452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2438</v>
      </c>
      <c r="D9" s="9" t="s">
        <v>2449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 ht="2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2483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1321</v>
      </c>
      <c r="C14" s="22" t="s">
        <v>43</v>
      </c>
      <c r="D14" s="9" t="s">
        <v>1169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132</v>
      </c>
    </row>
    <row r="15" spans="1:14" s="1" customFormat="1">
      <c r="A15" s="15"/>
      <c r="B15" s="22" t="s">
        <v>77</v>
      </c>
      <c r="C15" s="22" t="s">
        <v>46</v>
      </c>
      <c r="D15" s="9" t="s">
        <v>1323</v>
      </c>
      <c r="E15" s="16" t="s">
        <v>128</v>
      </c>
      <c r="F15" s="17" t="s">
        <v>77</v>
      </c>
      <c r="G15" s="17" t="s">
        <v>129</v>
      </c>
      <c r="H15" s="16"/>
      <c r="I15" s="20"/>
      <c r="J15" s="19" t="s">
        <v>131</v>
      </c>
      <c r="K15" s="19" t="s">
        <v>132</v>
      </c>
      <c r="L15" s="19" t="s">
        <v>132</v>
      </c>
    </row>
    <row r="16" spans="1:14" s="1" customFormat="1">
      <c r="A16" s="15"/>
      <c r="B16" s="22" t="s">
        <v>79</v>
      </c>
      <c r="C16" s="22" t="s">
        <v>43</v>
      </c>
      <c r="D16" s="9" t="s">
        <v>104</v>
      </c>
      <c r="E16" s="16" t="s">
        <v>128</v>
      </c>
      <c r="F16" s="17"/>
      <c r="G16" s="17" t="s">
        <v>1334</v>
      </c>
      <c r="H16" s="16"/>
      <c r="I16" s="20"/>
      <c r="J16" s="19" t="s">
        <v>131</v>
      </c>
      <c r="K16" s="19" t="s">
        <v>132</v>
      </c>
      <c r="L16" s="19" t="s">
        <v>132</v>
      </c>
    </row>
    <row r="17" spans="1:12" s="1" customFormat="1">
      <c r="A17" s="15"/>
      <c r="B17" s="22" t="s">
        <v>1324</v>
      </c>
      <c r="C17" s="22" t="s">
        <v>43</v>
      </c>
      <c r="D17" s="9" t="s">
        <v>1325</v>
      </c>
      <c r="E17" s="16" t="s">
        <v>128</v>
      </c>
      <c r="F17" s="17"/>
      <c r="G17" s="17" t="s">
        <v>1334</v>
      </c>
      <c r="H17" s="16"/>
      <c r="I17" s="20"/>
      <c r="J17" s="19" t="s">
        <v>131</v>
      </c>
      <c r="K17" s="19" t="s">
        <v>132</v>
      </c>
      <c r="L17" s="19" t="s">
        <v>132</v>
      </c>
    </row>
    <row r="18" spans="1:12" s="1" customFormat="1">
      <c r="A18" s="15"/>
      <c r="B18" s="22" t="s">
        <v>78</v>
      </c>
      <c r="C18" s="22" t="s">
        <v>43</v>
      </c>
      <c r="D18" s="9" t="s">
        <v>103</v>
      </c>
      <c r="E18" s="16" t="s">
        <v>128</v>
      </c>
      <c r="F18" s="17"/>
      <c r="G18" s="17" t="s">
        <v>1334</v>
      </c>
      <c r="H18" s="16"/>
      <c r="I18" s="20"/>
      <c r="J18" s="19" t="s">
        <v>131</v>
      </c>
      <c r="K18" s="19" t="s">
        <v>132</v>
      </c>
      <c r="L18" s="19" t="s">
        <v>132</v>
      </c>
    </row>
    <row r="19" spans="1:12" s="1" customFormat="1">
      <c r="A19" s="15"/>
      <c r="B19" s="22" t="s">
        <v>80</v>
      </c>
      <c r="C19" s="22" t="s">
        <v>46</v>
      </c>
      <c r="D19" s="9" t="s">
        <v>1172</v>
      </c>
      <c r="E19" s="16" t="s">
        <v>128</v>
      </c>
      <c r="F19" s="17" t="s">
        <v>80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132</v>
      </c>
    </row>
    <row r="20" spans="1:12" s="1" customFormat="1">
      <c r="A20" s="15"/>
      <c r="B20" s="22" t="s">
        <v>1174</v>
      </c>
      <c r="C20" s="22" t="s">
        <v>45</v>
      </c>
      <c r="D20" s="9" t="s">
        <v>1175</v>
      </c>
      <c r="E20" s="16" t="s">
        <v>128</v>
      </c>
      <c r="F20" s="17"/>
      <c r="G20" s="17" t="s">
        <v>1613</v>
      </c>
      <c r="H20" s="16"/>
      <c r="I20" s="20"/>
      <c r="J20" s="19" t="s">
        <v>131</v>
      </c>
      <c r="K20" s="19" t="s">
        <v>132</v>
      </c>
      <c r="L20" s="19" t="s">
        <v>132</v>
      </c>
    </row>
    <row r="21" spans="1:12" s="1" customFormat="1">
      <c r="A21" s="15"/>
      <c r="B21" s="22" t="s">
        <v>1176</v>
      </c>
      <c r="C21" s="22" t="s">
        <v>45</v>
      </c>
      <c r="D21" s="9" t="s">
        <v>1177</v>
      </c>
      <c r="E21" s="16" t="s">
        <v>128</v>
      </c>
      <c r="F21" s="17"/>
      <c r="G21" s="17" t="s">
        <v>1614</v>
      </c>
      <c r="H21" s="16"/>
      <c r="I21" s="20"/>
      <c r="J21" s="19" t="s">
        <v>131</v>
      </c>
      <c r="K21" s="19" t="s">
        <v>132</v>
      </c>
      <c r="L21" s="19" t="s">
        <v>132</v>
      </c>
    </row>
    <row r="22" spans="1:12" s="1" customFormat="1">
      <c r="A22" s="15"/>
      <c r="B22" s="22" t="s">
        <v>318</v>
      </c>
      <c r="C22" s="22" t="s">
        <v>46</v>
      </c>
      <c r="D22" s="9" t="s">
        <v>1170</v>
      </c>
      <c r="E22" s="16" t="s">
        <v>128</v>
      </c>
      <c r="F22" s="17" t="s">
        <v>138</v>
      </c>
      <c r="G22" s="17"/>
      <c r="H22" s="16"/>
      <c r="I22" s="20"/>
      <c r="J22" s="19" t="s">
        <v>131</v>
      </c>
      <c r="K22" s="19" t="s">
        <v>132</v>
      </c>
      <c r="L22" s="19" t="s">
        <v>132</v>
      </c>
    </row>
    <row r="23" spans="1:12" s="1" customFormat="1">
      <c r="A23" s="15"/>
      <c r="B23" s="22" t="s">
        <v>65</v>
      </c>
      <c r="C23" s="22" t="s">
        <v>46</v>
      </c>
      <c r="D23" s="9" t="s">
        <v>1171</v>
      </c>
      <c r="E23" s="16" t="s">
        <v>128</v>
      </c>
      <c r="F23" s="17" t="s">
        <v>123</v>
      </c>
      <c r="G23" s="17"/>
      <c r="H23" s="16"/>
      <c r="I23" s="20"/>
      <c r="J23" s="19" t="s">
        <v>131</v>
      </c>
      <c r="K23" s="19" t="s">
        <v>132</v>
      </c>
      <c r="L23" s="19" t="s">
        <v>132</v>
      </c>
    </row>
    <row r="24" spans="1:12" s="1" customFormat="1">
      <c r="A24" s="15"/>
      <c r="B24" s="22" t="s">
        <v>1326</v>
      </c>
      <c r="C24" s="22" t="s">
        <v>46</v>
      </c>
      <c r="D24" s="9" t="s">
        <v>1327</v>
      </c>
      <c r="E24" s="16" t="s">
        <v>128</v>
      </c>
      <c r="F24" s="17" t="s">
        <v>124</v>
      </c>
      <c r="G24" s="17"/>
      <c r="H24" s="16"/>
      <c r="I24" s="20"/>
      <c r="J24" s="19" t="s">
        <v>131</v>
      </c>
      <c r="K24" s="19" t="s">
        <v>132</v>
      </c>
      <c r="L24" s="19" t="s">
        <v>132</v>
      </c>
    </row>
    <row r="25" spans="1:12" s="1" customFormat="1">
      <c r="A25" s="15"/>
      <c r="B25" s="22" t="s">
        <v>1383</v>
      </c>
      <c r="C25" s="22" t="s">
        <v>45</v>
      </c>
      <c r="D25" s="9" t="s">
        <v>1802</v>
      </c>
      <c r="E25" s="16" t="s">
        <v>128</v>
      </c>
      <c r="F25" s="17"/>
      <c r="G25" s="17" t="s">
        <v>1426</v>
      </c>
      <c r="H25" s="16"/>
      <c r="I25" s="20"/>
      <c r="J25" s="19" t="s">
        <v>133</v>
      </c>
      <c r="K25" s="19" t="s">
        <v>203</v>
      </c>
      <c r="L25" s="19" t="s">
        <v>134</v>
      </c>
    </row>
    <row r="26" spans="1:12" s="1" customFormat="1">
      <c r="A26" s="15"/>
      <c r="B26" s="22" t="s">
        <v>296</v>
      </c>
      <c r="C26" s="22" t="s">
        <v>45</v>
      </c>
      <c r="D26" s="9" t="s">
        <v>1185</v>
      </c>
      <c r="E26" s="16" t="s">
        <v>128</v>
      </c>
      <c r="F26" s="17"/>
      <c r="G26" s="17" t="s">
        <v>1427</v>
      </c>
      <c r="H26" s="16"/>
      <c r="I26" s="20"/>
      <c r="J26" s="19" t="s">
        <v>133</v>
      </c>
      <c r="K26" s="19" t="s">
        <v>204</v>
      </c>
      <c r="L26" s="19" t="s">
        <v>67</v>
      </c>
    </row>
    <row r="27" spans="1:12" s="1" customFormat="1">
      <c r="A27" s="15"/>
      <c r="B27" s="22" t="s">
        <v>297</v>
      </c>
      <c r="C27" s="22" t="s">
        <v>45</v>
      </c>
      <c r="D27" s="9" t="s">
        <v>160</v>
      </c>
      <c r="E27" s="16" t="s">
        <v>128</v>
      </c>
      <c r="F27" s="17"/>
      <c r="G27" s="17" t="s">
        <v>1428</v>
      </c>
      <c r="H27" s="16"/>
      <c r="I27" s="20"/>
      <c r="J27" s="19" t="s">
        <v>133</v>
      </c>
      <c r="K27" s="19" t="s">
        <v>204</v>
      </c>
      <c r="L27" s="19" t="s">
        <v>67</v>
      </c>
    </row>
    <row r="28" spans="1:12" s="1" customFormat="1">
      <c r="A28" s="15"/>
      <c r="B28" s="22" t="s">
        <v>3217</v>
      </c>
      <c r="C28" s="22" t="s">
        <v>45</v>
      </c>
      <c r="D28" s="9" t="s">
        <v>2165</v>
      </c>
      <c r="E28" s="16" t="s">
        <v>128</v>
      </c>
      <c r="F28" s="17"/>
      <c r="G28" s="17" t="s">
        <v>2494</v>
      </c>
      <c r="H28" s="16"/>
      <c r="I28" s="20"/>
      <c r="J28" s="19" t="s">
        <v>133</v>
      </c>
      <c r="K28" s="19" t="s">
        <v>903</v>
      </c>
      <c r="L28" s="19" t="s">
        <v>67</v>
      </c>
    </row>
    <row r="29" spans="1:12" s="1" customFormat="1">
      <c r="A29" s="15"/>
      <c r="B29" s="22" t="s">
        <v>3218</v>
      </c>
      <c r="C29" s="22" t="s">
        <v>45</v>
      </c>
      <c r="D29" s="9" t="s">
        <v>2166</v>
      </c>
      <c r="E29" s="16" t="s">
        <v>128</v>
      </c>
      <c r="F29" s="17"/>
      <c r="G29" s="17" t="s">
        <v>2495</v>
      </c>
      <c r="H29" s="16"/>
      <c r="I29" s="20"/>
      <c r="J29" s="19" t="s">
        <v>133</v>
      </c>
      <c r="K29" s="19" t="s">
        <v>903</v>
      </c>
      <c r="L29" s="19" t="s">
        <v>67</v>
      </c>
    </row>
    <row r="30" spans="1:12" s="1" customFormat="1">
      <c r="A30" s="15"/>
      <c r="B30" s="22" t="s">
        <v>2470</v>
      </c>
      <c r="C30" s="22" t="s">
        <v>45</v>
      </c>
      <c r="D30" s="9" t="s">
        <v>2477</v>
      </c>
      <c r="E30" s="16" t="s">
        <v>128</v>
      </c>
      <c r="F30" s="17"/>
      <c r="G30" s="17" t="s">
        <v>2496</v>
      </c>
      <c r="H30" s="16"/>
      <c r="I30" s="20"/>
      <c r="J30" s="19" t="s">
        <v>133</v>
      </c>
      <c r="K30" s="19" t="s">
        <v>903</v>
      </c>
      <c r="L30" s="19" t="s">
        <v>67</v>
      </c>
    </row>
    <row r="31" spans="1:12" s="1" customFormat="1">
      <c r="A31" s="15"/>
      <c r="B31" s="22" t="s">
        <v>2326</v>
      </c>
      <c r="C31" s="22" t="s">
        <v>45</v>
      </c>
      <c r="D31" s="9" t="s">
        <v>2478</v>
      </c>
      <c r="E31" s="16" t="s">
        <v>128</v>
      </c>
      <c r="F31" s="17"/>
      <c r="G31" s="17" t="s">
        <v>2329</v>
      </c>
      <c r="H31" s="16"/>
      <c r="I31" s="20"/>
      <c r="J31" s="19" t="s">
        <v>133</v>
      </c>
      <c r="K31" s="19" t="s">
        <v>903</v>
      </c>
      <c r="L31" s="19" t="s">
        <v>67</v>
      </c>
    </row>
    <row r="32" spans="1:12" s="1" customFormat="1">
      <c r="A32" s="15"/>
      <c r="B32" s="22" t="s">
        <v>2471</v>
      </c>
      <c r="C32" s="22" t="s">
        <v>45</v>
      </c>
      <c r="D32" s="9" t="s">
        <v>2479</v>
      </c>
      <c r="E32" s="16" t="s">
        <v>128</v>
      </c>
      <c r="F32" s="17"/>
      <c r="G32" s="17" t="s">
        <v>1334</v>
      </c>
      <c r="H32" s="16"/>
      <c r="I32" s="20"/>
      <c r="J32" s="19" t="s">
        <v>133</v>
      </c>
      <c r="K32" s="19"/>
      <c r="L32" s="19"/>
    </row>
    <row r="33" spans="1:17" s="1" customFormat="1">
      <c r="A33" s="15"/>
      <c r="B33" s="22" t="s">
        <v>2472</v>
      </c>
      <c r="C33" s="22" t="s">
        <v>45</v>
      </c>
      <c r="D33" s="9" t="s">
        <v>2480</v>
      </c>
      <c r="E33" s="16" t="s">
        <v>128</v>
      </c>
      <c r="F33" s="17"/>
      <c r="G33" s="17" t="s">
        <v>1334</v>
      </c>
      <c r="H33" s="16"/>
      <c r="I33" s="20"/>
      <c r="J33" s="19" t="s">
        <v>133</v>
      </c>
      <c r="K33" s="19"/>
      <c r="L33" s="19"/>
    </row>
    <row r="34" spans="1:17" s="1" customFormat="1">
      <c r="A34" s="15"/>
      <c r="B34" s="11" t="s">
        <v>2473</v>
      </c>
      <c r="C34" s="22" t="s">
        <v>45</v>
      </c>
      <c r="D34" s="9" t="s">
        <v>2005</v>
      </c>
      <c r="E34" s="16" t="s">
        <v>128</v>
      </c>
      <c r="F34" s="17"/>
      <c r="G34" s="17" t="s">
        <v>2320</v>
      </c>
      <c r="H34" s="16"/>
      <c r="I34" s="20"/>
      <c r="J34" s="19" t="s">
        <v>133</v>
      </c>
      <c r="K34" s="19" t="s">
        <v>2236</v>
      </c>
      <c r="L34" s="19" t="s">
        <v>1306</v>
      </c>
    </row>
    <row r="35" spans="1:17" s="1" customFormat="1">
      <c r="A35" s="15"/>
      <c r="B35" s="11" t="s">
        <v>2412</v>
      </c>
      <c r="C35" s="22" t="s">
        <v>45</v>
      </c>
      <c r="D35" s="9" t="s">
        <v>2481</v>
      </c>
      <c r="E35" s="16" t="s">
        <v>128</v>
      </c>
      <c r="F35" s="17"/>
      <c r="G35" s="17" t="s">
        <v>2493</v>
      </c>
      <c r="H35" s="16"/>
      <c r="I35" s="20"/>
      <c r="J35" s="19" t="s">
        <v>133</v>
      </c>
      <c r="K35" s="19" t="s">
        <v>204</v>
      </c>
      <c r="L35" s="19" t="s">
        <v>67</v>
      </c>
    </row>
    <row r="36" spans="1:17" s="1" customFormat="1">
      <c r="A36" s="15"/>
      <c r="B36" s="11" t="s">
        <v>2474</v>
      </c>
      <c r="C36" s="22" t="s">
        <v>45</v>
      </c>
      <c r="D36" s="9" t="s">
        <v>2482</v>
      </c>
      <c r="E36" s="16" t="s">
        <v>128</v>
      </c>
      <c r="F36" s="17"/>
      <c r="G36" s="17" t="s">
        <v>1334</v>
      </c>
      <c r="H36" s="16"/>
      <c r="I36" s="20"/>
      <c r="J36" s="19" t="s">
        <v>133</v>
      </c>
      <c r="K36" s="19"/>
      <c r="L36" s="19"/>
    </row>
    <row r="37" spans="1:17" s="1" customFormat="1">
      <c r="A37" s="15"/>
      <c r="B37" s="11" t="s">
        <v>2475</v>
      </c>
      <c r="C37" s="22" t="s">
        <v>45</v>
      </c>
      <c r="D37" s="9" t="s">
        <v>2498</v>
      </c>
      <c r="E37" s="16" t="s">
        <v>128</v>
      </c>
      <c r="F37" s="17"/>
      <c r="G37" s="113" t="s">
        <v>2334</v>
      </c>
      <c r="H37" s="16"/>
      <c r="I37" s="20"/>
      <c r="J37" s="19" t="s">
        <v>133</v>
      </c>
      <c r="K37" s="19" t="s">
        <v>2499</v>
      </c>
      <c r="L37" s="19" t="s">
        <v>67</v>
      </c>
    </row>
    <row r="38" spans="1:17" s="1" customFormat="1">
      <c r="A38" s="15"/>
      <c r="B38" s="11" t="s">
        <v>2140</v>
      </c>
      <c r="C38" s="11" t="s">
        <v>45</v>
      </c>
      <c r="D38" s="9" t="s">
        <v>2141</v>
      </c>
      <c r="E38" s="16" t="s">
        <v>128</v>
      </c>
      <c r="F38" s="17"/>
      <c r="G38" s="17" t="s">
        <v>2286</v>
      </c>
      <c r="H38" s="16"/>
      <c r="I38" s="20"/>
      <c r="J38" s="19" t="s">
        <v>133</v>
      </c>
      <c r="K38" s="19" t="s">
        <v>903</v>
      </c>
      <c r="L38" s="19" t="s">
        <v>67</v>
      </c>
    </row>
    <row r="39" spans="1:17" s="1" customFormat="1">
      <c r="A39" s="15"/>
      <c r="B39" s="11" t="s">
        <v>2142</v>
      </c>
      <c r="C39" s="11" t="s">
        <v>45</v>
      </c>
      <c r="D39" s="9" t="s">
        <v>2143</v>
      </c>
      <c r="E39" s="16" t="s">
        <v>128</v>
      </c>
      <c r="F39" s="17"/>
      <c r="G39" s="17" t="s">
        <v>2287</v>
      </c>
      <c r="H39" s="16"/>
      <c r="I39" s="20"/>
      <c r="J39" s="19" t="s">
        <v>133</v>
      </c>
      <c r="K39" s="19" t="s">
        <v>903</v>
      </c>
      <c r="L39" s="19" t="s">
        <v>67</v>
      </c>
    </row>
    <row r="40" spans="1:17" s="1" customFormat="1">
      <c r="A40" s="15"/>
      <c r="B40" s="11" t="s">
        <v>2144</v>
      </c>
      <c r="C40" s="11" t="s">
        <v>45</v>
      </c>
      <c r="D40" s="9" t="s">
        <v>2145</v>
      </c>
      <c r="E40" s="16" t="s">
        <v>128</v>
      </c>
      <c r="F40" s="17"/>
      <c r="G40" s="17" t="s">
        <v>2288</v>
      </c>
      <c r="H40" s="16"/>
      <c r="I40" s="20"/>
      <c r="J40" s="19" t="s">
        <v>133</v>
      </c>
      <c r="K40" s="19" t="s">
        <v>903</v>
      </c>
      <c r="L40" s="19" t="s">
        <v>67</v>
      </c>
    </row>
    <row r="41" spans="1:17" s="1" customFormat="1">
      <c r="A41" s="15"/>
      <c r="B41" s="11" t="s">
        <v>2146</v>
      </c>
      <c r="C41" s="11" t="s">
        <v>45</v>
      </c>
      <c r="D41" s="9" t="s">
        <v>2147</v>
      </c>
      <c r="E41" s="16" t="s">
        <v>128</v>
      </c>
      <c r="F41" s="17"/>
      <c r="G41" s="17" t="s">
        <v>2289</v>
      </c>
      <c r="H41" s="16"/>
      <c r="I41" s="20"/>
      <c r="J41" s="19" t="s">
        <v>133</v>
      </c>
      <c r="K41" s="19" t="s">
        <v>903</v>
      </c>
      <c r="L41" s="19" t="s">
        <v>67</v>
      </c>
    </row>
    <row r="42" spans="1:17" s="1" customFormat="1">
      <c r="A42" s="15"/>
      <c r="B42" s="11" t="s">
        <v>2148</v>
      </c>
      <c r="C42" s="69" t="s">
        <v>45</v>
      </c>
      <c r="D42" s="9" t="s">
        <v>2149</v>
      </c>
      <c r="E42" s="16" t="s">
        <v>128</v>
      </c>
      <c r="F42" s="17"/>
      <c r="G42" s="17" t="s">
        <v>2290</v>
      </c>
      <c r="H42" s="16"/>
      <c r="I42" s="20"/>
      <c r="J42" s="19" t="s">
        <v>133</v>
      </c>
      <c r="K42" s="19" t="s">
        <v>903</v>
      </c>
      <c r="L42" s="19" t="s">
        <v>67</v>
      </c>
    </row>
    <row r="43" spans="1:17" s="1" customFormat="1">
      <c r="A43" s="15"/>
      <c r="B43" s="11" t="s">
        <v>2150</v>
      </c>
      <c r="C43" s="69" t="s">
        <v>45</v>
      </c>
      <c r="D43" s="9" t="s">
        <v>2151</v>
      </c>
      <c r="E43" s="16" t="s">
        <v>128</v>
      </c>
      <c r="F43" s="17"/>
      <c r="G43" s="17" t="s">
        <v>2291</v>
      </c>
      <c r="H43" s="16"/>
      <c r="I43" s="20"/>
      <c r="J43" s="19" t="s">
        <v>133</v>
      </c>
      <c r="K43" s="19" t="s">
        <v>903</v>
      </c>
      <c r="L43" s="19" t="s">
        <v>67</v>
      </c>
    </row>
    <row r="44" spans="1:17" s="1" customFormat="1">
      <c r="A44" s="15"/>
      <c r="B44" s="11" t="s">
        <v>1651</v>
      </c>
      <c r="C44" s="69" t="s">
        <v>45</v>
      </c>
      <c r="D44" s="9" t="s">
        <v>1726</v>
      </c>
      <c r="E44" s="16" t="s">
        <v>128</v>
      </c>
      <c r="F44" s="17"/>
      <c r="G44" s="17" t="s">
        <v>1081</v>
      </c>
      <c r="H44" s="16"/>
      <c r="I44" s="17"/>
      <c r="J44" s="19" t="s">
        <v>133</v>
      </c>
      <c r="K44" s="19" t="s">
        <v>202</v>
      </c>
      <c r="L44" s="19" t="s">
        <v>67</v>
      </c>
    </row>
    <row r="45" spans="1:17" s="1" customFormat="1">
      <c r="A45" s="15"/>
      <c r="B45" s="11" t="s">
        <v>1591</v>
      </c>
      <c r="C45" s="69" t="s">
        <v>45</v>
      </c>
      <c r="D45" s="9" t="s">
        <v>1727</v>
      </c>
      <c r="E45" s="16" t="s">
        <v>128</v>
      </c>
      <c r="F45" s="17"/>
      <c r="G45" s="17" t="s">
        <v>1082</v>
      </c>
      <c r="H45" s="16"/>
      <c r="I45" s="17"/>
      <c r="J45" s="19" t="s">
        <v>133</v>
      </c>
      <c r="K45" s="19" t="s">
        <v>202</v>
      </c>
      <c r="L45" s="19" t="s">
        <v>67</v>
      </c>
    </row>
    <row r="46" spans="1:17" s="1" customFormat="1">
      <c r="A46" s="15"/>
      <c r="B46" s="11" t="s">
        <v>2489</v>
      </c>
      <c r="C46" s="69" t="s">
        <v>56</v>
      </c>
      <c r="D46" s="9" t="s">
        <v>2491</v>
      </c>
      <c r="E46" s="16" t="s">
        <v>128</v>
      </c>
      <c r="F46" s="17"/>
      <c r="G46" s="17" t="s">
        <v>2497</v>
      </c>
      <c r="H46" s="16"/>
      <c r="I46" s="17"/>
      <c r="J46" s="19" t="s">
        <v>133</v>
      </c>
      <c r="K46" s="19" t="s">
        <v>132</v>
      </c>
      <c r="L46" s="19" t="s">
        <v>1337</v>
      </c>
    </row>
    <row r="47" spans="1:17" s="1" customFormat="1">
      <c r="A47" s="15"/>
      <c r="B47" s="11" t="s">
        <v>2490</v>
      </c>
      <c r="C47" s="69" t="s">
        <v>45</v>
      </c>
      <c r="D47" s="9" t="s">
        <v>2492</v>
      </c>
      <c r="E47" s="16" t="s">
        <v>128</v>
      </c>
      <c r="F47" s="17"/>
      <c r="G47" s="17" t="s">
        <v>1884</v>
      </c>
      <c r="H47" s="16"/>
      <c r="I47" s="17"/>
      <c r="J47" s="19" t="s">
        <v>133</v>
      </c>
      <c r="K47" s="19" t="s">
        <v>204</v>
      </c>
      <c r="L47" s="19" t="s">
        <v>67</v>
      </c>
    </row>
    <row r="48" spans="1:17" s="3" customFormat="1">
      <c r="B48" s="23" t="s">
        <v>47</v>
      </c>
      <c r="C48" s="24" t="s">
        <v>46</v>
      </c>
      <c r="D48" s="21" t="s">
        <v>48</v>
      </c>
      <c r="E48" s="44"/>
      <c r="F48" s="44"/>
      <c r="G48" s="44" t="s">
        <v>282</v>
      </c>
      <c r="H48" s="23"/>
      <c r="I48" s="23"/>
      <c r="J48" s="23"/>
      <c r="K48" s="23"/>
      <c r="L48" s="23"/>
      <c r="M48" s="23"/>
      <c r="N48" s="23"/>
      <c r="O48" s="23"/>
      <c r="P48" s="23"/>
      <c r="Q48" s="23"/>
    </row>
    <row r="49" spans="2:17" s="3" customFormat="1">
      <c r="B49" s="23" t="s">
        <v>49</v>
      </c>
      <c r="C49" s="24" t="s">
        <v>43</v>
      </c>
      <c r="D49" s="21" t="s">
        <v>50</v>
      </c>
      <c r="E49" s="44"/>
      <c r="F49" s="44"/>
      <c r="G49" s="44" t="s">
        <v>282</v>
      </c>
      <c r="H49" s="23"/>
      <c r="I49" s="23"/>
      <c r="J49" s="23"/>
      <c r="K49" s="23"/>
      <c r="L49" s="23"/>
      <c r="M49" s="23"/>
      <c r="N49" s="23"/>
      <c r="O49" s="23"/>
      <c r="P49" s="23"/>
      <c r="Q49" s="23"/>
    </row>
  </sheetData>
  <autoFilter ref="A13:Q49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68B7-8846-40A5-8D47-0D4387463737}">
  <dimension ref="A1:Q151"/>
  <sheetViews>
    <sheetView zoomScale="85" zoomScaleNormal="85" workbookViewId="0">
      <pane ySplit="5" topLeftCell="A6" activePane="bottomLeft" state="frozen"/>
      <selection activeCell="H43" sqref="H43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8.66406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2453</v>
      </c>
      <c r="D5" s="9" t="s">
        <v>2454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2427</v>
      </c>
      <c r="D9" s="9" t="s">
        <v>2428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6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6"/>
      <c r="I16" s="20"/>
      <c r="J16" s="19" t="s">
        <v>131</v>
      </c>
      <c r="K16" s="19" t="s">
        <v>132</v>
      </c>
      <c r="L16" s="19" t="s">
        <v>677</v>
      </c>
    </row>
    <row r="17" spans="1:13" s="1" customFormat="1">
      <c r="A17" s="15"/>
      <c r="B17" s="22" t="s">
        <v>80</v>
      </c>
      <c r="C17" s="22" t="s">
        <v>94</v>
      </c>
      <c r="D17" s="9" t="s">
        <v>99</v>
      </c>
      <c r="E17" s="16" t="s">
        <v>128</v>
      </c>
      <c r="F17" s="17" t="s">
        <v>80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678</v>
      </c>
    </row>
    <row r="18" spans="1:13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138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123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124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679</v>
      </c>
    </row>
    <row r="21" spans="1:13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318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273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272</v>
      </c>
      <c r="G23" s="17" t="s">
        <v>129</v>
      </c>
      <c r="H23" s="16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95</v>
      </c>
      <c r="G24" s="17" t="s">
        <v>129</v>
      </c>
      <c r="H24" s="16"/>
      <c r="I24" s="35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6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B26" s="22" t="s">
        <v>86</v>
      </c>
      <c r="C26" s="11" t="s">
        <v>43</v>
      </c>
      <c r="D26" s="9" t="s">
        <v>108</v>
      </c>
      <c r="E26" s="16" t="s">
        <v>128</v>
      </c>
      <c r="F26" s="17" t="s">
        <v>86</v>
      </c>
      <c r="G26" s="17" t="s">
        <v>129</v>
      </c>
      <c r="H26" s="18"/>
      <c r="I26" s="19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81</v>
      </c>
      <c r="C27" s="11" t="s">
        <v>43</v>
      </c>
      <c r="D27" s="9" t="s">
        <v>57</v>
      </c>
      <c r="E27" s="16" t="s">
        <v>128</v>
      </c>
      <c r="F27" s="17" t="s">
        <v>81</v>
      </c>
      <c r="G27" s="17" t="s">
        <v>129</v>
      </c>
      <c r="H27" s="16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A28" s="15"/>
      <c r="B28" s="11" t="s">
        <v>58</v>
      </c>
      <c r="C28" s="11" t="s">
        <v>43</v>
      </c>
      <c r="D28" s="9" t="s">
        <v>59</v>
      </c>
      <c r="E28" s="16" t="s">
        <v>128</v>
      </c>
      <c r="F28" s="9" t="s">
        <v>58</v>
      </c>
      <c r="G28" s="17" t="s">
        <v>129</v>
      </c>
      <c r="H28" s="16"/>
      <c r="I28" s="20"/>
      <c r="J28" s="19" t="s">
        <v>131</v>
      </c>
      <c r="K28" s="19" t="s">
        <v>132</v>
      </c>
      <c r="L28" s="19" t="s">
        <v>44</v>
      </c>
    </row>
    <row r="29" spans="1:13" s="1" customFormat="1">
      <c r="A29" s="15"/>
      <c r="B29" s="11" t="s">
        <v>82</v>
      </c>
      <c r="C29" s="11" t="s">
        <v>43</v>
      </c>
      <c r="D29" s="9" t="s">
        <v>105</v>
      </c>
      <c r="E29" s="16" t="s">
        <v>128</v>
      </c>
      <c r="F29" s="17" t="s">
        <v>82</v>
      </c>
      <c r="G29" s="17" t="s">
        <v>129</v>
      </c>
      <c r="H29" s="16"/>
      <c r="I29" s="20"/>
      <c r="J29" s="19" t="s">
        <v>131</v>
      </c>
      <c r="K29" s="19" t="s">
        <v>132</v>
      </c>
      <c r="L29" s="19" t="s">
        <v>44</v>
      </c>
    </row>
    <row r="30" spans="1:13" s="15" customFormat="1">
      <c r="B30" s="22" t="s">
        <v>87</v>
      </c>
      <c r="C30" s="11" t="s">
        <v>43</v>
      </c>
      <c r="D30" s="9" t="s">
        <v>109</v>
      </c>
      <c r="E30" s="16" t="s">
        <v>128</v>
      </c>
      <c r="F30" s="17" t="s">
        <v>87</v>
      </c>
      <c r="G30" s="17" t="s">
        <v>129</v>
      </c>
      <c r="H30" s="16"/>
      <c r="I30" s="20"/>
      <c r="J30" s="19" t="s">
        <v>131</v>
      </c>
      <c r="K30" s="19" t="s">
        <v>132</v>
      </c>
      <c r="L30" s="19" t="s">
        <v>679</v>
      </c>
      <c r="M30" s="1"/>
    </row>
    <row r="31" spans="1:13" s="1" customFormat="1">
      <c r="A31" s="15"/>
      <c r="B31" s="11" t="s">
        <v>145</v>
      </c>
      <c r="C31" s="11" t="s">
        <v>45</v>
      </c>
      <c r="D31" s="9" t="s">
        <v>146</v>
      </c>
      <c r="E31" s="16" t="s">
        <v>128</v>
      </c>
      <c r="F31" s="17"/>
      <c r="G31" s="17" t="s">
        <v>1289</v>
      </c>
      <c r="H31" s="18"/>
      <c r="I31" s="17"/>
      <c r="J31" s="19" t="s">
        <v>133</v>
      </c>
      <c r="K31" s="19" t="s">
        <v>132</v>
      </c>
      <c r="L31" s="19" t="s">
        <v>134</v>
      </c>
    </row>
    <row r="32" spans="1:13" s="1" customFormat="1">
      <c r="A32" s="15"/>
      <c r="B32" s="11" t="s">
        <v>192</v>
      </c>
      <c r="C32" s="11" t="s">
        <v>45</v>
      </c>
      <c r="D32" s="9" t="s">
        <v>193</v>
      </c>
      <c r="E32" s="16" t="s">
        <v>128</v>
      </c>
      <c r="F32" s="17"/>
      <c r="G32" s="17" t="s">
        <v>2265</v>
      </c>
      <c r="H32" s="18"/>
      <c r="I32" s="17"/>
      <c r="J32" s="19" t="s">
        <v>133</v>
      </c>
      <c r="K32" s="19" t="s">
        <v>132</v>
      </c>
      <c r="L32" s="19" t="s">
        <v>134</v>
      </c>
    </row>
    <row r="33" spans="1:12" s="1" customFormat="1">
      <c r="A33" s="15"/>
      <c r="B33" s="22" t="s">
        <v>255</v>
      </c>
      <c r="C33" s="22" t="s">
        <v>45</v>
      </c>
      <c r="D33" s="9" t="s">
        <v>348</v>
      </c>
      <c r="E33" s="16" t="s">
        <v>128</v>
      </c>
      <c r="F33" s="17"/>
      <c r="G33" s="17" t="s">
        <v>1667</v>
      </c>
      <c r="H33" s="18"/>
      <c r="I33" s="17"/>
      <c r="J33" s="19" t="s">
        <v>133</v>
      </c>
      <c r="K33" s="19" t="s">
        <v>203</v>
      </c>
      <c r="L33" s="19" t="s">
        <v>134</v>
      </c>
    </row>
    <row r="34" spans="1:12" s="1" customFormat="1">
      <c r="A34" s="15"/>
      <c r="B34" s="11" t="s">
        <v>207</v>
      </c>
      <c r="C34" s="11" t="s">
        <v>45</v>
      </c>
      <c r="D34" s="9" t="s">
        <v>759</v>
      </c>
      <c r="E34" s="16" t="s">
        <v>128</v>
      </c>
      <c r="F34" s="72"/>
      <c r="G34" s="17" t="s">
        <v>1200</v>
      </c>
      <c r="H34" s="18"/>
      <c r="I34" s="17"/>
      <c r="J34" s="19" t="s">
        <v>133</v>
      </c>
      <c r="K34" s="19" t="s">
        <v>204</v>
      </c>
      <c r="L34" s="19" t="s">
        <v>134</v>
      </c>
    </row>
    <row r="35" spans="1:12" s="1" customFormat="1">
      <c r="A35" s="15"/>
      <c r="B35" s="11" t="s">
        <v>208</v>
      </c>
      <c r="C35" s="11" t="s">
        <v>45</v>
      </c>
      <c r="D35" s="9" t="s">
        <v>160</v>
      </c>
      <c r="E35" s="16" t="s">
        <v>128</v>
      </c>
      <c r="F35" s="72"/>
      <c r="G35" s="17" t="s">
        <v>1201</v>
      </c>
      <c r="H35" s="18"/>
      <c r="I35" s="17"/>
      <c r="J35" s="19" t="s">
        <v>133</v>
      </c>
      <c r="K35" s="19" t="s">
        <v>204</v>
      </c>
      <c r="L35" s="19" t="s">
        <v>134</v>
      </c>
    </row>
    <row r="36" spans="1:12" s="1" customFormat="1">
      <c r="A36" s="15"/>
      <c r="B36" s="11" t="s">
        <v>210</v>
      </c>
      <c r="C36" s="11" t="s">
        <v>45</v>
      </c>
      <c r="D36" s="9" t="s">
        <v>1056</v>
      </c>
      <c r="E36" s="16" t="s">
        <v>128</v>
      </c>
      <c r="F36" s="72"/>
      <c r="G36" s="17" t="s">
        <v>224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209</v>
      </c>
      <c r="C37" s="11" t="s">
        <v>45</v>
      </c>
      <c r="D37" s="9" t="s">
        <v>1055</v>
      </c>
      <c r="E37" s="16" t="s">
        <v>128</v>
      </c>
      <c r="F37" s="72"/>
      <c r="G37" s="17" t="s">
        <v>223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211</v>
      </c>
      <c r="C38" s="11" t="s">
        <v>45</v>
      </c>
      <c r="D38" s="9" t="s">
        <v>163</v>
      </c>
      <c r="E38" s="16" t="s">
        <v>128</v>
      </c>
      <c r="F38" s="72"/>
      <c r="G38" s="17" t="s">
        <v>225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212</v>
      </c>
      <c r="C39" s="11" t="s">
        <v>45</v>
      </c>
      <c r="D39" s="9" t="s">
        <v>164</v>
      </c>
      <c r="E39" s="16" t="s">
        <v>128</v>
      </c>
      <c r="F39" s="72"/>
      <c r="G39" s="17" t="s">
        <v>226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213</v>
      </c>
      <c r="C40" s="11" t="s">
        <v>45</v>
      </c>
      <c r="D40" s="9" t="s">
        <v>165</v>
      </c>
      <c r="E40" s="16" t="s">
        <v>128</v>
      </c>
      <c r="F40" s="72"/>
      <c r="G40" s="17" t="s">
        <v>1114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214</v>
      </c>
      <c r="C41" s="11" t="s">
        <v>45</v>
      </c>
      <c r="D41" s="9" t="s">
        <v>166</v>
      </c>
      <c r="E41" s="16" t="s">
        <v>128</v>
      </c>
      <c r="F41" s="72"/>
      <c r="G41" s="17" t="s">
        <v>1115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217</v>
      </c>
      <c r="C42" s="11" t="s">
        <v>45</v>
      </c>
      <c r="D42" s="9" t="s">
        <v>171</v>
      </c>
      <c r="E42" s="16" t="s">
        <v>128</v>
      </c>
      <c r="F42" s="72"/>
      <c r="G42" s="17" t="s">
        <v>1116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218</v>
      </c>
      <c r="C43" s="11" t="s">
        <v>45</v>
      </c>
      <c r="D43" s="9" t="s">
        <v>172</v>
      </c>
      <c r="E43" s="16" t="s">
        <v>128</v>
      </c>
      <c r="F43" s="72"/>
      <c r="G43" s="17" t="s">
        <v>1117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219</v>
      </c>
      <c r="C44" s="11" t="s">
        <v>45</v>
      </c>
      <c r="D44" s="9" t="s">
        <v>173</v>
      </c>
      <c r="E44" s="16" t="s">
        <v>128</v>
      </c>
      <c r="F44" s="72"/>
      <c r="G44" s="17" t="s">
        <v>1118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220</v>
      </c>
      <c r="C45" s="11" t="s">
        <v>45</v>
      </c>
      <c r="D45" s="9" t="s">
        <v>174</v>
      </c>
      <c r="E45" s="16" t="s">
        <v>128</v>
      </c>
      <c r="F45" s="72"/>
      <c r="G45" s="17" t="s">
        <v>1119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215</v>
      </c>
      <c r="C46" s="11" t="s">
        <v>45</v>
      </c>
      <c r="D46" s="9" t="s">
        <v>1260</v>
      </c>
      <c r="E46" s="16" t="s">
        <v>128</v>
      </c>
      <c r="F46" s="72"/>
      <c r="G46" s="17" t="s">
        <v>227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216</v>
      </c>
      <c r="C47" s="11" t="s">
        <v>45</v>
      </c>
      <c r="D47" s="9" t="s">
        <v>1261</v>
      </c>
      <c r="E47" s="16" t="s">
        <v>128</v>
      </c>
      <c r="F47" s="72"/>
      <c r="G47" s="17" t="s">
        <v>228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316</v>
      </c>
      <c r="C48" s="11" t="s">
        <v>45</v>
      </c>
      <c r="D48" s="9" t="s">
        <v>167</v>
      </c>
      <c r="E48" s="16" t="s">
        <v>128</v>
      </c>
      <c r="F48" s="72"/>
      <c r="G48" s="17" t="s">
        <v>772</v>
      </c>
      <c r="H48" s="18"/>
      <c r="I48" s="17"/>
      <c r="J48" s="19" t="s">
        <v>133</v>
      </c>
      <c r="K48" s="19" t="s">
        <v>202</v>
      </c>
      <c r="L48" s="19" t="s">
        <v>67</v>
      </c>
    </row>
    <row r="49" spans="1:12" s="1" customFormat="1">
      <c r="A49" s="15"/>
      <c r="B49" s="11" t="s">
        <v>809</v>
      </c>
      <c r="C49" s="11" t="s">
        <v>45</v>
      </c>
      <c r="D49" s="9" t="s">
        <v>175</v>
      </c>
      <c r="E49" s="16" t="s">
        <v>128</v>
      </c>
      <c r="F49" s="72"/>
      <c r="G49" s="17" t="s">
        <v>1120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317</v>
      </c>
      <c r="C50" s="11" t="s">
        <v>45</v>
      </c>
      <c r="D50" s="9" t="s">
        <v>168</v>
      </c>
      <c r="E50" s="16" t="s">
        <v>128</v>
      </c>
      <c r="F50" s="72"/>
      <c r="G50" s="17" t="s">
        <v>778</v>
      </c>
      <c r="H50" s="18"/>
      <c r="I50" s="17"/>
      <c r="J50" s="19" t="s">
        <v>133</v>
      </c>
      <c r="K50" s="19" t="s">
        <v>202</v>
      </c>
      <c r="L50" s="19" t="s">
        <v>67</v>
      </c>
    </row>
    <row r="51" spans="1:12" s="1" customFormat="1">
      <c r="A51" s="15"/>
      <c r="B51" s="11" t="s">
        <v>810</v>
      </c>
      <c r="C51" s="11" t="s">
        <v>45</v>
      </c>
      <c r="D51" s="9" t="s">
        <v>176</v>
      </c>
      <c r="E51" s="16" t="s">
        <v>128</v>
      </c>
      <c r="F51" s="72"/>
      <c r="G51" s="17" t="s">
        <v>1121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1213</v>
      </c>
      <c r="C52" s="11" t="s">
        <v>45</v>
      </c>
      <c r="D52" s="9" t="s">
        <v>178</v>
      </c>
      <c r="E52" s="16" t="s">
        <v>128</v>
      </c>
      <c r="F52" s="72"/>
      <c r="G52" s="17" t="s">
        <v>2266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221</v>
      </c>
      <c r="C53" s="11" t="s">
        <v>45</v>
      </c>
      <c r="D53" s="9" t="s">
        <v>177</v>
      </c>
      <c r="E53" s="16" t="s">
        <v>128</v>
      </c>
      <c r="F53" s="72"/>
      <c r="G53" s="17" t="s">
        <v>1122</v>
      </c>
      <c r="H53" s="18"/>
      <c r="I53" s="17"/>
      <c r="J53" s="19" t="s">
        <v>133</v>
      </c>
      <c r="K53" s="19" t="s">
        <v>204</v>
      </c>
      <c r="L53" s="19" t="s">
        <v>67</v>
      </c>
    </row>
    <row r="54" spans="1:12" s="1" customFormat="1">
      <c r="A54" s="15"/>
      <c r="B54" s="11" t="s">
        <v>1212</v>
      </c>
      <c r="C54" s="11" t="s">
        <v>45</v>
      </c>
      <c r="D54" s="9" t="s">
        <v>180</v>
      </c>
      <c r="E54" s="16" t="s">
        <v>128</v>
      </c>
      <c r="F54" s="72"/>
      <c r="G54" s="17" t="s">
        <v>2267</v>
      </c>
      <c r="H54" s="18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11" t="s">
        <v>222</v>
      </c>
      <c r="C55" s="11" t="s">
        <v>45</v>
      </c>
      <c r="D55" s="9" t="s">
        <v>179</v>
      </c>
      <c r="E55" s="16" t="s">
        <v>128</v>
      </c>
      <c r="F55" s="72"/>
      <c r="G55" s="17" t="s">
        <v>1123</v>
      </c>
      <c r="H55" s="18"/>
      <c r="I55" s="17"/>
      <c r="J55" s="19" t="s">
        <v>133</v>
      </c>
      <c r="K55" s="19" t="s">
        <v>204</v>
      </c>
      <c r="L55" s="19" t="s">
        <v>67</v>
      </c>
    </row>
    <row r="56" spans="1:12" s="1" customFormat="1">
      <c r="A56" s="15"/>
      <c r="B56" s="11" t="s">
        <v>2167</v>
      </c>
      <c r="C56" s="11" t="s">
        <v>45</v>
      </c>
      <c r="D56" s="9" t="s">
        <v>2165</v>
      </c>
      <c r="E56" s="16" t="s">
        <v>128</v>
      </c>
      <c r="F56" s="72"/>
      <c r="G56" s="17" t="s">
        <v>2883</v>
      </c>
      <c r="H56" s="18"/>
      <c r="I56" s="17"/>
      <c r="J56" s="19" t="s">
        <v>133</v>
      </c>
      <c r="K56" s="19" t="s">
        <v>903</v>
      </c>
      <c r="L56" s="19" t="s">
        <v>134</v>
      </c>
    </row>
    <row r="57" spans="1:12" s="1" customFormat="1">
      <c r="A57" s="15"/>
      <c r="B57" s="11" t="s">
        <v>2168</v>
      </c>
      <c r="C57" s="11" t="s">
        <v>45</v>
      </c>
      <c r="D57" s="9" t="s">
        <v>2166</v>
      </c>
      <c r="E57" s="16" t="s">
        <v>128</v>
      </c>
      <c r="F57" s="72"/>
      <c r="G57" s="17" t="s">
        <v>2269</v>
      </c>
      <c r="H57" s="18"/>
      <c r="I57" s="17"/>
      <c r="J57" s="19" t="s">
        <v>133</v>
      </c>
      <c r="K57" s="19" t="s">
        <v>903</v>
      </c>
      <c r="L57" s="19" t="s">
        <v>134</v>
      </c>
    </row>
    <row r="58" spans="1:12" s="1" customFormat="1">
      <c r="A58" s="15"/>
      <c r="B58" s="11" t="s">
        <v>2179</v>
      </c>
      <c r="C58" s="11" t="s">
        <v>45</v>
      </c>
      <c r="D58" s="9" t="s">
        <v>2011</v>
      </c>
      <c r="E58" s="16" t="s">
        <v>128</v>
      </c>
      <c r="F58" s="72"/>
      <c r="G58" s="17" t="s">
        <v>2270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2172</v>
      </c>
      <c r="C59" s="11" t="s">
        <v>45</v>
      </c>
      <c r="D59" s="9" t="s">
        <v>2173</v>
      </c>
      <c r="E59" s="16" t="s">
        <v>128</v>
      </c>
      <c r="F59" s="72"/>
      <c r="G59" s="17" t="s">
        <v>2271</v>
      </c>
      <c r="H59" s="18"/>
      <c r="I59" s="17"/>
      <c r="J59" s="19" t="s">
        <v>133</v>
      </c>
      <c r="K59" s="19" t="s">
        <v>1640</v>
      </c>
      <c r="L59" s="19" t="s">
        <v>67</v>
      </c>
    </row>
    <row r="60" spans="1:12" s="1" customFormat="1">
      <c r="A60" s="15"/>
      <c r="B60" s="11" t="s">
        <v>2174</v>
      </c>
      <c r="C60" s="11" t="s">
        <v>45</v>
      </c>
      <c r="D60" s="9" t="s">
        <v>2175</v>
      </c>
      <c r="E60" s="16" t="s">
        <v>128</v>
      </c>
      <c r="F60" s="72"/>
      <c r="G60" s="17" t="s">
        <v>2272</v>
      </c>
      <c r="H60" s="18"/>
      <c r="I60" s="17"/>
      <c r="J60" s="19" t="s">
        <v>133</v>
      </c>
      <c r="K60" s="19" t="s">
        <v>1640</v>
      </c>
      <c r="L60" s="19" t="s">
        <v>67</v>
      </c>
    </row>
    <row r="61" spans="1:12" s="1" customFormat="1">
      <c r="A61" s="15"/>
      <c r="B61" s="11" t="s">
        <v>2181</v>
      </c>
      <c r="C61" s="11" t="s">
        <v>45</v>
      </c>
      <c r="D61" s="9" t="s">
        <v>2182</v>
      </c>
      <c r="E61" s="16" t="s">
        <v>128</v>
      </c>
      <c r="F61" s="72"/>
      <c r="G61" s="17" t="s">
        <v>2273</v>
      </c>
      <c r="H61" s="18"/>
      <c r="I61" s="17"/>
      <c r="J61" s="19" t="s">
        <v>133</v>
      </c>
      <c r="K61" s="19" t="s">
        <v>1640</v>
      </c>
      <c r="L61" s="19" t="s">
        <v>67</v>
      </c>
    </row>
    <row r="62" spans="1:12" s="1" customFormat="1">
      <c r="A62" s="15"/>
      <c r="B62" s="11" t="s">
        <v>2183</v>
      </c>
      <c r="C62" s="11" t="s">
        <v>45</v>
      </c>
      <c r="D62" s="9" t="s">
        <v>2184</v>
      </c>
      <c r="E62" s="16" t="s">
        <v>128</v>
      </c>
      <c r="F62" s="72"/>
      <c r="G62" s="17" t="s">
        <v>2274</v>
      </c>
      <c r="H62" s="18"/>
      <c r="I62" s="17"/>
      <c r="J62" s="19" t="s">
        <v>133</v>
      </c>
      <c r="K62" s="19" t="s">
        <v>1640</v>
      </c>
      <c r="L62" s="19" t="s">
        <v>67</v>
      </c>
    </row>
    <row r="63" spans="1:12" s="1" customFormat="1">
      <c r="A63" s="15"/>
      <c r="B63" s="11" t="s">
        <v>2185</v>
      </c>
      <c r="C63" s="11" t="s">
        <v>45</v>
      </c>
      <c r="D63" s="9" t="s">
        <v>2190</v>
      </c>
      <c r="E63" s="16" t="s">
        <v>128</v>
      </c>
      <c r="F63" s="72"/>
      <c r="G63" s="17" t="s">
        <v>2275</v>
      </c>
      <c r="H63" s="18"/>
      <c r="I63" s="17"/>
      <c r="J63" s="19" t="s">
        <v>133</v>
      </c>
      <c r="K63" s="19" t="s">
        <v>204</v>
      </c>
      <c r="L63" s="19" t="s">
        <v>67</v>
      </c>
    </row>
    <row r="64" spans="1:12" s="1" customFormat="1">
      <c r="A64" s="15"/>
      <c r="B64" s="11" t="s">
        <v>2186</v>
      </c>
      <c r="C64" s="11" t="s">
        <v>45</v>
      </c>
      <c r="D64" s="9" t="s">
        <v>2191</v>
      </c>
      <c r="E64" s="16" t="s">
        <v>128</v>
      </c>
      <c r="F64" s="72"/>
      <c r="G64" s="17" t="s">
        <v>2276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2245</v>
      </c>
      <c r="C65" s="11" t="s">
        <v>45</v>
      </c>
      <c r="D65" s="9" t="s">
        <v>2189</v>
      </c>
      <c r="E65" s="16" t="s">
        <v>128</v>
      </c>
      <c r="F65" s="72"/>
      <c r="G65" s="17" t="s">
        <v>2277</v>
      </c>
      <c r="H65" s="18"/>
      <c r="I65" s="17"/>
      <c r="J65" s="19" t="s">
        <v>133</v>
      </c>
      <c r="K65" s="19" t="s">
        <v>204</v>
      </c>
      <c r="L65" s="19" t="s">
        <v>67</v>
      </c>
    </row>
    <row r="66" spans="1:12" s="1" customFormat="1">
      <c r="A66" s="15"/>
      <c r="B66" s="11" t="s">
        <v>2159</v>
      </c>
      <c r="C66" s="95" t="s">
        <v>280</v>
      </c>
      <c r="D66" s="9" t="s">
        <v>2161</v>
      </c>
      <c r="E66" s="16" t="s">
        <v>128</v>
      </c>
      <c r="F66" s="72"/>
      <c r="G66" s="17" t="s">
        <v>2278</v>
      </c>
      <c r="H66" s="18"/>
      <c r="I66" s="17"/>
      <c r="J66" s="19" t="s">
        <v>133</v>
      </c>
      <c r="K66" s="19" t="s">
        <v>203</v>
      </c>
      <c r="L66" s="19" t="s">
        <v>67</v>
      </c>
    </row>
    <row r="67" spans="1:12" s="1" customFormat="1">
      <c r="A67" s="15"/>
      <c r="B67" s="11" t="s">
        <v>2160</v>
      </c>
      <c r="C67" s="95" t="s">
        <v>280</v>
      </c>
      <c r="D67" s="9" t="s">
        <v>2162</v>
      </c>
      <c r="E67" s="16" t="s">
        <v>128</v>
      </c>
      <c r="F67" s="72"/>
      <c r="G67" s="17" t="s">
        <v>2279</v>
      </c>
      <c r="H67" s="18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" t="s">
        <v>205</v>
      </c>
      <c r="C68" s="11" t="s">
        <v>45</v>
      </c>
      <c r="D68" s="9" t="s">
        <v>147</v>
      </c>
      <c r="E68" s="16" t="s">
        <v>128</v>
      </c>
      <c r="F68" s="72"/>
      <c r="G68" s="17" t="s">
        <v>2247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206</v>
      </c>
      <c r="C69" s="11" t="s">
        <v>280</v>
      </c>
      <c r="D69" s="9" t="s">
        <v>820</v>
      </c>
      <c r="E69" s="16" t="s">
        <v>128</v>
      </c>
      <c r="F69" s="72"/>
      <c r="G69" s="17" t="s">
        <v>1081</v>
      </c>
      <c r="H69" s="18"/>
      <c r="I69" s="17"/>
      <c r="J69" s="19" t="s">
        <v>133</v>
      </c>
      <c r="K69" s="19" t="s">
        <v>202</v>
      </c>
      <c r="L69" s="19" t="s">
        <v>67</v>
      </c>
    </row>
    <row r="70" spans="1:12" s="1" customFormat="1">
      <c r="A70" s="15"/>
      <c r="B70" s="11" t="s">
        <v>1022</v>
      </c>
      <c r="C70" s="11" t="s">
        <v>45</v>
      </c>
      <c r="D70" s="9" t="s">
        <v>1018</v>
      </c>
      <c r="E70" s="16" t="s">
        <v>128</v>
      </c>
      <c r="F70" s="72"/>
      <c r="G70" s="17" t="s">
        <v>1127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1014</v>
      </c>
      <c r="C71" s="11" t="s">
        <v>45</v>
      </c>
      <c r="D71" s="9" t="s">
        <v>1019</v>
      </c>
      <c r="E71" s="16" t="s">
        <v>128</v>
      </c>
      <c r="F71" s="72"/>
      <c r="G71" s="17" t="s">
        <v>1128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1015</v>
      </c>
      <c r="C72" s="11" t="s">
        <v>45</v>
      </c>
      <c r="D72" s="9" t="s">
        <v>1020</v>
      </c>
      <c r="E72" s="16" t="s">
        <v>128</v>
      </c>
      <c r="F72" s="72"/>
      <c r="G72" s="17" t="s">
        <v>1129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1016</v>
      </c>
      <c r="C73" s="11" t="s">
        <v>45</v>
      </c>
      <c r="D73" s="9" t="s">
        <v>1021</v>
      </c>
      <c r="E73" s="16" t="s">
        <v>128</v>
      </c>
      <c r="F73" s="72"/>
      <c r="G73" s="17" t="s">
        <v>1130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1017</v>
      </c>
      <c r="C74" s="11" t="s">
        <v>45</v>
      </c>
      <c r="D74" s="9" t="s">
        <v>1042</v>
      </c>
      <c r="E74" s="16" t="s">
        <v>128</v>
      </c>
      <c r="F74" s="72"/>
      <c r="G74" s="17" t="s">
        <v>1131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1049</v>
      </c>
      <c r="C75" s="11" t="s">
        <v>45</v>
      </c>
      <c r="D75" s="9" t="s">
        <v>153</v>
      </c>
      <c r="E75" s="16" t="s">
        <v>128</v>
      </c>
      <c r="F75" s="72"/>
      <c r="G75" s="17" t="s">
        <v>1262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823</v>
      </c>
      <c r="C76" s="11" t="s">
        <v>280</v>
      </c>
      <c r="D76" s="9" t="s">
        <v>1474</v>
      </c>
      <c r="E76" s="16" t="s">
        <v>128</v>
      </c>
      <c r="F76" s="72"/>
      <c r="G76" s="17" t="s">
        <v>1082</v>
      </c>
      <c r="H76" s="18"/>
      <c r="I76" s="17"/>
      <c r="J76" s="19" t="s">
        <v>133</v>
      </c>
      <c r="K76" s="19" t="s">
        <v>202</v>
      </c>
      <c r="L76" s="19" t="s">
        <v>67</v>
      </c>
    </row>
    <row r="77" spans="1:12" s="1" customFormat="1">
      <c r="A77" s="15"/>
      <c r="B77" s="11" t="s">
        <v>1030</v>
      </c>
      <c r="C77" s="11" t="s">
        <v>45</v>
      </c>
      <c r="D77" s="9" t="s">
        <v>1026</v>
      </c>
      <c r="E77" s="16" t="s">
        <v>128</v>
      </c>
      <c r="F77" s="72"/>
      <c r="G77" s="17" t="s">
        <v>1133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1023</v>
      </c>
      <c r="C78" s="11" t="s">
        <v>45</v>
      </c>
      <c r="D78" s="9" t="s">
        <v>1027</v>
      </c>
      <c r="E78" s="16" t="s">
        <v>128</v>
      </c>
      <c r="F78" s="72"/>
      <c r="G78" s="17" t="s">
        <v>1134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1024</v>
      </c>
      <c r="C79" s="11" t="s">
        <v>45</v>
      </c>
      <c r="D79" s="9" t="s">
        <v>1028</v>
      </c>
      <c r="E79" s="16" t="s">
        <v>128</v>
      </c>
      <c r="F79" s="72"/>
      <c r="G79" s="17" t="s">
        <v>1135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1032</v>
      </c>
      <c r="C80" s="11" t="s">
        <v>45</v>
      </c>
      <c r="D80" s="9" t="s">
        <v>1029</v>
      </c>
      <c r="E80" s="16" t="s">
        <v>128</v>
      </c>
      <c r="F80" s="72"/>
      <c r="G80" s="17" t="s">
        <v>1136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1025</v>
      </c>
      <c r="C81" s="11" t="s">
        <v>45</v>
      </c>
      <c r="D81" s="9" t="s">
        <v>1043</v>
      </c>
      <c r="E81" s="16" t="s">
        <v>128</v>
      </c>
      <c r="F81" s="72"/>
      <c r="G81" s="17" t="s">
        <v>1137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1084</v>
      </c>
      <c r="C82" s="11" t="s">
        <v>280</v>
      </c>
      <c r="D82" s="9" t="s">
        <v>1086</v>
      </c>
      <c r="E82" s="16" t="s">
        <v>128</v>
      </c>
      <c r="F82" s="72"/>
      <c r="G82" s="17" t="s">
        <v>2248</v>
      </c>
      <c r="H82" s="18"/>
      <c r="I82" s="17"/>
      <c r="J82" s="19" t="s">
        <v>133</v>
      </c>
      <c r="K82" s="19" t="s">
        <v>202</v>
      </c>
      <c r="L82" s="19" t="s">
        <v>67</v>
      </c>
    </row>
    <row r="83" spans="1:12" s="1" customFormat="1">
      <c r="A83" s="15"/>
      <c r="B83" s="11" t="s">
        <v>1083</v>
      </c>
      <c r="C83" s="11" t="s">
        <v>280</v>
      </c>
      <c r="D83" s="9" t="s">
        <v>841</v>
      </c>
      <c r="E83" s="16" t="s">
        <v>128</v>
      </c>
      <c r="F83" s="72"/>
      <c r="G83" s="17" t="s">
        <v>1866</v>
      </c>
      <c r="H83" s="18"/>
      <c r="I83" s="17"/>
      <c r="J83" s="19" t="s">
        <v>133</v>
      </c>
      <c r="K83" s="19" t="s">
        <v>202</v>
      </c>
      <c r="L83" s="19" t="s">
        <v>67</v>
      </c>
    </row>
    <row r="84" spans="1:12" s="1" customFormat="1">
      <c r="A84" s="15"/>
      <c r="B84" s="11" t="s">
        <v>1033</v>
      </c>
      <c r="C84" s="11" t="s">
        <v>45</v>
      </c>
      <c r="D84" s="9" t="s">
        <v>1038</v>
      </c>
      <c r="E84" s="16" t="s">
        <v>128</v>
      </c>
      <c r="F84" s="72"/>
      <c r="G84" s="17" t="s">
        <v>1138</v>
      </c>
      <c r="H84" s="18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1034</v>
      </c>
      <c r="C85" s="11" t="s">
        <v>45</v>
      </c>
      <c r="D85" s="9" t="s">
        <v>1039</v>
      </c>
      <c r="E85" s="16" t="s">
        <v>128</v>
      </c>
      <c r="F85" s="72"/>
      <c r="G85" s="17" t="s">
        <v>1139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1035</v>
      </c>
      <c r="C86" s="11" t="s">
        <v>45</v>
      </c>
      <c r="D86" s="9" t="s">
        <v>1040</v>
      </c>
      <c r="E86" s="16" t="s">
        <v>128</v>
      </c>
      <c r="F86" s="72"/>
      <c r="G86" s="17" t="s">
        <v>1140</v>
      </c>
      <c r="H86" s="18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1036</v>
      </c>
      <c r="C87" s="11" t="s">
        <v>45</v>
      </c>
      <c r="D87" s="9" t="s">
        <v>1041</v>
      </c>
      <c r="E87" s="16" t="s">
        <v>128</v>
      </c>
      <c r="F87" s="72"/>
      <c r="G87" s="17" t="s">
        <v>1141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1037</v>
      </c>
      <c r="C88" s="11" t="s">
        <v>45</v>
      </c>
      <c r="D88" s="9" t="s">
        <v>1044</v>
      </c>
      <c r="E88" s="16" t="s">
        <v>128</v>
      </c>
      <c r="F88" s="72"/>
      <c r="G88" s="17" t="s">
        <v>1142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816</v>
      </c>
      <c r="C89" s="11" t="s">
        <v>280</v>
      </c>
      <c r="D89" s="9" t="s">
        <v>839</v>
      </c>
      <c r="E89" s="16" t="s">
        <v>128</v>
      </c>
      <c r="F89" s="72"/>
      <c r="G89" s="17" t="s">
        <v>1088</v>
      </c>
      <c r="H89" s="18"/>
      <c r="I89" s="17"/>
      <c r="J89" s="19" t="s">
        <v>133</v>
      </c>
      <c r="K89" s="19" t="s">
        <v>202</v>
      </c>
      <c r="L89" s="19" t="s">
        <v>67</v>
      </c>
    </row>
    <row r="90" spans="1:12" s="1" customFormat="1">
      <c r="A90" s="15"/>
      <c r="B90" s="11" t="s">
        <v>817</v>
      </c>
      <c r="C90" s="11" t="s">
        <v>45</v>
      </c>
      <c r="D90" s="9" t="s">
        <v>658</v>
      </c>
      <c r="E90" s="16" t="s">
        <v>128</v>
      </c>
      <c r="F90" s="72"/>
      <c r="G90" s="17" t="s">
        <v>1089</v>
      </c>
      <c r="H90" s="18"/>
      <c r="I90" s="17"/>
      <c r="J90" s="19" t="s">
        <v>133</v>
      </c>
      <c r="K90" s="19" t="s">
        <v>44</v>
      </c>
      <c r="L90" s="19" t="s">
        <v>67</v>
      </c>
    </row>
    <row r="91" spans="1:12" s="1" customFormat="1">
      <c r="A91" s="15"/>
      <c r="B91" s="11" t="s">
        <v>818</v>
      </c>
      <c r="C91" s="11" t="s">
        <v>280</v>
      </c>
      <c r="D91" s="9" t="s">
        <v>842</v>
      </c>
      <c r="E91" s="16" t="s">
        <v>128</v>
      </c>
      <c r="F91" s="72"/>
      <c r="G91" s="17" t="s">
        <v>1091</v>
      </c>
      <c r="H91" s="18"/>
      <c r="I91" s="17"/>
      <c r="J91" s="19" t="s">
        <v>133</v>
      </c>
      <c r="K91" s="19" t="s">
        <v>202</v>
      </c>
      <c r="L91" s="19" t="s">
        <v>67</v>
      </c>
    </row>
    <row r="92" spans="1:12" s="1" customFormat="1">
      <c r="A92" s="15"/>
      <c r="B92" s="11" t="s">
        <v>819</v>
      </c>
      <c r="C92" s="11" t="s">
        <v>45</v>
      </c>
      <c r="D92" s="9" t="s">
        <v>660</v>
      </c>
      <c r="E92" s="16" t="s">
        <v>128</v>
      </c>
      <c r="F92" s="72"/>
      <c r="G92" s="17" t="s">
        <v>1092</v>
      </c>
      <c r="H92" s="18"/>
      <c r="I92" s="17"/>
      <c r="J92" s="19" t="s">
        <v>133</v>
      </c>
      <c r="K92" s="19" t="s">
        <v>44</v>
      </c>
      <c r="L92" s="19" t="s">
        <v>67</v>
      </c>
    </row>
    <row r="93" spans="1:12" s="1" customFormat="1">
      <c r="A93" s="15"/>
      <c r="B93" s="22" t="s">
        <v>2327</v>
      </c>
      <c r="C93" s="22" t="s">
        <v>45</v>
      </c>
      <c r="D93" s="9" t="s">
        <v>2017</v>
      </c>
      <c r="E93" s="16" t="s">
        <v>128</v>
      </c>
      <c r="F93" s="72"/>
      <c r="G93" s="17" t="s">
        <v>2330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22" t="s">
        <v>2194</v>
      </c>
      <c r="C94" s="22" t="s">
        <v>280</v>
      </c>
      <c r="D94" s="9" t="s">
        <v>2196</v>
      </c>
      <c r="E94" s="16" t="s">
        <v>128</v>
      </c>
      <c r="F94" s="72"/>
      <c r="G94" s="17" t="s">
        <v>2250</v>
      </c>
      <c r="H94" s="18"/>
      <c r="I94" s="17"/>
      <c r="J94" s="19" t="s">
        <v>133</v>
      </c>
      <c r="K94" s="19" t="s">
        <v>2024</v>
      </c>
      <c r="L94" s="19" t="s">
        <v>67</v>
      </c>
    </row>
    <row r="95" spans="1:12" s="1" customFormat="1">
      <c r="B95" s="22" t="s">
        <v>2132</v>
      </c>
      <c r="C95" s="22" t="s">
        <v>280</v>
      </c>
      <c r="D95" s="9" t="s">
        <v>2134</v>
      </c>
      <c r="E95" s="16" t="s">
        <v>128</v>
      </c>
      <c r="F95" s="22"/>
      <c r="G95" s="17" t="s">
        <v>2333</v>
      </c>
      <c r="H95" s="18"/>
      <c r="I95" s="88"/>
      <c r="J95" s="19" t="s">
        <v>133</v>
      </c>
      <c r="K95" s="19" t="s">
        <v>2136</v>
      </c>
      <c r="L95" s="19" t="s">
        <v>134</v>
      </c>
    </row>
    <row r="96" spans="1:12" s="1" customFormat="1">
      <c r="A96" s="15"/>
      <c r="B96" s="90" t="s">
        <v>2328</v>
      </c>
      <c r="C96" s="22" t="s">
        <v>45</v>
      </c>
      <c r="D96" s="9" t="s">
        <v>2034</v>
      </c>
      <c r="E96" s="16" t="s">
        <v>128</v>
      </c>
      <c r="F96" s="72"/>
      <c r="G96" s="17" t="s">
        <v>2332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2" s="1" customFormat="1">
      <c r="A97" s="15"/>
      <c r="B97" s="90" t="s">
        <v>2193</v>
      </c>
      <c r="C97" s="22" t="s">
        <v>280</v>
      </c>
      <c r="D97" s="9" t="s">
        <v>2195</v>
      </c>
      <c r="E97" s="16" t="s">
        <v>128</v>
      </c>
      <c r="F97" s="72"/>
      <c r="G97" s="17" t="s">
        <v>2252</v>
      </c>
      <c r="H97" s="18"/>
      <c r="I97" s="17"/>
      <c r="J97" s="19" t="s">
        <v>133</v>
      </c>
      <c r="K97" s="19" t="s">
        <v>2024</v>
      </c>
      <c r="L97" s="19" t="s">
        <v>67</v>
      </c>
    </row>
    <row r="98" spans="1:12" s="1" customFormat="1">
      <c r="B98" s="90" t="s">
        <v>2133</v>
      </c>
      <c r="C98" s="22" t="s">
        <v>280</v>
      </c>
      <c r="D98" s="9" t="s">
        <v>2135</v>
      </c>
      <c r="E98" s="16" t="s">
        <v>128</v>
      </c>
      <c r="F98" s="22"/>
      <c r="G98" s="17" t="s">
        <v>2334</v>
      </c>
      <c r="H98" s="18"/>
      <c r="I98" s="88"/>
      <c r="J98" s="19" t="s">
        <v>133</v>
      </c>
      <c r="K98" s="19" t="s">
        <v>2136</v>
      </c>
      <c r="L98" s="19" t="s">
        <v>134</v>
      </c>
    </row>
    <row r="99" spans="1:12" s="1" customFormat="1">
      <c r="B99" s="22" t="s">
        <v>2255</v>
      </c>
      <c r="C99" s="22" t="s">
        <v>45</v>
      </c>
      <c r="D99" s="9" t="s">
        <v>2201</v>
      </c>
      <c r="E99" s="16" t="s">
        <v>128</v>
      </c>
      <c r="F99" s="22"/>
      <c r="G99" s="17" t="s">
        <v>2280</v>
      </c>
      <c r="H99" s="18"/>
      <c r="I99" s="17"/>
      <c r="J99" s="19" t="s">
        <v>133</v>
      </c>
      <c r="K99" s="19" t="s">
        <v>1640</v>
      </c>
      <c r="L99" s="19" t="s">
        <v>67</v>
      </c>
    </row>
    <row r="100" spans="1:12" s="1" customFormat="1">
      <c r="B100" s="22" t="s">
        <v>2254</v>
      </c>
      <c r="C100" s="22" t="s">
        <v>45</v>
      </c>
      <c r="D100" s="9" t="s">
        <v>2202</v>
      </c>
      <c r="E100" s="16" t="s">
        <v>128</v>
      </c>
      <c r="F100" s="22"/>
      <c r="G100" s="17" t="s">
        <v>2281</v>
      </c>
      <c r="H100" s="18"/>
      <c r="I100" s="17"/>
      <c r="J100" s="19" t="s">
        <v>133</v>
      </c>
      <c r="K100" s="19" t="s">
        <v>1640</v>
      </c>
      <c r="L100" s="19" t="s">
        <v>67</v>
      </c>
    </row>
    <row r="101" spans="1:12" s="1" customFormat="1">
      <c r="B101" s="22" t="s">
        <v>2203</v>
      </c>
      <c r="C101" s="22" t="s">
        <v>56</v>
      </c>
      <c r="D101" s="9" t="s">
        <v>2204</v>
      </c>
      <c r="E101" s="16" t="s">
        <v>128</v>
      </c>
      <c r="F101" s="22"/>
      <c r="G101" s="17" t="s">
        <v>2256</v>
      </c>
      <c r="H101" s="98"/>
      <c r="I101" s="88"/>
      <c r="J101" s="19" t="s">
        <v>133</v>
      </c>
      <c r="K101" s="19" t="s">
        <v>44</v>
      </c>
      <c r="L101" s="19" t="s">
        <v>1292</v>
      </c>
    </row>
    <row r="102" spans="1:12" s="1" customFormat="1">
      <c r="B102" s="22" t="s">
        <v>2216</v>
      </c>
      <c r="C102" s="22" t="s">
        <v>45</v>
      </c>
      <c r="D102" s="9" t="s">
        <v>2036</v>
      </c>
      <c r="E102" s="16" t="s">
        <v>128</v>
      </c>
      <c r="F102" s="22"/>
      <c r="G102" s="17" t="s">
        <v>2282</v>
      </c>
      <c r="H102" s="18"/>
      <c r="I102" s="17"/>
      <c r="J102" s="19" t="s">
        <v>133</v>
      </c>
      <c r="K102" s="19" t="s">
        <v>2235</v>
      </c>
      <c r="L102" s="19" t="s">
        <v>67</v>
      </c>
    </row>
    <row r="103" spans="1:12" s="1" customFormat="1">
      <c r="B103" s="22" t="s">
        <v>2218</v>
      </c>
      <c r="C103" s="22" t="s">
        <v>45</v>
      </c>
      <c r="D103" s="9" t="s">
        <v>2219</v>
      </c>
      <c r="E103" s="16" t="s">
        <v>128</v>
      </c>
      <c r="F103" s="22"/>
      <c r="G103" s="17" t="s">
        <v>2283</v>
      </c>
      <c r="H103" s="18"/>
      <c r="I103" s="17"/>
      <c r="J103" s="19" t="s">
        <v>133</v>
      </c>
      <c r="K103" s="19" t="s">
        <v>1640</v>
      </c>
      <c r="L103" s="19" t="s">
        <v>67</v>
      </c>
    </row>
    <row r="104" spans="1:12" s="1" customFormat="1">
      <c r="B104" s="22" t="s">
        <v>2217</v>
      </c>
      <c r="C104" s="22" t="s">
        <v>45</v>
      </c>
      <c r="D104" s="9" t="s">
        <v>2035</v>
      </c>
      <c r="E104" s="16" t="s">
        <v>128</v>
      </c>
      <c r="F104" s="22"/>
      <c r="G104" s="17" t="s">
        <v>2284</v>
      </c>
      <c r="H104" s="18"/>
      <c r="I104" s="17"/>
      <c r="J104" s="19" t="s">
        <v>133</v>
      </c>
      <c r="K104" s="19" t="s">
        <v>2235</v>
      </c>
      <c r="L104" s="19" t="s">
        <v>67</v>
      </c>
    </row>
    <row r="105" spans="1:12" s="1" customFormat="1">
      <c r="B105" s="22" t="s">
        <v>2220</v>
      </c>
      <c r="C105" s="22" t="s">
        <v>45</v>
      </c>
      <c r="D105" s="9" t="s">
        <v>2225</v>
      </c>
      <c r="E105" s="16" t="s">
        <v>128</v>
      </c>
      <c r="F105" s="22"/>
      <c r="G105" s="17" t="s">
        <v>2285</v>
      </c>
      <c r="H105" s="18"/>
      <c r="I105" s="17"/>
      <c r="J105" s="19" t="s">
        <v>133</v>
      </c>
      <c r="K105" s="19" t="s">
        <v>1640</v>
      </c>
      <c r="L105" s="19" t="s">
        <v>67</v>
      </c>
    </row>
    <row r="106" spans="1:12" s="1" customFormat="1">
      <c r="B106" s="22" t="s">
        <v>2140</v>
      </c>
      <c r="C106" s="22" t="s">
        <v>45</v>
      </c>
      <c r="D106" s="9" t="s">
        <v>2141</v>
      </c>
      <c r="E106" s="16" t="s">
        <v>128</v>
      </c>
      <c r="F106" s="22"/>
      <c r="G106" s="17" t="s">
        <v>2286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B107" s="22" t="s">
        <v>2142</v>
      </c>
      <c r="C107" s="22" t="s">
        <v>45</v>
      </c>
      <c r="D107" s="9" t="s">
        <v>2143</v>
      </c>
      <c r="E107" s="16" t="s">
        <v>128</v>
      </c>
      <c r="F107" s="22"/>
      <c r="G107" s="17" t="s">
        <v>2287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B108" s="22" t="s">
        <v>2144</v>
      </c>
      <c r="C108" s="22" t="s">
        <v>45</v>
      </c>
      <c r="D108" s="9" t="s">
        <v>2145</v>
      </c>
      <c r="E108" s="16" t="s">
        <v>128</v>
      </c>
      <c r="F108" s="22"/>
      <c r="G108" s="17" t="s">
        <v>2288</v>
      </c>
      <c r="H108" s="18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B109" s="22" t="s">
        <v>2146</v>
      </c>
      <c r="C109" s="22" t="s">
        <v>45</v>
      </c>
      <c r="D109" s="9" t="s">
        <v>2147</v>
      </c>
      <c r="E109" s="16" t="s">
        <v>128</v>
      </c>
      <c r="F109" s="22"/>
      <c r="G109" s="17" t="s">
        <v>2289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B110" s="22" t="s">
        <v>2148</v>
      </c>
      <c r="C110" s="22" t="s">
        <v>45</v>
      </c>
      <c r="D110" s="9" t="s">
        <v>2149</v>
      </c>
      <c r="E110" s="16" t="s">
        <v>128</v>
      </c>
      <c r="F110" s="22"/>
      <c r="G110" s="17" t="s">
        <v>2290</v>
      </c>
      <c r="H110" s="18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B111" s="22" t="s">
        <v>2150</v>
      </c>
      <c r="C111" s="22" t="s">
        <v>45</v>
      </c>
      <c r="D111" s="9" t="s">
        <v>2151</v>
      </c>
      <c r="E111" s="16" t="s">
        <v>128</v>
      </c>
      <c r="F111" s="22"/>
      <c r="G111" s="17" t="s">
        <v>2291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11" t="s">
        <v>2261</v>
      </c>
      <c r="C112" s="11" t="s">
        <v>280</v>
      </c>
      <c r="D112" s="9" t="s">
        <v>2038</v>
      </c>
      <c r="E112" s="16" t="s">
        <v>128</v>
      </c>
      <c r="F112" s="72"/>
      <c r="G112" s="17" t="s">
        <v>3075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95" t="s">
        <v>2041</v>
      </c>
      <c r="C113" s="95" t="s">
        <v>45</v>
      </c>
      <c r="D113" s="96" t="s">
        <v>2042</v>
      </c>
      <c r="E113" s="16" t="s">
        <v>128</v>
      </c>
      <c r="F113" s="72"/>
      <c r="G113" s="17" t="s">
        <v>2292</v>
      </c>
      <c r="H113" s="18"/>
      <c r="I113" s="17"/>
      <c r="J113" s="19" t="s">
        <v>133</v>
      </c>
      <c r="K113" s="19" t="s">
        <v>903</v>
      </c>
      <c r="L113" s="19" t="s">
        <v>67</v>
      </c>
    </row>
    <row r="114" spans="1:12" s="1" customFormat="1">
      <c r="A114" s="15"/>
      <c r="B114" s="95" t="s">
        <v>2043</v>
      </c>
      <c r="C114" s="95" t="s">
        <v>45</v>
      </c>
      <c r="D114" s="96" t="s">
        <v>2044</v>
      </c>
      <c r="E114" s="16" t="s">
        <v>128</v>
      </c>
      <c r="F114" s="72"/>
      <c r="G114" s="17" t="s">
        <v>2293</v>
      </c>
      <c r="H114" s="18"/>
      <c r="I114" s="17"/>
      <c r="J114" s="19" t="s">
        <v>133</v>
      </c>
      <c r="K114" s="19" t="s">
        <v>903</v>
      </c>
      <c r="L114" s="19" t="s">
        <v>67</v>
      </c>
    </row>
    <row r="115" spans="1:12" s="1" customFormat="1">
      <c r="A115" s="15"/>
      <c r="B115" s="95" t="s">
        <v>2045</v>
      </c>
      <c r="C115" s="95" t="s">
        <v>45</v>
      </c>
      <c r="D115" s="96" t="s">
        <v>2046</v>
      </c>
      <c r="E115" s="16" t="s">
        <v>128</v>
      </c>
      <c r="F115" s="72"/>
      <c r="G115" s="17" t="s">
        <v>2294</v>
      </c>
      <c r="H115" s="18"/>
      <c r="I115" s="17"/>
      <c r="J115" s="19" t="s">
        <v>133</v>
      </c>
      <c r="K115" s="19" t="s">
        <v>903</v>
      </c>
      <c r="L115" s="19" t="s">
        <v>67</v>
      </c>
    </row>
    <row r="116" spans="1:12" s="1" customFormat="1">
      <c r="A116" s="15"/>
      <c r="B116" s="95" t="s">
        <v>2047</v>
      </c>
      <c r="C116" s="95" t="s">
        <v>45</v>
      </c>
      <c r="D116" s="96" t="s">
        <v>2048</v>
      </c>
      <c r="E116" s="16" t="s">
        <v>128</v>
      </c>
      <c r="F116" s="72"/>
      <c r="G116" s="17" t="s">
        <v>2295</v>
      </c>
      <c r="H116" s="18"/>
      <c r="I116" s="17"/>
      <c r="J116" s="19" t="s">
        <v>133</v>
      </c>
      <c r="K116" s="19" t="s">
        <v>903</v>
      </c>
      <c r="L116" s="19" t="s">
        <v>67</v>
      </c>
    </row>
    <row r="117" spans="1:12" s="1" customFormat="1">
      <c r="A117" s="15"/>
      <c r="B117" s="95" t="s">
        <v>2049</v>
      </c>
      <c r="C117" s="95" t="s">
        <v>45</v>
      </c>
      <c r="D117" s="96" t="s">
        <v>2050</v>
      </c>
      <c r="E117" s="16" t="s">
        <v>128</v>
      </c>
      <c r="F117" s="72"/>
      <c r="G117" s="17" t="s">
        <v>2296</v>
      </c>
      <c r="H117" s="18"/>
      <c r="I117" s="17"/>
      <c r="J117" s="19" t="s">
        <v>133</v>
      </c>
      <c r="K117" s="19" t="s">
        <v>903</v>
      </c>
      <c r="L117" s="19" t="s">
        <v>67</v>
      </c>
    </row>
    <row r="118" spans="1:12" s="1" customFormat="1">
      <c r="A118" s="15"/>
      <c r="B118" s="11" t="s">
        <v>2263</v>
      </c>
      <c r="C118" s="95" t="s">
        <v>280</v>
      </c>
      <c r="D118" s="9" t="s">
        <v>2052</v>
      </c>
      <c r="E118" s="16" t="s">
        <v>128</v>
      </c>
      <c r="F118" s="72"/>
      <c r="G118" s="17" t="s">
        <v>3076</v>
      </c>
      <c r="H118" s="18"/>
      <c r="I118" s="17"/>
      <c r="J118" s="19" t="s">
        <v>133</v>
      </c>
      <c r="K118" s="19" t="s">
        <v>203</v>
      </c>
      <c r="L118" s="19" t="s">
        <v>67</v>
      </c>
    </row>
    <row r="119" spans="1:12" s="1" customFormat="1">
      <c r="A119" s="15"/>
      <c r="B119" s="11" t="s">
        <v>2053</v>
      </c>
      <c r="C119" s="11" t="s">
        <v>45</v>
      </c>
      <c r="D119" s="9" t="s">
        <v>2054</v>
      </c>
      <c r="E119" s="16" t="s">
        <v>128</v>
      </c>
      <c r="F119" s="72"/>
      <c r="G119" s="17" t="s">
        <v>2297</v>
      </c>
      <c r="H119" s="18"/>
      <c r="I119" s="17"/>
      <c r="J119" s="19" t="s">
        <v>133</v>
      </c>
      <c r="K119" s="19" t="s">
        <v>903</v>
      </c>
      <c r="L119" s="19" t="s">
        <v>67</v>
      </c>
    </row>
    <row r="120" spans="1:12" s="1" customFormat="1">
      <c r="A120" s="15"/>
      <c r="B120" s="11" t="s">
        <v>2055</v>
      </c>
      <c r="C120" s="11" t="s">
        <v>45</v>
      </c>
      <c r="D120" s="9" t="s">
        <v>2056</v>
      </c>
      <c r="E120" s="16" t="s">
        <v>128</v>
      </c>
      <c r="F120" s="72"/>
      <c r="G120" s="17" t="s">
        <v>2298</v>
      </c>
      <c r="H120" s="18"/>
      <c r="I120" s="17"/>
      <c r="J120" s="19" t="s">
        <v>133</v>
      </c>
      <c r="K120" s="19" t="s">
        <v>903</v>
      </c>
      <c r="L120" s="19" t="s">
        <v>67</v>
      </c>
    </row>
    <row r="121" spans="1:12" s="1" customFormat="1">
      <c r="A121" s="15"/>
      <c r="B121" s="11" t="s">
        <v>2057</v>
      </c>
      <c r="C121" s="11" t="s">
        <v>45</v>
      </c>
      <c r="D121" s="9" t="s">
        <v>2058</v>
      </c>
      <c r="E121" s="16" t="s">
        <v>128</v>
      </c>
      <c r="F121" s="72"/>
      <c r="G121" s="17" t="s">
        <v>2299</v>
      </c>
      <c r="H121" s="18"/>
      <c r="I121" s="17"/>
      <c r="J121" s="19" t="s">
        <v>133</v>
      </c>
      <c r="K121" s="19" t="s">
        <v>903</v>
      </c>
      <c r="L121" s="19" t="s">
        <v>67</v>
      </c>
    </row>
    <row r="122" spans="1:12" s="1" customFormat="1">
      <c r="A122" s="15"/>
      <c r="B122" s="11" t="s">
        <v>2059</v>
      </c>
      <c r="C122" s="11" t="s">
        <v>45</v>
      </c>
      <c r="D122" s="9" t="s">
        <v>2060</v>
      </c>
      <c r="E122" s="16" t="s">
        <v>128</v>
      </c>
      <c r="F122" s="72"/>
      <c r="G122" s="17" t="s">
        <v>2300</v>
      </c>
      <c r="H122" s="18"/>
      <c r="I122" s="17"/>
      <c r="J122" s="19" t="s">
        <v>133</v>
      </c>
      <c r="K122" s="19" t="s">
        <v>903</v>
      </c>
      <c r="L122" s="19" t="s">
        <v>67</v>
      </c>
    </row>
    <row r="123" spans="1:12" s="1" customFormat="1">
      <c r="A123" s="15"/>
      <c r="B123" s="11" t="s">
        <v>2061</v>
      </c>
      <c r="C123" s="11" t="s">
        <v>45</v>
      </c>
      <c r="D123" s="9" t="s">
        <v>2062</v>
      </c>
      <c r="E123" s="16" t="s">
        <v>128</v>
      </c>
      <c r="F123" s="72"/>
      <c r="G123" s="17" t="s">
        <v>2301</v>
      </c>
      <c r="H123" s="18"/>
      <c r="I123" s="17"/>
      <c r="J123" s="19" t="s">
        <v>133</v>
      </c>
      <c r="K123" s="19" t="s">
        <v>903</v>
      </c>
      <c r="L123" s="19" t="s">
        <v>67</v>
      </c>
    </row>
    <row r="124" spans="1:12" s="1" customFormat="1">
      <c r="A124" s="15"/>
      <c r="B124" s="11" t="s">
        <v>2264</v>
      </c>
      <c r="C124" s="95" t="s">
        <v>280</v>
      </c>
      <c r="D124" s="9" t="s">
        <v>2158</v>
      </c>
      <c r="E124" s="16" t="s">
        <v>128</v>
      </c>
      <c r="F124" s="72"/>
      <c r="G124" s="17" t="s">
        <v>3077</v>
      </c>
      <c r="H124" s="18"/>
      <c r="I124" s="17"/>
      <c r="J124" s="19" t="s">
        <v>133</v>
      </c>
      <c r="K124" s="19" t="s">
        <v>202</v>
      </c>
      <c r="L124" s="19" t="s">
        <v>67</v>
      </c>
    </row>
    <row r="125" spans="1:12" s="1" customFormat="1">
      <c r="A125" s="15"/>
      <c r="B125" s="95" t="s">
        <v>2076</v>
      </c>
      <c r="C125" s="95" t="s">
        <v>45</v>
      </c>
      <c r="D125" s="96" t="s">
        <v>2077</v>
      </c>
      <c r="E125" s="16" t="s">
        <v>128</v>
      </c>
      <c r="F125" s="72"/>
      <c r="G125" s="17" t="s">
        <v>2302</v>
      </c>
      <c r="H125" s="18"/>
      <c r="I125" s="17"/>
      <c r="J125" s="19" t="s">
        <v>133</v>
      </c>
      <c r="K125" s="19" t="s">
        <v>903</v>
      </c>
      <c r="L125" s="19" t="s">
        <v>67</v>
      </c>
    </row>
    <row r="126" spans="1:12" s="1" customFormat="1">
      <c r="A126" s="15"/>
      <c r="B126" s="95" t="s">
        <v>2078</v>
      </c>
      <c r="C126" s="95" t="s">
        <v>45</v>
      </c>
      <c r="D126" s="96" t="s">
        <v>2079</v>
      </c>
      <c r="E126" s="16" t="s">
        <v>128</v>
      </c>
      <c r="F126" s="72"/>
      <c r="G126" s="17" t="s">
        <v>2303</v>
      </c>
      <c r="H126" s="18"/>
      <c r="I126" s="17"/>
      <c r="J126" s="19" t="s">
        <v>133</v>
      </c>
      <c r="K126" s="19" t="s">
        <v>903</v>
      </c>
      <c r="L126" s="19" t="s">
        <v>67</v>
      </c>
    </row>
    <row r="127" spans="1:12" s="1" customFormat="1">
      <c r="A127" s="15"/>
      <c r="B127" s="95" t="s">
        <v>2080</v>
      </c>
      <c r="C127" s="95" t="s">
        <v>45</v>
      </c>
      <c r="D127" s="96" t="s">
        <v>2081</v>
      </c>
      <c r="E127" s="16" t="s">
        <v>128</v>
      </c>
      <c r="F127" s="72"/>
      <c r="G127" s="17" t="s">
        <v>2304</v>
      </c>
      <c r="H127" s="18"/>
      <c r="I127" s="17"/>
      <c r="J127" s="19" t="s">
        <v>133</v>
      </c>
      <c r="K127" s="19" t="s">
        <v>903</v>
      </c>
      <c r="L127" s="19" t="s">
        <v>67</v>
      </c>
    </row>
    <row r="128" spans="1:12" s="1" customFormat="1">
      <c r="A128" s="15"/>
      <c r="B128" s="95" t="s">
        <v>2082</v>
      </c>
      <c r="C128" s="95" t="s">
        <v>45</v>
      </c>
      <c r="D128" s="96" t="s">
        <v>2083</v>
      </c>
      <c r="E128" s="16" t="s">
        <v>128</v>
      </c>
      <c r="F128" s="72"/>
      <c r="G128" s="17" t="s">
        <v>2305</v>
      </c>
      <c r="H128" s="18"/>
      <c r="I128" s="17"/>
      <c r="J128" s="19" t="s">
        <v>133</v>
      </c>
      <c r="K128" s="19" t="s">
        <v>903</v>
      </c>
      <c r="L128" s="19" t="s">
        <v>67</v>
      </c>
    </row>
    <row r="129" spans="1:12" s="1" customFormat="1">
      <c r="A129" s="15"/>
      <c r="B129" s="95" t="s">
        <v>2084</v>
      </c>
      <c r="C129" s="95" t="s">
        <v>45</v>
      </c>
      <c r="D129" s="96" t="s">
        <v>2085</v>
      </c>
      <c r="E129" s="16" t="s">
        <v>128</v>
      </c>
      <c r="F129" s="72"/>
      <c r="G129" s="17" t="s">
        <v>2306</v>
      </c>
      <c r="H129" s="18"/>
      <c r="I129" s="17"/>
      <c r="J129" s="19" t="s">
        <v>133</v>
      </c>
      <c r="K129" s="19" t="s">
        <v>903</v>
      </c>
      <c r="L129" s="19" t="s">
        <v>67</v>
      </c>
    </row>
    <row r="130" spans="1:12" s="1" customFormat="1">
      <c r="B130" s="22" t="s">
        <v>2206</v>
      </c>
      <c r="C130" s="22" t="s">
        <v>45</v>
      </c>
      <c r="D130" s="9" t="s">
        <v>2207</v>
      </c>
      <c r="E130" s="16" t="s">
        <v>128</v>
      </c>
      <c r="F130" s="22"/>
      <c r="G130" s="17" t="s">
        <v>2307</v>
      </c>
      <c r="H130" s="18"/>
      <c r="I130" s="17"/>
      <c r="J130" s="19" t="s">
        <v>133</v>
      </c>
      <c r="K130" s="19" t="s">
        <v>2235</v>
      </c>
      <c r="L130" s="19" t="s">
        <v>2237</v>
      </c>
    </row>
    <row r="131" spans="1:12" s="1" customFormat="1">
      <c r="B131" s="22" t="s">
        <v>2205</v>
      </c>
      <c r="C131" s="22" t="s">
        <v>45</v>
      </c>
      <c r="D131" s="9" t="s">
        <v>2199</v>
      </c>
      <c r="E131" s="16" t="s">
        <v>128</v>
      </c>
      <c r="F131" s="22"/>
      <c r="G131" s="17" t="s">
        <v>2319</v>
      </c>
      <c r="H131" s="18"/>
      <c r="I131" s="17"/>
      <c r="J131" s="19" t="s">
        <v>133</v>
      </c>
      <c r="K131" s="19" t="s">
        <v>1640</v>
      </c>
      <c r="L131" s="19" t="s">
        <v>67</v>
      </c>
    </row>
    <row r="132" spans="1:12" s="1" customFormat="1">
      <c r="A132" s="15"/>
      <c r="B132" s="95" t="s">
        <v>2104</v>
      </c>
      <c r="C132" s="95" t="s">
        <v>280</v>
      </c>
      <c r="D132" s="96" t="s">
        <v>2093</v>
      </c>
      <c r="E132" s="16" t="s">
        <v>128</v>
      </c>
      <c r="F132" s="72"/>
      <c r="G132" s="17" t="s">
        <v>2320</v>
      </c>
      <c r="H132" s="18"/>
      <c r="I132" s="17"/>
      <c r="J132" s="19" t="s">
        <v>133</v>
      </c>
      <c r="K132" s="19" t="s">
        <v>2235</v>
      </c>
      <c r="L132" s="19" t="s">
        <v>2237</v>
      </c>
    </row>
    <row r="133" spans="1:12" s="1" customFormat="1">
      <c r="A133" s="15"/>
      <c r="B133" s="95" t="s">
        <v>2094</v>
      </c>
      <c r="C133" s="95" t="s">
        <v>45</v>
      </c>
      <c r="D133" s="96" t="s">
        <v>2099</v>
      </c>
      <c r="E133" s="16" t="s">
        <v>128</v>
      </c>
      <c r="F133" s="72"/>
      <c r="G133" s="17" t="s">
        <v>2308</v>
      </c>
      <c r="H133" s="18"/>
      <c r="I133" s="17"/>
      <c r="J133" s="19" t="s">
        <v>133</v>
      </c>
      <c r="K133" s="19" t="s">
        <v>1640</v>
      </c>
      <c r="L133" s="19" t="s">
        <v>67</v>
      </c>
    </row>
    <row r="134" spans="1:12" s="1" customFormat="1">
      <c r="A134" s="15"/>
      <c r="B134" s="95" t="s">
        <v>2095</v>
      </c>
      <c r="C134" s="95" t="s">
        <v>45</v>
      </c>
      <c r="D134" s="96" t="s">
        <v>2100</v>
      </c>
      <c r="E134" s="16" t="s">
        <v>128</v>
      </c>
      <c r="F134" s="72"/>
      <c r="G134" s="17" t="s">
        <v>2309</v>
      </c>
      <c r="H134" s="18"/>
      <c r="I134" s="17"/>
      <c r="J134" s="19" t="s">
        <v>133</v>
      </c>
      <c r="K134" s="19" t="s">
        <v>1640</v>
      </c>
      <c r="L134" s="19" t="s">
        <v>67</v>
      </c>
    </row>
    <row r="135" spans="1:12" s="1" customFormat="1">
      <c r="A135" s="15"/>
      <c r="B135" s="95" t="s">
        <v>2096</v>
      </c>
      <c r="C135" s="95" t="s">
        <v>45</v>
      </c>
      <c r="D135" s="96" t="s">
        <v>2101</v>
      </c>
      <c r="E135" s="16" t="s">
        <v>128</v>
      </c>
      <c r="F135" s="72"/>
      <c r="G135" s="17" t="s">
        <v>2310</v>
      </c>
      <c r="H135" s="18"/>
      <c r="I135" s="17"/>
      <c r="J135" s="19" t="s">
        <v>133</v>
      </c>
      <c r="K135" s="19" t="s">
        <v>1640</v>
      </c>
      <c r="L135" s="19" t="s">
        <v>67</v>
      </c>
    </row>
    <row r="136" spans="1:12" s="1" customFormat="1">
      <c r="A136" s="15"/>
      <c r="B136" s="95" t="s">
        <v>2097</v>
      </c>
      <c r="C136" s="95" t="s">
        <v>45</v>
      </c>
      <c r="D136" s="96" t="s">
        <v>2102</v>
      </c>
      <c r="E136" s="16" t="s">
        <v>128</v>
      </c>
      <c r="F136" s="72"/>
      <c r="G136" s="17" t="s">
        <v>2311</v>
      </c>
      <c r="H136" s="18"/>
      <c r="I136" s="17"/>
      <c r="J136" s="19" t="s">
        <v>133</v>
      </c>
      <c r="K136" s="19" t="s">
        <v>1640</v>
      </c>
      <c r="L136" s="19" t="s">
        <v>67</v>
      </c>
    </row>
    <row r="137" spans="1:12" s="1" customFormat="1">
      <c r="A137" s="15"/>
      <c r="B137" s="95" t="s">
        <v>2098</v>
      </c>
      <c r="C137" s="95" t="s">
        <v>45</v>
      </c>
      <c r="D137" s="96" t="s">
        <v>2103</v>
      </c>
      <c r="E137" s="16" t="s">
        <v>128</v>
      </c>
      <c r="F137" s="72"/>
      <c r="G137" s="17" t="s">
        <v>2312</v>
      </c>
      <c r="H137" s="18"/>
      <c r="I137" s="17"/>
      <c r="J137" s="19" t="s">
        <v>133</v>
      </c>
      <c r="K137" s="19" t="s">
        <v>1640</v>
      </c>
      <c r="L137" s="19" t="s">
        <v>67</v>
      </c>
    </row>
    <row r="138" spans="1:12" s="1" customFormat="1">
      <c r="A138" s="15"/>
      <c r="B138" s="95" t="s">
        <v>2210</v>
      </c>
      <c r="C138" s="95" t="s">
        <v>45</v>
      </c>
      <c r="D138" s="9" t="s">
        <v>2212</v>
      </c>
      <c r="E138" s="16" t="s">
        <v>128</v>
      </c>
      <c r="F138" s="72"/>
      <c r="G138" s="17" t="s">
        <v>2313</v>
      </c>
      <c r="H138" s="18"/>
      <c r="I138" s="17"/>
      <c r="J138" s="19" t="s">
        <v>133</v>
      </c>
      <c r="K138" s="19" t="s">
        <v>2235</v>
      </c>
      <c r="L138" s="19" t="s">
        <v>2237</v>
      </c>
    </row>
    <row r="139" spans="1:12" s="1" customFormat="1">
      <c r="A139" s="15"/>
      <c r="B139" s="95" t="s">
        <v>2211</v>
      </c>
      <c r="C139" s="95" t="s">
        <v>45</v>
      </c>
      <c r="D139" s="9" t="s">
        <v>2213</v>
      </c>
      <c r="E139" s="16" t="s">
        <v>128</v>
      </c>
      <c r="F139" s="72"/>
      <c r="G139" s="17" t="s">
        <v>2321</v>
      </c>
      <c r="H139" s="18"/>
      <c r="I139" s="17"/>
      <c r="J139" s="19" t="s">
        <v>133</v>
      </c>
      <c r="K139" s="19" t="s">
        <v>1640</v>
      </c>
      <c r="L139" s="19" t="s">
        <v>67</v>
      </c>
    </row>
    <row r="140" spans="1:12" s="1" customFormat="1">
      <c r="A140" s="15"/>
      <c r="B140" s="95" t="s">
        <v>2112</v>
      </c>
      <c r="C140" s="95" t="s">
        <v>280</v>
      </c>
      <c r="D140" s="96" t="s">
        <v>2123</v>
      </c>
      <c r="E140" s="16" t="s">
        <v>128</v>
      </c>
      <c r="F140" s="72"/>
      <c r="G140" s="17" t="s">
        <v>2322</v>
      </c>
      <c r="H140" s="18"/>
      <c r="I140" s="17"/>
      <c r="J140" s="19" t="s">
        <v>133</v>
      </c>
      <c r="K140" s="19" t="s">
        <v>2235</v>
      </c>
      <c r="L140" s="19" t="s">
        <v>2237</v>
      </c>
    </row>
    <row r="141" spans="1:12" s="1" customFormat="1">
      <c r="A141" s="15"/>
      <c r="B141" s="95" t="s">
        <v>2113</v>
      </c>
      <c r="C141" s="95" t="s">
        <v>45</v>
      </c>
      <c r="D141" s="96" t="s">
        <v>2114</v>
      </c>
      <c r="E141" s="16" t="s">
        <v>128</v>
      </c>
      <c r="F141" s="72"/>
      <c r="G141" s="17" t="s">
        <v>2314</v>
      </c>
      <c r="H141" s="18"/>
      <c r="I141" s="17"/>
      <c r="J141" s="19" t="s">
        <v>133</v>
      </c>
      <c r="K141" s="19" t="s">
        <v>1640</v>
      </c>
      <c r="L141" s="19" t="s">
        <v>67</v>
      </c>
    </row>
    <row r="142" spans="1:12" s="1" customFormat="1">
      <c r="A142" s="15"/>
      <c r="B142" s="95" t="s">
        <v>2115</v>
      </c>
      <c r="C142" s="95" t="s">
        <v>45</v>
      </c>
      <c r="D142" s="96" t="s">
        <v>2116</v>
      </c>
      <c r="E142" s="16" t="s">
        <v>128</v>
      </c>
      <c r="F142" s="72"/>
      <c r="G142" s="17" t="s">
        <v>2315</v>
      </c>
      <c r="H142" s="18"/>
      <c r="I142" s="17"/>
      <c r="J142" s="19" t="s">
        <v>133</v>
      </c>
      <c r="K142" s="19" t="s">
        <v>1640</v>
      </c>
      <c r="L142" s="19" t="s">
        <v>67</v>
      </c>
    </row>
    <row r="143" spans="1:12" s="1" customFormat="1">
      <c r="A143" s="15"/>
      <c r="B143" s="95" t="s">
        <v>2117</v>
      </c>
      <c r="C143" s="95" t="s">
        <v>45</v>
      </c>
      <c r="D143" s="96" t="s">
        <v>2118</v>
      </c>
      <c r="E143" s="16" t="s">
        <v>128</v>
      </c>
      <c r="F143" s="72"/>
      <c r="G143" s="17" t="s">
        <v>2316</v>
      </c>
      <c r="H143" s="18"/>
      <c r="I143" s="17"/>
      <c r="J143" s="19" t="s">
        <v>133</v>
      </c>
      <c r="K143" s="19" t="s">
        <v>1640</v>
      </c>
      <c r="L143" s="19" t="s">
        <v>67</v>
      </c>
    </row>
    <row r="144" spans="1:12" s="1" customFormat="1">
      <c r="A144" s="15"/>
      <c r="B144" s="95" t="s">
        <v>2119</v>
      </c>
      <c r="C144" s="95" t="s">
        <v>45</v>
      </c>
      <c r="D144" s="96" t="s">
        <v>2120</v>
      </c>
      <c r="E144" s="16" t="s">
        <v>128</v>
      </c>
      <c r="F144" s="72"/>
      <c r="G144" s="17" t="s">
        <v>2317</v>
      </c>
      <c r="H144" s="18"/>
      <c r="I144" s="17"/>
      <c r="J144" s="19" t="s">
        <v>133</v>
      </c>
      <c r="K144" s="19" t="s">
        <v>1640</v>
      </c>
      <c r="L144" s="19" t="s">
        <v>67</v>
      </c>
    </row>
    <row r="145" spans="1:17" s="1" customFormat="1">
      <c r="A145" s="15"/>
      <c r="B145" s="95" t="s">
        <v>2121</v>
      </c>
      <c r="C145" s="95" t="s">
        <v>45</v>
      </c>
      <c r="D145" s="96" t="s">
        <v>2122</v>
      </c>
      <c r="E145" s="16" t="s">
        <v>128</v>
      </c>
      <c r="F145" s="72"/>
      <c r="G145" s="17" t="s">
        <v>2318</v>
      </c>
      <c r="H145" s="18"/>
      <c r="I145" s="17"/>
      <c r="J145" s="19" t="s">
        <v>133</v>
      </c>
      <c r="K145" s="19" t="s">
        <v>1640</v>
      </c>
      <c r="L145" s="19" t="s">
        <v>67</v>
      </c>
    </row>
    <row r="146" spans="1:17" s="1" customFormat="1">
      <c r="A146" s="15"/>
      <c r="B146" s="11" t="s">
        <v>315</v>
      </c>
      <c r="C146" s="11" t="s">
        <v>45</v>
      </c>
      <c r="D146" s="9" t="s">
        <v>112</v>
      </c>
      <c r="E146" s="16" t="s">
        <v>128</v>
      </c>
      <c r="F146" s="72"/>
      <c r="G146" s="17" t="s">
        <v>1145</v>
      </c>
      <c r="H146" s="18"/>
      <c r="I146" s="17"/>
      <c r="J146" s="19" t="s">
        <v>133</v>
      </c>
      <c r="K146" s="19" t="s">
        <v>44</v>
      </c>
      <c r="L146" s="19" t="s">
        <v>67</v>
      </c>
    </row>
    <row r="147" spans="1:17" s="1" customFormat="1">
      <c r="A147" s="15"/>
      <c r="B147" s="11" t="s">
        <v>2257</v>
      </c>
      <c r="C147" s="11" t="s">
        <v>43</v>
      </c>
      <c r="D147" s="9" t="s">
        <v>1281</v>
      </c>
      <c r="E147" s="16" t="s">
        <v>55</v>
      </c>
      <c r="F147" s="13"/>
      <c r="G147" s="13" t="s">
        <v>2258</v>
      </c>
      <c r="H147" s="18"/>
      <c r="I147" s="87">
        <v>20250415101139</v>
      </c>
      <c r="J147" s="19" t="s">
        <v>133</v>
      </c>
      <c r="K147" s="19" t="s">
        <v>44</v>
      </c>
      <c r="L147" s="19" t="s">
        <v>1306</v>
      </c>
    </row>
    <row r="148" spans="1:17" s="1" customFormat="1">
      <c r="A148" s="15"/>
      <c r="B148" s="11" t="s">
        <v>2259</v>
      </c>
      <c r="C148" s="11" t="s">
        <v>43</v>
      </c>
      <c r="D148" s="9" t="s">
        <v>1284</v>
      </c>
      <c r="E148" s="16" t="s">
        <v>55</v>
      </c>
      <c r="F148" s="13"/>
      <c r="G148" s="13" t="s">
        <v>2260</v>
      </c>
      <c r="H148" s="18"/>
      <c r="I148" s="87">
        <v>20250415101024</v>
      </c>
      <c r="J148" s="19" t="s">
        <v>133</v>
      </c>
      <c r="K148" s="19" t="s">
        <v>44</v>
      </c>
      <c r="L148" s="19" t="s">
        <v>1306</v>
      </c>
    </row>
    <row r="149" spans="1:17" s="3" customFormat="1">
      <c r="B149" s="23" t="s">
        <v>47</v>
      </c>
      <c r="C149" s="24" t="s">
        <v>46</v>
      </c>
      <c r="D149" s="21" t="s">
        <v>48</v>
      </c>
      <c r="E149" s="44"/>
      <c r="F149" s="44"/>
      <c r="G149" s="44" t="s">
        <v>282</v>
      </c>
      <c r="H149" s="23" t="s">
        <v>282</v>
      </c>
      <c r="I149" s="23"/>
      <c r="J149" s="23"/>
      <c r="K149" s="23"/>
      <c r="L149" s="23"/>
      <c r="M149" s="23"/>
      <c r="N149" s="23"/>
      <c r="O149" s="23"/>
      <c r="P149" s="23"/>
      <c r="Q149" s="23"/>
    </row>
    <row r="150" spans="1:17" s="3" customFormat="1">
      <c r="B150" s="23" t="s">
        <v>49</v>
      </c>
      <c r="C150" s="24" t="s">
        <v>43</v>
      </c>
      <c r="D150" s="21" t="s">
        <v>50</v>
      </c>
      <c r="E150" s="44"/>
      <c r="F150" s="44"/>
      <c r="G150" s="44" t="s">
        <v>282</v>
      </c>
      <c r="H150" s="23" t="s">
        <v>282</v>
      </c>
      <c r="I150" s="23"/>
      <c r="J150" s="23"/>
      <c r="K150" s="23"/>
      <c r="L150" s="23"/>
      <c r="M150" s="23"/>
      <c r="N150" s="23"/>
      <c r="O150" s="23"/>
      <c r="P150" s="23"/>
      <c r="Q150" s="23"/>
    </row>
    <row r="151" spans="1:17" s="3" customFormat="1">
      <c r="B151" s="23" t="s">
        <v>51</v>
      </c>
      <c r="C151" s="24" t="s">
        <v>46</v>
      </c>
      <c r="D151" s="21" t="s">
        <v>52</v>
      </c>
      <c r="E151" s="44"/>
      <c r="F151" s="44"/>
      <c r="G151" s="44" t="s">
        <v>282</v>
      </c>
      <c r="H151" s="23" t="s">
        <v>282</v>
      </c>
      <c r="I151" s="23"/>
      <c r="J151" s="23"/>
      <c r="K151" s="23"/>
      <c r="L151" s="23"/>
      <c r="M151" s="23"/>
      <c r="N151" s="23"/>
      <c r="O151" s="23"/>
      <c r="P151" s="23"/>
      <c r="Q151" s="23"/>
    </row>
  </sheetData>
  <autoFilter ref="A13:Q151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EDD3-32A9-4E83-BE81-19F282EA4868}">
  <dimension ref="A1:Q146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0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2501</v>
      </c>
      <c r="D5" s="9" t="s">
        <v>2456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2500</v>
      </c>
      <c r="D9" s="9" t="s">
        <v>2454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 ht="2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2483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6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80</v>
      </c>
      <c r="C16" s="22" t="s">
        <v>94</v>
      </c>
      <c r="D16" s="9" t="s">
        <v>99</v>
      </c>
      <c r="E16" s="16" t="s">
        <v>128</v>
      </c>
      <c r="F16" s="17" t="s">
        <v>80</v>
      </c>
      <c r="G16" s="17" t="s">
        <v>129</v>
      </c>
      <c r="H16" s="16"/>
      <c r="I16" s="20"/>
      <c r="J16" s="19" t="s">
        <v>131</v>
      </c>
      <c r="K16" s="19" t="s">
        <v>132</v>
      </c>
      <c r="L16" s="19" t="s">
        <v>678</v>
      </c>
    </row>
    <row r="17" spans="1:13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138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679</v>
      </c>
    </row>
    <row r="18" spans="1:13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123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124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318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44</v>
      </c>
    </row>
    <row r="21" spans="1:13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273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272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95</v>
      </c>
      <c r="C23" s="11" t="s">
        <v>93</v>
      </c>
      <c r="D23" s="9" t="s">
        <v>114</v>
      </c>
      <c r="E23" s="16" t="s">
        <v>128</v>
      </c>
      <c r="F23" s="9" t="s">
        <v>95</v>
      </c>
      <c r="G23" s="17" t="s">
        <v>129</v>
      </c>
      <c r="H23" s="16"/>
      <c r="I23" s="35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78</v>
      </c>
      <c r="C24" s="11" t="s">
        <v>93</v>
      </c>
      <c r="D24" s="9" t="s">
        <v>103</v>
      </c>
      <c r="E24" s="16" t="s">
        <v>128</v>
      </c>
      <c r="F24" s="17" t="s">
        <v>78</v>
      </c>
      <c r="G24" s="17" t="s">
        <v>129</v>
      </c>
      <c r="H24" s="16"/>
      <c r="I24" s="20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81</v>
      </c>
      <c r="C25" s="11" t="s">
        <v>43</v>
      </c>
      <c r="D25" s="9" t="s">
        <v>57</v>
      </c>
      <c r="E25" s="16" t="s">
        <v>128</v>
      </c>
      <c r="F25" s="17" t="s">
        <v>81</v>
      </c>
      <c r="G25" s="17" t="s">
        <v>129</v>
      </c>
      <c r="H25" s="16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A26" s="15"/>
      <c r="B26" s="11" t="s">
        <v>58</v>
      </c>
      <c r="C26" s="11" t="s">
        <v>43</v>
      </c>
      <c r="D26" s="9" t="s">
        <v>59</v>
      </c>
      <c r="E26" s="16" t="s">
        <v>128</v>
      </c>
      <c r="F26" s="9" t="s">
        <v>58</v>
      </c>
      <c r="G26" s="17" t="s">
        <v>129</v>
      </c>
      <c r="H26" s="16"/>
      <c r="I26" s="20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82</v>
      </c>
      <c r="C27" s="11" t="s">
        <v>43</v>
      </c>
      <c r="D27" s="9" t="s">
        <v>105</v>
      </c>
      <c r="E27" s="16" t="s">
        <v>128</v>
      </c>
      <c r="F27" s="17" t="s">
        <v>82</v>
      </c>
      <c r="G27" s="17" t="s">
        <v>129</v>
      </c>
      <c r="H27" s="16"/>
      <c r="I27" s="20"/>
      <c r="J27" s="19" t="s">
        <v>131</v>
      </c>
      <c r="K27" s="19" t="s">
        <v>132</v>
      </c>
      <c r="L27" s="19" t="s">
        <v>44</v>
      </c>
    </row>
    <row r="28" spans="1:13" s="15" customFormat="1">
      <c r="B28" s="22" t="s">
        <v>87</v>
      </c>
      <c r="C28" s="11" t="s">
        <v>43</v>
      </c>
      <c r="D28" s="9" t="s">
        <v>109</v>
      </c>
      <c r="E28" s="16" t="s">
        <v>128</v>
      </c>
      <c r="F28" s="17" t="s">
        <v>87</v>
      </c>
      <c r="G28" s="17" t="s">
        <v>129</v>
      </c>
      <c r="H28" s="16"/>
      <c r="I28" s="20"/>
      <c r="J28" s="19" t="s">
        <v>131</v>
      </c>
      <c r="K28" s="19" t="s">
        <v>132</v>
      </c>
      <c r="L28" s="19" t="s">
        <v>679</v>
      </c>
      <c r="M28" s="1"/>
    </row>
    <row r="29" spans="1:13" s="1" customFormat="1">
      <c r="A29" s="15"/>
      <c r="B29" s="11" t="s">
        <v>145</v>
      </c>
      <c r="C29" s="11" t="s">
        <v>45</v>
      </c>
      <c r="D29" s="9" t="s">
        <v>146</v>
      </c>
      <c r="E29" s="16" t="s">
        <v>128</v>
      </c>
      <c r="F29" s="17"/>
      <c r="G29" s="17" t="s">
        <v>1289</v>
      </c>
      <c r="H29" s="16"/>
      <c r="I29" s="17"/>
      <c r="J29" s="19" t="s">
        <v>133</v>
      </c>
      <c r="K29" s="19" t="s">
        <v>132</v>
      </c>
      <c r="L29" s="19" t="s">
        <v>134</v>
      </c>
    </row>
    <row r="30" spans="1:13" s="1" customFormat="1">
      <c r="A30" s="15"/>
      <c r="B30" s="11" t="s">
        <v>192</v>
      </c>
      <c r="C30" s="11" t="s">
        <v>45</v>
      </c>
      <c r="D30" s="9" t="s">
        <v>193</v>
      </c>
      <c r="E30" s="16" t="s">
        <v>128</v>
      </c>
      <c r="F30" s="17"/>
      <c r="G30" s="17" t="s">
        <v>2265</v>
      </c>
      <c r="H30" s="16"/>
      <c r="I30" s="17"/>
      <c r="J30" s="19" t="s">
        <v>133</v>
      </c>
      <c r="K30" s="19" t="s">
        <v>132</v>
      </c>
      <c r="L30" s="19" t="s">
        <v>134</v>
      </c>
    </row>
    <row r="31" spans="1:13" s="1" customFormat="1">
      <c r="A31" s="15"/>
      <c r="B31" s="90" t="s">
        <v>1383</v>
      </c>
      <c r="C31" s="22" t="s">
        <v>45</v>
      </c>
      <c r="D31" s="9" t="s">
        <v>348</v>
      </c>
      <c r="E31" s="16" t="s">
        <v>128</v>
      </c>
      <c r="F31" s="17"/>
      <c r="G31" s="17" t="s">
        <v>1667</v>
      </c>
      <c r="H31" s="16"/>
      <c r="I31" s="17"/>
      <c r="J31" s="19" t="s">
        <v>133</v>
      </c>
      <c r="K31" s="19" t="s">
        <v>203</v>
      </c>
      <c r="L31" s="19" t="s">
        <v>134</v>
      </c>
    </row>
    <row r="32" spans="1:13" s="1" customFormat="1">
      <c r="A32" s="15"/>
      <c r="B32" s="112" t="s">
        <v>1476</v>
      </c>
      <c r="C32" s="11" t="s">
        <v>45</v>
      </c>
      <c r="D32" s="9" t="s">
        <v>759</v>
      </c>
      <c r="E32" s="16" t="s">
        <v>128</v>
      </c>
      <c r="F32" s="72"/>
      <c r="G32" s="17" t="s">
        <v>1200</v>
      </c>
      <c r="H32" s="16"/>
      <c r="I32" s="17"/>
      <c r="J32" s="19" t="s">
        <v>133</v>
      </c>
      <c r="K32" s="19" t="s">
        <v>204</v>
      </c>
      <c r="L32" s="19" t="s">
        <v>134</v>
      </c>
    </row>
    <row r="33" spans="1:12" s="1" customFormat="1">
      <c r="A33" s="15"/>
      <c r="B33" s="112" t="s">
        <v>297</v>
      </c>
      <c r="C33" s="11" t="s">
        <v>45</v>
      </c>
      <c r="D33" s="9" t="s">
        <v>160</v>
      </c>
      <c r="E33" s="16" t="s">
        <v>128</v>
      </c>
      <c r="F33" s="72"/>
      <c r="G33" s="17" t="s">
        <v>1201</v>
      </c>
      <c r="H33" s="16"/>
      <c r="I33" s="17"/>
      <c r="J33" s="19" t="s">
        <v>133</v>
      </c>
      <c r="K33" s="19" t="s">
        <v>204</v>
      </c>
      <c r="L33" s="19" t="s">
        <v>134</v>
      </c>
    </row>
    <row r="34" spans="1:12" s="1" customFormat="1">
      <c r="A34" s="15"/>
      <c r="B34" s="112" t="s">
        <v>299</v>
      </c>
      <c r="C34" s="11" t="s">
        <v>45</v>
      </c>
      <c r="D34" s="9" t="s">
        <v>1056</v>
      </c>
      <c r="E34" s="16" t="s">
        <v>128</v>
      </c>
      <c r="F34" s="72"/>
      <c r="G34" s="17" t="s">
        <v>224</v>
      </c>
      <c r="H34" s="16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2" t="s">
        <v>298</v>
      </c>
      <c r="C35" s="11" t="s">
        <v>45</v>
      </c>
      <c r="D35" s="9" t="s">
        <v>1055</v>
      </c>
      <c r="E35" s="16" t="s">
        <v>128</v>
      </c>
      <c r="F35" s="72"/>
      <c r="G35" s="17" t="s">
        <v>223</v>
      </c>
      <c r="H35" s="16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2" t="s">
        <v>300</v>
      </c>
      <c r="C36" s="11" t="s">
        <v>45</v>
      </c>
      <c r="D36" s="9" t="s">
        <v>163</v>
      </c>
      <c r="E36" s="16" t="s">
        <v>128</v>
      </c>
      <c r="F36" s="72"/>
      <c r="G36" s="17" t="s">
        <v>225</v>
      </c>
      <c r="H36" s="16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2" t="s">
        <v>301</v>
      </c>
      <c r="C37" s="11" t="s">
        <v>45</v>
      </c>
      <c r="D37" s="9" t="s">
        <v>164</v>
      </c>
      <c r="E37" s="16" t="s">
        <v>128</v>
      </c>
      <c r="F37" s="72"/>
      <c r="G37" s="17" t="s">
        <v>226</v>
      </c>
      <c r="H37" s="16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2" t="s">
        <v>302</v>
      </c>
      <c r="C38" s="11" t="s">
        <v>45</v>
      </c>
      <c r="D38" s="9" t="s">
        <v>165</v>
      </c>
      <c r="E38" s="16" t="s">
        <v>128</v>
      </c>
      <c r="F38" s="72"/>
      <c r="G38" s="17" t="s">
        <v>1114</v>
      </c>
      <c r="H38" s="16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2" t="s">
        <v>303</v>
      </c>
      <c r="C39" s="11" t="s">
        <v>45</v>
      </c>
      <c r="D39" s="9" t="s">
        <v>166</v>
      </c>
      <c r="E39" s="16" t="s">
        <v>128</v>
      </c>
      <c r="F39" s="72"/>
      <c r="G39" s="17" t="s">
        <v>1115</v>
      </c>
      <c r="H39" s="16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217</v>
      </c>
      <c r="C40" s="11" t="s">
        <v>45</v>
      </c>
      <c r="D40" s="9" t="s">
        <v>171</v>
      </c>
      <c r="E40" s="16" t="s">
        <v>128</v>
      </c>
      <c r="F40" s="72"/>
      <c r="G40" s="17" t="s">
        <v>1116</v>
      </c>
      <c r="H40" s="16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218</v>
      </c>
      <c r="C41" s="11" t="s">
        <v>45</v>
      </c>
      <c r="D41" s="9" t="s">
        <v>172</v>
      </c>
      <c r="E41" s="16" t="s">
        <v>128</v>
      </c>
      <c r="F41" s="72"/>
      <c r="G41" s="17" t="s">
        <v>1117</v>
      </c>
      <c r="H41" s="16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219</v>
      </c>
      <c r="C42" s="11" t="s">
        <v>45</v>
      </c>
      <c r="D42" s="9" t="s">
        <v>173</v>
      </c>
      <c r="E42" s="16" t="s">
        <v>128</v>
      </c>
      <c r="F42" s="72"/>
      <c r="G42" s="17" t="s">
        <v>1118</v>
      </c>
      <c r="H42" s="16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220</v>
      </c>
      <c r="C43" s="11" t="s">
        <v>45</v>
      </c>
      <c r="D43" s="9" t="s">
        <v>174</v>
      </c>
      <c r="E43" s="16" t="s">
        <v>128</v>
      </c>
      <c r="F43" s="72"/>
      <c r="G43" s="17" t="s">
        <v>1119</v>
      </c>
      <c r="H43" s="16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215</v>
      </c>
      <c r="C44" s="11" t="s">
        <v>45</v>
      </c>
      <c r="D44" s="9" t="s">
        <v>1260</v>
      </c>
      <c r="E44" s="16" t="s">
        <v>128</v>
      </c>
      <c r="F44" s="72"/>
      <c r="G44" s="17" t="s">
        <v>227</v>
      </c>
      <c r="H44" s="16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216</v>
      </c>
      <c r="C45" s="11" t="s">
        <v>45</v>
      </c>
      <c r="D45" s="9" t="s">
        <v>1261</v>
      </c>
      <c r="E45" s="16" t="s">
        <v>128</v>
      </c>
      <c r="F45" s="72"/>
      <c r="G45" s="17" t="s">
        <v>228</v>
      </c>
      <c r="H45" s="16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316</v>
      </c>
      <c r="C46" s="11" t="s">
        <v>45</v>
      </c>
      <c r="D46" s="9" t="s">
        <v>167</v>
      </c>
      <c r="E46" s="16" t="s">
        <v>128</v>
      </c>
      <c r="F46" s="72"/>
      <c r="G46" s="17" t="s">
        <v>772</v>
      </c>
      <c r="H46" s="16"/>
      <c r="I46" s="17"/>
      <c r="J46" s="19" t="s">
        <v>133</v>
      </c>
      <c r="K46" s="19" t="s">
        <v>202</v>
      </c>
      <c r="L46" s="19" t="s">
        <v>67</v>
      </c>
    </row>
    <row r="47" spans="1:12" s="1" customFormat="1">
      <c r="A47" s="15"/>
      <c r="B47" s="11" t="s">
        <v>809</v>
      </c>
      <c r="C47" s="11" t="s">
        <v>45</v>
      </c>
      <c r="D47" s="9" t="s">
        <v>175</v>
      </c>
      <c r="E47" s="16" t="s">
        <v>128</v>
      </c>
      <c r="F47" s="72"/>
      <c r="G47" s="17" t="s">
        <v>1120</v>
      </c>
      <c r="H47" s="16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317</v>
      </c>
      <c r="C48" s="11" t="s">
        <v>45</v>
      </c>
      <c r="D48" s="9" t="s">
        <v>168</v>
      </c>
      <c r="E48" s="16" t="s">
        <v>128</v>
      </c>
      <c r="F48" s="72"/>
      <c r="G48" s="17" t="s">
        <v>778</v>
      </c>
      <c r="H48" s="16"/>
      <c r="I48" s="17"/>
      <c r="J48" s="19" t="s">
        <v>133</v>
      </c>
      <c r="K48" s="19" t="s">
        <v>202</v>
      </c>
      <c r="L48" s="19" t="s">
        <v>67</v>
      </c>
    </row>
    <row r="49" spans="1:12" s="1" customFormat="1">
      <c r="A49" s="15"/>
      <c r="B49" s="11" t="s">
        <v>810</v>
      </c>
      <c r="C49" s="11" t="s">
        <v>45</v>
      </c>
      <c r="D49" s="9" t="s">
        <v>176</v>
      </c>
      <c r="E49" s="16" t="s">
        <v>128</v>
      </c>
      <c r="F49" s="72"/>
      <c r="G49" s="17" t="s">
        <v>1121</v>
      </c>
      <c r="H49" s="16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1213</v>
      </c>
      <c r="C50" s="11" t="s">
        <v>45</v>
      </c>
      <c r="D50" s="9" t="s">
        <v>178</v>
      </c>
      <c r="E50" s="16" t="s">
        <v>128</v>
      </c>
      <c r="F50" s="72"/>
      <c r="G50" s="17" t="s">
        <v>2266</v>
      </c>
      <c r="H50" s="16"/>
      <c r="I50" s="17"/>
      <c r="J50" s="19" t="s">
        <v>133</v>
      </c>
      <c r="K50" s="19" t="s">
        <v>202</v>
      </c>
      <c r="L50" s="19" t="s">
        <v>67</v>
      </c>
    </row>
    <row r="51" spans="1:12" s="1" customFormat="1">
      <c r="A51" s="15"/>
      <c r="B51" s="11" t="s">
        <v>221</v>
      </c>
      <c r="C51" s="11" t="s">
        <v>45</v>
      </c>
      <c r="D51" s="9" t="s">
        <v>177</v>
      </c>
      <c r="E51" s="16" t="s">
        <v>128</v>
      </c>
      <c r="F51" s="72"/>
      <c r="G51" s="17" t="s">
        <v>1122</v>
      </c>
      <c r="H51" s="16"/>
      <c r="I51" s="17"/>
      <c r="J51" s="19" t="s">
        <v>133</v>
      </c>
      <c r="K51" s="19" t="s">
        <v>204</v>
      </c>
      <c r="L51" s="19" t="s">
        <v>67</v>
      </c>
    </row>
    <row r="52" spans="1:12" s="1" customFormat="1">
      <c r="A52" s="15"/>
      <c r="B52" s="11" t="s">
        <v>1212</v>
      </c>
      <c r="C52" s="11" t="s">
        <v>45</v>
      </c>
      <c r="D52" s="9" t="s">
        <v>180</v>
      </c>
      <c r="E52" s="16" t="s">
        <v>128</v>
      </c>
      <c r="F52" s="72"/>
      <c r="G52" s="17" t="s">
        <v>2267</v>
      </c>
      <c r="H52" s="16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222</v>
      </c>
      <c r="C53" s="11" t="s">
        <v>45</v>
      </c>
      <c r="D53" s="9" t="s">
        <v>179</v>
      </c>
      <c r="E53" s="16" t="s">
        <v>128</v>
      </c>
      <c r="F53" s="72"/>
      <c r="G53" s="17" t="s">
        <v>1123</v>
      </c>
      <c r="H53" s="16"/>
      <c r="I53" s="17"/>
      <c r="J53" s="19" t="s">
        <v>133</v>
      </c>
      <c r="K53" s="19" t="s">
        <v>204</v>
      </c>
      <c r="L53" s="19" t="s">
        <v>67</v>
      </c>
    </row>
    <row r="54" spans="1:12" s="1" customFormat="1">
      <c r="A54" s="15"/>
      <c r="B54" s="112" t="s">
        <v>2469</v>
      </c>
      <c r="C54" s="11" t="s">
        <v>45</v>
      </c>
      <c r="D54" s="9" t="s">
        <v>2165</v>
      </c>
      <c r="E54" s="16" t="s">
        <v>128</v>
      </c>
      <c r="F54" s="72"/>
      <c r="G54" s="17" t="s">
        <v>2268</v>
      </c>
      <c r="H54" s="16"/>
      <c r="I54" s="17"/>
      <c r="J54" s="19" t="s">
        <v>133</v>
      </c>
      <c r="K54" s="19" t="s">
        <v>903</v>
      </c>
      <c r="L54" s="19" t="s">
        <v>134</v>
      </c>
    </row>
    <row r="55" spans="1:12" s="1" customFormat="1">
      <c r="A55" s="15"/>
      <c r="B55" s="112" t="s">
        <v>2407</v>
      </c>
      <c r="C55" s="11" t="s">
        <v>45</v>
      </c>
      <c r="D55" s="9" t="s">
        <v>2166</v>
      </c>
      <c r="E55" s="16" t="s">
        <v>128</v>
      </c>
      <c r="F55" s="72"/>
      <c r="G55" s="17" t="s">
        <v>2269</v>
      </c>
      <c r="H55" s="16"/>
      <c r="I55" s="17"/>
      <c r="J55" s="19" t="s">
        <v>133</v>
      </c>
      <c r="K55" s="19" t="s">
        <v>903</v>
      </c>
      <c r="L55" s="19" t="s">
        <v>134</v>
      </c>
    </row>
    <row r="56" spans="1:12" s="1" customFormat="1">
      <c r="A56" s="15"/>
      <c r="B56" s="11" t="s">
        <v>2179</v>
      </c>
      <c r="C56" s="11" t="s">
        <v>45</v>
      </c>
      <c r="D56" s="9" t="s">
        <v>2011</v>
      </c>
      <c r="E56" s="16" t="s">
        <v>128</v>
      </c>
      <c r="F56" s="72"/>
      <c r="G56" s="17" t="s">
        <v>2270</v>
      </c>
      <c r="H56" s="16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2172</v>
      </c>
      <c r="C57" s="11" t="s">
        <v>45</v>
      </c>
      <c r="D57" s="9" t="s">
        <v>2173</v>
      </c>
      <c r="E57" s="16" t="s">
        <v>128</v>
      </c>
      <c r="F57" s="72"/>
      <c r="G57" s="17" t="s">
        <v>2271</v>
      </c>
      <c r="H57" s="16"/>
      <c r="I57" s="17"/>
      <c r="J57" s="19" t="s">
        <v>133</v>
      </c>
      <c r="K57" s="19" t="s">
        <v>1640</v>
      </c>
      <c r="L57" s="19" t="s">
        <v>67</v>
      </c>
    </row>
    <row r="58" spans="1:12" s="1" customFormat="1">
      <c r="A58" s="15"/>
      <c r="B58" s="11" t="s">
        <v>2174</v>
      </c>
      <c r="C58" s="11" t="s">
        <v>45</v>
      </c>
      <c r="D58" s="9" t="s">
        <v>2175</v>
      </c>
      <c r="E58" s="16" t="s">
        <v>128</v>
      </c>
      <c r="F58" s="72"/>
      <c r="G58" s="17" t="s">
        <v>2272</v>
      </c>
      <c r="H58" s="16"/>
      <c r="I58" s="17"/>
      <c r="J58" s="19" t="s">
        <v>133</v>
      </c>
      <c r="K58" s="19" t="s">
        <v>1640</v>
      </c>
      <c r="L58" s="19" t="s">
        <v>67</v>
      </c>
    </row>
    <row r="59" spans="1:12" s="1" customFormat="1">
      <c r="A59" s="15"/>
      <c r="B59" s="11" t="s">
        <v>2181</v>
      </c>
      <c r="C59" s="11" t="s">
        <v>45</v>
      </c>
      <c r="D59" s="9" t="s">
        <v>2182</v>
      </c>
      <c r="E59" s="16" t="s">
        <v>128</v>
      </c>
      <c r="F59" s="72"/>
      <c r="G59" s="17" t="s">
        <v>2273</v>
      </c>
      <c r="H59" s="16"/>
      <c r="I59" s="17"/>
      <c r="J59" s="19" t="s">
        <v>133</v>
      </c>
      <c r="K59" s="19" t="s">
        <v>1640</v>
      </c>
      <c r="L59" s="19" t="s">
        <v>67</v>
      </c>
    </row>
    <row r="60" spans="1:12" s="1" customFormat="1">
      <c r="A60" s="15"/>
      <c r="B60" s="11" t="s">
        <v>2183</v>
      </c>
      <c r="C60" s="11" t="s">
        <v>45</v>
      </c>
      <c r="D60" s="9" t="s">
        <v>2184</v>
      </c>
      <c r="E60" s="16" t="s">
        <v>128</v>
      </c>
      <c r="F60" s="72"/>
      <c r="G60" s="17" t="s">
        <v>2274</v>
      </c>
      <c r="H60" s="16"/>
      <c r="I60" s="17"/>
      <c r="J60" s="19" t="s">
        <v>133</v>
      </c>
      <c r="K60" s="19" t="s">
        <v>1640</v>
      </c>
      <c r="L60" s="19" t="s">
        <v>67</v>
      </c>
    </row>
    <row r="61" spans="1:12" s="1" customFormat="1">
      <c r="A61" s="15"/>
      <c r="B61" s="11" t="s">
        <v>2185</v>
      </c>
      <c r="C61" s="11" t="s">
        <v>45</v>
      </c>
      <c r="D61" s="9" t="s">
        <v>2190</v>
      </c>
      <c r="E61" s="16" t="s">
        <v>128</v>
      </c>
      <c r="F61" s="72"/>
      <c r="G61" s="17" t="s">
        <v>2275</v>
      </c>
      <c r="H61" s="16"/>
      <c r="I61" s="17"/>
      <c r="J61" s="19" t="s">
        <v>133</v>
      </c>
      <c r="K61" s="19" t="s">
        <v>204</v>
      </c>
      <c r="L61" s="19" t="s">
        <v>67</v>
      </c>
    </row>
    <row r="62" spans="1:12" s="1" customFormat="1">
      <c r="A62" s="15"/>
      <c r="B62" s="11" t="s">
        <v>2186</v>
      </c>
      <c r="C62" s="11" t="s">
        <v>45</v>
      </c>
      <c r="D62" s="9" t="s">
        <v>2191</v>
      </c>
      <c r="E62" s="16" t="s">
        <v>128</v>
      </c>
      <c r="F62" s="72"/>
      <c r="G62" s="17" t="s">
        <v>2276</v>
      </c>
      <c r="H62" s="16"/>
      <c r="I62" s="17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11" t="s">
        <v>2245</v>
      </c>
      <c r="C63" s="11" t="s">
        <v>45</v>
      </c>
      <c r="D63" s="9" t="s">
        <v>2189</v>
      </c>
      <c r="E63" s="16" t="s">
        <v>128</v>
      </c>
      <c r="F63" s="72"/>
      <c r="G63" s="17" t="s">
        <v>2277</v>
      </c>
      <c r="H63" s="16"/>
      <c r="I63" s="17"/>
      <c r="J63" s="19" t="s">
        <v>133</v>
      </c>
      <c r="K63" s="19" t="s">
        <v>204</v>
      </c>
      <c r="L63" s="19" t="s">
        <v>67</v>
      </c>
    </row>
    <row r="64" spans="1:12" s="1" customFormat="1">
      <c r="A64" s="15"/>
      <c r="B64" s="11" t="s">
        <v>2159</v>
      </c>
      <c r="C64" s="95" t="s">
        <v>280</v>
      </c>
      <c r="D64" s="9" t="s">
        <v>2161</v>
      </c>
      <c r="E64" s="16" t="s">
        <v>128</v>
      </c>
      <c r="F64" s="72"/>
      <c r="G64" s="17" t="s">
        <v>2278</v>
      </c>
      <c r="H64" s="16"/>
      <c r="I64" s="17"/>
      <c r="J64" s="19" t="s">
        <v>133</v>
      </c>
      <c r="K64" s="19" t="s">
        <v>203</v>
      </c>
      <c r="L64" s="19" t="s">
        <v>67</v>
      </c>
    </row>
    <row r="65" spans="1:12" s="1" customFormat="1">
      <c r="A65" s="15"/>
      <c r="B65" s="11" t="s">
        <v>2160</v>
      </c>
      <c r="C65" s="95" t="s">
        <v>280</v>
      </c>
      <c r="D65" s="9" t="s">
        <v>2162</v>
      </c>
      <c r="E65" s="16" t="s">
        <v>128</v>
      </c>
      <c r="F65" s="72"/>
      <c r="G65" s="17" t="s">
        <v>2279</v>
      </c>
      <c r="H65" s="16"/>
      <c r="I65" s="17"/>
      <c r="J65" s="19" t="s">
        <v>133</v>
      </c>
      <c r="K65" s="19" t="s">
        <v>202</v>
      </c>
      <c r="L65" s="19" t="s">
        <v>67</v>
      </c>
    </row>
    <row r="66" spans="1:12" s="1" customFormat="1">
      <c r="A66" s="15"/>
      <c r="B66" s="11" t="s">
        <v>205</v>
      </c>
      <c r="C66" s="11" t="s">
        <v>45</v>
      </c>
      <c r="D66" s="9" t="s">
        <v>147</v>
      </c>
      <c r="E66" s="16" t="s">
        <v>128</v>
      </c>
      <c r="F66" s="72"/>
      <c r="G66" s="17" t="s">
        <v>2247</v>
      </c>
      <c r="H66" s="16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206</v>
      </c>
      <c r="C67" s="11" t="s">
        <v>280</v>
      </c>
      <c r="D67" s="9" t="s">
        <v>820</v>
      </c>
      <c r="E67" s="16" t="s">
        <v>128</v>
      </c>
      <c r="F67" s="72"/>
      <c r="G67" s="17" t="s">
        <v>1081</v>
      </c>
      <c r="H67" s="16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2" t="s">
        <v>286</v>
      </c>
      <c r="C68" s="11" t="s">
        <v>45</v>
      </c>
      <c r="D68" s="9" t="s">
        <v>1018</v>
      </c>
      <c r="E68" s="16" t="s">
        <v>128</v>
      </c>
      <c r="F68" s="72"/>
      <c r="G68" s="17" t="s">
        <v>1127</v>
      </c>
      <c r="H68" s="16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2" t="s">
        <v>287</v>
      </c>
      <c r="C69" s="11" t="s">
        <v>45</v>
      </c>
      <c r="D69" s="9" t="s">
        <v>1019</v>
      </c>
      <c r="E69" s="16" t="s">
        <v>128</v>
      </c>
      <c r="F69" s="72"/>
      <c r="G69" s="17" t="s">
        <v>1128</v>
      </c>
      <c r="H69" s="16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2" t="s">
        <v>288</v>
      </c>
      <c r="C70" s="11" t="s">
        <v>45</v>
      </c>
      <c r="D70" s="9" t="s">
        <v>1020</v>
      </c>
      <c r="E70" s="16" t="s">
        <v>128</v>
      </c>
      <c r="F70" s="72"/>
      <c r="G70" s="17" t="s">
        <v>1129</v>
      </c>
      <c r="H70" s="16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2" t="s">
        <v>289</v>
      </c>
      <c r="C71" s="11" t="s">
        <v>45</v>
      </c>
      <c r="D71" s="9" t="s">
        <v>1021</v>
      </c>
      <c r="E71" s="16" t="s">
        <v>128</v>
      </c>
      <c r="F71" s="72"/>
      <c r="G71" s="17" t="s">
        <v>1130</v>
      </c>
      <c r="H71" s="16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2" t="s">
        <v>290</v>
      </c>
      <c r="C72" s="11" t="s">
        <v>45</v>
      </c>
      <c r="D72" s="9" t="s">
        <v>1042</v>
      </c>
      <c r="E72" s="16" t="s">
        <v>128</v>
      </c>
      <c r="F72" s="72"/>
      <c r="G72" s="17" t="s">
        <v>1131</v>
      </c>
      <c r="H72" s="16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1049</v>
      </c>
      <c r="C73" s="11" t="s">
        <v>45</v>
      </c>
      <c r="D73" s="9" t="s">
        <v>153</v>
      </c>
      <c r="E73" s="16" t="s">
        <v>128</v>
      </c>
      <c r="F73" s="72"/>
      <c r="G73" s="17" t="s">
        <v>1262</v>
      </c>
      <c r="H73" s="16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823</v>
      </c>
      <c r="C74" s="11" t="s">
        <v>280</v>
      </c>
      <c r="D74" s="9" t="s">
        <v>1474</v>
      </c>
      <c r="E74" s="16" t="s">
        <v>128</v>
      </c>
      <c r="F74" s="72"/>
      <c r="G74" s="17" t="s">
        <v>1082</v>
      </c>
      <c r="H74" s="16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2" t="s">
        <v>291</v>
      </c>
      <c r="C75" s="11" t="s">
        <v>45</v>
      </c>
      <c r="D75" s="9" t="s">
        <v>1026</v>
      </c>
      <c r="E75" s="16" t="s">
        <v>128</v>
      </c>
      <c r="F75" s="72"/>
      <c r="G75" s="17" t="s">
        <v>1133</v>
      </c>
      <c r="H75" s="16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2" t="s">
        <v>292</v>
      </c>
      <c r="C76" s="11" t="s">
        <v>45</v>
      </c>
      <c r="D76" s="9" t="s">
        <v>1027</v>
      </c>
      <c r="E76" s="16" t="s">
        <v>128</v>
      </c>
      <c r="F76" s="72"/>
      <c r="G76" s="17" t="s">
        <v>1134</v>
      </c>
      <c r="H76" s="16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2" t="s">
        <v>293</v>
      </c>
      <c r="C77" s="11" t="s">
        <v>45</v>
      </c>
      <c r="D77" s="9" t="s">
        <v>1028</v>
      </c>
      <c r="E77" s="16" t="s">
        <v>128</v>
      </c>
      <c r="F77" s="72"/>
      <c r="G77" s="17" t="s">
        <v>1135</v>
      </c>
      <c r="H77" s="16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2" t="s">
        <v>294</v>
      </c>
      <c r="C78" s="11" t="s">
        <v>45</v>
      </c>
      <c r="D78" s="9" t="s">
        <v>1029</v>
      </c>
      <c r="E78" s="16" t="s">
        <v>128</v>
      </c>
      <c r="F78" s="72"/>
      <c r="G78" s="17" t="s">
        <v>1136</v>
      </c>
      <c r="H78" s="16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2" t="s">
        <v>295</v>
      </c>
      <c r="C79" s="11" t="s">
        <v>45</v>
      </c>
      <c r="D79" s="9" t="s">
        <v>1043</v>
      </c>
      <c r="E79" s="16" t="s">
        <v>128</v>
      </c>
      <c r="F79" s="72"/>
      <c r="G79" s="17" t="s">
        <v>1137</v>
      </c>
      <c r="H79" s="16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1084</v>
      </c>
      <c r="C80" s="11" t="s">
        <v>280</v>
      </c>
      <c r="D80" s="9" t="s">
        <v>1086</v>
      </c>
      <c r="E80" s="16" t="s">
        <v>128</v>
      </c>
      <c r="F80" s="72"/>
      <c r="G80" s="17" t="s">
        <v>2248</v>
      </c>
      <c r="H80" s="16"/>
      <c r="I80" s="17"/>
      <c r="J80" s="19" t="s">
        <v>133</v>
      </c>
      <c r="K80" s="19" t="s">
        <v>202</v>
      </c>
      <c r="L80" s="19" t="s">
        <v>67</v>
      </c>
    </row>
    <row r="81" spans="1:12" s="1" customFormat="1">
      <c r="A81" s="15"/>
      <c r="B81" s="11" t="s">
        <v>1083</v>
      </c>
      <c r="C81" s="11" t="s">
        <v>280</v>
      </c>
      <c r="D81" s="9" t="s">
        <v>841</v>
      </c>
      <c r="E81" s="16" t="s">
        <v>128</v>
      </c>
      <c r="F81" s="72"/>
      <c r="G81" s="17" t="s">
        <v>1866</v>
      </c>
      <c r="H81" s="16"/>
      <c r="I81" s="17"/>
      <c r="J81" s="19" t="s">
        <v>133</v>
      </c>
      <c r="K81" s="19" t="s">
        <v>202</v>
      </c>
      <c r="L81" s="19" t="s">
        <v>67</v>
      </c>
    </row>
    <row r="82" spans="1:12" s="1" customFormat="1">
      <c r="A82" s="15"/>
      <c r="B82" s="112" t="s">
        <v>1469</v>
      </c>
      <c r="C82" s="11" t="s">
        <v>45</v>
      </c>
      <c r="D82" s="9" t="s">
        <v>1038</v>
      </c>
      <c r="E82" s="16" t="s">
        <v>128</v>
      </c>
      <c r="F82" s="72"/>
      <c r="G82" s="17" t="s">
        <v>1138</v>
      </c>
      <c r="H82" s="16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2" t="s">
        <v>1470</v>
      </c>
      <c r="C83" s="11" t="s">
        <v>45</v>
      </c>
      <c r="D83" s="9" t="s">
        <v>1039</v>
      </c>
      <c r="E83" s="16" t="s">
        <v>128</v>
      </c>
      <c r="F83" s="72"/>
      <c r="G83" s="17" t="s">
        <v>1139</v>
      </c>
      <c r="H83" s="16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2" t="s">
        <v>1471</v>
      </c>
      <c r="C84" s="11" t="s">
        <v>45</v>
      </c>
      <c r="D84" s="9" t="s">
        <v>1040</v>
      </c>
      <c r="E84" s="16" t="s">
        <v>128</v>
      </c>
      <c r="F84" s="72"/>
      <c r="G84" s="17" t="s">
        <v>1140</v>
      </c>
      <c r="H84" s="16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2" t="s">
        <v>1472</v>
      </c>
      <c r="C85" s="11" t="s">
        <v>45</v>
      </c>
      <c r="D85" s="9" t="s">
        <v>1041</v>
      </c>
      <c r="E85" s="16" t="s">
        <v>128</v>
      </c>
      <c r="F85" s="72"/>
      <c r="G85" s="17" t="s">
        <v>1141</v>
      </c>
      <c r="H85" s="16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2" t="s">
        <v>1473</v>
      </c>
      <c r="C86" s="11" t="s">
        <v>45</v>
      </c>
      <c r="D86" s="9" t="s">
        <v>1044</v>
      </c>
      <c r="E86" s="16" t="s">
        <v>128</v>
      </c>
      <c r="F86" s="72"/>
      <c r="G86" s="17" t="s">
        <v>1142</v>
      </c>
      <c r="H86" s="16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816</v>
      </c>
      <c r="C87" s="11" t="s">
        <v>280</v>
      </c>
      <c r="D87" s="9" t="s">
        <v>839</v>
      </c>
      <c r="E87" s="16" t="s">
        <v>128</v>
      </c>
      <c r="F87" s="72"/>
      <c r="G87" s="17" t="s">
        <v>1088</v>
      </c>
      <c r="H87" s="16"/>
      <c r="I87" s="17"/>
      <c r="J87" s="19" t="s">
        <v>133</v>
      </c>
      <c r="K87" s="19" t="s">
        <v>202</v>
      </c>
      <c r="L87" s="19" t="s">
        <v>67</v>
      </c>
    </row>
    <row r="88" spans="1:12" s="1" customFormat="1">
      <c r="A88" s="15"/>
      <c r="B88" s="11" t="s">
        <v>817</v>
      </c>
      <c r="C88" s="11" t="s">
        <v>45</v>
      </c>
      <c r="D88" s="9" t="s">
        <v>658</v>
      </c>
      <c r="E88" s="16" t="s">
        <v>128</v>
      </c>
      <c r="F88" s="72"/>
      <c r="G88" s="17" t="s">
        <v>1089</v>
      </c>
      <c r="H88" s="16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818</v>
      </c>
      <c r="C89" s="11" t="s">
        <v>280</v>
      </c>
      <c r="D89" s="9" t="s">
        <v>842</v>
      </c>
      <c r="E89" s="16" t="s">
        <v>128</v>
      </c>
      <c r="F89" s="72"/>
      <c r="G89" s="17" t="s">
        <v>1091</v>
      </c>
      <c r="H89" s="16"/>
      <c r="I89" s="17"/>
      <c r="J89" s="19" t="s">
        <v>133</v>
      </c>
      <c r="K89" s="19" t="s">
        <v>202</v>
      </c>
      <c r="L89" s="19" t="s">
        <v>67</v>
      </c>
    </row>
    <row r="90" spans="1:12" s="1" customFormat="1">
      <c r="A90" s="15"/>
      <c r="B90" s="11" t="s">
        <v>819</v>
      </c>
      <c r="C90" s="11" t="s">
        <v>45</v>
      </c>
      <c r="D90" s="9" t="s">
        <v>660</v>
      </c>
      <c r="E90" s="16" t="s">
        <v>128</v>
      </c>
      <c r="F90" s="72"/>
      <c r="G90" s="17" t="s">
        <v>1092</v>
      </c>
      <c r="H90" s="16"/>
      <c r="I90" s="17"/>
      <c r="J90" s="19" t="s">
        <v>133</v>
      </c>
      <c r="K90" s="19" t="s">
        <v>44</v>
      </c>
      <c r="L90" s="19" t="s">
        <v>67</v>
      </c>
    </row>
    <row r="91" spans="1:12" s="1" customFormat="1">
      <c r="A91" s="15"/>
      <c r="B91" s="22" t="s">
        <v>2327</v>
      </c>
      <c r="C91" s="22" t="s">
        <v>45</v>
      </c>
      <c r="D91" s="9" t="s">
        <v>2017</v>
      </c>
      <c r="E91" s="16" t="s">
        <v>128</v>
      </c>
      <c r="F91" s="72"/>
      <c r="G91" s="17" t="s">
        <v>2330</v>
      </c>
      <c r="H91" s="16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22" t="s">
        <v>2194</v>
      </c>
      <c r="C92" s="22" t="s">
        <v>280</v>
      </c>
      <c r="D92" s="9" t="s">
        <v>2196</v>
      </c>
      <c r="E92" s="16" t="s">
        <v>128</v>
      </c>
      <c r="F92" s="72"/>
      <c r="G92" s="17" t="s">
        <v>2250</v>
      </c>
      <c r="H92" s="16"/>
      <c r="I92" s="17"/>
      <c r="J92" s="19" t="s">
        <v>133</v>
      </c>
      <c r="K92" s="19" t="s">
        <v>2024</v>
      </c>
      <c r="L92" s="19" t="s">
        <v>67</v>
      </c>
    </row>
    <row r="93" spans="1:12" s="1" customFormat="1">
      <c r="B93" s="22" t="s">
        <v>2132</v>
      </c>
      <c r="C93" s="22" t="s">
        <v>280</v>
      </c>
      <c r="D93" s="9" t="s">
        <v>2134</v>
      </c>
      <c r="E93" s="16" t="s">
        <v>128</v>
      </c>
      <c r="F93" s="22"/>
      <c r="G93" s="17" t="s">
        <v>2333</v>
      </c>
      <c r="H93" s="16"/>
      <c r="I93" s="88"/>
      <c r="J93" s="19" t="s">
        <v>133</v>
      </c>
      <c r="K93" s="19" t="s">
        <v>2136</v>
      </c>
      <c r="L93" s="19" t="s">
        <v>134</v>
      </c>
    </row>
    <row r="94" spans="1:12" s="1" customFormat="1">
      <c r="A94" s="15"/>
      <c r="B94" s="90" t="s">
        <v>2328</v>
      </c>
      <c r="C94" s="22" t="s">
        <v>45</v>
      </c>
      <c r="D94" s="9" t="s">
        <v>2034</v>
      </c>
      <c r="E94" s="16" t="s">
        <v>128</v>
      </c>
      <c r="F94" s="72"/>
      <c r="G94" s="17" t="s">
        <v>2332</v>
      </c>
      <c r="H94" s="16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90" t="s">
        <v>2193</v>
      </c>
      <c r="C95" s="22" t="s">
        <v>280</v>
      </c>
      <c r="D95" s="9" t="s">
        <v>2195</v>
      </c>
      <c r="E95" s="16" t="s">
        <v>128</v>
      </c>
      <c r="F95" s="72"/>
      <c r="G95" s="17" t="s">
        <v>2252</v>
      </c>
      <c r="H95" s="16"/>
      <c r="I95" s="17"/>
      <c r="J95" s="19" t="s">
        <v>133</v>
      </c>
      <c r="K95" s="19" t="s">
        <v>2024</v>
      </c>
      <c r="L95" s="19" t="s">
        <v>67</v>
      </c>
    </row>
    <row r="96" spans="1:12" s="1" customFormat="1">
      <c r="B96" s="90" t="s">
        <v>2133</v>
      </c>
      <c r="C96" s="22" t="s">
        <v>280</v>
      </c>
      <c r="D96" s="9" t="s">
        <v>2135</v>
      </c>
      <c r="E96" s="16" t="s">
        <v>128</v>
      </c>
      <c r="F96" s="22"/>
      <c r="G96" s="17" t="s">
        <v>2334</v>
      </c>
      <c r="H96" s="16"/>
      <c r="I96" s="88"/>
      <c r="J96" s="19" t="s">
        <v>133</v>
      </c>
      <c r="K96" s="19" t="s">
        <v>2136</v>
      </c>
      <c r="L96" s="19" t="s">
        <v>134</v>
      </c>
    </row>
    <row r="97" spans="1:12" s="1" customFormat="1">
      <c r="B97" s="22" t="s">
        <v>2255</v>
      </c>
      <c r="C97" s="22" t="s">
        <v>45</v>
      </c>
      <c r="D97" s="9" t="s">
        <v>2201</v>
      </c>
      <c r="E97" s="16" t="s">
        <v>128</v>
      </c>
      <c r="F97" s="22"/>
      <c r="G97" s="17" t="s">
        <v>2280</v>
      </c>
      <c r="H97" s="16"/>
      <c r="I97" s="17"/>
      <c r="J97" s="19" t="s">
        <v>133</v>
      </c>
      <c r="K97" s="19" t="s">
        <v>1640</v>
      </c>
      <c r="L97" s="19" t="s">
        <v>67</v>
      </c>
    </row>
    <row r="98" spans="1:12" s="1" customFormat="1">
      <c r="B98" s="112" t="s">
        <v>2476</v>
      </c>
      <c r="C98" s="22" t="s">
        <v>45</v>
      </c>
      <c r="D98" s="9" t="s">
        <v>2202</v>
      </c>
      <c r="E98" s="16" t="s">
        <v>128</v>
      </c>
      <c r="F98" s="22"/>
      <c r="G98" s="17" t="s">
        <v>2281</v>
      </c>
      <c r="H98" s="16"/>
      <c r="I98" s="17"/>
      <c r="J98" s="19" t="s">
        <v>133</v>
      </c>
      <c r="K98" s="19" t="s">
        <v>1640</v>
      </c>
      <c r="L98" s="19" t="s">
        <v>67</v>
      </c>
    </row>
    <row r="99" spans="1:12" s="1" customFormat="1">
      <c r="B99" s="22" t="s">
        <v>2203</v>
      </c>
      <c r="C99" s="22" t="s">
        <v>56</v>
      </c>
      <c r="D99" s="9" t="s">
        <v>2204</v>
      </c>
      <c r="E99" s="16" t="s">
        <v>128</v>
      </c>
      <c r="F99" s="22"/>
      <c r="G99" s="17" t="s">
        <v>2256</v>
      </c>
      <c r="H99" s="16"/>
      <c r="I99" s="88"/>
      <c r="J99" s="19" t="s">
        <v>133</v>
      </c>
      <c r="K99" s="19" t="s">
        <v>44</v>
      </c>
      <c r="L99" s="19" t="s">
        <v>1292</v>
      </c>
    </row>
    <row r="100" spans="1:12" s="1" customFormat="1">
      <c r="B100" s="22" t="s">
        <v>2216</v>
      </c>
      <c r="C100" s="22" t="s">
        <v>45</v>
      </c>
      <c r="D100" s="9" t="s">
        <v>2036</v>
      </c>
      <c r="E100" s="16" t="s">
        <v>128</v>
      </c>
      <c r="F100" s="22"/>
      <c r="G100" s="17" t="s">
        <v>2282</v>
      </c>
      <c r="H100" s="16"/>
      <c r="I100" s="17"/>
      <c r="J100" s="19" t="s">
        <v>133</v>
      </c>
      <c r="K100" s="19" t="s">
        <v>2235</v>
      </c>
      <c r="L100" s="19" t="s">
        <v>67</v>
      </c>
    </row>
    <row r="101" spans="1:12" s="1" customFormat="1">
      <c r="B101" s="22" t="s">
        <v>2218</v>
      </c>
      <c r="C101" s="22" t="s">
        <v>45</v>
      </c>
      <c r="D101" s="9" t="s">
        <v>2219</v>
      </c>
      <c r="E101" s="16" t="s">
        <v>128</v>
      </c>
      <c r="F101" s="22"/>
      <c r="G101" s="17" t="s">
        <v>2283</v>
      </c>
      <c r="H101" s="16"/>
      <c r="I101" s="17"/>
      <c r="J101" s="19" t="s">
        <v>133</v>
      </c>
      <c r="K101" s="19" t="s">
        <v>1640</v>
      </c>
      <c r="L101" s="19" t="s">
        <v>67</v>
      </c>
    </row>
    <row r="102" spans="1:12" s="1" customFormat="1">
      <c r="B102" s="22" t="s">
        <v>2217</v>
      </c>
      <c r="C102" s="22" t="s">
        <v>45</v>
      </c>
      <c r="D102" s="9" t="s">
        <v>2035</v>
      </c>
      <c r="E102" s="16" t="s">
        <v>128</v>
      </c>
      <c r="F102" s="22"/>
      <c r="G102" s="17" t="s">
        <v>2284</v>
      </c>
      <c r="H102" s="16"/>
      <c r="I102" s="17"/>
      <c r="J102" s="19" t="s">
        <v>133</v>
      </c>
      <c r="K102" s="19" t="s">
        <v>2235</v>
      </c>
      <c r="L102" s="19" t="s">
        <v>67</v>
      </c>
    </row>
    <row r="103" spans="1:12" s="1" customFormat="1">
      <c r="B103" s="22" t="s">
        <v>2220</v>
      </c>
      <c r="C103" s="22" t="s">
        <v>45</v>
      </c>
      <c r="D103" s="9" t="s">
        <v>2225</v>
      </c>
      <c r="E103" s="16" t="s">
        <v>128</v>
      </c>
      <c r="F103" s="22"/>
      <c r="G103" s="17" t="s">
        <v>2285</v>
      </c>
      <c r="H103" s="16"/>
      <c r="I103" s="17"/>
      <c r="J103" s="19" t="s">
        <v>133</v>
      </c>
      <c r="K103" s="19" t="s">
        <v>1640</v>
      </c>
      <c r="L103" s="19" t="s">
        <v>67</v>
      </c>
    </row>
    <row r="104" spans="1:12" s="1" customFormat="1">
      <c r="B104" s="22" t="s">
        <v>2140</v>
      </c>
      <c r="C104" s="22" t="s">
        <v>45</v>
      </c>
      <c r="D104" s="9" t="s">
        <v>2141</v>
      </c>
      <c r="E104" s="16" t="s">
        <v>128</v>
      </c>
      <c r="F104" s="22"/>
      <c r="G104" s="17" t="s">
        <v>2286</v>
      </c>
      <c r="H104" s="16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B105" s="22" t="s">
        <v>2142</v>
      </c>
      <c r="C105" s="22" t="s">
        <v>45</v>
      </c>
      <c r="D105" s="9" t="s">
        <v>2143</v>
      </c>
      <c r="E105" s="16" t="s">
        <v>128</v>
      </c>
      <c r="F105" s="22"/>
      <c r="G105" s="17" t="s">
        <v>2287</v>
      </c>
      <c r="H105" s="16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B106" s="22" t="s">
        <v>2144</v>
      </c>
      <c r="C106" s="22" t="s">
        <v>45</v>
      </c>
      <c r="D106" s="9" t="s">
        <v>2145</v>
      </c>
      <c r="E106" s="16" t="s">
        <v>128</v>
      </c>
      <c r="F106" s="22"/>
      <c r="G106" s="17" t="s">
        <v>2288</v>
      </c>
      <c r="H106" s="16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B107" s="22" t="s">
        <v>2146</v>
      </c>
      <c r="C107" s="22" t="s">
        <v>45</v>
      </c>
      <c r="D107" s="9" t="s">
        <v>2147</v>
      </c>
      <c r="E107" s="16" t="s">
        <v>128</v>
      </c>
      <c r="F107" s="22"/>
      <c r="G107" s="17" t="s">
        <v>2289</v>
      </c>
      <c r="H107" s="16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B108" s="22" t="s">
        <v>2148</v>
      </c>
      <c r="C108" s="22" t="s">
        <v>45</v>
      </c>
      <c r="D108" s="9" t="s">
        <v>2149</v>
      </c>
      <c r="E108" s="16" t="s">
        <v>128</v>
      </c>
      <c r="F108" s="22"/>
      <c r="G108" s="17" t="s">
        <v>2290</v>
      </c>
      <c r="H108" s="16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B109" s="22" t="s">
        <v>2150</v>
      </c>
      <c r="C109" s="22" t="s">
        <v>45</v>
      </c>
      <c r="D109" s="9" t="s">
        <v>2151</v>
      </c>
      <c r="E109" s="16" t="s">
        <v>128</v>
      </c>
      <c r="F109" s="22"/>
      <c r="G109" s="17" t="s">
        <v>2291</v>
      </c>
      <c r="H109" s="16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11" t="s">
        <v>2261</v>
      </c>
      <c r="C110" s="11" t="s">
        <v>280</v>
      </c>
      <c r="D110" s="9" t="s">
        <v>2038</v>
      </c>
      <c r="E110" s="16" t="s">
        <v>128</v>
      </c>
      <c r="F110" s="72"/>
      <c r="G110" s="17" t="s">
        <v>3075</v>
      </c>
      <c r="H110" s="16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95" t="s">
        <v>2041</v>
      </c>
      <c r="C111" s="95" t="s">
        <v>45</v>
      </c>
      <c r="D111" s="96" t="s">
        <v>2042</v>
      </c>
      <c r="E111" s="16" t="s">
        <v>128</v>
      </c>
      <c r="F111" s="72"/>
      <c r="G111" s="17" t="s">
        <v>2292</v>
      </c>
      <c r="H111" s="16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95" t="s">
        <v>2043</v>
      </c>
      <c r="C112" s="95" t="s">
        <v>45</v>
      </c>
      <c r="D112" s="96" t="s">
        <v>2044</v>
      </c>
      <c r="E112" s="16" t="s">
        <v>128</v>
      </c>
      <c r="F112" s="72"/>
      <c r="G112" s="17" t="s">
        <v>2293</v>
      </c>
      <c r="H112" s="16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95" t="s">
        <v>2045</v>
      </c>
      <c r="C113" s="95" t="s">
        <v>45</v>
      </c>
      <c r="D113" s="96" t="s">
        <v>2046</v>
      </c>
      <c r="E113" s="16" t="s">
        <v>128</v>
      </c>
      <c r="F113" s="72"/>
      <c r="G113" s="17" t="s">
        <v>2294</v>
      </c>
      <c r="H113" s="16"/>
      <c r="I113" s="17"/>
      <c r="J113" s="19" t="s">
        <v>133</v>
      </c>
      <c r="K113" s="19" t="s">
        <v>903</v>
      </c>
      <c r="L113" s="19" t="s">
        <v>67</v>
      </c>
    </row>
    <row r="114" spans="1:12" s="1" customFormat="1">
      <c r="A114" s="15"/>
      <c r="B114" s="95" t="s">
        <v>2047</v>
      </c>
      <c r="C114" s="95" t="s">
        <v>45</v>
      </c>
      <c r="D114" s="96" t="s">
        <v>2048</v>
      </c>
      <c r="E114" s="16" t="s">
        <v>128</v>
      </c>
      <c r="F114" s="72"/>
      <c r="G114" s="17" t="s">
        <v>2295</v>
      </c>
      <c r="H114" s="16"/>
      <c r="I114" s="17"/>
      <c r="J114" s="19" t="s">
        <v>133</v>
      </c>
      <c r="K114" s="19" t="s">
        <v>903</v>
      </c>
      <c r="L114" s="19" t="s">
        <v>67</v>
      </c>
    </row>
    <row r="115" spans="1:12" s="1" customFormat="1">
      <c r="A115" s="15"/>
      <c r="B115" s="95" t="s">
        <v>2049</v>
      </c>
      <c r="C115" s="95" t="s">
        <v>45</v>
      </c>
      <c r="D115" s="96" t="s">
        <v>2050</v>
      </c>
      <c r="E115" s="16" t="s">
        <v>128</v>
      </c>
      <c r="F115" s="72"/>
      <c r="G115" s="17" t="s">
        <v>2296</v>
      </c>
      <c r="H115" s="16"/>
      <c r="I115" s="17"/>
      <c r="J115" s="19" t="s">
        <v>133</v>
      </c>
      <c r="K115" s="19" t="s">
        <v>903</v>
      </c>
      <c r="L115" s="19" t="s">
        <v>67</v>
      </c>
    </row>
    <row r="116" spans="1:12" s="1" customFormat="1">
      <c r="A116" s="15"/>
      <c r="B116" s="11" t="s">
        <v>2263</v>
      </c>
      <c r="C116" s="95" t="s">
        <v>280</v>
      </c>
      <c r="D116" s="9" t="s">
        <v>2052</v>
      </c>
      <c r="E116" s="16" t="s">
        <v>128</v>
      </c>
      <c r="F116" s="72"/>
      <c r="G116" s="17" t="s">
        <v>3076</v>
      </c>
      <c r="H116" s="16"/>
      <c r="I116" s="17"/>
      <c r="J116" s="19" t="s">
        <v>133</v>
      </c>
      <c r="K116" s="19" t="s">
        <v>203</v>
      </c>
      <c r="L116" s="19" t="s">
        <v>67</v>
      </c>
    </row>
    <row r="117" spans="1:12" s="1" customFormat="1">
      <c r="A117" s="15"/>
      <c r="B117" s="11" t="s">
        <v>2053</v>
      </c>
      <c r="C117" s="11" t="s">
        <v>45</v>
      </c>
      <c r="D117" s="9" t="s">
        <v>2054</v>
      </c>
      <c r="E117" s="16" t="s">
        <v>128</v>
      </c>
      <c r="F117" s="72"/>
      <c r="G117" s="17" t="s">
        <v>2297</v>
      </c>
      <c r="H117" s="16"/>
      <c r="I117" s="17"/>
      <c r="J117" s="19" t="s">
        <v>133</v>
      </c>
      <c r="K117" s="19" t="s">
        <v>903</v>
      </c>
      <c r="L117" s="19" t="s">
        <v>67</v>
      </c>
    </row>
    <row r="118" spans="1:12" s="1" customFormat="1">
      <c r="A118" s="15"/>
      <c r="B118" s="11" t="s">
        <v>2055</v>
      </c>
      <c r="C118" s="11" t="s">
        <v>45</v>
      </c>
      <c r="D118" s="9" t="s">
        <v>2056</v>
      </c>
      <c r="E118" s="16" t="s">
        <v>128</v>
      </c>
      <c r="F118" s="72"/>
      <c r="G118" s="17" t="s">
        <v>2298</v>
      </c>
      <c r="H118" s="16"/>
      <c r="I118" s="17"/>
      <c r="J118" s="19" t="s">
        <v>133</v>
      </c>
      <c r="K118" s="19" t="s">
        <v>903</v>
      </c>
      <c r="L118" s="19" t="s">
        <v>67</v>
      </c>
    </row>
    <row r="119" spans="1:12" s="1" customFormat="1">
      <c r="A119" s="15"/>
      <c r="B119" s="11" t="s">
        <v>2057</v>
      </c>
      <c r="C119" s="11" t="s">
        <v>45</v>
      </c>
      <c r="D119" s="9" t="s">
        <v>2058</v>
      </c>
      <c r="E119" s="16" t="s">
        <v>128</v>
      </c>
      <c r="F119" s="72"/>
      <c r="G119" s="17" t="s">
        <v>2299</v>
      </c>
      <c r="H119" s="16"/>
      <c r="I119" s="17"/>
      <c r="J119" s="19" t="s">
        <v>133</v>
      </c>
      <c r="K119" s="19" t="s">
        <v>903</v>
      </c>
      <c r="L119" s="19" t="s">
        <v>67</v>
      </c>
    </row>
    <row r="120" spans="1:12" s="1" customFormat="1">
      <c r="A120" s="15"/>
      <c r="B120" s="11" t="s">
        <v>2059</v>
      </c>
      <c r="C120" s="11" t="s">
        <v>45</v>
      </c>
      <c r="D120" s="9" t="s">
        <v>2060</v>
      </c>
      <c r="E120" s="16" t="s">
        <v>128</v>
      </c>
      <c r="F120" s="72"/>
      <c r="G120" s="17" t="s">
        <v>2300</v>
      </c>
      <c r="H120" s="16"/>
      <c r="I120" s="17"/>
      <c r="J120" s="19" t="s">
        <v>133</v>
      </c>
      <c r="K120" s="19" t="s">
        <v>903</v>
      </c>
      <c r="L120" s="19" t="s">
        <v>67</v>
      </c>
    </row>
    <row r="121" spans="1:12" s="1" customFormat="1">
      <c r="A121" s="15"/>
      <c r="B121" s="11" t="s">
        <v>2061</v>
      </c>
      <c r="C121" s="11" t="s">
        <v>45</v>
      </c>
      <c r="D121" s="9" t="s">
        <v>2062</v>
      </c>
      <c r="E121" s="16" t="s">
        <v>128</v>
      </c>
      <c r="F121" s="72"/>
      <c r="G121" s="17" t="s">
        <v>2301</v>
      </c>
      <c r="H121" s="16"/>
      <c r="I121" s="17"/>
      <c r="J121" s="19" t="s">
        <v>133</v>
      </c>
      <c r="K121" s="19" t="s">
        <v>903</v>
      </c>
      <c r="L121" s="19" t="s">
        <v>67</v>
      </c>
    </row>
    <row r="122" spans="1:12" s="1" customFormat="1">
      <c r="A122" s="15"/>
      <c r="B122" s="11" t="s">
        <v>2264</v>
      </c>
      <c r="C122" s="95" t="s">
        <v>280</v>
      </c>
      <c r="D122" s="9" t="s">
        <v>2158</v>
      </c>
      <c r="E122" s="16" t="s">
        <v>128</v>
      </c>
      <c r="F122" s="72"/>
      <c r="G122" s="17" t="s">
        <v>3077</v>
      </c>
      <c r="H122" s="16"/>
      <c r="I122" s="17"/>
      <c r="J122" s="19" t="s">
        <v>133</v>
      </c>
      <c r="K122" s="19" t="s">
        <v>202</v>
      </c>
      <c r="L122" s="19" t="s">
        <v>67</v>
      </c>
    </row>
    <row r="123" spans="1:12" s="1" customFormat="1">
      <c r="A123" s="15"/>
      <c r="B123" s="95" t="s">
        <v>2076</v>
      </c>
      <c r="C123" s="95" t="s">
        <v>45</v>
      </c>
      <c r="D123" s="96" t="s">
        <v>2077</v>
      </c>
      <c r="E123" s="16" t="s">
        <v>128</v>
      </c>
      <c r="F123" s="72"/>
      <c r="G123" s="17" t="s">
        <v>2302</v>
      </c>
      <c r="H123" s="16"/>
      <c r="I123" s="17"/>
      <c r="J123" s="19" t="s">
        <v>133</v>
      </c>
      <c r="K123" s="19" t="s">
        <v>903</v>
      </c>
      <c r="L123" s="19" t="s">
        <v>67</v>
      </c>
    </row>
    <row r="124" spans="1:12" s="1" customFormat="1">
      <c r="A124" s="15"/>
      <c r="B124" s="95" t="s">
        <v>2078</v>
      </c>
      <c r="C124" s="95" t="s">
        <v>45</v>
      </c>
      <c r="D124" s="96" t="s">
        <v>2079</v>
      </c>
      <c r="E124" s="16" t="s">
        <v>128</v>
      </c>
      <c r="F124" s="72"/>
      <c r="G124" s="17" t="s">
        <v>2303</v>
      </c>
      <c r="H124" s="16"/>
      <c r="I124" s="17"/>
      <c r="J124" s="19" t="s">
        <v>133</v>
      </c>
      <c r="K124" s="19" t="s">
        <v>903</v>
      </c>
      <c r="L124" s="19" t="s">
        <v>67</v>
      </c>
    </row>
    <row r="125" spans="1:12" s="1" customFormat="1">
      <c r="A125" s="15"/>
      <c r="B125" s="95" t="s">
        <v>2080</v>
      </c>
      <c r="C125" s="95" t="s">
        <v>45</v>
      </c>
      <c r="D125" s="96" t="s">
        <v>2081</v>
      </c>
      <c r="E125" s="16" t="s">
        <v>128</v>
      </c>
      <c r="F125" s="72"/>
      <c r="G125" s="17" t="s">
        <v>2304</v>
      </c>
      <c r="H125" s="16"/>
      <c r="I125" s="17"/>
      <c r="J125" s="19" t="s">
        <v>133</v>
      </c>
      <c r="K125" s="19" t="s">
        <v>903</v>
      </c>
      <c r="L125" s="19" t="s">
        <v>67</v>
      </c>
    </row>
    <row r="126" spans="1:12" s="1" customFormat="1">
      <c r="A126" s="15"/>
      <c r="B126" s="95" t="s">
        <v>2082</v>
      </c>
      <c r="C126" s="95" t="s">
        <v>45</v>
      </c>
      <c r="D126" s="96" t="s">
        <v>2083</v>
      </c>
      <c r="E126" s="16" t="s">
        <v>128</v>
      </c>
      <c r="F126" s="72"/>
      <c r="G126" s="17" t="s">
        <v>2305</v>
      </c>
      <c r="H126" s="16"/>
      <c r="I126" s="17"/>
      <c r="J126" s="19" t="s">
        <v>133</v>
      </c>
      <c r="K126" s="19" t="s">
        <v>903</v>
      </c>
      <c r="L126" s="19" t="s">
        <v>67</v>
      </c>
    </row>
    <row r="127" spans="1:12" s="1" customFormat="1">
      <c r="A127" s="15"/>
      <c r="B127" s="95" t="s">
        <v>2084</v>
      </c>
      <c r="C127" s="95" t="s">
        <v>45</v>
      </c>
      <c r="D127" s="96" t="s">
        <v>2085</v>
      </c>
      <c r="E127" s="16" t="s">
        <v>128</v>
      </c>
      <c r="F127" s="72"/>
      <c r="G127" s="17" t="s">
        <v>2306</v>
      </c>
      <c r="H127" s="16"/>
      <c r="I127" s="17"/>
      <c r="J127" s="19" t="s">
        <v>133</v>
      </c>
      <c r="K127" s="19" t="s">
        <v>903</v>
      </c>
      <c r="L127" s="19" t="s">
        <v>67</v>
      </c>
    </row>
    <row r="128" spans="1:12" s="1" customFormat="1">
      <c r="B128" s="22" t="s">
        <v>2206</v>
      </c>
      <c r="C128" s="22" t="s">
        <v>45</v>
      </c>
      <c r="D128" s="9" t="s">
        <v>2207</v>
      </c>
      <c r="E128" s="16" t="s">
        <v>128</v>
      </c>
      <c r="F128" s="22"/>
      <c r="G128" s="17" t="s">
        <v>2307</v>
      </c>
      <c r="H128" s="16"/>
      <c r="I128" s="17"/>
      <c r="J128" s="19" t="s">
        <v>133</v>
      </c>
      <c r="K128" s="19" t="s">
        <v>2235</v>
      </c>
      <c r="L128" s="19" t="s">
        <v>2237</v>
      </c>
    </row>
    <row r="129" spans="1:12" s="1" customFormat="1">
      <c r="B129" s="22" t="s">
        <v>2205</v>
      </c>
      <c r="C129" s="22" t="s">
        <v>45</v>
      </c>
      <c r="D129" s="9" t="s">
        <v>2199</v>
      </c>
      <c r="E129" s="16" t="s">
        <v>128</v>
      </c>
      <c r="F129" s="22"/>
      <c r="G129" s="17" t="s">
        <v>2319</v>
      </c>
      <c r="H129" s="16"/>
      <c r="I129" s="17"/>
      <c r="J129" s="19" t="s">
        <v>133</v>
      </c>
      <c r="K129" s="19" t="s">
        <v>1640</v>
      </c>
      <c r="L129" s="19" t="s">
        <v>67</v>
      </c>
    </row>
    <row r="130" spans="1:12" s="1" customFormat="1">
      <c r="A130" s="15"/>
      <c r="B130" s="95" t="s">
        <v>2104</v>
      </c>
      <c r="C130" s="95" t="s">
        <v>280</v>
      </c>
      <c r="D130" s="96" t="s">
        <v>2093</v>
      </c>
      <c r="E130" s="16" t="s">
        <v>128</v>
      </c>
      <c r="F130" s="72"/>
      <c r="G130" s="17" t="s">
        <v>2320</v>
      </c>
      <c r="H130" s="16"/>
      <c r="I130" s="17"/>
      <c r="J130" s="19" t="s">
        <v>133</v>
      </c>
      <c r="K130" s="19" t="s">
        <v>2235</v>
      </c>
      <c r="L130" s="19" t="s">
        <v>2237</v>
      </c>
    </row>
    <row r="131" spans="1:12" s="1" customFormat="1">
      <c r="A131" s="15"/>
      <c r="B131" s="95" t="s">
        <v>2094</v>
      </c>
      <c r="C131" s="95" t="s">
        <v>45</v>
      </c>
      <c r="D131" s="96" t="s">
        <v>2099</v>
      </c>
      <c r="E131" s="16" t="s">
        <v>128</v>
      </c>
      <c r="F131" s="72"/>
      <c r="G131" s="17" t="s">
        <v>2308</v>
      </c>
      <c r="H131" s="16"/>
      <c r="I131" s="17"/>
      <c r="J131" s="19" t="s">
        <v>133</v>
      </c>
      <c r="K131" s="19" t="s">
        <v>1640</v>
      </c>
      <c r="L131" s="19" t="s">
        <v>67</v>
      </c>
    </row>
    <row r="132" spans="1:12" s="1" customFormat="1">
      <c r="A132" s="15"/>
      <c r="B132" s="95" t="s">
        <v>2095</v>
      </c>
      <c r="C132" s="95" t="s">
        <v>45</v>
      </c>
      <c r="D132" s="96" t="s">
        <v>2100</v>
      </c>
      <c r="E132" s="16" t="s">
        <v>128</v>
      </c>
      <c r="F132" s="72"/>
      <c r="G132" s="17" t="s">
        <v>2309</v>
      </c>
      <c r="H132" s="16"/>
      <c r="I132" s="17"/>
      <c r="J132" s="19" t="s">
        <v>133</v>
      </c>
      <c r="K132" s="19" t="s">
        <v>1640</v>
      </c>
      <c r="L132" s="19" t="s">
        <v>67</v>
      </c>
    </row>
    <row r="133" spans="1:12" s="1" customFormat="1">
      <c r="A133" s="15"/>
      <c r="B133" s="95" t="s">
        <v>2096</v>
      </c>
      <c r="C133" s="95" t="s">
        <v>45</v>
      </c>
      <c r="D133" s="96" t="s">
        <v>2101</v>
      </c>
      <c r="E133" s="16" t="s">
        <v>128</v>
      </c>
      <c r="F133" s="72"/>
      <c r="G133" s="17" t="s">
        <v>2310</v>
      </c>
      <c r="H133" s="16"/>
      <c r="I133" s="17"/>
      <c r="J133" s="19" t="s">
        <v>133</v>
      </c>
      <c r="K133" s="19" t="s">
        <v>1640</v>
      </c>
      <c r="L133" s="19" t="s">
        <v>67</v>
      </c>
    </row>
    <row r="134" spans="1:12" s="1" customFormat="1">
      <c r="A134" s="15"/>
      <c r="B134" s="95" t="s">
        <v>2097</v>
      </c>
      <c r="C134" s="95" t="s">
        <v>45</v>
      </c>
      <c r="D134" s="96" t="s">
        <v>2102</v>
      </c>
      <c r="E134" s="16" t="s">
        <v>128</v>
      </c>
      <c r="F134" s="72"/>
      <c r="G134" s="17" t="s">
        <v>2311</v>
      </c>
      <c r="H134" s="16"/>
      <c r="I134" s="17"/>
      <c r="J134" s="19" t="s">
        <v>133</v>
      </c>
      <c r="K134" s="19" t="s">
        <v>1640</v>
      </c>
      <c r="L134" s="19" t="s">
        <v>67</v>
      </c>
    </row>
    <row r="135" spans="1:12" s="1" customFormat="1">
      <c r="A135" s="15"/>
      <c r="B135" s="95" t="s">
        <v>2098</v>
      </c>
      <c r="C135" s="95" t="s">
        <v>45</v>
      </c>
      <c r="D135" s="96" t="s">
        <v>2103</v>
      </c>
      <c r="E135" s="16" t="s">
        <v>128</v>
      </c>
      <c r="F135" s="72"/>
      <c r="G135" s="17" t="s">
        <v>2312</v>
      </c>
      <c r="H135" s="16"/>
      <c r="I135" s="17"/>
      <c r="J135" s="19" t="s">
        <v>133</v>
      </c>
      <c r="K135" s="19" t="s">
        <v>1640</v>
      </c>
      <c r="L135" s="19" t="s">
        <v>67</v>
      </c>
    </row>
    <row r="136" spans="1:12" s="1" customFormat="1">
      <c r="A136" s="15"/>
      <c r="B136" s="95" t="s">
        <v>2210</v>
      </c>
      <c r="C136" s="95" t="s">
        <v>45</v>
      </c>
      <c r="D136" s="9" t="s">
        <v>2212</v>
      </c>
      <c r="E136" s="16" t="s">
        <v>128</v>
      </c>
      <c r="F136" s="72"/>
      <c r="G136" s="17" t="s">
        <v>2313</v>
      </c>
      <c r="H136" s="16"/>
      <c r="I136" s="17"/>
      <c r="J136" s="19" t="s">
        <v>133</v>
      </c>
      <c r="K136" s="19" t="s">
        <v>2235</v>
      </c>
      <c r="L136" s="19" t="s">
        <v>2237</v>
      </c>
    </row>
    <row r="137" spans="1:12" s="1" customFormat="1">
      <c r="A137" s="15"/>
      <c r="B137" s="95" t="s">
        <v>2211</v>
      </c>
      <c r="C137" s="95" t="s">
        <v>45</v>
      </c>
      <c r="D137" s="9" t="s">
        <v>2213</v>
      </c>
      <c r="E137" s="16" t="s">
        <v>128</v>
      </c>
      <c r="F137" s="72"/>
      <c r="G137" s="17" t="s">
        <v>2321</v>
      </c>
      <c r="H137" s="16"/>
      <c r="I137" s="17"/>
      <c r="J137" s="19" t="s">
        <v>133</v>
      </c>
      <c r="K137" s="19" t="s">
        <v>1640</v>
      </c>
      <c r="L137" s="19" t="s">
        <v>67</v>
      </c>
    </row>
    <row r="138" spans="1:12" s="1" customFormat="1">
      <c r="A138" s="15"/>
      <c r="B138" s="95" t="s">
        <v>2112</v>
      </c>
      <c r="C138" s="95" t="s">
        <v>280</v>
      </c>
      <c r="D138" s="96" t="s">
        <v>2123</v>
      </c>
      <c r="E138" s="16" t="s">
        <v>128</v>
      </c>
      <c r="F138" s="72"/>
      <c r="G138" s="17" t="s">
        <v>2322</v>
      </c>
      <c r="H138" s="16"/>
      <c r="I138" s="17"/>
      <c r="J138" s="19" t="s">
        <v>133</v>
      </c>
      <c r="K138" s="19" t="s">
        <v>2235</v>
      </c>
      <c r="L138" s="19" t="s">
        <v>2237</v>
      </c>
    </row>
    <row r="139" spans="1:12" s="1" customFormat="1">
      <c r="A139" s="15"/>
      <c r="B139" s="95" t="s">
        <v>2113</v>
      </c>
      <c r="C139" s="95" t="s">
        <v>45</v>
      </c>
      <c r="D139" s="96" t="s">
        <v>2114</v>
      </c>
      <c r="E139" s="16" t="s">
        <v>128</v>
      </c>
      <c r="F139" s="72"/>
      <c r="G139" s="17" t="s">
        <v>2314</v>
      </c>
      <c r="H139" s="16"/>
      <c r="I139" s="17"/>
      <c r="J139" s="19" t="s">
        <v>133</v>
      </c>
      <c r="K139" s="19" t="s">
        <v>1640</v>
      </c>
      <c r="L139" s="19" t="s">
        <v>67</v>
      </c>
    </row>
    <row r="140" spans="1:12" s="1" customFormat="1">
      <c r="A140" s="15"/>
      <c r="B140" s="95" t="s">
        <v>2115</v>
      </c>
      <c r="C140" s="95" t="s">
        <v>45</v>
      </c>
      <c r="D140" s="96" t="s">
        <v>2116</v>
      </c>
      <c r="E140" s="16" t="s">
        <v>128</v>
      </c>
      <c r="F140" s="72"/>
      <c r="G140" s="17" t="s">
        <v>2315</v>
      </c>
      <c r="H140" s="16"/>
      <c r="I140" s="17"/>
      <c r="J140" s="19" t="s">
        <v>133</v>
      </c>
      <c r="K140" s="19" t="s">
        <v>1640</v>
      </c>
      <c r="L140" s="19" t="s">
        <v>67</v>
      </c>
    </row>
    <row r="141" spans="1:12" s="1" customFormat="1">
      <c r="A141" s="15"/>
      <c r="B141" s="95" t="s">
        <v>2117</v>
      </c>
      <c r="C141" s="95" t="s">
        <v>45</v>
      </c>
      <c r="D141" s="96" t="s">
        <v>2118</v>
      </c>
      <c r="E141" s="16" t="s">
        <v>128</v>
      </c>
      <c r="F141" s="72"/>
      <c r="G141" s="17" t="s">
        <v>2316</v>
      </c>
      <c r="H141" s="16"/>
      <c r="I141" s="17"/>
      <c r="J141" s="19" t="s">
        <v>133</v>
      </c>
      <c r="K141" s="19" t="s">
        <v>1640</v>
      </c>
      <c r="L141" s="19" t="s">
        <v>67</v>
      </c>
    </row>
    <row r="142" spans="1:12" s="1" customFormat="1">
      <c r="A142" s="15"/>
      <c r="B142" s="95" t="s">
        <v>2119</v>
      </c>
      <c r="C142" s="95" t="s">
        <v>45</v>
      </c>
      <c r="D142" s="96" t="s">
        <v>2120</v>
      </c>
      <c r="E142" s="16" t="s">
        <v>128</v>
      </c>
      <c r="F142" s="72"/>
      <c r="G142" s="17" t="s">
        <v>2317</v>
      </c>
      <c r="H142" s="16"/>
      <c r="I142" s="17"/>
      <c r="J142" s="19" t="s">
        <v>133</v>
      </c>
      <c r="K142" s="19" t="s">
        <v>1640</v>
      </c>
      <c r="L142" s="19" t="s">
        <v>67</v>
      </c>
    </row>
    <row r="143" spans="1:12" s="1" customFormat="1">
      <c r="A143" s="15"/>
      <c r="B143" s="95" t="s">
        <v>2121</v>
      </c>
      <c r="C143" s="95" t="s">
        <v>45</v>
      </c>
      <c r="D143" s="96" t="s">
        <v>2122</v>
      </c>
      <c r="E143" s="16" t="s">
        <v>128</v>
      </c>
      <c r="F143" s="72"/>
      <c r="G143" s="17" t="s">
        <v>2318</v>
      </c>
      <c r="H143" s="16"/>
      <c r="I143" s="17"/>
      <c r="J143" s="19" t="s">
        <v>133</v>
      </c>
      <c r="K143" s="19" t="s">
        <v>1640</v>
      </c>
      <c r="L143" s="19" t="s">
        <v>67</v>
      </c>
    </row>
    <row r="144" spans="1:12" s="1" customFormat="1">
      <c r="A144" s="15"/>
      <c r="B144" s="11" t="s">
        <v>315</v>
      </c>
      <c r="C144" s="11" t="s">
        <v>45</v>
      </c>
      <c r="D144" s="9" t="s">
        <v>112</v>
      </c>
      <c r="E144" s="16" t="s">
        <v>128</v>
      </c>
      <c r="F144" s="72"/>
      <c r="G144" s="17" t="s">
        <v>1145</v>
      </c>
      <c r="H144" s="16"/>
      <c r="I144" s="17"/>
      <c r="J144" s="19" t="s">
        <v>133</v>
      </c>
      <c r="K144" s="19" t="s">
        <v>44</v>
      </c>
      <c r="L144" s="19" t="s">
        <v>67</v>
      </c>
    </row>
    <row r="145" spans="2:17" s="3" customFormat="1">
      <c r="B145" s="23" t="s">
        <v>47</v>
      </c>
      <c r="C145" s="24" t="s">
        <v>46</v>
      </c>
      <c r="D145" s="21" t="s">
        <v>48</v>
      </c>
      <c r="E145" s="44"/>
      <c r="F145" s="44"/>
      <c r="G145" s="44" t="s">
        <v>282</v>
      </c>
      <c r="H145" s="23"/>
      <c r="I145" s="23"/>
      <c r="J145" s="23"/>
      <c r="K145" s="23"/>
      <c r="L145" s="23"/>
      <c r="M145" s="23"/>
      <c r="N145" s="23"/>
      <c r="O145" s="23"/>
      <c r="P145" s="23"/>
      <c r="Q145" s="23"/>
    </row>
    <row r="146" spans="2:17" s="3" customFormat="1">
      <c r="B146" s="23" t="s">
        <v>49</v>
      </c>
      <c r="C146" s="24" t="s">
        <v>43</v>
      </c>
      <c r="D146" s="21" t="s">
        <v>50</v>
      </c>
      <c r="E146" s="44"/>
      <c r="F146" s="44"/>
      <c r="G146" s="44" t="s">
        <v>282</v>
      </c>
      <c r="H146" s="23"/>
      <c r="I146" s="23"/>
      <c r="J146" s="23"/>
      <c r="K146" s="23"/>
      <c r="L146" s="23"/>
      <c r="M146" s="23"/>
      <c r="N146" s="23"/>
      <c r="O146" s="23"/>
      <c r="P146" s="23"/>
      <c r="Q146" s="23"/>
    </row>
  </sheetData>
  <autoFilter ref="A13:Q146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1A45-3348-495E-9A49-58833A85019E}">
  <dimension ref="A1:Q144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0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2457</v>
      </c>
      <c r="D5" s="9" t="s">
        <v>2458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2501</v>
      </c>
      <c r="D9" s="9" t="s">
        <v>2456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 ht="2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2483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6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80</v>
      </c>
      <c r="C16" s="22" t="s">
        <v>94</v>
      </c>
      <c r="D16" s="9" t="s">
        <v>99</v>
      </c>
      <c r="E16" s="16" t="s">
        <v>128</v>
      </c>
      <c r="F16" s="17" t="s">
        <v>80</v>
      </c>
      <c r="G16" s="17" t="s">
        <v>129</v>
      </c>
      <c r="H16" s="16"/>
      <c r="I16" s="20"/>
      <c r="J16" s="19" t="s">
        <v>131</v>
      </c>
      <c r="K16" s="19" t="s">
        <v>132</v>
      </c>
      <c r="L16" s="19" t="s">
        <v>678</v>
      </c>
    </row>
    <row r="17" spans="1:13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138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679</v>
      </c>
    </row>
    <row r="18" spans="1:13" s="1" customFormat="1">
      <c r="A18" s="15"/>
      <c r="B18" s="22" t="s">
        <v>123</v>
      </c>
      <c r="C18" s="22" t="s">
        <v>94</v>
      </c>
      <c r="D18" s="9" t="s">
        <v>100</v>
      </c>
      <c r="E18" s="16" t="s">
        <v>128</v>
      </c>
      <c r="F18" s="9" t="s">
        <v>123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11" t="s">
        <v>124</v>
      </c>
      <c r="C19" s="22" t="s">
        <v>94</v>
      </c>
      <c r="D19" s="9" t="s">
        <v>101</v>
      </c>
      <c r="E19" s="16" t="s">
        <v>128</v>
      </c>
      <c r="F19" s="9" t="s">
        <v>124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318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44</v>
      </c>
    </row>
    <row r="21" spans="1:13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273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272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1300</v>
      </c>
      <c r="C23" s="11" t="s">
        <v>43</v>
      </c>
      <c r="D23" s="9" t="s">
        <v>57</v>
      </c>
      <c r="E23" s="16" t="s">
        <v>128</v>
      </c>
      <c r="F23" s="17" t="s">
        <v>81</v>
      </c>
      <c r="G23" s="17" t="s">
        <v>129</v>
      </c>
      <c r="H23" s="16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1921</v>
      </c>
      <c r="C24" s="11" t="s">
        <v>43</v>
      </c>
      <c r="D24" s="9" t="s">
        <v>59</v>
      </c>
      <c r="E24" s="16" t="s">
        <v>128</v>
      </c>
      <c r="F24" s="9" t="s">
        <v>58</v>
      </c>
      <c r="G24" s="17" t="s">
        <v>129</v>
      </c>
      <c r="H24" s="16"/>
      <c r="I24" s="20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82</v>
      </c>
      <c r="C25" s="11" t="s">
        <v>43</v>
      </c>
      <c r="D25" s="9" t="s">
        <v>105</v>
      </c>
      <c r="E25" s="16" t="s">
        <v>128</v>
      </c>
      <c r="F25" s="17" t="s">
        <v>82</v>
      </c>
      <c r="G25" s="17" t="s">
        <v>129</v>
      </c>
      <c r="H25" s="16"/>
      <c r="I25" s="20"/>
      <c r="J25" s="19" t="s">
        <v>131</v>
      </c>
      <c r="K25" s="19" t="s">
        <v>132</v>
      </c>
      <c r="L25" s="19" t="s">
        <v>44</v>
      </c>
    </row>
    <row r="26" spans="1:13" s="15" customFormat="1">
      <c r="B26" s="22" t="s">
        <v>87</v>
      </c>
      <c r="C26" s="11" t="s">
        <v>43</v>
      </c>
      <c r="D26" s="9" t="s">
        <v>109</v>
      </c>
      <c r="E26" s="16" t="s">
        <v>128</v>
      </c>
      <c r="F26" s="17" t="s">
        <v>87</v>
      </c>
      <c r="G26" s="17" t="s">
        <v>129</v>
      </c>
      <c r="H26" s="16"/>
      <c r="I26" s="20"/>
      <c r="J26" s="19" t="s">
        <v>131</v>
      </c>
      <c r="K26" s="19" t="s">
        <v>132</v>
      </c>
      <c r="L26" s="19" t="s">
        <v>679</v>
      </c>
      <c r="M26" s="1"/>
    </row>
    <row r="27" spans="1:13" s="1" customFormat="1">
      <c r="A27" s="15"/>
      <c r="B27" s="11" t="s">
        <v>145</v>
      </c>
      <c r="C27" s="11" t="s">
        <v>45</v>
      </c>
      <c r="D27" s="9" t="s">
        <v>146</v>
      </c>
      <c r="E27" s="16" t="s">
        <v>128</v>
      </c>
      <c r="F27" s="17"/>
      <c r="G27" s="17" t="s">
        <v>1289</v>
      </c>
      <c r="H27" s="16"/>
      <c r="I27" s="17"/>
      <c r="J27" s="19" t="s">
        <v>133</v>
      </c>
      <c r="K27" s="19" t="s">
        <v>132</v>
      </c>
      <c r="L27" s="19" t="s">
        <v>134</v>
      </c>
    </row>
    <row r="28" spans="1:13" s="1" customFormat="1">
      <c r="A28" s="15"/>
      <c r="B28" s="11" t="s">
        <v>192</v>
      </c>
      <c r="C28" s="11" t="s">
        <v>45</v>
      </c>
      <c r="D28" s="9" t="s">
        <v>193</v>
      </c>
      <c r="E28" s="16" t="s">
        <v>128</v>
      </c>
      <c r="F28" s="17"/>
      <c r="G28" s="17" t="s">
        <v>2265</v>
      </c>
      <c r="H28" s="16"/>
      <c r="I28" s="17"/>
      <c r="J28" s="19" t="s">
        <v>133</v>
      </c>
      <c r="K28" s="19" t="s">
        <v>132</v>
      </c>
      <c r="L28" s="19" t="s">
        <v>134</v>
      </c>
    </row>
    <row r="29" spans="1:13" s="1" customFormat="1">
      <c r="A29" s="15"/>
      <c r="B29" s="90" t="s">
        <v>1383</v>
      </c>
      <c r="C29" s="22" t="s">
        <v>45</v>
      </c>
      <c r="D29" s="9" t="s">
        <v>348</v>
      </c>
      <c r="E29" s="16" t="s">
        <v>128</v>
      </c>
      <c r="F29" s="17"/>
      <c r="G29" s="17" t="s">
        <v>1426</v>
      </c>
      <c r="H29" s="16"/>
      <c r="I29" s="17"/>
      <c r="J29" s="19" t="s">
        <v>133</v>
      </c>
      <c r="K29" s="19" t="s">
        <v>203</v>
      </c>
      <c r="L29" s="19" t="s">
        <v>134</v>
      </c>
    </row>
    <row r="30" spans="1:13" s="1" customFormat="1">
      <c r="A30" s="15"/>
      <c r="B30" s="112" t="s">
        <v>1476</v>
      </c>
      <c r="C30" s="11" t="s">
        <v>45</v>
      </c>
      <c r="D30" s="9" t="s">
        <v>759</v>
      </c>
      <c r="E30" s="16" t="s">
        <v>128</v>
      </c>
      <c r="F30" s="72"/>
      <c r="G30" s="17" t="s">
        <v>1427</v>
      </c>
      <c r="H30" s="16"/>
      <c r="I30" s="17"/>
      <c r="J30" s="19" t="s">
        <v>133</v>
      </c>
      <c r="K30" s="19" t="s">
        <v>204</v>
      </c>
      <c r="L30" s="19" t="s">
        <v>134</v>
      </c>
    </row>
    <row r="31" spans="1:13" s="1" customFormat="1">
      <c r="A31" s="15"/>
      <c r="B31" s="112" t="s">
        <v>1477</v>
      </c>
      <c r="C31" s="11" t="s">
        <v>45</v>
      </c>
      <c r="D31" s="9" t="s">
        <v>160</v>
      </c>
      <c r="E31" s="16" t="s">
        <v>128</v>
      </c>
      <c r="F31" s="72"/>
      <c r="G31" s="17" t="s">
        <v>1428</v>
      </c>
      <c r="H31" s="16"/>
      <c r="I31" s="17"/>
      <c r="J31" s="19" t="s">
        <v>133</v>
      </c>
      <c r="K31" s="19" t="s">
        <v>204</v>
      </c>
      <c r="L31" s="19" t="s">
        <v>134</v>
      </c>
    </row>
    <row r="32" spans="1:13" s="1" customFormat="1">
      <c r="A32" s="15"/>
      <c r="B32" s="112" t="s">
        <v>299</v>
      </c>
      <c r="C32" s="11" t="s">
        <v>45</v>
      </c>
      <c r="D32" s="9" t="s">
        <v>1056</v>
      </c>
      <c r="E32" s="16" t="s">
        <v>128</v>
      </c>
      <c r="F32" s="72"/>
      <c r="G32" s="17" t="s">
        <v>1429</v>
      </c>
      <c r="H32" s="16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2" t="s">
        <v>298</v>
      </c>
      <c r="C33" s="11" t="s">
        <v>45</v>
      </c>
      <c r="D33" s="9" t="s">
        <v>1055</v>
      </c>
      <c r="E33" s="16" t="s">
        <v>128</v>
      </c>
      <c r="F33" s="72"/>
      <c r="G33" s="17" t="s">
        <v>1430</v>
      </c>
      <c r="H33" s="16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2" t="s">
        <v>300</v>
      </c>
      <c r="C34" s="11" t="s">
        <v>45</v>
      </c>
      <c r="D34" s="9" t="s">
        <v>163</v>
      </c>
      <c r="E34" s="16" t="s">
        <v>128</v>
      </c>
      <c r="F34" s="72"/>
      <c r="G34" s="17" t="s">
        <v>1431</v>
      </c>
      <c r="H34" s="16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2" t="s">
        <v>301</v>
      </c>
      <c r="C35" s="11" t="s">
        <v>45</v>
      </c>
      <c r="D35" s="9" t="s">
        <v>164</v>
      </c>
      <c r="E35" s="16" t="s">
        <v>128</v>
      </c>
      <c r="F35" s="72"/>
      <c r="G35" s="17" t="s">
        <v>1432</v>
      </c>
      <c r="H35" s="16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2" t="s">
        <v>302</v>
      </c>
      <c r="C36" s="11" t="s">
        <v>45</v>
      </c>
      <c r="D36" s="9" t="s">
        <v>165</v>
      </c>
      <c r="E36" s="16" t="s">
        <v>128</v>
      </c>
      <c r="F36" s="72"/>
      <c r="G36" s="17" t="s">
        <v>1433</v>
      </c>
      <c r="H36" s="16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2" t="s">
        <v>303</v>
      </c>
      <c r="C37" s="11" t="s">
        <v>45</v>
      </c>
      <c r="D37" s="9" t="s">
        <v>166</v>
      </c>
      <c r="E37" s="16" t="s">
        <v>128</v>
      </c>
      <c r="F37" s="72"/>
      <c r="G37" s="17" t="s">
        <v>1434</v>
      </c>
      <c r="H37" s="16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217</v>
      </c>
      <c r="C38" s="11" t="s">
        <v>45</v>
      </c>
      <c r="D38" s="9" t="s">
        <v>171</v>
      </c>
      <c r="E38" s="16" t="s">
        <v>128</v>
      </c>
      <c r="F38" s="72"/>
      <c r="G38" s="17" t="s">
        <v>1116</v>
      </c>
      <c r="H38" s="16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218</v>
      </c>
      <c r="C39" s="11" t="s">
        <v>45</v>
      </c>
      <c r="D39" s="9" t="s">
        <v>172</v>
      </c>
      <c r="E39" s="16" t="s">
        <v>128</v>
      </c>
      <c r="F39" s="72"/>
      <c r="G39" s="17" t="s">
        <v>1117</v>
      </c>
      <c r="H39" s="16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219</v>
      </c>
      <c r="C40" s="11" t="s">
        <v>45</v>
      </c>
      <c r="D40" s="9" t="s">
        <v>173</v>
      </c>
      <c r="E40" s="16" t="s">
        <v>128</v>
      </c>
      <c r="F40" s="72"/>
      <c r="G40" s="17" t="s">
        <v>1118</v>
      </c>
      <c r="H40" s="16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220</v>
      </c>
      <c r="C41" s="11" t="s">
        <v>45</v>
      </c>
      <c r="D41" s="9" t="s">
        <v>174</v>
      </c>
      <c r="E41" s="16" t="s">
        <v>128</v>
      </c>
      <c r="F41" s="72"/>
      <c r="G41" s="17" t="s">
        <v>1119</v>
      </c>
      <c r="H41" s="16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215</v>
      </c>
      <c r="C42" s="11" t="s">
        <v>45</v>
      </c>
      <c r="D42" s="9" t="s">
        <v>1260</v>
      </c>
      <c r="E42" s="16" t="s">
        <v>128</v>
      </c>
      <c r="F42" s="72"/>
      <c r="G42" s="17" t="s">
        <v>227</v>
      </c>
      <c r="H42" s="16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216</v>
      </c>
      <c r="C43" s="11" t="s">
        <v>45</v>
      </c>
      <c r="D43" s="9" t="s">
        <v>1261</v>
      </c>
      <c r="E43" s="16" t="s">
        <v>128</v>
      </c>
      <c r="F43" s="72"/>
      <c r="G43" s="17" t="s">
        <v>228</v>
      </c>
      <c r="H43" s="16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316</v>
      </c>
      <c r="C44" s="11" t="s">
        <v>45</v>
      </c>
      <c r="D44" s="9" t="s">
        <v>167</v>
      </c>
      <c r="E44" s="16" t="s">
        <v>128</v>
      </c>
      <c r="F44" s="72"/>
      <c r="G44" s="17" t="s">
        <v>772</v>
      </c>
      <c r="H44" s="16"/>
      <c r="I44" s="17"/>
      <c r="J44" s="19" t="s">
        <v>133</v>
      </c>
      <c r="K44" s="19" t="s">
        <v>202</v>
      </c>
      <c r="L44" s="19" t="s">
        <v>67</v>
      </c>
    </row>
    <row r="45" spans="1:12" s="1" customFormat="1">
      <c r="A45" s="15"/>
      <c r="B45" s="11" t="s">
        <v>809</v>
      </c>
      <c r="C45" s="11" t="s">
        <v>45</v>
      </c>
      <c r="D45" s="9" t="s">
        <v>175</v>
      </c>
      <c r="E45" s="16" t="s">
        <v>128</v>
      </c>
      <c r="F45" s="72"/>
      <c r="G45" s="17" t="s">
        <v>1120</v>
      </c>
      <c r="H45" s="16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317</v>
      </c>
      <c r="C46" s="11" t="s">
        <v>45</v>
      </c>
      <c r="D46" s="9" t="s">
        <v>168</v>
      </c>
      <c r="E46" s="16" t="s">
        <v>128</v>
      </c>
      <c r="F46" s="72"/>
      <c r="G46" s="17" t="s">
        <v>778</v>
      </c>
      <c r="H46" s="16"/>
      <c r="I46" s="17"/>
      <c r="J46" s="19" t="s">
        <v>133</v>
      </c>
      <c r="K46" s="19" t="s">
        <v>202</v>
      </c>
      <c r="L46" s="19" t="s">
        <v>67</v>
      </c>
    </row>
    <row r="47" spans="1:12" s="1" customFormat="1">
      <c r="A47" s="15"/>
      <c r="B47" s="11" t="s">
        <v>810</v>
      </c>
      <c r="C47" s="11" t="s">
        <v>45</v>
      </c>
      <c r="D47" s="9" t="s">
        <v>176</v>
      </c>
      <c r="E47" s="16" t="s">
        <v>128</v>
      </c>
      <c r="F47" s="72"/>
      <c r="G47" s="17" t="s">
        <v>1121</v>
      </c>
      <c r="H47" s="16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1213</v>
      </c>
      <c r="C48" s="11" t="s">
        <v>45</v>
      </c>
      <c r="D48" s="9" t="s">
        <v>178</v>
      </c>
      <c r="E48" s="16" t="s">
        <v>128</v>
      </c>
      <c r="F48" s="72"/>
      <c r="G48" s="17" t="s">
        <v>2266</v>
      </c>
      <c r="H48" s="16"/>
      <c r="I48" s="17"/>
      <c r="J48" s="19" t="s">
        <v>133</v>
      </c>
      <c r="K48" s="19" t="s">
        <v>202</v>
      </c>
      <c r="L48" s="19" t="s">
        <v>67</v>
      </c>
    </row>
    <row r="49" spans="1:12" s="1" customFormat="1">
      <c r="A49" s="15"/>
      <c r="B49" s="11" t="s">
        <v>221</v>
      </c>
      <c r="C49" s="11" t="s">
        <v>45</v>
      </c>
      <c r="D49" s="9" t="s">
        <v>177</v>
      </c>
      <c r="E49" s="16" t="s">
        <v>128</v>
      </c>
      <c r="F49" s="72"/>
      <c r="G49" s="17" t="s">
        <v>1122</v>
      </c>
      <c r="H49" s="16"/>
      <c r="I49" s="17"/>
      <c r="J49" s="19" t="s">
        <v>133</v>
      </c>
      <c r="K49" s="19" t="s">
        <v>204</v>
      </c>
      <c r="L49" s="19" t="s">
        <v>67</v>
      </c>
    </row>
    <row r="50" spans="1:12" s="1" customFormat="1">
      <c r="A50" s="15"/>
      <c r="B50" s="11" t="s">
        <v>1212</v>
      </c>
      <c r="C50" s="11" t="s">
        <v>45</v>
      </c>
      <c r="D50" s="9" t="s">
        <v>180</v>
      </c>
      <c r="E50" s="16" t="s">
        <v>128</v>
      </c>
      <c r="F50" s="72"/>
      <c r="G50" s="17" t="s">
        <v>2267</v>
      </c>
      <c r="H50" s="16"/>
      <c r="I50" s="17"/>
      <c r="J50" s="19" t="s">
        <v>133</v>
      </c>
      <c r="K50" s="19" t="s">
        <v>202</v>
      </c>
      <c r="L50" s="19" t="s">
        <v>67</v>
      </c>
    </row>
    <row r="51" spans="1:12" s="1" customFormat="1">
      <c r="A51" s="15"/>
      <c r="B51" s="11" t="s">
        <v>222</v>
      </c>
      <c r="C51" s="11" t="s">
        <v>45</v>
      </c>
      <c r="D51" s="9" t="s">
        <v>179</v>
      </c>
      <c r="E51" s="16" t="s">
        <v>128</v>
      </c>
      <c r="F51" s="72"/>
      <c r="G51" s="17" t="s">
        <v>1123</v>
      </c>
      <c r="H51" s="16"/>
      <c r="I51" s="17"/>
      <c r="J51" s="19" t="s">
        <v>133</v>
      </c>
      <c r="K51" s="19" t="s">
        <v>204</v>
      </c>
      <c r="L51" s="19" t="s">
        <v>67</v>
      </c>
    </row>
    <row r="52" spans="1:12" s="1" customFormat="1">
      <c r="A52" s="15"/>
      <c r="B52" s="112" t="s">
        <v>2469</v>
      </c>
      <c r="C52" s="11" t="s">
        <v>45</v>
      </c>
      <c r="D52" s="9" t="s">
        <v>2165</v>
      </c>
      <c r="E52" s="16" t="s">
        <v>128</v>
      </c>
      <c r="F52" s="72"/>
      <c r="G52" s="17" t="s">
        <v>2484</v>
      </c>
      <c r="H52" s="16"/>
      <c r="I52" s="17"/>
      <c r="J52" s="19" t="s">
        <v>133</v>
      </c>
      <c r="K52" s="19" t="s">
        <v>903</v>
      </c>
      <c r="L52" s="19" t="s">
        <v>134</v>
      </c>
    </row>
    <row r="53" spans="1:12" s="1" customFormat="1">
      <c r="A53" s="15"/>
      <c r="B53" s="112" t="s">
        <v>2407</v>
      </c>
      <c r="C53" s="11" t="s">
        <v>45</v>
      </c>
      <c r="D53" s="9" t="s">
        <v>2166</v>
      </c>
      <c r="E53" s="16" t="s">
        <v>128</v>
      </c>
      <c r="F53" s="72"/>
      <c r="G53" s="17" t="s">
        <v>2485</v>
      </c>
      <c r="H53" s="16"/>
      <c r="I53" s="17"/>
      <c r="J53" s="19" t="s">
        <v>133</v>
      </c>
      <c r="K53" s="19" t="s">
        <v>903</v>
      </c>
      <c r="L53" s="19" t="s">
        <v>134</v>
      </c>
    </row>
    <row r="54" spans="1:12" s="1" customFormat="1">
      <c r="A54" s="15"/>
      <c r="B54" s="11" t="s">
        <v>2179</v>
      </c>
      <c r="C54" s="11" t="s">
        <v>45</v>
      </c>
      <c r="D54" s="9" t="s">
        <v>2011</v>
      </c>
      <c r="E54" s="16" t="s">
        <v>128</v>
      </c>
      <c r="F54" s="72"/>
      <c r="G54" s="17" t="s">
        <v>2270</v>
      </c>
      <c r="H54" s="16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11" t="s">
        <v>2172</v>
      </c>
      <c r="C55" s="11" t="s">
        <v>45</v>
      </c>
      <c r="D55" s="9" t="s">
        <v>2173</v>
      </c>
      <c r="E55" s="16" t="s">
        <v>128</v>
      </c>
      <c r="F55" s="72"/>
      <c r="G55" s="17" t="s">
        <v>2271</v>
      </c>
      <c r="H55" s="16"/>
      <c r="I55" s="17"/>
      <c r="J55" s="19" t="s">
        <v>133</v>
      </c>
      <c r="K55" s="19" t="s">
        <v>1640</v>
      </c>
      <c r="L55" s="19" t="s">
        <v>67</v>
      </c>
    </row>
    <row r="56" spans="1:12" s="1" customFormat="1">
      <c r="A56" s="15"/>
      <c r="B56" s="11" t="s">
        <v>2174</v>
      </c>
      <c r="C56" s="11" t="s">
        <v>45</v>
      </c>
      <c r="D56" s="9" t="s">
        <v>2175</v>
      </c>
      <c r="E56" s="16" t="s">
        <v>128</v>
      </c>
      <c r="F56" s="72"/>
      <c r="G56" s="17" t="s">
        <v>2272</v>
      </c>
      <c r="H56" s="16"/>
      <c r="I56" s="17"/>
      <c r="J56" s="19" t="s">
        <v>133</v>
      </c>
      <c r="K56" s="19" t="s">
        <v>1640</v>
      </c>
      <c r="L56" s="19" t="s">
        <v>67</v>
      </c>
    </row>
    <row r="57" spans="1:12" s="1" customFormat="1">
      <c r="A57" s="15"/>
      <c r="B57" s="11" t="s">
        <v>2181</v>
      </c>
      <c r="C57" s="11" t="s">
        <v>45</v>
      </c>
      <c r="D57" s="9" t="s">
        <v>2182</v>
      </c>
      <c r="E57" s="16" t="s">
        <v>128</v>
      </c>
      <c r="F57" s="72"/>
      <c r="G57" s="17" t="s">
        <v>2273</v>
      </c>
      <c r="H57" s="16"/>
      <c r="I57" s="17"/>
      <c r="J57" s="19" t="s">
        <v>133</v>
      </c>
      <c r="K57" s="19" t="s">
        <v>1640</v>
      </c>
      <c r="L57" s="19" t="s">
        <v>67</v>
      </c>
    </row>
    <row r="58" spans="1:12" s="1" customFormat="1">
      <c r="A58" s="15"/>
      <c r="B58" s="11" t="s">
        <v>2183</v>
      </c>
      <c r="C58" s="11" t="s">
        <v>45</v>
      </c>
      <c r="D58" s="9" t="s">
        <v>2184</v>
      </c>
      <c r="E58" s="16" t="s">
        <v>128</v>
      </c>
      <c r="F58" s="72"/>
      <c r="G58" s="17" t="s">
        <v>2274</v>
      </c>
      <c r="H58" s="16"/>
      <c r="I58" s="17"/>
      <c r="J58" s="19" t="s">
        <v>133</v>
      </c>
      <c r="K58" s="19" t="s">
        <v>1640</v>
      </c>
      <c r="L58" s="19" t="s">
        <v>67</v>
      </c>
    </row>
    <row r="59" spans="1:12" s="1" customFormat="1">
      <c r="A59" s="15"/>
      <c r="B59" s="11" t="s">
        <v>2185</v>
      </c>
      <c r="C59" s="11" t="s">
        <v>45</v>
      </c>
      <c r="D59" s="9" t="s">
        <v>2190</v>
      </c>
      <c r="E59" s="16" t="s">
        <v>128</v>
      </c>
      <c r="F59" s="72"/>
      <c r="G59" s="17" t="s">
        <v>2275</v>
      </c>
      <c r="H59" s="16"/>
      <c r="I59" s="17"/>
      <c r="J59" s="19" t="s">
        <v>133</v>
      </c>
      <c r="K59" s="19" t="s">
        <v>204</v>
      </c>
      <c r="L59" s="19" t="s">
        <v>67</v>
      </c>
    </row>
    <row r="60" spans="1:12" s="1" customFormat="1">
      <c r="A60" s="15"/>
      <c r="B60" s="11" t="s">
        <v>2186</v>
      </c>
      <c r="C60" s="11" t="s">
        <v>45</v>
      </c>
      <c r="D60" s="9" t="s">
        <v>2191</v>
      </c>
      <c r="E60" s="16" t="s">
        <v>128</v>
      </c>
      <c r="F60" s="72"/>
      <c r="G60" s="17" t="s">
        <v>2276</v>
      </c>
      <c r="H60" s="16"/>
      <c r="I60" s="17"/>
      <c r="J60" s="19" t="s">
        <v>133</v>
      </c>
      <c r="K60" s="19" t="s">
        <v>202</v>
      </c>
      <c r="L60" s="19" t="s">
        <v>67</v>
      </c>
    </row>
    <row r="61" spans="1:12" s="1" customFormat="1">
      <c r="A61" s="15"/>
      <c r="B61" s="11" t="s">
        <v>2245</v>
      </c>
      <c r="C61" s="11" t="s">
        <v>45</v>
      </c>
      <c r="D61" s="9" t="s">
        <v>2189</v>
      </c>
      <c r="E61" s="16" t="s">
        <v>128</v>
      </c>
      <c r="F61" s="72"/>
      <c r="G61" s="17" t="s">
        <v>2277</v>
      </c>
      <c r="H61" s="16"/>
      <c r="I61" s="17"/>
      <c r="J61" s="19" t="s">
        <v>133</v>
      </c>
      <c r="K61" s="19" t="s">
        <v>204</v>
      </c>
      <c r="L61" s="19" t="s">
        <v>67</v>
      </c>
    </row>
    <row r="62" spans="1:12" s="1" customFormat="1">
      <c r="A62" s="15"/>
      <c r="B62" s="11" t="s">
        <v>2159</v>
      </c>
      <c r="C62" s="95" t="s">
        <v>280</v>
      </c>
      <c r="D62" s="9" t="s">
        <v>2161</v>
      </c>
      <c r="E62" s="16" t="s">
        <v>128</v>
      </c>
      <c r="F62" s="72"/>
      <c r="G62" s="17" t="s">
        <v>2278</v>
      </c>
      <c r="H62" s="16"/>
      <c r="I62" s="17"/>
      <c r="J62" s="19" t="s">
        <v>133</v>
      </c>
      <c r="K62" s="19" t="s">
        <v>203</v>
      </c>
      <c r="L62" s="19" t="s">
        <v>67</v>
      </c>
    </row>
    <row r="63" spans="1:12" s="1" customFormat="1">
      <c r="A63" s="15"/>
      <c r="B63" s="11" t="s">
        <v>2160</v>
      </c>
      <c r="C63" s="95" t="s">
        <v>280</v>
      </c>
      <c r="D63" s="9" t="s">
        <v>2162</v>
      </c>
      <c r="E63" s="16" t="s">
        <v>128</v>
      </c>
      <c r="F63" s="72"/>
      <c r="G63" s="17" t="s">
        <v>2279</v>
      </c>
      <c r="H63" s="16"/>
      <c r="I63" s="17"/>
      <c r="J63" s="19" t="s">
        <v>133</v>
      </c>
      <c r="K63" s="19" t="s">
        <v>202</v>
      </c>
      <c r="L63" s="19" t="s">
        <v>67</v>
      </c>
    </row>
    <row r="64" spans="1:12" s="1" customFormat="1">
      <c r="A64" s="15"/>
      <c r="B64" s="11" t="s">
        <v>205</v>
      </c>
      <c r="C64" s="11" t="s">
        <v>45</v>
      </c>
      <c r="D64" s="9" t="s">
        <v>147</v>
      </c>
      <c r="E64" s="16" t="s">
        <v>128</v>
      </c>
      <c r="F64" s="72"/>
      <c r="G64" s="17" t="s">
        <v>2247</v>
      </c>
      <c r="H64" s="16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206</v>
      </c>
      <c r="C65" s="11" t="s">
        <v>280</v>
      </c>
      <c r="D65" s="9" t="s">
        <v>820</v>
      </c>
      <c r="E65" s="16" t="s">
        <v>128</v>
      </c>
      <c r="F65" s="72"/>
      <c r="G65" s="17" t="s">
        <v>1081</v>
      </c>
      <c r="H65" s="16"/>
      <c r="I65" s="17"/>
      <c r="J65" s="19" t="s">
        <v>133</v>
      </c>
      <c r="K65" s="19" t="s">
        <v>202</v>
      </c>
      <c r="L65" s="19" t="s">
        <v>67</v>
      </c>
    </row>
    <row r="66" spans="1:12" s="1" customFormat="1">
      <c r="A66" s="15"/>
      <c r="B66" s="112" t="s">
        <v>286</v>
      </c>
      <c r="C66" s="11" t="s">
        <v>45</v>
      </c>
      <c r="D66" s="9" t="s">
        <v>1018</v>
      </c>
      <c r="E66" s="16" t="s">
        <v>128</v>
      </c>
      <c r="F66" s="72"/>
      <c r="G66" s="17" t="s">
        <v>1441</v>
      </c>
      <c r="H66" s="16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2" t="s">
        <v>287</v>
      </c>
      <c r="C67" s="11" t="s">
        <v>45</v>
      </c>
      <c r="D67" s="9" t="s">
        <v>1019</v>
      </c>
      <c r="E67" s="16" t="s">
        <v>128</v>
      </c>
      <c r="F67" s="72"/>
      <c r="G67" s="17" t="s">
        <v>1442</v>
      </c>
      <c r="H67" s="16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2" t="s">
        <v>288</v>
      </c>
      <c r="C68" s="11" t="s">
        <v>45</v>
      </c>
      <c r="D68" s="9" t="s">
        <v>1020</v>
      </c>
      <c r="E68" s="16" t="s">
        <v>128</v>
      </c>
      <c r="F68" s="72"/>
      <c r="G68" s="17" t="s">
        <v>1443</v>
      </c>
      <c r="H68" s="16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2" t="s">
        <v>289</v>
      </c>
      <c r="C69" s="11" t="s">
        <v>45</v>
      </c>
      <c r="D69" s="9" t="s">
        <v>1021</v>
      </c>
      <c r="E69" s="16" t="s">
        <v>128</v>
      </c>
      <c r="F69" s="72"/>
      <c r="G69" s="17" t="s">
        <v>1444</v>
      </c>
      <c r="H69" s="16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2" t="s">
        <v>290</v>
      </c>
      <c r="C70" s="11" t="s">
        <v>45</v>
      </c>
      <c r="D70" s="9" t="s">
        <v>1042</v>
      </c>
      <c r="E70" s="16" t="s">
        <v>128</v>
      </c>
      <c r="F70" s="72"/>
      <c r="G70" s="17" t="s">
        <v>1445</v>
      </c>
      <c r="H70" s="16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1049</v>
      </c>
      <c r="C71" s="11" t="s">
        <v>45</v>
      </c>
      <c r="D71" s="9" t="s">
        <v>153</v>
      </c>
      <c r="E71" s="16" t="s">
        <v>128</v>
      </c>
      <c r="F71" s="72"/>
      <c r="G71" s="17" t="s">
        <v>1262</v>
      </c>
      <c r="H71" s="16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823</v>
      </c>
      <c r="C72" s="11" t="s">
        <v>280</v>
      </c>
      <c r="D72" s="9" t="s">
        <v>1474</v>
      </c>
      <c r="E72" s="16" t="s">
        <v>128</v>
      </c>
      <c r="F72" s="72"/>
      <c r="G72" s="17" t="s">
        <v>1082</v>
      </c>
      <c r="H72" s="16"/>
      <c r="I72" s="17"/>
      <c r="J72" s="19" t="s">
        <v>133</v>
      </c>
      <c r="K72" s="19" t="s">
        <v>202</v>
      </c>
      <c r="L72" s="19" t="s">
        <v>67</v>
      </c>
    </row>
    <row r="73" spans="1:12" s="1" customFormat="1">
      <c r="A73" s="15"/>
      <c r="B73" s="112" t="s">
        <v>291</v>
      </c>
      <c r="C73" s="11" t="s">
        <v>45</v>
      </c>
      <c r="D73" s="9" t="s">
        <v>1026</v>
      </c>
      <c r="E73" s="16" t="s">
        <v>128</v>
      </c>
      <c r="F73" s="72"/>
      <c r="G73" s="17" t="s">
        <v>1446</v>
      </c>
      <c r="H73" s="16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2" t="s">
        <v>292</v>
      </c>
      <c r="C74" s="11" t="s">
        <v>45</v>
      </c>
      <c r="D74" s="9" t="s">
        <v>1027</v>
      </c>
      <c r="E74" s="16" t="s">
        <v>128</v>
      </c>
      <c r="F74" s="72"/>
      <c r="G74" s="17" t="s">
        <v>1447</v>
      </c>
      <c r="H74" s="16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2" t="s">
        <v>293</v>
      </c>
      <c r="C75" s="11" t="s">
        <v>45</v>
      </c>
      <c r="D75" s="9" t="s">
        <v>1028</v>
      </c>
      <c r="E75" s="16" t="s">
        <v>128</v>
      </c>
      <c r="F75" s="72"/>
      <c r="G75" s="17" t="s">
        <v>1448</v>
      </c>
      <c r="H75" s="16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2" t="s">
        <v>294</v>
      </c>
      <c r="C76" s="11" t="s">
        <v>45</v>
      </c>
      <c r="D76" s="9" t="s">
        <v>1029</v>
      </c>
      <c r="E76" s="16" t="s">
        <v>128</v>
      </c>
      <c r="F76" s="72"/>
      <c r="G76" s="17" t="s">
        <v>1449</v>
      </c>
      <c r="H76" s="16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2" t="s">
        <v>295</v>
      </c>
      <c r="C77" s="11" t="s">
        <v>45</v>
      </c>
      <c r="D77" s="9" t="s">
        <v>1043</v>
      </c>
      <c r="E77" s="16" t="s">
        <v>128</v>
      </c>
      <c r="F77" s="72"/>
      <c r="G77" s="17" t="s">
        <v>1450</v>
      </c>
      <c r="H77" s="16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1084</v>
      </c>
      <c r="C78" s="11" t="s">
        <v>280</v>
      </c>
      <c r="D78" s="9" t="s">
        <v>1086</v>
      </c>
      <c r="E78" s="16" t="s">
        <v>128</v>
      </c>
      <c r="F78" s="72"/>
      <c r="G78" s="17" t="s">
        <v>2248</v>
      </c>
      <c r="H78" s="16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1083</v>
      </c>
      <c r="C79" s="11" t="s">
        <v>280</v>
      </c>
      <c r="D79" s="9" t="s">
        <v>841</v>
      </c>
      <c r="E79" s="16" t="s">
        <v>128</v>
      </c>
      <c r="F79" s="72"/>
      <c r="G79" s="17" t="s">
        <v>1866</v>
      </c>
      <c r="H79" s="16"/>
      <c r="I79" s="17"/>
      <c r="J79" s="19" t="s">
        <v>133</v>
      </c>
      <c r="K79" s="19" t="s">
        <v>202</v>
      </c>
      <c r="L79" s="19" t="s">
        <v>67</v>
      </c>
    </row>
    <row r="80" spans="1:12" s="1" customFormat="1">
      <c r="A80" s="15"/>
      <c r="B80" s="112" t="s">
        <v>1469</v>
      </c>
      <c r="C80" s="11" t="s">
        <v>45</v>
      </c>
      <c r="D80" s="9" t="s">
        <v>1038</v>
      </c>
      <c r="E80" s="16" t="s">
        <v>128</v>
      </c>
      <c r="F80" s="72"/>
      <c r="G80" s="17" t="s">
        <v>1451</v>
      </c>
      <c r="H80" s="16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2" t="s">
        <v>1470</v>
      </c>
      <c r="C81" s="11" t="s">
        <v>45</v>
      </c>
      <c r="D81" s="9" t="s">
        <v>1039</v>
      </c>
      <c r="E81" s="16" t="s">
        <v>128</v>
      </c>
      <c r="F81" s="72"/>
      <c r="G81" s="17" t="s">
        <v>1452</v>
      </c>
      <c r="H81" s="16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2" t="s">
        <v>1471</v>
      </c>
      <c r="C82" s="11" t="s">
        <v>45</v>
      </c>
      <c r="D82" s="9" t="s">
        <v>1040</v>
      </c>
      <c r="E82" s="16" t="s">
        <v>128</v>
      </c>
      <c r="F82" s="72"/>
      <c r="G82" s="17" t="s">
        <v>1453</v>
      </c>
      <c r="H82" s="16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2" t="s">
        <v>1472</v>
      </c>
      <c r="C83" s="11" t="s">
        <v>45</v>
      </c>
      <c r="D83" s="9" t="s">
        <v>1041</v>
      </c>
      <c r="E83" s="16" t="s">
        <v>128</v>
      </c>
      <c r="F83" s="72"/>
      <c r="G83" s="17" t="s">
        <v>1454</v>
      </c>
      <c r="H83" s="16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2" t="s">
        <v>1473</v>
      </c>
      <c r="C84" s="11" t="s">
        <v>45</v>
      </c>
      <c r="D84" s="9" t="s">
        <v>1044</v>
      </c>
      <c r="E84" s="16" t="s">
        <v>128</v>
      </c>
      <c r="F84" s="72"/>
      <c r="G84" s="17" t="s">
        <v>1455</v>
      </c>
      <c r="H84" s="16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816</v>
      </c>
      <c r="C85" s="11" t="s">
        <v>280</v>
      </c>
      <c r="D85" s="9" t="s">
        <v>839</v>
      </c>
      <c r="E85" s="16" t="s">
        <v>128</v>
      </c>
      <c r="F85" s="72"/>
      <c r="G85" s="17" t="s">
        <v>1088</v>
      </c>
      <c r="H85" s="16"/>
      <c r="I85" s="17"/>
      <c r="J85" s="19" t="s">
        <v>133</v>
      </c>
      <c r="K85" s="19" t="s">
        <v>202</v>
      </c>
      <c r="L85" s="19" t="s">
        <v>67</v>
      </c>
    </row>
    <row r="86" spans="1:12" s="1" customFormat="1">
      <c r="A86" s="15"/>
      <c r="B86" s="11" t="s">
        <v>817</v>
      </c>
      <c r="C86" s="11" t="s">
        <v>45</v>
      </c>
      <c r="D86" s="9" t="s">
        <v>658</v>
      </c>
      <c r="E86" s="16" t="s">
        <v>128</v>
      </c>
      <c r="F86" s="72"/>
      <c r="G86" s="17" t="s">
        <v>1089</v>
      </c>
      <c r="H86" s="16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818</v>
      </c>
      <c r="C87" s="11" t="s">
        <v>280</v>
      </c>
      <c r="D87" s="9" t="s">
        <v>842</v>
      </c>
      <c r="E87" s="16" t="s">
        <v>128</v>
      </c>
      <c r="F87" s="72"/>
      <c r="G87" s="17" t="s">
        <v>1091</v>
      </c>
      <c r="H87" s="16"/>
      <c r="I87" s="17"/>
      <c r="J87" s="19" t="s">
        <v>133</v>
      </c>
      <c r="K87" s="19" t="s">
        <v>202</v>
      </c>
      <c r="L87" s="19" t="s">
        <v>67</v>
      </c>
    </row>
    <row r="88" spans="1:12" s="1" customFormat="1">
      <c r="A88" s="15"/>
      <c r="B88" s="11" t="s">
        <v>819</v>
      </c>
      <c r="C88" s="11" t="s">
        <v>45</v>
      </c>
      <c r="D88" s="9" t="s">
        <v>660</v>
      </c>
      <c r="E88" s="16" t="s">
        <v>128</v>
      </c>
      <c r="F88" s="72"/>
      <c r="G88" s="17" t="s">
        <v>1092</v>
      </c>
      <c r="H88" s="16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22" t="s">
        <v>2327</v>
      </c>
      <c r="C89" s="22" t="s">
        <v>45</v>
      </c>
      <c r="D89" s="9" t="s">
        <v>2017</v>
      </c>
      <c r="E89" s="16" t="s">
        <v>128</v>
      </c>
      <c r="F89" s="72"/>
      <c r="G89" s="17" t="s">
        <v>2330</v>
      </c>
      <c r="H89" s="16"/>
      <c r="I89" s="17"/>
      <c r="J89" s="19" t="s">
        <v>133</v>
      </c>
      <c r="K89" s="19" t="s">
        <v>903</v>
      </c>
      <c r="L89" s="19" t="s">
        <v>67</v>
      </c>
    </row>
    <row r="90" spans="1:12" s="1" customFormat="1">
      <c r="A90" s="15"/>
      <c r="B90" s="22" t="s">
        <v>2194</v>
      </c>
      <c r="C90" s="22" t="s">
        <v>280</v>
      </c>
      <c r="D90" s="9" t="s">
        <v>2196</v>
      </c>
      <c r="E90" s="16" t="s">
        <v>128</v>
      </c>
      <c r="F90" s="72"/>
      <c r="G90" s="17" t="s">
        <v>2250</v>
      </c>
      <c r="H90" s="16"/>
      <c r="I90" s="17"/>
      <c r="J90" s="19" t="s">
        <v>133</v>
      </c>
      <c r="K90" s="19" t="s">
        <v>2024</v>
      </c>
      <c r="L90" s="19" t="s">
        <v>67</v>
      </c>
    </row>
    <row r="91" spans="1:12" s="1" customFormat="1">
      <c r="B91" s="22" t="s">
        <v>2132</v>
      </c>
      <c r="C91" s="22" t="s">
        <v>280</v>
      </c>
      <c r="D91" s="9" t="s">
        <v>2134</v>
      </c>
      <c r="E91" s="16" t="s">
        <v>128</v>
      </c>
      <c r="F91" s="22"/>
      <c r="G91" s="17" t="s">
        <v>2333</v>
      </c>
      <c r="H91" s="16"/>
      <c r="I91" s="88"/>
      <c r="J91" s="19" t="s">
        <v>133</v>
      </c>
      <c r="K91" s="19" t="s">
        <v>2136</v>
      </c>
      <c r="L91" s="19" t="s">
        <v>134</v>
      </c>
    </row>
    <row r="92" spans="1:12" s="1" customFormat="1">
      <c r="A92" s="15"/>
      <c r="B92" s="90" t="s">
        <v>2328</v>
      </c>
      <c r="C92" s="22" t="s">
        <v>45</v>
      </c>
      <c r="D92" s="9" t="s">
        <v>2034</v>
      </c>
      <c r="E92" s="16" t="s">
        <v>128</v>
      </c>
      <c r="F92" s="72"/>
      <c r="G92" s="17" t="s">
        <v>2331</v>
      </c>
      <c r="H92" s="16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90" t="s">
        <v>2193</v>
      </c>
      <c r="C93" s="22" t="s">
        <v>280</v>
      </c>
      <c r="D93" s="9" t="s">
        <v>2195</v>
      </c>
      <c r="E93" s="16" t="s">
        <v>128</v>
      </c>
      <c r="F93" s="72"/>
      <c r="G93" s="17" t="s">
        <v>2429</v>
      </c>
      <c r="H93" s="16"/>
      <c r="I93" s="17"/>
      <c r="J93" s="19" t="s">
        <v>133</v>
      </c>
      <c r="K93" s="19" t="s">
        <v>2024</v>
      </c>
      <c r="L93" s="19" t="s">
        <v>67</v>
      </c>
    </row>
    <row r="94" spans="1:12" s="1" customFormat="1">
      <c r="B94" s="90" t="s">
        <v>2133</v>
      </c>
      <c r="C94" s="22" t="s">
        <v>280</v>
      </c>
      <c r="D94" s="9" t="s">
        <v>2135</v>
      </c>
      <c r="E94" s="16" t="s">
        <v>128</v>
      </c>
      <c r="F94" s="22"/>
      <c r="G94" s="113" t="s">
        <v>2334</v>
      </c>
      <c r="H94" s="16"/>
      <c r="I94" s="88"/>
      <c r="J94" s="19" t="s">
        <v>133</v>
      </c>
      <c r="K94" s="19" t="s">
        <v>2136</v>
      </c>
      <c r="L94" s="19" t="s">
        <v>134</v>
      </c>
    </row>
    <row r="95" spans="1:12" s="1" customFormat="1">
      <c r="B95" s="22" t="s">
        <v>2255</v>
      </c>
      <c r="C95" s="22" t="s">
        <v>45</v>
      </c>
      <c r="D95" s="9" t="s">
        <v>2201</v>
      </c>
      <c r="E95" s="16" t="s">
        <v>128</v>
      </c>
      <c r="F95" s="22"/>
      <c r="G95" s="113" t="s">
        <v>2487</v>
      </c>
      <c r="H95" s="16"/>
      <c r="I95" s="17"/>
      <c r="J95" s="19" t="s">
        <v>133</v>
      </c>
      <c r="K95" s="19" t="s">
        <v>1640</v>
      </c>
      <c r="L95" s="19" t="s">
        <v>67</v>
      </c>
    </row>
    <row r="96" spans="1:12" s="1" customFormat="1">
      <c r="B96" s="112" t="s">
        <v>2476</v>
      </c>
      <c r="C96" s="22" t="s">
        <v>45</v>
      </c>
      <c r="D96" s="9" t="s">
        <v>2202</v>
      </c>
      <c r="E96" s="16" t="s">
        <v>128</v>
      </c>
      <c r="F96" s="22"/>
      <c r="G96" s="113" t="s">
        <v>2486</v>
      </c>
      <c r="H96" s="16"/>
      <c r="I96" s="17"/>
      <c r="J96" s="19" t="s">
        <v>133</v>
      </c>
      <c r="K96" s="19" t="s">
        <v>1640</v>
      </c>
      <c r="L96" s="19" t="s">
        <v>67</v>
      </c>
    </row>
    <row r="97" spans="1:12" s="1" customFormat="1">
      <c r="B97" s="22" t="s">
        <v>2203</v>
      </c>
      <c r="C97" s="22" t="s">
        <v>56</v>
      </c>
      <c r="D97" s="9" t="s">
        <v>2204</v>
      </c>
      <c r="E97" s="16" t="s">
        <v>128</v>
      </c>
      <c r="F97" s="22"/>
      <c r="G97" s="113" t="s">
        <v>2488</v>
      </c>
      <c r="H97" s="16"/>
      <c r="I97" s="88"/>
      <c r="J97" s="19" t="s">
        <v>133</v>
      </c>
      <c r="K97" s="19" t="s">
        <v>44</v>
      </c>
      <c r="L97" s="19" t="s">
        <v>1292</v>
      </c>
    </row>
    <row r="98" spans="1:12" s="1" customFormat="1">
      <c r="B98" s="22" t="s">
        <v>2216</v>
      </c>
      <c r="C98" s="22" t="s">
        <v>45</v>
      </c>
      <c r="D98" s="9" t="s">
        <v>2036</v>
      </c>
      <c r="E98" s="16" t="s">
        <v>128</v>
      </c>
      <c r="F98" s="22"/>
      <c r="G98" s="113" t="s">
        <v>2282</v>
      </c>
      <c r="H98" s="16"/>
      <c r="I98" s="17"/>
      <c r="J98" s="19" t="s">
        <v>133</v>
      </c>
      <c r="K98" s="19" t="s">
        <v>2235</v>
      </c>
      <c r="L98" s="19" t="s">
        <v>67</v>
      </c>
    </row>
    <row r="99" spans="1:12" s="1" customFormat="1">
      <c r="B99" s="22" t="s">
        <v>2218</v>
      </c>
      <c r="C99" s="22" t="s">
        <v>45</v>
      </c>
      <c r="D99" s="9" t="s">
        <v>2219</v>
      </c>
      <c r="E99" s="16" t="s">
        <v>128</v>
      </c>
      <c r="F99" s="22"/>
      <c r="G99" s="17" t="s">
        <v>2283</v>
      </c>
      <c r="H99" s="16"/>
      <c r="I99" s="17"/>
      <c r="J99" s="19" t="s">
        <v>133</v>
      </c>
      <c r="K99" s="19" t="s">
        <v>1640</v>
      </c>
      <c r="L99" s="19" t="s">
        <v>67</v>
      </c>
    </row>
    <row r="100" spans="1:12" s="1" customFormat="1">
      <c r="B100" s="22" t="s">
        <v>2217</v>
      </c>
      <c r="C100" s="22" t="s">
        <v>45</v>
      </c>
      <c r="D100" s="9" t="s">
        <v>2035</v>
      </c>
      <c r="E100" s="16" t="s">
        <v>128</v>
      </c>
      <c r="F100" s="22"/>
      <c r="G100" s="17" t="s">
        <v>2284</v>
      </c>
      <c r="H100" s="16"/>
      <c r="I100" s="17"/>
      <c r="J100" s="19" t="s">
        <v>133</v>
      </c>
      <c r="K100" s="19" t="s">
        <v>2235</v>
      </c>
      <c r="L100" s="19" t="s">
        <v>67</v>
      </c>
    </row>
    <row r="101" spans="1:12" s="1" customFormat="1">
      <c r="B101" s="22" t="s">
        <v>2220</v>
      </c>
      <c r="C101" s="22" t="s">
        <v>45</v>
      </c>
      <c r="D101" s="9" t="s">
        <v>2225</v>
      </c>
      <c r="E101" s="16" t="s">
        <v>128</v>
      </c>
      <c r="F101" s="22"/>
      <c r="G101" s="17" t="s">
        <v>2285</v>
      </c>
      <c r="H101" s="16"/>
      <c r="I101" s="17"/>
      <c r="J101" s="19" t="s">
        <v>133</v>
      </c>
      <c r="K101" s="19" t="s">
        <v>1640</v>
      </c>
      <c r="L101" s="19" t="s">
        <v>67</v>
      </c>
    </row>
    <row r="102" spans="1:12" s="1" customFormat="1">
      <c r="B102" s="22" t="s">
        <v>2140</v>
      </c>
      <c r="C102" s="22" t="s">
        <v>45</v>
      </c>
      <c r="D102" s="9" t="s">
        <v>2141</v>
      </c>
      <c r="E102" s="16" t="s">
        <v>128</v>
      </c>
      <c r="F102" s="22"/>
      <c r="G102" s="17" t="s">
        <v>2286</v>
      </c>
      <c r="H102" s="16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B103" s="22" t="s">
        <v>2142</v>
      </c>
      <c r="C103" s="22" t="s">
        <v>45</v>
      </c>
      <c r="D103" s="9" t="s">
        <v>2143</v>
      </c>
      <c r="E103" s="16" t="s">
        <v>128</v>
      </c>
      <c r="F103" s="22"/>
      <c r="G103" s="17" t="s">
        <v>2287</v>
      </c>
      <c r="H103" s="16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B104" s="22" t="s">
        <v>2144</v>
      </c>
      <c r="C104" s="22" t="s">
        <v>45</v>
      </c>
      <c r="D104" s="9" t="s">
        <v>2145</v>
      </c>
      <c r="E104" s="16" t="s">
        <v>128</v>
      </c>
      <c r="F104" s="22"/>
      <c r="G104" s="17" t="s">
        <v>2288</v>
      </c>
      <c r="H104" s="16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B105" s="22" t="s">
        <v>2146</v>
      </c>
      <c r="C105" s="22" t="s">
        <v>45</v>
      </c>
      <c r="D105" s="9" t="s">
        <v>2147</v>
      </c>
      <c r="E105" s="16" t="s">
        <v>128</v>
      </c>
      <c r="F105" s="22"/>
      <c r="G105" s="17" t="s">
        <v>2289</v>
      </c>
      <c r="H105" s="16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B106" s="22" t="s">
        <v>2148</v>
      </c>
      <c r="C106" s="22" t="s">
        <v>45</v>
      </c>
      <c r="D106" s="9" t="s">
        <v>2149</v>
      </c>
      <c r="E106" s="16" t="s">
        <v>128</v>
      </c>
      <c r="F106" s="22"/>
      <c r="G106" s="17" t="s">
        <v>2290</v>
      </c>
      <c r="H106" s="16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B107" s="22" t="s">
        <v>2150</v>
      </c>
      <c r="C107" s="22" t="s">
        <v>45</v>
      </c>
      <c r="D107" s="9" t="s">
        <v>2151</v>
      </c>
      <c r="E107" s="16" t="s">
        <v>128</v>
      </c>
      <c r="F107" s="22"/>
      <c r="G107" s="17" t="s">
        <v>2291</v>
      </c>
      <c r="H107" s="16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2261</v>
      </c>
      <c r="C108" s="11" t="s">
        <v>280</v>
      </c>
      <c r="D108" s="9" t="s">
        <v>2038</v>
      </c>
      <c r="E108" s="16" t="s">
        <v>128</v>
      </c>
      <c r="F108" s="72"/>
      <c r="G108" s="17" t="s">
        <v>3075</v>
      </c>
      <c r="H108" s="16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A109" s="15"/>
      <c r="B109" s="95" t="s">
        <v>2041</v>
      </c>
      <c r="C109" s="95" t="s">
        <v>45</v>
      </c>
      <c r="D109" s="96" t="s">
        <v>2042</v>
      </c>
      <c r="E109" s="16" t="s">
        <v>128</v>
      </c>
      <c r="F109" s="72"/>
      <c r="G109" s="17" t="s">
        <v>2292</v>
      </c>
      <c r="H109" s="16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95" t="s">
        <v>2043</v>
      </c>
      <c r="C110" s="95" t="s">
        <v>45</v>
      </c>
      <c r="D110" s="96" t="s">
        <v>2044</v>
      </c>
      <c r="E110" s="16" t="s">
        <v>128</v>
      </c>
      <c r="F110" s="72"/>
      <c r="G110" s="17" t="s">
        <v>2293</v>
      </c>
      <c r="H110" s="16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95" t="s">
        <v>2045</v>
      </c>
      <c r="C111" s="95" t="s">
        <v>45</v>
      </c>
      <c r="D111" s="96" t="s">
        <v>2046</v>
      </c>
      <c r="E111" s="16" t="s">
        <v>128</v>
      </c>
      <c r="F111" s="72"/>
      <c r="G111" s="17" t="s">
        <v>2294</v>
      </c>
      <c r="H111" s="16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95" t="s">
        <v>2047</v>
      </c>
      <c r="C112" s="95" t="s">
        <v>45</v>
      </c>
      <c r="D112" s="96" t="s">
        <v>2048</v>
      </c>
      <c r="E112" s="16" t="s">
        <v>128</v>
      </c>
      <c r="F112" s="72"/>
      <c r="G112" s="17" t="s">
        <v>2295</v>
      </c>
      <c r="H112" s="16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95" t="s">
        <v>2049</v>
      </c>
      <c r="C113" s="95" t="s">
        <v>45</v>
      </c>
      <c r="D113" s="96" t="s">
        <v>2050</v>
      </c>
      <c r="E113" s="16" t="s">
        <v>128</v>
      </c>
      <c r="F113" s="72"/>
      <c r="G113" s="17" t="s">
        <v>2296</v>
      </c>
      <c r="H113" s="16"/>
      <c r="I113" s="17"/>
      <c r="J113" s="19" t="s">
        <v>133</v>
      </c>
      <c r="K113" s="19" t="s">
        <v>903</v>
      </c>
      <c r="L113" s="19" t="s">
        <v>67</v>
      </c>
    </row>
    <row r="114" spans="1:12" s="1" customFormat="1">
      <c r="A114" s="15"/>
      <c r="B114" s="11" t="s">
        <v>2263</v>
      </c>
      <c r="C114" s="95" t="s">
        <v>280</v>
      </c>
      <c r="D114" s="9" t="s">
        <v>2052</v>
      </c>
      <c r="E114" s="16" t="s">
        <v>128</v>
      </c>
      <c r="F114" s="72"/>
      <c r="G114" s="17" t="s">
        <v>3076</v>
      </c>
      <c r="H114" s="16"/>
      <c r="I114" s="17"/>
      <c r="J114" s="19" t="s">
        <v>133</v>
      </c>
      <c r="K114" s="19" t="s">
        <v>203</v>
      </c>
      <c r="L114" s="19" t="s">
        <v>67</v>
      </c>
    </row>
    <row r="115" spans="1:12" s="1" customFormat="1">
      <c r="A115" s="15"/>
      <c r="B115" s="11" t="s">
        <v>2053</v>
      </c>
      <c r="C115" s="11" t="s">
        <v>45</v>
      </c>
      <c r="D115" s="9" t="s">
        <v>2054</v>
      </c>
      <c r="E115" s="16" t="s">
        <v>128</v>
      </c>
      <c r="F115" s="72"/>
      <c r="G115" s="17" t="s">
        <v>2297</v>
      </c>
      <c r="H115" s="16"/>
      <c r="I115" s="17"/>
      <c r="J115" s="19" t="s">
        <v>133</v>
      </c>
      <c r="K115" s="19" t="s">
        <v>903</v>
      </c>
      <c r="L115" s="19" t="s">
        <v>67</v>
      </c>
    </row>
    <row r="116" spans="1:12" s="1" customFormat="1">
      <c r="A116" s="15"/>
      <c r="B116" s="11" t="s">
        <v>2055</v>
      </c>
      <c r="C116" s="11" t="s">
        <v>45</v>
      </c>
      <c r="D116" s="9" t="s">
        <v>2056</v>
      </c>
      <c r="E116" s="16" t="s">
        <v>128</v>
      </c>
      <c r="F116" s="72"/>
      <c r="G116" s="17" t="s">
        <v>2298</v>
      </c>
      <c r="H116" s="16"/>
      <c r="I116" s="17"/>
      <c r="J116" s="19" t="s">
        <v>133</v>
      </c>
      <c r="K116" s="19" t="s">
        <v>903</v>
      </c>
      <c r="L116" s="19" t="s">
        <v>67</v>
      </c>
    </row>
    <row r="117" spans="1:12" s="1" customFormat="1">
      <c r="A117" s="15"/>
      <c r="B117" s="11" t="s">
        <v>2057</v>
      </c>
      <c r="C117" s="11" t="s">
        <v>45</v>
      </c>
      <c r="D117" s="9" t="s">
        <v>2058</v>
      </c>
      <c r="E117" s="16" t="s">
        <v>128</v>
      </c>
      <c r="F117" s="72"/>
      <c r="G117" s="17" t="s">
        <v>2299</v>
      </c>
      <c r="H117" s="16"/>
      <c r="I117" s="17"/>
      <c r="J117" s="19" t="s">
        <v>133</v>
      </c>
      <c r="K117" s="19" t="s">
        <v>903</v>
      </c>
      <c r="L117" s="19" t="s">
        <v>67</v>
      </c>
    </row>
    <row r="118" spans="1:12" s="1" customFormat="1">
      <c r="A118" s="15"/>
      <c r="B118" s="11" t="s">
        <v>2059</v>
      </c>
      <c r="C118" s="11" t="s">
        <v>45</v>
      </c>
      <c r="D118" s="9" t="s">
        <v>2060</v>
      </c>
      <c r="E118" s="16" t="s">
        <v>128</v>
      </c>
      <c r="F118" s="72"/>
      <c r="G118" s="17" t="s">
        <v>2300</v>
      </c>
      <c r="H118" s="16"/>
      <c r="I118" s="17"/>
      <c r="J118" s="19" t="s">
        <v>133</v>
      </c>
      <c r="K118" s="19" t="s">
        <v>903</v>
      </c>
      <c r="L118" s="19" t="s">
        <v>67</v>
      </c>
    </row>
    <row r="119" spans="1:12" s="1" customFormat="1">
      <c r="A119" s="15"/>
      <c r="B119" s="11" t="s">
        <v>2061</v>
      </c>
      <c r="C119" s="11" t="s">
        <v>45</v>
      </c>
      <c r="D119" s="9" t="s">
        <v>2062</v>
      </c>
      <c r="E119" s="16" t="s">
        <v>128</v>
      </c>
      <c r="F119" s="72"/>
      <c r="G119" s="17" t="s">
        <v>2301</v>
      </c>
      <c r="H119" s="16"/>
      <c r="I119" s="17"/>
      <c r="J119" s="19" t="s">
        <v>133</v>
      </c>
      <c r="K119" s="19" t="s">
        <v>903</v>
      </c>
      <c r="L119" s="19" t="s">
        <v>67</v>
      </c>
    </row>
    <row r="120" spans="1:12" s="1" customFormat="1">
      <c r="A120" s="15"/>
      <c r="B120" s="11" t="s">
        <v>2264</v>
      </c>
      <c r="C120" s="95" t="s">
        <v>280</v>
      </c>
      <c r="D120" s="9" t="s">
        <v>2158</v>
      </c>
      <c r="E120" s="16" t="s">
        <v>128</v>
      </c>
      <c r="F120" s="72"/>
      <c r="G120" s="17" t="s">
        <v>3077</v>
      </c>
      <c r="H120" s="16"/>
      <c r="I120" s="17"/>
      <c r="J120" s="19" t="s">
        <v>133</v>
      </c>
      <c r="K120" s="19" t="s">
        <v>202</v>
      </c>
      <c r="L120" s="19" t="s">
        <v>67</v>
      </c>
    </row>
    <row r="121" spans="1:12" s="1" customFormat="1">
      <c r="A121" s="15"/>
      <c r="B121" s="95" t="s">
        <v>2076</v>
      </c>
      <c r="C121" s="95" t="s">
        <v>45</v>
      </c>
      <c r="D121" s="96" t="s">
        <v>2077</v>
      </c>
      <c r="E121" s="16" t="s">
        <v>128</v>
      </c>
      <c r="F121" s="72"/>
      <c r="G121" s="17" t="s">
        <v>2302</v>
      </c>
      <c r="H121" s="16"/>
      <c r="I121" s="17"/>
      <c r="J121" s="19" t="s">
        <v>133</v>
      </c>
      <c r="K121" s="19" t="s">
        <v>903</v>
      </c>
      <c r="L121" s="19" t="s">
        <v>67</v>
      </c>
    </row>
    <row r="122" spans="1:12" s="1" customFormat="1">
      <c r="A122" s="15"/>
      <c r="B122" s="95" t="s">
        <v>2078</v>
      </c>
      <c r="C122" s="95" t="s">
        <v>45</v>
      </c>
      <c r="D122" s="96" t="s">
        <v>2079</v>
      </c>
      <c r="E122" s="16" t="s">
        <v>128</v>
      </c>
      <c r="F122" s="72"/>
      <c r="G122" s="17" t="s">
        <v>2303</v>
      </c>
      <c r="H122" s="16"/>
      <c r="I122" s="17"/>
      <c r="J122" s="19" t="s">
        <v>133</v>
      </c>
      <c r="K122" s="19" t="s">
        <v>903</v>
      </c>
      <c r="L122" s="19" t="s">
        <v>67</v>
      </c>
    </row>
    <row r="123" spans="1:12" s="1" customFormat="1">
      <c r="A123" s="15"/>
      <c r="B123" s="95" t="s">
        <v>2080</v>
      </c>
      <c r="C123" s="95" t="s">
        <v>45</v>
      </c>
      <c r="D123" s="96" t="s">
        <v>2081</v>
      </c>
      <c r="E123" s="16" t="s">
        <v>128</v>
      </c>
      <c r="F123" s="72"/>
      <c r="G123" s="17" t="s">
        <v>2304</v>
      </c>
      <c r="H123" s="16"/>
      <c r="I123" s="17"/>
      <c r="J123" s="19" t="s">
        <v>133</v>
      </c>
      <c r="K123" s="19" t="s">
        <v>903</v>
      </c>
      <c r="L123" s="19" t="s">
        <v>67</v>
      </c>
    </row>
    <row r="124" spans="1:12" s="1" customFormat="1">
      <c r="A124" s="15"/>
      <c r="B124" s="95" t="s">
        <v>2082</v>
      </c>
      <c r="C124" s="95" t="s">
        <v>45</v>
      </c>
      <c r="D124" s="96" t="s">
        <v>2083</v>
      </c>
      <c r="E124" s="16" t="s">
        <v>128</v>
      </c>
      <c r="F124" s="72"/>
      <c r="G124" s="17" t="s">
        <v>2305</v>
      </c>
      <c r="H124" s="16"/>
      <c r="I124" s="17"/>
      <c r="J124" s="19" t="s">
        <v>133</v>
      </c>
      <c r="K124" s="19" t="s">
        <v>903</v>
      </c>
      <c r="L124" s="19" t="s">
        <v>67</v>
      </c>
    </row>
    <row r="125" spans="1:12" s="1" customFormat="1">
      <c r="A125" s="15"/>
      <c r="B125" s="95" t="s">
        <v>2084</v>
      </c>
      <c r="C125" s="95" t="s">
        <v>45</v>
      </c>
      <c r="D125" s="96" t="s">
        <v>2085</v>
      </c>
      <c r="E125" s="16" t="s">
        <v>128</v>
      </c>
      <c r="F125" s="72"/>
      <c r="G125" s="17" t="s">
        <v>2306</v>
      </c>
      <c r="H125" s="16"/>
      <c r="I125" s="17"/>
      <c r="J125" s="19" t="s">
        <v>133</v>
      </c>
      <c r="K125" s="19" t="s">
        <v>903</v>
      </c>
      <c r="L125" s="19" t="s">
        <v>67</v>
      </c>
    </row>
    <row r="126" spans="1:12" s="1" customFormat="1">
      <c r="B126" s="22" t="s">
        <v>2206</v>
      </c>
      <c r="C126" s="22" t="s">
        <v>45</v>
      </c>
      <c r="D126" s="9" t="s">
        <v>2207</v>
      </c>
      <c r="E126" s="16" t="s">
        <v>128</v>
      </c>
      <c r="F126" s="22"/>
      <c r="G126" s="17" t="s">
        <v>2307</v>
      </c>
      <c r="H126" s="16"/>
      <c r="I126" s="17"/>
      <c r="J126" s="19" t="s">
        <v>133</v>
      </c>
      <c r="K126" s="19" t="s">
        <v>2235</v>
      </c>
      <c r="L126" s="19" t="s">
        <v>2237</v>
      </c>
    </row>
    <row r="127" spans="1:12" s="1" customFormat="1">
      <c r="B127" s="22" t="s">
        <v>2205</v>
      </c>
      <c r="C127" s="22" t="s">
        <v>45</v>
      </c>
      <c r="D127" s="9" t="s">
        <v>2199</v>
      </c>
      <c r="E127" s="16" t="s">
        <v>128</v>
      </c>
      <c r="F127" s="22"/>
      <c r="G127" s="17" t="s">
        <v>2319</v>
      </c>
      <c r="H127" s="16"/>
      <c r="I127" s="17"/>
      <c r="J127" s="19" t="s">
        <v>133</v>
      </c>
      <c r="K127" s="19" t="s">
        <v>1640</v>
      </c>
      <c r="L127" s="19" t="s">
        <v>67</v>
      </c>
    </row>
    <row r="128" spans="1:12" s="1" customFormat="1">
      <c r="A128" s="15"/>
      <c r="B128" s="95" t="s">
        <v>2104</v>
      </c>
      <c r="C128" s="95" t="s">
        <v>280</v>
      </c>
      <c r="D128" s="96" t="s">
        <v>2093</v>
      </c>
      <c r="E128" s="16" t="s">
        <v>128</v>
      </c>
      <c r="F128" s="72"/>
      <c r="G128" s="17" t="s">
        <v>2320</v>
      </c>
      <c r="H128" s="16"/>
      <c r="I128" s="17"/>
      <c r="J128" s="19" t="s">
        <v>133</v>
      </c>
      <c r="K128" s="19" t="s">
        <v>2235</v>
      </c>
      <c r="L128" s="19" t="s">
        <v>2237</v>
      </c>
    </row>
    <row r="129" spans="1:17" s="1" customFormat="1">
      <c r="A129" s="15"/>
      <c r="B129" s="95" t="s">
        <v>2094</v>
      </c>
      <c r="C129" s="95" t="s">
        <v>45</v>
      </c>
      <c r="D129" s="96" t="s">
        <v>2099</v>
      </c>
      <c r="E129" s="16" t="s">
        <v>128</v>
      </c>
      <c r="F129" s="72"/>
      <c r="G129" s="17" t="s">
        <v>2308</v>
      </c>
      <c r="H129" s="16"/>
      <c r="I129" s="17"/>
      <c r="J129" s="19" t="s">
        <v>133</v>
      </c>
      <c r="K129" s="19" t="s">
        <v>1640</v>
      </c>
      <c r="L129" s="19" t="s">
        <v>67</v>
      </c>
    </row>
    <row r="130" spans="1:17" s="1" customFormat="1">
      <c r="A130" s="15"/>
      <c r="B130" s="95" t="s">
        <v>2095</v>
      </c>
      <c r="C130" s="95" t="s">
        <v>45</v>
      </c>
      <c r="D130" s="96" t="s">
        <v>2100</v>
      </c>
      <c r="E130" s="16" t="s">
        <v>128</v>
      </c>
      <c r="F130" s="72"/>
      <c r="G130" s="17" t="s">
        <v>2309</v>
      </c>
      <c r="H130" s="16"/>
      <c r="I130" s="17"/>
      <c r="J130" s="19" t="s">
        <v>133</v>
      </c>
      <c r="K130" s="19" t="s">
        <v>1640</v>
      </c>
      <c r="L130" s="19" t="s">
        <v>67</v>
      </c>
    </row>
    <row r="131" spans="1:17" s="1" customFormat="1">
      <c r="A131" s="15"/>
      <c r="B131" s="95" t="s">
        <v>2096</v>
      </c>
      <c r="C131" s="95" t="s">
        <v>45</v>
      </c>
      <c r="D131" s="96" t="s">
        <v>2101</v>
      </c>
      <c r="E131" s="16" t="s">
        <v>128</v>
      </c>
      <c r="F131" s="72"/>
      <c r="G131" s="17" t="s">
        <v>2310</v>
      </c>
      <c r="H131" s="16"/>
      <c r="I131" s="17"/>
      <c r="J131" s="19" t="s">
        <v>133</v>
      </c>
      <c r="K131" s="19" t="s">
        <v>1640</v>
      </c>
      <c r="L131" s="19" t="s">
        <v>67</v>
      </c>
    </row>
    <row r="132" spans="1:17" s="1" customFormat="1">
      <c r="A132" s="15"/>
      <c r="B132" s="95" t="s">
        <v>2097</v>
      </c>
      <c r="C132" s="95" t="s">
        <v>45</v>
      </c>
      <c r="D132" s="96" t="s">
        <v>2102</v>
      </c>
      <c r="E132" s="16" t="s">
        <v>128</v>
      </c>
      <c r="F132" s="72"/>
      <c r="G132" s="17" t="s">
        <v>2311</v>
      </c>
      <c r="H132" s="16"/>
      <c r="I132" s="17"/>
      <c r="J132" s="19" t="s">
        <v>133</v>
      </c>
      <c r="K132" s="19" t="s">
        <v>1640</v>
      </c>
      <c r="L132" s="19" t="s">
        <v>67</v>
      </c>
    </row>
    <row r="133" spans="1:17" s="1" customFormat="1">
      <c r="A133" s="15"/>
      <c r="B133" s="95" t="s">
        <v>2098</v>
      </c>
      <c r="C133" s="95" t="s">
        <v>45</v>
      </c>
      <c r="D133" s="96" t="s">
        <v>2103</v>
      </c>
      <c r="E133" s="16" t="s">
        <v>128</v>
      </c>
      <c r="F133" s="72"/>
      <c r="G133" s="17" t="s">
        <v>2312</v>
      </c>
      <c r="H133" s="16"/>
      <c r="I133" s="17"/>
      <c r="J133" s="19" t="s">
        <v>133</v>
      </c>
      <c r="K133" s="19" t="s">
        <v>1640</v>
      </c>
      <c r="L133" s="19" t="s">
        <v>67</v>
      </c>
    </row>
    <row r="134" spans="1:17" s="1" customFormat="1">
      <c r="A134" s="15"/>
      <c r="B134" s="95" t="s">
        <v>2210</v>
      </c>
      <c r="C134" s="95" t="s">
        <v>45</v>
      </c>
      <c r="D134" s="9" t="s">
        <v>2212</v>
      </c>
      <c r="E134" s="16" t="s">
        <v>128</v>
      </c>
      <c r="F134" s="72"/>
      <c r="G134" s="17" t="s">
        <v>2313</v>
      </c>
      <c r="H134" s="16"/>
      <c r="I134" s="17"/>
      <c r="J134" s="19" t="s">
        <v>133</v>
      </c>
      <c r="K134" s="19" t="s">
        <v>2235</v>
      </c>
      <c r="L134" s="19" t="s">
        <v>2237</v>
      </c>
    </row>
    <row r="135" spans="1:17" s="1" customFormat="1">
      <c r="A135" s="15"/>
      <c r="B135" s="95" t="s">
        <v>2211</v>
      </c>
      <c r="C135" s="95" t="s">
        <v>45</v>
      </c>
      <c r="D135" s="9" t="s">
        <v>2213</v>
      </c>
      <c r="E135" s="16" t="s">
        <v>128</v>
      </c>
      <c r="F135" s="72"/>
      <c r="G135" s="17" t="s">
        <v>2321</v>
      </c>
      <c r="H135" s="16"/>
      <c r="I135" s="17"/>
      <c r="J135" s="19" t="s">
        <v>133</v>
      </c>
      <c r="K135" s="19" t="s">
        <v>1640</v>
      </c>
      <c r="L135" s="19" t="s">
        <v>67</v>
      </c>
    </row>
    <row r="136" spans="1:17" s="1" customFormat="1">
      <c r="A136" s="15"/>
      <c r="B136" s="95" t="s">
        <v>2112</v>
      </c>
      <c r="C136" s="95" t="s">
        <v>280</v>
      </c>
      <c r="D136" s="96" t="s">
        <v>2123</v>
      </c>
      <c r="E136" s="16" t="s">
        <v>128</v>
      </c>
      <c r="F136" s="72"/>
      <c r="G136" s="17" t="s">
        <v>2322</v>
      </c>
      <c r="H136" s="16"/>
      <c r="I136" s="17"/>
      <c r="J136" s="19" t="s">
        <v>133</v>
      </c>
      <c r="K136" s="19" t="s">
        <v>2235</v>
      </c>
      <c r="L136" s="19" t="s">
        <v>2237</v>
      </c>
    </row>
    <row r="137" spans="1:17" s="1" customFormat="1">
      <c r="A137" s="15"/>
      <c r="B137" s="95" t="s">
        <v>2113</v>
      </c>
      <c r="C137" s="95" t="s">
        <v>45</v>
      </c>
      <c r="D137" s="96" t="s">
        <v>2114</v>
      </c>
      <c r="E137" s="16" t="s">
        <v>128</v>
      </c>
      <c r="F137" s="72"/>
      <c r="G137" s="17" t="s">
        <v>2314</v>
      </c>
      <c r="H137" s="16"/>
      <c r="I137" s="17"/>
      <c r="J137" s="19" t="s">
        <v>133</v>
      </c>
      <c r="K137" s="19" t="s">
        <v>1640</v>
      </c>
      <c r="L137" s="19" t="s">
        <v>67</v>
      </c>
    </row>
    <row r="138" spans="1:17" s="1" customFormat="1">
      <c r="A138" s="15"/>
      <c r="B138" s="95" t="s">
        <v>2115</v>
      </c>
      <c r="C138" s="95" t="s">
        <v>45</v>
      </c>
      <c r="D138" s="96" t="s">
        <v>2116</v>
      </c>
      <c r="E138" s="16" t="s">
        <v>128</v>
      </c>
      <c r="F138" s="72"/>
      <c r="G138" s="17" t="s">
        <v>2315</v>
      </c>
      <c r="H138" s="16"/>
      <c r="I138" s="17"/>
      <c r="J138" s="19" t="s">
        <v>133</v>
      </c>
      <c r="K138" s="19" t="s">
        <v>1640</v>
      </c>
      <c r="L138" s="19" t="s">
        <v>67</v>
      </c>
    </row>
    <row r="139" spans="1:17" s="1" customFormat="1">
      <c r="A139" s="15"/>
      <c r="B139" s="95" t="s">
        <v>2117</v>
      </c>
      <c r="C139" s="95" t="s">
        <v>45</v>
      </c>
      <c r="D139" s="96" t="s">
        <v>2118</v>
      </c>
      <c r="E139" s="16" t="s">
        <v>128</v>
      </c>
      <c r="F139" s="72"/>
      <c r="G139" s="17" t="s">
        <v>2316</v>
      </c>
      <c r="H139" s="16"/>
      <c r="I139" s="17"/>
      <c r="J139" s="19" t="s">
        <v>133</v>
      </c>
      <c r="K139" s="19" t="s">
        <v>1640</v>
      </c>
      <c r="L139" s="19" t="s">
        <v>67</v>
      </c>
    </row>
    <row r="140" spans="1:17" s="1" customFormat="1">
      <c r="A140" s="15"/>
      <c r="B140" s="95" t="s">
        <v>2119</v>
      </c>
      <c r="C140" s="95" t="s">
        <v>45</v>
      </c>
      <c r="D140" s="96" t="s">
        <v>2120</v>
      </c>
      <c r="E140" s="16" t="s">
        <v>128</v>
      </c>
      <c r="F140" s="72"/>
      <c r="G140" s="17" t="s">
        <v>2317</v>
      </c>
      <c r="H140" s="16"/>
      <c r="I140" s="17"/>
      <c r="J140" s="19" t="s">
        <v>133</v>
      </c>
      <c r="K140" s="19" t="s">
        <v>1640</v>
      </c>
      <c r="L140" s="19" t="s">
        <v>67</v>
      </c>
    </row>
    <row r="141" spans="1:17" s="1" customFormat="1">
      <c r="A141" s="15"/>
      <c r="B141" s="95" t="s">
        <v>2121</v>
      </c>
      <c r="C141" s="95" t="s">
        <v>45</v>
      </c>
      <c r="D141" s="96" t="s">
        <v>2122</v>
      </c>
      <c r="E141" s="16" t="s">
        <v>128</v>
      </c>
      <c r="F141" s="72"/>
      <c r="G141" s="17" t="s">
        <v>2318</v>
      </c>
      <c r="H141" s="16"/>
      <c r="I141" s="17"/>
      <c r="J141" s="19" t="s">
        <v>133</v>
      </c>
      <c r="K141" s="19" t="s">
        <v>1640</v>
      </c>
      <c r="L141" s="19" t="s">
        <v>67</v>
      </c>
    </row>
    <row r="142" spans="1:17" s="1" customFormat="1">
      <c r="A142" s="15"/>
      <c r="B142" s="11" t="s">
        <v>315</v>
      </c>
      <c r="C142" s="11" t="s">
        <v>45</v>
      </c>
      <c r="D142" s="9" t="s">
        <v>112</v>
      </c>
      <c r="E142" s="16" t="s">
        <v>128</v>
      </c>
      <c r="F142" s="72"/>
      <c r="G142" s="17" t="s">
        <v>1145</v>
      </c>
      <c r="H142" s="16"/>
      <c r="I142" s="17"/>
      <c r="J142" s="19" t="s">
        <v>133</v>
      </c>
      <c r="K142" s="19" t="s">
        <v>44</v>
      </c>
      <c r="L142" s="19" t="s">
        <v>67</v>
      </c>
    </row>
    <row r="143" spans="1:17" s="3" customFormat="1">
      <c r="B143" s="23" t="s">
        <v>47</v>
      </c>
      <c r="C143" s="24" t="s">
        <v>46</v>
      </c>
      <c r="D143" s="21" t="s">
        <v>48</v>
      </c>
      <c r="E143" s="44"/>
      <c r="F143" s="44"/>
      <c r="G143" s="44" t="s">
        <v>282</v>
      </c>
      <c r="H143" s="23"/>
      <c r="I143" s="23"/>
      <c r="J143" s="23"/>
      <c r="K143" s="23"/>
      <c r="L143" s="23"/>
      <c r="M143" s="23"/>
      <c r="N143" s="23"/>
      <c r="O143" s="23"/>
      <c r="P143" s="23"/>
      <c r="Q143" s="23"/>
    </row>
    <row r="144" spans="1:17" s="3" customFormat="1">
      <c r="B144" s="23" t="s">
        <v>49</v>
      </c>
      <c r="C144" s="24" t="s">
        <v>43</v>
      </c>
      <c r="D144" s="21" t="s">
        <v>50</v>
      </c>
      <c r="E144" s="44"/>
      <c r="F144" s="44"/>
      <c r="G144" s="44" t="s">
        <v>282</v>
      </c>
      <c r="H144" s="23"/>
      <c r="I144" s="23"/>
      <c r="J144" s="23"/>
      <c r="K144" s="23"/>
      <c r="L144" s="23"/>
      <c r="M144" s="23"/>
      <c r="N144" s="23"/>
      <c r="O144" s="23"/>
      <c r="P144" s="23"/>
      <c r="Q144" s="23"/>
    </row>
  </sheetData>
  <autoFilter ref="A13:Q144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AF95-C2BC-4E7E-89B8-E25C031AD46F}">
  <dimension ref="A1:Q146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8.77734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26" t="s">
        <v>2544</v>
      </c>
      <c r="D5" s="82" t="s">
        <v>2546</v>
      </c>
      <c r="E5" s="11" t="s">
        <v>92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26" t="s">
        <v>2026</v>
      </c>
      <c r="D9" s="9" t="s">
        <v>2027</v>
      </c>
      <c r="E9" s="11" t="s">
        <v>55</v>
      </c>
      <c r="F9" s="17"/>
      <c r="G9" s="17"/>
      <c r="H9" s="14" t="s">
        <v>17</v>
      </c>
    </row>
    <row r="11" spans="2:14">
      <c r="B11" s="4" t="s">
        <v>32</v>
      </c>
    </row>
    <row r="12" spans="2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2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2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6"/>
      <c r="I15" s="19"/>
      <c r="J15" s="19" t="s">
        <v>131</v>
      </c>
      <c r="K15" s="19" t="s">
        <v>132</v>
      </c>
      <c r="L15" s="19" t="s">
        <v>675</v>
      </c>
    </row>
    <row r="16" spans="2:14" s="1" customFormat="1">
      <c r="B16" s="22" t="s">
        <v>92</v>
      </c>
      <c r="C16" s="22" t="s">
        <v>94</v>
      </c>
      <c r="D16" s="9" t="s">
        <v>98</v>
      </c>
      <c r="E16" s="16" t="s">
        <v>128</v>
      </c>
      <c r="F16" s="17" t="s">
        <v>120</v>
      </c>
      <c r="G16" s="17" t="s">
        <v>129</v>
      </c>
      <c r="H16" s="16"/>
      <c r="I16" s="19"/>
      <c r="J16" s="19" t="s">
        <v>131</v>
      </c>
      <c r="K16" s="19" t="s">
        <v>132</v>
      </c>
      <c r="L16" s="19" t="s">
        <v>2564</v>
      </c>
    </row>
    <row r="17" spans="1:13" s="1" customFormat="1">
      <c r="A17" s="15"/>
      <c r="B17" s="22" t="s">
        <v>77</v>
      </c>
      <c r="C17" s="22" t="s">
        <v>94</v>
      </c>
      <c r="D17" s="9" t="s">
        <v>113</v>
      </c>
      <c r="E17" s="16" t="s">
        <v>128</v>
      </c>
      <c r="F17" s="17" t="s">
        <v>77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677</v>
      </c>
    </row>
    <row r="18" spans="1:13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138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123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124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679</v>
      </c>
    </row>
    <row r="21" spans="1:13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318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273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272</v>
      </c>
      <c r="G23" s="17" t="s">
        <v>129</v>
      </c>
      <c r="H23" s="16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95</v>
      </c>
      <c r="G24" s="17" t="s">
        <v>129</v>
      </c>
      <c r="H24" s="16"/>
      <c r="I24" s="35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81</v>
      </c>
      <c r="C25" s="11" t="s">
        <v>43</v>
      </c>
      <c r="D25" s="9" t="s">
        <v>57</v>
      </c>
      <c r="E25" s="16" t="s">
        <v>128</v>
      </c>
      <c r="F25" s="17" t="s">
        <v>81</v>
      </c>
      <c r="G25" s="17" t="s">
        <v>129</v>
      </c>
      <c r="H25" s="16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A26" s="15"/>
      <c r="B26" s="11" t="s">
        <v>58</v>
      </c>
      <c r="C26" s="11" t="s">
        <v>43</v>
      </c>
      <c r="D26" s="9" t="s">
        <v>59</v>
      </c>
      <c r="E26" s="16" t="s">
        <v>128</v>
      </c>
      <c r="F26" s="9" t="s">
        <v>58</v>
      </c>
      <c r="G26" s="17" t="s">
        <v>129</v>
      </c>
      <c r="H26" s="16"/>
      <c r="I26" s="20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1503</v>
      </c>
      <c r="C27" s="11" t="s">
        <v>43</v>
      </c>
      <c r="D27" s="9" t="s">
        <v>105</v>
      </c>
      <c r="E27" s="16" t="s">
        <v>128</v>
      </c>
      <c r="F27" s="17" t="s">
        <v>82</v>
      </c>
      <c r="G27" s="17" t="s">
        <v>129</v>
      </c>
      <c r="H27" s="16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B28" s="22" t="s">
        <v>85</v>
      </c>
      <c r="C28" s="11" t="s">
        <v>43</v>
      </c>
      <c r="D28" s="9" t="s">
        <v>107</v>
      </c>
      <c r="E28" s="16" t="s">
        <v>128</v>
      </c>
      <c r="F28" s="17" t="s">
        <v>85</v>
      </c>
      <c r="G28" s="17" t="s">
        <v>129</v>
      </c>
      <c r="H28" s="16"/>
      <c r="I28" s="19"/>
      <c r="J28" s="19" t="s">
        <v>131</v>
      </c>
      <c r="K28" s="19" t="s">
        <v>132</v>
      </c>
      <c r="L28" s="19" t="s">
        <v>44</v>
      </c>
    </row>
    <row r="29" spans="1:13" s="15" customFormat="1">
      <c r="B29" s="22" t="s">
        <v>87</v>
      </c>
      <c r="C29" s="11" t="s">
        <v>43</v>
      </c>
      <c r="D29" s="9" t="s">
        <v>109</v>
      </c>
      <c r="E29" s="16" t="s">
        <v>128</v>
      </c>
      <c r="F29" s="17" t="s">
        <v>87</v>
      </c>
      <c r="G29" s="17" t="s">
        <v>129</v>
      </c>
      <c r="H29" s="16"/>
      <c r="I29" s="20"/>
      <c r="J29" s="19" t="s">
        <v>131</v>
      </c>
      <c r="K29" s="19" t="s">
        <v>132</v>
      </c>
      <c r="L29" s="19" t="s">
        <v>679</v>
      </c>
      <c r="M29" s="1"/>
    </row>
    <row r="30" spans="1:13" s="1" customFormat="1">
      <c r="A30" s="15"/>
      <c r="B30" s="11" t="s">
        <v>145</v>
      </c>
      <c r="C30" s="11" t="s">
        <v>45</v>
      </c>
      <c r="D30" s="9" t="s">
        <v>146</v>
      </c>
      <c r="E30" s="16" t="s">
        <v>128</v>
      </c>
      <c r="F30" s="17"/>
      <c r="G30" s="17" t="s">
        <v>1289</v>
      </c>
      <c r="H30" s="18"/>
      <c r="I30" s="17"/>
      <c r="J30" s="19" t="s">
        <v>133</v>
      </c>
      <c r="K30" s="19" t="s">
        <v>132</v>
      </c>
      <c r="L30" s="19" t="s">
        <v>134</v>
      </c>
    </row>
    <row r="31" spans="1:13" s="1" customFormat="1">
      <c r="A31" s="15"/>
      <c r="B31" s="11" t="s">
        <v>192</v>
      </c>
      <c r="C31" s="11" t="s">
        <v>45</v>
      </c>
      <c r="D31" s="9" t="s">
        <v>193</v>
      </c>
      <c r="E31" s="16" t="s">
        <v>128</v>
      </c>
      <c r="F31" s="17"/>
      <c r="G31" s="17" t="s">
        <v>2265</v>
      </c>
      <c r="H31" s="18"/>
      <c r="I31" s="17"/>
      <c r="J31" s="19" t="s">
        <v>133</v>
      </c>
      <c r="K31" s="19" t="s">
        <v>132</v>
      </c>
      <c r="L31" s="19" t="s">
        <v>134</v>
      </c>
    </row>
    <row r="32" spans="1:13" s="1" customFormat="1">
      <c r="A32" s="15"/>
      <c r="B32" s="22" t="s">
        <v>255</v>
      </c>
      <c r="C32" s="22" t="s">
        <v>45</v>
      </c>
      <c r="D32" s="9" t="s">
        <v>348</v>
      </c>
      <c r="E32" s="16" t="s">
        <v>128</v>
      </c>
      <c r="F32" s="17"/>
      <c r="G32" s="17" t="s">
        <v>257</v>
      </c>
      <c r="H32" s="18"/>
      <c r="I32" s="17"/>
      <c r="J32" s="19" t="s">
        <v>133</v>
      </c>
      <c r="K32" s="19" t="s">
        <v>203</v>
      </c>
      <c r="L32" s="19" t="s">
        <v>134</v>
      </c>
    </row>
    <row r="33" spans="1:12" s="1" customFormat="1">
      <c r="A33" s="15"/>
      <c r="B33" s="11" t="s">
        <v>207</v>
      </c>
      <c r="C33" s="11" t="s">
        <v>45</v>
      </c>
      <c r="D33" s="9" t="s">
        <v>759</v>
      </c>
      <c r="E33" s="16" t="s">
        <v>128</v>
      </c>
      <c r="F33" s="72"/>
      <c r="G33" s="17" t="s">
        <v>320</v>
      </c>
      <c r="H33" s="18"/>
      <c r="I33" s="17"/>
      <c r="J33" s="19" t="s">
        <v>133</v>
      </c>
      <c r="K33" s="19" t="s">
        <v>204</v>
      </c>
      <c r="L33" s="19" t="s">
        <v>134</v>
      </c>
    </row>
    <row r="34" spans="1:12" s="1" customFormat="1">
      <c r="A34" s="15"/>
      <c r="B34" s="11" t="s">
        <v>208</v>
      </c>
      <c r="C34" s="11" t="s">
        <v>45</v>
      </c>
      <c r="D34" s="9" t="s">
        <v>160</v>
      </c>
      <c r="E34" s="16" t="s">
        <v>128</v>
      </c>
      <c r="F34" s="72"/>
      <c r="G34" s="17" t="s">
        <v>319</v>
      </c>
      <c r="H34" s="18"/>
      <c r="I34" s="17"/>
      <c r="J34" s="19" t="s">
        <v>133</v>
      </c>
      <c r="K34" s="19" t="s">
        <v>204</v>
      </c>
      <c r="L34" s="19" t="s">
        <v>134</v>
      </c>
    </row>
    <row r="35" spans="1:12" s="1" customFormat="1">
      <c r="A35" s="15"/>
      <c r="B35" s="11" t="s">
        <v>210</v>
      </c>
      <c r="C35" s="11" t="s">
        <v>45</v>
      </c>
      <c r="D35" s="9" t="s">
        <v>1056</v>
      </c>
      <c r="E35" s="16" t="s">
        <v>128</v>
      </c>
      <c r="F35" s="72"/>
      <c r="G35" s="17" t="s">
        <v>224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209</v>
      </c>
      <c r="C36" s="11" t="s">
        <v>45</v>
      </c>
      <c r="D36" s="9" t="s">
        <v>1055</v>
      </c>
      <c r="E36" s="16" t="s">
        <v>128</v>
      </c>
      <c r="F36" s="72"/>
      <c r="G36" s="17" t="s">
        <v>223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211</v>
      </c>
      <c r="C37" s="11" t="s">
        <v>45</v>
      </c>
      <c r="D37" s="9" t="s">
        <v>163</v>
      </c>
      <c r="E37" s="16" t="s">
        <v>128</v>
      </c>
      <c r="F37" s="72"/>
      <c r="G37" s="17" t="s">
        <v>225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212</v>
      </c>
      <c r="C38" s="11" t="s">
        <v>45</v>
      </c>
      <c r="D38" s="9" t="s">
        <v>164</v>
      </c>
      <c r="E38" s="16" t="s">
        <v>128</v>
      </c>
      <c r="F38" s="72"/>
      <c r="G38" s="17" t="s">
        <v>226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213</v>
      </c>
      <c r="C39" s="11" t="s">
        <v>45</v>
      </c>
      <c r="D39" s="9" t="s">
        <v>165</v>
      </c>
      <c r="E39" s="16" t="s">
        <v>128</v>
      </c>
      <c r="F39" s="72"/>
      <c r="G39" s="17" t="s">
        <v>1114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214</v>
      </c>
      <c r="C40" s="11" t="s">
        <v>45</v>
      </c>
      <c r="D40" s="9" t="s">
        <v>166</v>
      </c>
      <c r="E40" s="16" t="s">
        <v>128</v>
      </c>
      <c r="F40" s="72"/>
      <c r="G40" s="17" t="s">
        <v>1115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217</v>
      </c>
      <c r="C41" s="11" t="s">
        <v>45</v>
      </c>
      <c r="D41" s="9" t="s">
        <v>171</v>
      </c>
      <c r="E41" s="16" t="s">
        <v>128</v>
      </c>
      <c r="F41" s="72"/>
      <c r="G41" s="17" t="s">
        <v>1116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218</v>
      </c>
      <c r="C42" s="11" t="s">
        <v>45</v>
      </c>
      <c r="D42" s="9" t="s">
        <v>172</v>
      </c>
      <c r="E42" s="16" t="s">
        <v>128</v>
      </c>
      <c r="F42" s="72"/>
      <c r="G42" s="17" t="s">
        <v>1117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219</v>
      </c>
      <c r="C43" s="11" t="s">
        <v>45</v>
      </c>
      <c r="D43" s="9" t="s">
        <v>173</v>
      </c>
      <c r="E43" s="16" t="s">
        <v>128</v>
      </c>
      <c r="F43" s="72"/>
      <c r="G43" s="17" t="s">
        <v>1118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220</v>
      </c>
      <c r="C44" s="11" t="s">
        <v>45</v>
      </c>
      <c r="D44" s="9" t="s">
        <v>174</v>
      </c>
      <c r="E44" s="16" t="s">
        <v>128</v>
      </c>
      <c r="F44" s="72"/>
      <c r="G44" s="17" t="s">
        <v>1119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215</v>
      </c>
      <c r="C45" s="11" t="s">
        <v>45</v>
      </c>
      <c r="D45" s="9" t="s">
        <v>1260</v>
      </c>
      <c r="E45" s="16" t="s">
        <v>128</v>
      </c>
      <c r="F45" s="72"/>
      <c r="G45" s="17" t="s">
        <v>227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216</v>
      </c>
      <c r="C46" s="11" t="s">
        <v>45</v>
      </c>
      <c r="D46" s="9" t="s">
        <v>1261</v>
      </c>
      <c r="E46" s="16" t="s">
        <v>128</v>
      </c>
      <c r="F46" s="72"/>
      <c r="G46" s="17" t="s">
        <v>228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316</v>
      </c>
      <c r="C47" s="11" t="s">
        <v>45</v>
      </c>
      <c r="D47" s="9" t="s">
        <v>167</v>
      </c>
      <c r="E47" s="16" t="s">
        <v>128</v>
      </c>
      <c r="F47" s="72"/>
      <c r="G47" s="17" t="s">
        <v>772</v>
      </c>
      <c r="H47" s="18"/>
      <c r="I47" s="17"/>
      <c r="J47" s="19" t="s">
        <v>133</v>
      </c>
      <c r="K47" s="19" t="s">
        <v>202</v>
      </c>
      <c r="L47" s="19" t="s">
        <v>67</v>
      </c>
    </row>
    <row r="48" spans="1:12" s="1" customFormat="1">
      <c r="A48" s="15"/>
      <c r="B48" s="11" t="s">
        <v>809</v>
      </c>
      <c r="C48" s="11" t="s">
        <v>45</v>
      </c>
      <c r="D48" s="9" t="s">
        <v>175</v>
      </c>
      <c r="E48" s="16" t="s">
        <v>128</v>
      </c>
      <c r="F48" s="72"/>
      <c r="G48" s="17" t="s">
        <v>1120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317</v>
      </c>
      <c r="C49" s="11" t="s">
        <v>45</v>
      </c>
      <c r="D49" s="9" t="s">
        <v>168</v>
      </c>
      <c r="E49" s="16" t="s">
        <v>128</v>
      </c>
      <c r="F49" s="72"/>
      <c r="G49" s="17" t="s">
        <v>778</v>
      </c>
      <c r="H49" s="18"/>
      <c r="I49" s="17"/>
      <c r="J49" s="19" t="s">
        <v>133</v>
      </c>
      <c r="K49" s="19" t="s">
        <v>202</v>
      </c>
      <c r="L49" s="19" t="s">
        <v>67</v>
      </c>
    </row>
    <row r="50" spans="1:12" s="1" customFormat="1">
      <c r="A50" s="15"/>
      <c r="B50" s="11" t="s">
        <v>810</v>
      </c>
      <c r="C50" s="11" t="s">
        <v>45</v>
      </c>
      <c r="D50" s="9" t="s">
        <v>176</v>
      </c>
      <c r="E50" s="16" t="s">
        <v>128</v>
      </c>
      <c r="F50" s="72"/>
      <c r="G50" s="17" t="s">
        <v>1121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1213</v>
      </c>
      <c r="C51" s="11" t="s">
        <v>45</v>
      </c>
      <c r="D51" s="9" t="s">
        <v>178</v>
      </c>
      <c r="E51" s="16" t="s">
        <v>128</v>
      </c>
      <c r="F51" s="72"/>
      <c r="G51" s="17" t="s">
        <v>2266</v>
      </c>
      <c r="H51" s="18"/>
      <c r="I51" s="17"/>
      <c r="J51" s="19" t="s">
        <v>133</v>
      </c>
      <c r="K51" s="19" t="s">
        <v>202</v>
      </c>
      <c r="L51" s="19" t="s">
        <v>67</v>
      </c>
    </row>
    <row r="52" spans="1:12" s="1" customFormat="1">
      <c r="A52" s="15"/>
      <c r="B52" s="11" t="s">
        <v>221</v>
      </c>
      <c r="C52" s="11" t="s">
        <v>45</v>
      </c>
      <c r="D52" s="9" t="s">
        <v>177</v>
      </c>
      <c r="E52" s="16" t="s">
        <v>128</v>
      </c>
      <c r="F52" s="72"/>
      <c r="G52" s="17" t="s">
        <v>1122</v>
      </c>
      <c r="H52" s="18"/>
      <c r="I52" s="17"/>
      <c r="J52" s="19" t="s">
        <v>133</v>
      </c>
      <c r="K52" s="19" t="s">
        <v>204</v>
      </c>
      <c r="L52" s="19" t="s">
        <v>67</v>
      </c>
    </row>
    <row r="53" spans="1:12" s="1" customFormat="1">
      <c r="A53" s="15"/>
      <c r="B53" s="11" t="s">
        <v>1212</v>
      </c>
      <c r="C53" s="11" t="s">
        <v>45</v>
      </c>
      <c r="D53" s="9" t="s">
        <v>180</v>
      </c>
      <c r="E53" s="16" t="s">
        <v>128</v>
      </c>
      <c r="F53" s="72"/>
      <c r="G53" s="17" t="s">
        <v>2267</v>
      </c>
      <c r="H53" s="18"/>
      <c r="I53" s="17"/>
      <c r="J53" s="19" t="s">
        <v>133</v>
      </c>
      <c r="K53" s="19" t="s">
        <v>202</v>
      </c>
      <c r="L53" s="19" t="s">
        <v>67</v>
      </c>
    </row>
    <row r="54" spans="1:12" s="1" customFormat="1">
      <c r="A54" s="15"/>
      <c r="B54" s="11" t="s">
        <v>222</v>
      </c>
      <c r="C54" s="11" t="s">
        <v>45</v>
      </c>
      <c r="D54" s="9" t="s">
        <v>179</v>
      </c>
      <c r="E54" s="16" t="s">
        <v>128</v>
      </c>
      <c r="F54" s="72"/>
      <c r="G54" s="17" t="s">
        <v>1123</v>
      </c>
      <c r="H54" s="18"/>
      <c r="I54" s="17"/>
      <c r="J54" s="19" t="s">
        <v>133</v>
      </c>
      <c r="K54" s="19" t="s">
        <v>204</v>
      </c>
      <c r="L54" s="19" t="s">
        <v>67</v>
      </c>
    </row>
    <row r="55" spans="1:12" s="1" customFormat="1">
      <c r="A55" s="15"/>
      <c r="B55" s="11" t="s">
        <v>2167</v>
      </c>
      <c r="C55" s="11" t="s">
        <v>45</v>
      </c>
      <c r="D55" s="9" t="s">
        <v>2165</v>
      </c>
      <c r="E55" s="16" t="s">
        <v>128</v>
      </c>
      <c r="F55" s="72"/>
      <c r="G55" s="17" t="s">
        <v>2593</v>
      </c>
      <c r="H55" s="18"/>
      <c r="I55" s="17"/>
      <c r="J55" s="19" t="s">
        <v>133</v>
      </c>
      <c r="K55" s="19" t="s">
        <v>903</v>
      </c>
      <c r="L55" s="19" t="s">
        <v>134</v>
      </c>
    </row>
    <row r="56" spans="1:12" s="1" customFormat="1">
      <c r="A56" s="15"/>
      <c r="B56" s="11" t="s">
        <v>2168</v>
      </c>
      <c r="C56" s="11" t="s">
        <v>45</v>
      </c>
      <c r="D56" s="9" t="s">
        <v>2166</v>
      </c>
      <c r="E56" s="16" t="s">
        <v>128</v>
      </c>
      <c r="F56" s="72"/>
      <c r="G56" s="17" t="s">
        <v>2594</v>
      </c>
      <c r="H56" s="18"/>
      <c r="I56" s="17"/>
      <c r="J56" s="19" t="s">
        <v>133</v>
      </c>
      <c r="K56" s="19" t="s">
        <v>903</v>
      </c>
      <c r="L56" s="19" t="s">
        <v>134</v>
      </c>
    </row>
    <row r="57" spans="1:12" s="1" customFormat="1">
      <c r="A57" s="15"/>
      <c r="B57" s="11" t="s">
        <v>2185</v>
      </c>
      <c r="C57" s="11" t="s">
        <v>45</v>
      </c>
      <c r="D57" s="9" t="s">
        <v>2190</v>
      </c>
      <c r="E57" s="16" t="s">
        <v>128</v>
      </c>
      <c r="F57" s="72"/>
      <c r="G57" s="17" t="s">
        <v>2275</v>
      </c>
      <c r="H57" s="18"/>
      <c r="I57" s="17"/>
      <c r="J57" s="19" t="s">
        <v>133</v>
      </c>
      <c r="K57" s="19" t="s">
        <v>204</v>
      </c>
      <c r="L57" s="19" t="s">
        <v>67</v>
      </c>
    </row>
    <row r="58" spans="1:12" s="1" customFormat="1">
      <c r="A58" s="15"/>
      <c r="B58" s="11" t="s">
        <v>2186</v>
      </c>
      <c r="C58" s="11" t="s">
        <v>45</v>
      </c>
      <c r="D58" s="9" t="s">
        <v>2191</v>
      </c>
      <c r="E58" s="16" t="s">
        <v>128</v>
      </c>
      <c r="F58" s="72"/>
      <c r="G58" s="17" t="s">
        <v>2276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2245</v>
      </c>
      <c r="C59" s="11" t="s">
        <v>45</v>
      </c>
      <c r="D59" s="9" t="s">
        <v>2189</v>
      </c>
      <c r="E59" s="16" t="s">
        <v>128</v>
      </c>
      <c r="F59" s="72"/>
      <c r="G59" s="17" t="s">
        <v>2277</v>
      </c>
      <c r="H59" s="18"/>
      <c r="I59" s="17"/>
      <c r="J59" s="19" t="s">
        <v>133</v>
      </c>
      <c r="K59" s="19" t="s">
        <v>204</v>
      </c>
      <c r="L59" s="19" t="s">
        <v>67</v>
      </c>
    </row>
    <row r="60" spans="1:12" s="1" customFormat="1">
      <c r="A60" s="15"/>
      <c r="B60" s="11" t="s">
        <v>2159</v>
      </c>
      <c r="C60" s="95" t="s">
        <v>280</v>
      </c>
      <c r="D60" s="9" t="s">
        <v>2161</v>
      </c>
      <c r="E60" s="16" t="s">
        <v>128</v>
      </c>
      <c r="F60" s="72"/>
      <c r="G60" s="17" t="s">
        <v>2620</v>
      </c>
      <c r="H60" s="18"/>
      <c r="I60" s="17"/>
      <c r="J60" s="19" t="s">
        <v>133</v>
      </c>
      <c r="K60" s="19" t="s">
        <v>203</v>
      </c>
      <c r="L60" s="19" t="s">
        <v>67</v>
      </c>
    </row>
    <row r="61" spans="1:12" s="1" customFormat="1">
      <c r="A61" s="15"/>
      <c r="B61" s="11" t="s">
        <v>2160</v>
      </c>
      <c r="C61" s="95" t="s">
        <v>280</v>
      </c>
      <c r="D61" s="9" t="s">
        <v>2162</v>
      </c>
      <c r="E61" s="16" t="s">
        <v>128</v>
      </c>
      <c r="F61" s="72"/>
      <c r="G61" s="17" t="s">
        <v>2279</v>
      </c>
      <c r="H61" s="18"/>
      <c r="I61" s="17"/>
      <c r="J61" s="19" t="s">
        <v>133</v>
      </c>
      <c r="K61" s="19" t="s">
        <v>202</v>
      </c>
      <c r="L61" s="19" t="s">
        <v>67</v>
      </c>
    </row>
    <row r="62" spans="1:12" s="1" customFormat="1">
      <c r="A62" s="15"/>
      <c r="B62" s="11" t="s">
        <v>205</v>
      </c>
      <c r="C62" s="11" t="s">
        <v>45</v>
      </c>
      <c r="D62" s="9" t="s">
        <v>147</v>
      </c>
      <c r="E62" s="16" t="s">
        <v>128</v>
      </c>
      <c r="F62" s="72"/>
      <c r="G62" s="17" t="s">
        <v>2247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206</v>
      </c>
      <c r="C63" s="11" t="s">
        <v>280</v>
      </c>
      <c r="D63" s="9" t="s">
        <v>820</v>
      </c>
      <c r="E63" s="16" t="s">
        <v>128</v>
      </c>
      <c r="F63" s="72"/>
      <c r="G63" s="17" t="s">
        <v>1081</v>
      </c>
      <c r="H63" s="18"/>
      <c r="I63" s="17"/>
      <c r="J63" s="19" t="s">
        <v>133</v>
      </c>
      <c r="K63" s="19" t="s">
        <v>202</v>
      </c>
      <c r="L63" s="19" t="s">
        <v>67</v>
      </c>
    </row>
    <row r="64" spans="1:12" s="1" customFormat="1">
      <c r="A64" s="15"/>
      <c r="B64" s="11" t="s">
        <v>1022</v>
      </c>
      <c r="C64" s="11" t="s">
        <v>45</v>
      </c>
      <c r="D64" s="9" t="s">
        <v>1018</v>
      </c>
      <c r="E64" s="16" t="s">
        <v>128</v>
      </c>
      <c r="F64" s="72"/>
      <c r="G64" s="17" t="s">
        <v>1127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1014</v>
      </c>
      <c r="C65" s="11" t="s">
        <v>45</v>
      </c>
      <c r="D65" s="9" t="s">
        <v>1019</v>
      </c>
      <c r="E65" s="16" t="s">
        <v>128</v>
      </c>
      <c r="F65" s="72"/>
      <c r="G65" s="17" t="s">
        <v>1128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1015</v>
      </c>
      <c r="C66" s="11" t="s">
        <v>45</v>
      </c>
      <c r="D66" s="9" t="s">
        <v>1020</v>
      </c>
      <c r="E66" s="16" t="s">
        <v>128</v>
      </c>
      <c r="F66" s="72"/>
      <c r="G66" s="17" t="s">
        <v>1129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1016</v>
      </c>
      <c r="C67" s="11" t="s">
        <v>45</v>
      </c>
      <c r="D67" s="9" t="s">
        <v>1021</v>
      </c>
      <c r="E67" s="16" t="s">
        <v>128</v>
      </c>
      <c r="F67" s="72"/>
      <c r="G67" s="17" t="s">
        <v>1130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2635</v>
      </c>
      <c r="C68" s="11" t="s">
        <v>45</v>
      </c>
      <c r="D68" s="9" t="s">
        <v>1042</v>
      </c>
      <c r="E68" s="16" t="s">
        <v>128</v>
      </c>
      <c r="F68" s="72"/>
      <c r="G68" s="17" t="s">
        <v>1131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1049</v>
      </c>
      <c r="C69" s="11" t="s">
        <v>45</v>
      </c>
      <c r="D69" s="9" t="s">
        <v>153</v>
      </c>
      <c r="E69" s="16" t="s">
        <v>128</v>
      </c>
      <c r="F69" s="72"/>
      <c r="G69" s="17" t="s">
        <v>1262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823</v>
      </c>
      <c r="C70" s="11" t="s">
        <v>280</v>
      </c>
      <c r="D70" s="9" t="s">
        <v>1474</v>
      </c>
      <c r="E70" s="16" t="s">
        <v>128</v>
      </c>
      <c r="F70" s="72"/>
      <c r="G70" s="17" t="s">
        <v>1082</v>
      </c>
      <c r="H70" s="18"/>
      <c r="I70" s="17"/>
      <c r="J70" s="19" t="s">
        <v>133</v>
      </c>
      <c r="K70" s="19" t="s">
        <v>202</v>
      </c>
      <c r="L70" s="19" t="s">
        <v>67</v>
      </c>
    </row>
    <row r="71" spans="1:12" s="1" customFormat="1">
      <c r="A71" s="15"/>
      <c r="B71" s="11" t="s">
        <v>1030</v>
      </c>
      <c r="C71" s="11" t="s">
        <v>45</v>
      </c>
      <c r="D71" s="9" t="s">
        <v>1026</v>
      </c>
      <c r="E71" s="16" t="s">
        <v>128</v>
      </c>
      <c r="F71" s="72"/>
      <c r="G71" s="17" t="s">
        <v>1133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1023</v>
      </c>
      <c r="C72" s="11" t="s">
        <v>45</v>
      </c>
      <c r="D72" s="9" t="s">
        <v>1027</v>
      </c>
      <c r="E72" s="16" t="s">
        <v>128</v>
      </c>
      <c r="F72" s="72"/>
      <c r="G72" s="17" t="s">
        <v>1134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1024</v>
      </c>
      <c r="C73" s="11" t="s">
        <v>45</v>
      </c>
      <c r="D73" s="9" t="s">
        <v>1028</v>
      </c>
      <c r="E73" s="16" t="s">
        <v>128</v>
      </c>
      <c r="F73" s="72"/>
      <c r="G73" s="17" t="s">
        <v>1135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1032</v>
      </c>
      <c r="C74" s="11" t="s">
        <v>45</v>
      </c>
      <c r="D74" s="9" t="s">
        <v>1029</v>
      </c>
      <c r="E74" s="16" t="s">
        <v>128</v>
      </c>
      <c r="F74" s="72"/>
      <c r="G74" s="17" t="s">
        <v>1136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1025</v>
      </c>
      <c r="C75" s="11" t="s">
        <v>45</v>
      </c>
      <c r="D75" s="9" t="s">
        <v>1043</v>
      </c>
      <c r="E75" s="16" t="s">
        <v>128</v>
      </c>
      <c r="F75" s="72"/>
      <c r="G75" s="17" t="s">
        <v>1137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1084</v>
      </c>
      <c r="C76" s="11" t="s">
        <v>280</v>
      </c>
      <c r="D76" s="9" t="s">
        <v>1086</v>
      </c>
      <c r="E76" s="16" t="s">
        <v>128</v>
      </c>
      <c r="F76" s="72"/>
      <c r="G76" s="17" t="s">
        <v>2248</v>
      </c>
      <c r="H76" s="18"/>
      <c r="I76" s="17"/>
      <c r="J76" s="19" t="s">
        <v>133</v>
      </c>
      <c r="K76" s="19" t="s">
        <v>202</v>
      </c>
      <c r="L76" s="19" t="s">
        <v>67</v>
      </c>
    </row>
    <row r="77" spans="1:12" s="1" customFormat="1">
      <c r="A77" s="15"/>
      <c r="B77" s="11" t="s">
        <v>1083</v>
      </c>
      <c r="C77" s="11" t="s">
        <v>280</v>
      </c>
      <c r="D77" s="9" t="s">
        <v>841</v>
      </c>
      <c r="E77" s="16" t="s">
        <v>128</v>
      </c>
      <c r="F77" s="72"/>
      <c r="G77" s="17" t="s">
        <v>1866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1033</v>
      </c>
      <c r="C78" s="11" t="s">
        <v>45</v>
      </c>
      <c r="D78" s="9" t="s">
        <v>1038</v>
      </c>
      <c r="E78" s="16" t="s">
        <v>128</v>
      </c>
      <c r="F78" s="72"/>
      <c r="G78" s="17" t="s">
        <v>1138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1034</v>
      </c>
      <c r="C79" s="11" t="s">
        <v>45</v>
      </c>
      <c r="D79" s="9" t="s">
        <v>1039</v>
      </c>
      <c r="E79" s="16" t="s">
        <v>128</v>
      </c>
      <c r="F79" s="72"/>
      <c r="G79" s="17" t="s">
        <v>1139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1035</v>
      </c>
      <c r="C80" s="11" t="s">
        <v>45</v>
      </c>
      <c r="D80" s="9" t="s">
        <v>1040</v>
      </c>
      <c r="E80" s="16" t="s">
        <v>128</v>
      </c>
      <c r="F80" s="72"/>
      <c r="G80" s="17" t="s">
        <v>1140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1036</v>
      </c>
      <c r="C81" s="11" t="s">
        <v>45</v>
      </c>
      <c r="D81" s="9" t="s">
        <v>1041</v>
      </c>
      <c r="E81" s="16" t="s">
        <v>128</v>
      </c>
      <c r="F81" s="72"/>
      <c r="G81" s="17" t="s">
        <v>1141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1037</v>
      </c>
      <c r="C82" s="11" t="s">
        <v>45</v>
      </c>
      <c r="D82" s="9" t="s">
        <v>1044</v>
      </c>
      <c r="E82" s="16" t="s">
        <v>128</v>
      </c>
      <c r="F82" s="72"/>
      <c r="G82" s="17" t="s">
        <v>1142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22" t="s">
        <v>2327</v>
      </c>
      <c r="C83" s="22" t="s">
        <v>45</v>
      </c>
      <c r="D83" s="9" t="s">
        <v>2017</v>
      </c>
      <c r="E83" s="16" t="s">
        <v>128</v>
      </c>
      <c r="F83" s="72"/>
      <c r="G83" s="17" t="s">
        <v>2330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2" s="1" customFormat="1">
      <c r="A84" s="15"/>
      <c r="B84" s="22" t="s">
        <v>2194</v>
      </c>
      <c r="C84" s="22" t="s">
        <v>280</v>
      </c>
      <c r="D84" s="9" t="s">
        <v>2196</v>
      </c>
      <c r="E84" s="16" t="s">
        <v>128</v>
      </c>
      <c r="F84" s="72"/>
      <c r="G84" s="17" t="s">
        <v>2250</v>
      </c>
      <c r="H84" s="18"/>
      <c r="I84" s="17"/>
      <c r="J84" s="19" t="s">
        <v>133</v>
      </c>
      <c r="K84" s="19" t="s">
        <v>2024</v>
      </c>
      <c r="L84" s="19" t="s">
        <v>67</v>
      </c>
    </row>
    <row r="85" spans="1:12" s="1" customFormat="1">
      <c r="B85" s="22" t="s">
        <v>2132</v>
      </c>
      <c r="C85" s="22" t="s">
        <v>280</v>
      </c>
      <c r="D85" s="9" t="s">
        <v>2134</v>
      </c>
      <c r="E85" s="16" t="s">
        <v>128</v>
      </c>
      <c r="F85" s="22"/>
      <c r="G85" s="17" t="s">
        <v>2333</v>
      </c>
      <c r="H85" s="18"/>
      <c r="I85" s="88"/>
      <c r="J85" s="19" t="s">
        <v>133</v>
      </c>
      <c r="K85" s="19" t="s">
        <v>2136</v>
      </c>
      <c r="L85" s="19" t="s">
        <v>134</v>
      </c>
    </row>
    <row r="86" spans="1:12" s="1" customFormat="1">
      <c r="A86" s="15"/>
      <c r="B86" s="90" t="s">
        <v>2328</v>
      </c>
      <c r="C86" s="22" t="s">
        <v>45</v>
      </c>
      <c r="D86" s="9" t="s">
        <v>2034</v>
      </c>
      <c r="E86" s="16" t="s">
        <v>128</v>
      </c>
      <c r="F86" s="72"/>
      <c r="G86" s="17" t="s">
        <v>2332</v>
      </c>
      <c r="H86" s="18"/>
      <c r="I86" s="17"/>
      <c r="J86" s="19" t="s">
        <v>133</v>
      </c>
      <c r="K86" s="19" t="s">
        <v>903</v>
      </c>
      <c r="L86" s="19" t="s">
        <v>67</v>
      </c>
    </row>
    <row r="87" spans="1:12" s="1" customFormat="1">
      <c r="A87" s="15"/>
      <c r="B87" s="90" t="s">
        <v>2193</v>
      </c>
      <c r="C87" s="22" t="s">
        <v>280</v>
      </c>
      <c r="D87" s="9" t="s">
        <v>2195</v>
      </c>
      <c r="E87" s="16" t="s">
        <v>128</v>
      </c>
      <c r="F87" s="72"/>
      <c r="G87" s="17" t="s">
        <v>2252</v>
      </c>
      <c r="H87" s="18"/>
      <c r="I87" s="17"/>
      <c r="J87" s="19" t="s">
        <v>133</v>
      </c>
      <c r="K87" s="19" t="s">
        <v>2024</v>
      </c>
      <c r="L87" s="19" t="s">
        <v>67</v>
      </c>
    </row>
    <row r="88" spans="1:12" s="1" customFormat="1">
      <c r="B88" s="90" t="s">
        <v>2133</v>
      </c>
      <c r="C88" s="22" t="s">
        <v>280</v>
      </c>
      <c r="D88" s="9" t="s">
        <v>2135</v>
      </c>
      <c r="E88" s="16" t="s">
        <v>128</v>
      </c>
      <c r="F88" s="22"/>
      <c r="G88" s="17" t="s">
        <v>2334</v>
      </c>
      <c r="H88" s="18"/>
      <c r="I88" s="88"/>
      <c r="J88" s="19" t="s">
        <v>133</v>
      </c>
      <c r="K88" s="19" t="s">
        <v>2136</v>
      </c>
      <c r="L88" s="19" t="s">
        <v>134</v>
      </c>
    </row>
    <row r="89" spans="1:12" s="1" customFormat="1">
      <c r="B89" s="22" t="s">
        <v>2524</v>
      </c>
      <c r="C89" s="22" t="s">
        <v>280</v>
      </c>
      <c r="D89" s="9" t="s">
        <v>2525</v>
      </c>
      <c r="E89" s="16" t="s">
        <v>128</v>
      </c>
      <c r="F89" s="22"/>
      <c r="G89" s="17" t="s">
        <v>2528</v>
      </c>
      <c r="H89" s="98"/>
      <c r="I89" s="88"/>
      <c r="J89" s="19" t="s">
        <v>133</v>
      </c>
      <c r="K89" s="19" t="s">
        <v>2236</v>
      </c>
      <c r="L89" s="19" t="s">
        <v>134</v>
      </c>
    </row>
    <row r="90" spans="1:12" s="1" customFormat="1">
      <c r="B90" s="22" t="s">
        <v>2529</v>
      </c>
      <c r="C90" s="22" t="s">
        <v>2396</v>
      </c>
      <c r="D90" s="9" t="s">
        <v>2531</v>
      </c>
      <c r="E90" s="16" t="s">
        <v>128</v>
      </c>
      <c r="F90" s="22"/>
      <c r="G90" s="17" t="s">
        <v>2532</v>
      </c>
      <c r="H90" s="98"/>
      <c r="I90" s="88"/>
      <c r="J90" s="19" t="s">
        <v>133</v>
      </c>
      <c r="K90" s="19" t="s">
        <v>903</v>
      </c>
      <c r="L90" s="19" t="s">
        <v>134</v>
      </c>
    </row>
    <row r="91" spans="1:12" s="1" customFormat="1">
      <c r="B91" s="22" t="s">
        <v>2255</v>
      </c>
      <c r="C91" s="22" t="s">
        <v>45</v>
      </c>
      <c r="D91" s="9" t="s">
        <v>2201</v>
      </c>
      <c r="E91" s="16" t="s">
        <v>128</v>
      </c>
      <c r="F91" s="22"/>
      <c r="G91" s="17" t="s">
        <v>2280</v>
      </c>
      <c r="H91" s="18"/>
      <c r="I91" s="17"/>
      <c r="J91" s="19" t="s">
        <v>133</v>
      </c>
      <c r="K91" s="19" t="s">
        <v>1640</v>
      </c>
      <c r="L91" s="19" t="s">
        <v>67</v>
      </c>
    </row>
    <row r="92" spans="1:12" s="1" customFormat="1">
      <c r="B92" s="22" t="s">
        <v>2254</v>
      </c>
      <c r="C92" s="22" t="s">
        <v>45</v>
      </c>
      <c r="D92" s="9" t="s">
        <v>2202</v>
      </c>
      <c r="E92" s="16" t="s">
        <v>128</v>
      </c>
      <c r="F92" s="22"/>
      <c r="G92" s="17" t="s">
        <v>2281</v>
      </c>
      <c r="H92" s="18"/>
      <c r="I92" s="17"/>
      <c r="J92" s="19" t="s">
        <v>133</v>
      </c>
      <c r="K92" s="19" t="s">
        <v>1640</v>
      </c>
      <c r="L92" s="19" t="s">
        <v>67</v>
      </c>
    </row>
    <row r="93" spans="1:12" s="1" customFormat="1">
      <c r="B93" s="22" t="s">
        <v>2203</v>
      </c>
      <c r="C93" s="22" t="s">
        <v>56</v>
      </c>
      <c r="D93" s="9" t="s">
        <v>2204</v>
      </c>
      <c r="E93" s="16" t="s">
        <v>128</v>
      </c>
      <c r="F93" s="22"/>
      <c r="G93" s="17" t="s">
        <v>2256</v>
      </c>
      <c r="H93" s="98"/>
      <c r="I93" s="88"/>
      <c r="J93" s="19" t="s">
        <v>133</v>
      </c>
      <c r="K93" s="19" t="s">
        <v>44</v>
      </c>
      <c r="L93" s="19" t="s">
        <v>1292</v>
      </c>
    </row>
    <row r="94" spans="1:12" s="1" customFormat="1">
      <c r="B94" s="22" t="s">
        <v>2533</v>
      </c>
      <c r="C94" s="22" t="s">
        <v>280</v>
      </c>
      <c r="D94" s="9" t="s">
        <v>2523</v>
      </c>
      <c r="E94" s="16" t="s">
        <v>128</v>
      </c>
      <c r="F94" s="22"/>
      <c r="G94" s="17" t="s">
        <v>2540</v>
      </c>
      <c r="H94" s="98"/>
      <c r="I94" s="88"/>
      <c r="J94" s="19" t="s">
        <v>133</v>
      </c>
      <c r="K94" s="19" t="s">
        <v>2236</v>
      </c>
      <c r="L94" s="19" t="s">
        <v>134</v>
      </c>
    </row>
    <row r="95" spans="1:12" s="1" customFormat="1">
      <c r="B95" s="22" t="s">
        <v>2534</v>
      </c>
      <c r="C95" s="22" t="s">
        <v>2396</v>
      </c>
      <c r="D95" s="9" t="s">
        <v>2536</v>
      </c>
      <c r="E95" s="16" t="s">
        <v>128</v>
      </c>
      <c r="F95" s="22"/>
      <c r="G95" s="17" t="s">
        <v>2541</v>
      </c>
      <c r="H95" s="98"/>
      <c r="I95" s="88"/>
      <c r="J95" s="19" t="s">
        <v>133</v>
      </c>
      <c r="K95" s="19" t="s">
        <v>903</v>
      </c>
      <c r="L95" s="19" t="s">
        <v>134</v>
      </c>
    </row>
    <row r="96" spans="1:12" s="1" customFormat="1">
      <c r="B96" s="90" t="s">
        <v>2512</v>
      </c>
      <c r="C96" s="22" t="s">
        <v>45</v>
      </c>
      <c r="D96" s="9" t="s">
        <v>2516</v>
      </c>
      <c r="E96" s="16" t="s">
        <v>128</v>
      </c>
      <c r="F96" s="22"/>
      <c r="G96" s="17" t="s">
        <v>2518</v>
      </c>
      <c r="H96" s="98"/>
      <c r="I96" s="88"/>
      <c r="J96" s="19" t="s">
        <v>133</v>
      </c>
      <c r="K96" s="19" t="s">
        <v>903</v>
      </c>
      <c r="L96" s="19" t="s">
        <v>134</v>
      </c>
    </row>
    <row r="97" spans="1:12" s="1" customFormat="1">
      <c r="B97" s="90" t="s">
        <v>2513</v>
      </c>
      <c r="C97" s="22" t="s">
        <v>45</v>
      </c>
      <c r="D97" s="9" t="s">
        <v>2517</v>
      </c>
      <c r="E97" s="16" t="s">
        <v>128</v>
      </c>
      <c r="F97" s="22"/>
      <c r="G97" s="17" t="s">
        <v>2519</v>
      </c>
      <c r="H97" s="98"/>
      <c r="I97" s="88"/>
      <c r="J97" s="19" t="s">
        <v>133</v>
      </c>
      <c r="K97" s="19" t="s">
        <v>903</v>
      </c>
      <c r="L97" s="19" t="s">
        <v>134</v>
      </c>
    </row>
    <row r="98" spans="1:12" s="1" customFormat="1">
      <c r="B98" s="22" t="s">
        <v>2216</v>
      </c>
      <c r="C98" s="22" t="s">
        <v>45</v>
      </c>
      <c r="D98" s="9" t="s">
        <v>2036</v>
      </c>
      <c r="E98" s="16" t="s">
        <v>128</v>
      </c>
      <c r="F98" s="22"/>
      <c r="G98" s="17" t="s">
        <v>2282</v>
      </c>
      <c r="H98" s="18"/>
      <c r="I98" s="17"/>
      <c r="J98" s="19" t="s">
        <v>133</v>
      </c>
      <c r="K98" s="19" t="s">
        <v>2235</v>
      </c>
      <c r="L98" s="19" t="s">
        <v>67</v>
      </c>
    </row>
    <row r="99" spans="1:12" s="1" customFormat="1">
      <c r="B99" s="22" t="s">
        <v>2218</v>
      </c>
      <c r="C99" s="22" t="s">
        <v>45</v>
      </c>
      <c r="D99" s="9" t="s">
        <v>2219</v>
      </c>
      <c r="E99" s="16" t="s">
        <v>128</v>
      </c>
      <c r="F99" s="22"/>
      <c r="G99" s="17" t="s">
        <v>2283</v>
      </c>
      <c r="H99" s="18"/>
      <c r="I99" s="17"/>
      <c r="J99" s="19" t="s">
        <v>133</v>
      </c>
      <c r="K99" s="19" t="s">
        <v>1640</v>
      </c>
      <c r="L99" s="19" t="s">
        <v>67</v>
      </c>
    </row>
    <row r="100" spans="1:12" s="1" customFormat="1">
      <c r="B100" s="22" t="s">
        <v>2217</v>
      </c>
      <c r="C100" s="22" t="s">
        <v>45</v>
      </c>
      <c r="D100" s="9" t="s">
        <v>2035</v>
      </c>
      <c r="E100" s="16" t="s">
        <v>128</v>
      </c>
      <c r="F100" s="22"/>
      <c r="G100" s="17" t="s">
        <v>2284</v>
      </c>
      <c r="H100" s="18"/>
      <c r="I100" s="17"/>
      <c r="J100" s="19" t="s">
        <v>133</v>
      </c>
      <c r="K100" s="19" t="s">
        <v>2235</v>
      </c>
      <c r="L100" s="19" t="s">
        <v>67</v>
      </c>
    </row>
    <row r="101" spans="1:12" s="1" customFormat="1">
      <c r="B101" s="22" t="s">
        <v>2220</v>
      </c>
      <c r="C101" s="22" t="s">
        <v>45</v>
      </c>
      <c r="D101" s="9" t="s">
        <v>2225</v>
      </c>
      <c r="E101" s="16" t="s">
        <v>128</v>
      </c>
      <c r="F101" s="22"/>
      <c r="G101" s="17" t="s">
        <v>2285</v>
      </c>
      <c r="H101" s="18"/>
      <c r="I101" s="17"/>
      <c r="J101" s="19" t="s">
        <v>133</v>
      </c>
      <c r="K101" s="19" t="s">
        <v>1640</v>
      </c>
      <c r="L101" s="19" t="s">
        <v>67</v>
      </c>
    </row>
    <row r="102" spans="1:12" s="1" customFormat="1">
      <c r="B102" s="22" t="s">
        <v>2629</v>
      </c>
      <c r="C102" s="22" t="s">
        <v>45</v>
      </c>
      <c r="D102" s="9" t="s">
        <v>2141</v>
      </c>
      <c r="E102" s="16" t="s">
        <v>128</v>
      </c>
      <c r="F102" s="22"/>
      <c r="G102" s="17" t="s">
        <v>2286</v>
      </c>
      <c r="H102" s="18"/>
      <c r="I102" s="17"/>
      <c r="J102" s="19" t="s">
        <v>133</v>
      </c>
      <c r="K102" s="19" t="s">
        <v>903</v>
      </c>
      <c r="L102" s="19" t="s">
        <v>67</v>
      </c>
    </row>
    <row r="103" spans="1:12" s="1" customFormat="1">
      <c r="B103" s="22" t="s">
        <v>2630</v>
      </c>
      <c r="C103" s="22" t="s">
        <v>45</v>
      </c>
      <c r="D103" s="9" t="s">
        <v>2143</v>
      </c>
      <c r="E103" s="16" t="s">
        <v>128</v>
      </c>
      <c r="F103" s="22"/>
      <c r="G103" s="17" t="s">
        <v>2287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2" s="1" customFormat="1">
      <c r="B104" s="22" t="s">
        <v>2631</v>
      </c>
      <c r="C104" s="22" t="s">
        <v>45</v>
      </c>
      <c r="D104" s="9" t="s">
        <v>2145</v>
      </c>
      <c r="E104" s="16" t="s">
        <v>128</v>
      </c>
      <c r="F104" s="22"/>
      <c r="G104" s="17" t="s">
        <v>2288</v>
      </c>
      <c r="H104" s="18"/>
      <c r="I104" s="17"/>
      <c r="J104" s="19" t="s">
        <v>133</v>
      </c>
      <c r="K104" s="19" t="s">
        <v>903</v>
      </c>
      <c r="L104" s="19" t="s">
        <v>67</v>
      </c>
    </row>
    <row r="105" spans="1:12" s="1" customFormat="1">
      <c r="B105" s="22" t="s">
        <v>2632</v>
      </c>
      <c r="C105" s="22" t="s">
        <v>45</v>
      </c>
      <c r="D105" s="9" t="s">
        <v>2147</v>
      </c>
      <c r="E105" s="16" t="s">
        <v>128</v>
      </c>
      <c r="F105" s="22"/>
      <c r="G105" s="17" t="s">
        <v>2289</v>
      </c>
      <c r="H105" s="18"/>
      <c r="I105" s="17"/>
      <c r="J105" s="19" t="s">
        <v>133</v>
      </c>
      <c r="K105" s="19" t="s">
        <v>903</v>
      </c>
      <c r="L105" s="19" t="s">
        <v>67</v>
      </c>
    </row>
    <row r="106" spans="1:12" s="1" customFormat="1">
      <c r="B106" s="22" t="s">
        <v>2633</v>
      </c>
      <c r="C106" s="22" t="s">
        <v>45</v>
      </c>
      <c r="D106" s="9" t="s">
        <v>2149</v>
      </c>
      <c r="E106" s="16" t="s">
        <v>128</v>
      </c>
      <c r="F106" s="22"/>
      <c r="G106" s="17" t="s">
        <v>2290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B107" s="22" t="s">
        <v>2634</v>
      </c>
      <c r="C107" s="22" t="s">
        <v>45</v>
      </c>
      <c r="D107" s="9" t="s">
        <v>2151</v>
      </c>
      <c r="E107" s="16" t="s">
        <v>128</v>
      </c>
      <c r="F107" s="22"/>
      <c r="G107" s="17" t="s">
        <v>2291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2261</v>
      </c>
      <c r="C108" s="11" t="s">
        <v>280</v>
      </c>
      <c r="D108" s="9" t="s">
        <v>2038</v>
      </c>
      <c r="E108" s="16" t="s">
        <v>128</v>
      </c>
      <c r="F108" s="72"/>
      <c r="G108" s="17" t="s">
        <v>3075</v>
      </c>
      <c r="H108" s="18"/>
      <c r="I108" s="17"/>
      <c r="J108" s="19" t="s">
        <v>133</v>
      </c>
      <c r="K108" s="19" t="s">
        <v>903</v>
      </c>
      <c r="L108" s="19" t="s">
        <v>67</v>
      </c>
    </row>
    <row r="109" spans="1:12" s="1" customFormat="1">
      <c r="A109" s="15"/>
      <c r="B109" s="95" t="s">
        <v>2637</v>
      </c>
      <c r="C109" s="95" t="s">
        <v>45</v>
      </c>
      <c r="D109" s="96" t="s">
        <v>2636</v>
      </c>
      <c r="E109" s="16" t="s">
        <v>128</v>
      </c>
      <c r="F109" s="72"/>
      <c r="G109" s="17" t="s">
        <v>2292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95" t="s">
        <v>2043</v>
      </c>
      <c r="C110" s="95" t="s">
        <v>45</v>
      </c>
      <c r="D110" s="96" t="s">
        <v>2044</v>
      </c>
      <c r="E110" s="16" t="s">
        <v>128</v>
      </c>
      <c r="F110" s="72"/>
      <c r="G110" s="17" t="s">
        <v>2293</v>
      </c>
      <c r="H110" s="18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95" t="s">
        <v>2045</v>
      </c>
      <c r="C111" s="95" t="s">
        <v>45</v>
      </c>
      <c r="D111" s="96" t="s">
        <v>2046</v>
      </c>
      <c r="E111" s="16" t="s">
        <v>128</v>
      </c>
      <c r="F111" s="72"/>
      <c r="G111" s="17" t="s">
        <v>2294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95" t="s">
        <v>2047</v>
      </c>
      <c r="C112" s="95" t="s">
        <v>45</v>
      </c>
      <c r="D112" s="96" t="s">
        <v>2048</v>
      </c>
      <c r="E112" s="16" t="s">
        <v>128</v>
      </c>
      <c r="F112" s="72"/>
      <c r="G112" s="17" t="s">
        <v>2295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2" s="1" customFormat="1">
      <c r="A113" s="15"/>
      <c r="B113" s="95" t="s">
        <v>2049</v>
      </c>
      <c r="C113" s="95" t="s">
        <v>45</v>
      </c>
      <c r="D113" s="96" t="s">
        <v>2050</v>
      </c>
      <c r="E113" s="16" t="s">
        <v>128</v>
      </c>
      <c r="F113" s="72"/>
      <c r="G113" s="17" t="s">
        <v>2296</v>
      </c>
      <c r="H113" s="18"/>
      <c r="I113" s="17"/>
      <c r="J113" s="19" t="s">
        <v>133</v>
      </c>
      <c r="K113" s="19" t="s">
        <v>903</v>
      </c>
      <c r="L113" s="19" t="s">
        <v>67</v>
      </c>
    </row>
    <row r="114" spans="1:12" s="1" customFormat="1">
      <c r="A114" s="15"/>
      <c r="B114" s="11" t="s">
        <v>2263</v>
      </c>
      <c r="C114" s="95" t="s">
        <v>280</v>
      </c>
      <c r="D114" s="9" t="s">
        <v>2052</v>
      </c>
      <c r="E114" s="16" t="s">
        <v>128</v>
      </c>
      <c r="F114" s="72"/>
      <c r="G114" s="17" t="s">
        <v>3076</v>
      </c>
      <c r="H114" s="18"/>
      <c r="I114" s="17"/>
      <c r="J114" s="19" t="s">
        <v>133</v>
      </c>
      <c r="K114" s="19" t="s">
        <v>203</v>
      </c>
      <c r="L114" s="19" t="s">
        <v>67</v>
      </c>
    </row>
    <row r="115" spans="1:12" s="1" customFormat="1">
      <c r="A115" s="15"/>
      <c r="B115" s="11" t="s">
        <v>2053</v>
      </c>
      <c r="C115" s="11" t="s">
        <v>45</v>
      </c>
      <c r="D115" s="9" t="s">
        <v>2054</v>
      </c>
      <c r="E115" s="16" t="s">
        <v>128</v>
      </c>
      <c r="F115" s="72"/>
      <c r="G115" s="17" t="s">
        <v>2297</v>
      </c>
      <c r="H115" s="18"/>
      <c r="I115" s="17"/>
      <c r="J115" s="19" t="s">
        <v>133</v>
      </c>
      <c r="K115" s="19" t="s">
        <v>903</v>
      </c>
      <c r="L115" s="19" t="s">
        <v>67</v>
      </c>
    </row>
    <row r="116" spans="1:12" s="1" customFormat="1">
      <c r="A116" s="15"/>
      <c r="B116" s="11" t="s">
        <v>2055</v>
      </c>
      <c r="C116" s="11" t="s">
        <v>45</v>
      </c>
      <c r="D116" s="9" t="s">
        <v>2056</v>
      </c>
      <c r="E116" s="16" t="s">
        <v>128</v>
      </c>
      <c r="F116" s="72"/>
      <c r="G116" s="17" t="s">
        <v>2298</v>
      </c>
      <c r="H116" s="18"/>
      <c r="I116" s="17"/>
      <c r="J116" s="19" t="s">
        <v>133</v>
      </c>
      <c r="K116" s="19" t="s">
        <v>903</v>
      </c>
      <c r="L116" s="19" t="s">
        <v>67</v>
      </c>
    </row>
    <row r="117" spans="1:12" s="1" customFormat="1">
      <c r="A117" s="15"/>
      <c r="B117" s="11" t="s">
        <v>2057</v>
      </c>
      <c r="C117" s="11" t="s">
        <v>45</v>
      </c>
      <c r="D117" s="9" t="s">
        <v>2058</v>
      </c>
      <c r="E117" s="16" t="s">
        <v>128</v>
      </c>
      <c r="F117" s="72"/>
      <c r="G117" s="17" t="s">
        <v>2299</v>
      </c>
      <c r="H117" s="18"/>
      <c r="I117" s="17"/>
      <c r="J117" s="19" t="s">
        <v>133</v>
      </c>
      <c r="K117" s="19" t="s">
        <v>903</v>
      </c>
      <c r="L117" s="19" t="s">
        <v>67</v>
      </c>
    </row>
    <row r="118" spans="1:12" s="1" customFormat="1">
      <c r="A118" s="15"/>
      <c r="B118" s="11" t="s">
        <v>2059</v>
      </c>
      <c r="C118" s="11" t="s">
        <v>45</v>
      </c>
      <c r="D118" s="9" t="s">
        <v>2060</v>
      </c>
      <c r="E118" s="16" t="s">
        <v>128</v>
      </c>
      <c r="F118" s="72"/>
      <c r="G118" s="17" t="s">
        <v>2300</v>
      </c>
      <c r="H118" s="18"/>
      <c r="I118" s="17"/>
      <c r="J118" s="19" t="s">
        <v>133</v>
      </c>
      <c r="K118" s="19" t="s">
        <v>903</v>
      </c>
      <c r="L118" s="19" t="s">
        <v>67</v>
      </c>
    </row>
    <row r="119" spans="1:12" s="1" customFormat="1">
      <c r="A119" s="15"/>
      <c r="B119" s="11" t="s">
        <v>2061</v>
      </c>
      <c r="C119" s="11" t="s">
        <v>45</v>
      </c>
      <c r="D119" s="9" t="s">
        <v>2062</v>
      </c>
      <c r="E119" s="16" t="s">
        <v>128</v>
      </c>
      <c r="F119" s="72"/>
      <c r="G119" s="17" t="s">
        <v>2301</v>
      </c>
      <c r="H119" s="18"/>
      <c r="I119" s="17"/>
      <c r="J119" s="19" t="s">
        <v>133</v>
      </c>
      <c r="K119" s="19" t="s">
        <v>903</v>
      </c>
      <c r="L119" s="19" t="s">
        <v>67</v>
      </c>
    </row>
    <row r="120" spans="1:12" s="1" customFormat="1">
      <c r="A120" s="15"/>
      <c r="B120" s="11" t="s">
        <v>2264</v>
      </c>
      <c r="C120" s="95" t="s">
        <v>280</v>
      </c>
      <c r="D120" s="9" t="s">
        <v>2158</v>
      </c>
      <c r="E120" s="16" t="s">
        <v>128</v>
      </c>
      <c r="F120" s="72"/>
      <c r="G120" s="17" t="s">
        <v>3077</v>
      </c>
      <c r="H120" s="18"/>
      <c r="I120" s="17"/>
      <c r="J120" s="19" t="s">
        <v>133</v>
      </c>
      <c r="K120" s="19" t="s">
        <v>202</v>
      </c>
      <c r="L120" s="19" t="s">
        <v>67</v>
      </c>
    </row>
    <row r="121" spans="1:12" s="1" customFormat="1">
      <c r="A121" s="15"/>
      <c r="B121" s="95" t="s">
        <v>2640</v>
      </c>
      <c r="C121" s="95" t="s">
        <v>45</v>
      </c>
      <c r="D121" s="96" t="s">
        <v>2077</v>
      </c>
      <c r="E121" s="16" t="s">
        <v>128</v>
      </c>
      <c r="F121" s="72"/>
      <c r="G121" s="17" t="s">
        <v>2302</v>
      </c>
      <c r="H121" s="18"/>
      <c r="I121" s="17"/>
      <c r="J121" s="19" t="s">
        <v>133</v>
      </c>
      <c r="K121" s="19" t="s">
        <v>903</v>
      </c>
      <c r="L121" s="19" t="s">
        <v>67</v>
      </c>
    </row>
    <row r="122" spans="1:12" s="1" customFormat="1">
      <c r="A122" s="15"/>
      <c r="B122" s="95" t="s">
        <v>2078</v>
      </c>
      <c r="C122" s="95" t="s">
        <v>45</v>
      </c>
      <c r="D122" s="96" t="s">
        <v>2079</v>
      </c>
      <c r="E122" s="16" t="s">
        <v>128</v>
      </c>
      <c r="F122" s="72"/>
      <c r="G122" s="17" t="s">
        <v>2303</v>
      </c>
      <c r="H122" s="18"/>
      <c r="I122" s="17"/>
      <c r="J122" s="19" t="s">
        <v>133</v>
      </c>
      <c r="K122" s="19" t="s">
        <v>903</v>
      </c>
      <c r="L122" s="19" t="s">
        <v>67</v>
      </c>
    </row>
    <row r="123" spans="1:12" s="1" customFormat="1">
      <c r="A123" s="15"/>
      <c r="B123" s="95" t="s">
        <v>2080</v>
      </c>
      <c r="C123" s="95" t="s">
        <v>45</v>
      </c>
      <c r="D123" s="96" t="s">
        <v>2081</v>
      </c>
      <c r="E123" s="16" t="s">
        <v>128</v>
      </c>
      <c r="F123" s="72"/>
      <c r="G123" s="17" t="s">
        <v>2304</v>
      </c>
      <c r="H123" s="18"/>
      <c r="I123" s="17"/>
      <c r="J123" s="19" t="s">
        <v>133</v>
      </c>
      <c r="K123" s="19" t="s">
        <v>903</v>
      </c>
      <c r="L123" s="19" t="s">
        <v>67</v>
      </c>
    </row>
    <row r="124" spans="1:12" s="1" customFormat="1">
      <c r="A124" s="15"/>
      <c r="B124" s="95" t="s">
        <v>2082</v>
      </c>
      <c r="C124" s="95" t="s">
        <v>45</v>
      </c>
      <c r="D124" s="96" t="s">
        <v>2083</v>
      </c>
      <c r="E124" s="16" t="s">
        <v>128</v>
      </c>
      <c r="F124" s="72"/>
      <c r="G124" s="17" t="s">
        <v>2305</v>
      </c>
      <c r="H124" s="18"/>
      <c r="I124" s="17"/>
      <c r="J124" s="19" t="s">
        <v>133</v>
      </c>
      <c r="K124" s="19" t="s">
        <v>903</v>
      </c>
      <c r="L124" s="19" t="s">
        <v>67</v>
      </c>
    </row>
    <row r="125" spans="1:12" s="1" customFormat="1">
      <c r="A125" s="15"/>
      <c r="B125" s="95" t="s">
        <v>2084</v>
      </c>
      <c r="C125" s="95" t="s">
        <v>45</v>
      </c>
      <c r="D125" s="96" t="s">
        <v>2085</v>
      </c>
      <c r="E125" s="16" t="s">
        <v>128</v>
      </c>
      <c r="F125" s="72"/>
      <c r="G125" s="17" t="s">
        <v>2306</v>
      </c>
      <c r="H125" s="18"/>
      <c r="I125" s="17"/>
      <c r="J125" s="19" t="s">
        <v>133</v>
      </c>
      <c r="K125" s="19" t="s">
        <v>903</v>
      </c>
      <c r="L125" s="19" t="s">
        <v>67</v>
      </c>
    </row>
    <row r="126" spans="1:12" s="1" customFormat="1">
      <c r="B126" s="22" t="s">
        <v>2206</v>
      </c>
      <c r="C126" s="22" t="s">
        <v>45</v>
      </c>
      <c r="D126" s="9" t="s">
        <v>2207</v>
      </c>
      <c r="E126" s="16" t="s">
        <v>128</v>
      </c>
      <c r="F126" s="22"/>
      <c r="G126" s="17" t="s">
        <v>2648</v>
      </c>
      <c r="H126" s="18"/>
      <c r="I126" s="17"/>
      <c r="J126" s="19" t="s">
        <v>133</v>
      </c>
      <c r="K126" s="19" t="s">
        <v>2235</v>
      </c>
      <c r="L126" s="19" t="s">
        <v>2237</v>
      </c>
    </row>
    <row r="127" spans="1:12" s="1" customFormat="1">
      <c r="B127" s="22" t="s">
        <v>2205</v>
      </c>
      <c r="C127" s="22" t="s">
        <v>45</v>
      </c>
      <c r="D127" s="9" t="s">
        <v>2199</v>
      </c>
      <c r="E127" s="16" t="s">
        <v>128</v>
      </c>
      <c r="F127" s="22"/>
      <c r="G127" s="17" t="s">
        <v>2319</v>
      </c>
      <c r="H127" s="18"/>
      <c r="I127" s="17"/>
      <c r="J127" s="19" t="s">
        <v>133</v>
      </c>
      <c r="K127" s="19" t="s">
        <v>1640</v>
      </c>
      <c r="L127" s="19" t="s">
        <v>67</v>
      </c>
    </row>
    <row r="128" spans="1:12" s="1" customFormat="1">
      <c r="A128" s="15"/>
      <c r="B128" s="95" t="s">
        <v>2104</v>
      </c>
      <c r="C128" s="95" t="s">
        <v>280</v>
      </c>
      <c r="D128" s="96" t="s">
        <v>2093</v>
      </c>
      <c r="E128" s="16" t="s">
        <v>128</v>
      </c>
      <c r="F128" s="72"/>
      <c r="G128" s="17" t="s">
        <v>2320</v>
      </c>
      <c r="H128" s="18"/>
      <c r="I128" s="17"/>
      <c r="J128" s="19" t="s">
        <v>133</v>
      </c>
      <c r="K128" s="19" t="s">
        <v>2235</v>
      </c>
      <c r="L128" s="19" t="s">
        <v>2237</v>
      </c>
    </row>
    <row r="129" spans="1:17" s="1" customFormat="1">
      <c r="A129" s="15"/>
      <c r="B129" s="95" t="s">
        <v>2641</v>
      </c>
      <c r="C129" s="95" t="s">
        <v>45</v>
      </c>
      <c r="D129" s="96" t="s">
        <v>2099</v>
      </c>
      <c r="E129" s="16" t="s">
        <v>128</v>
      </c>
      <c r="F129" s="72"/>
      <c r="G129" s="17" t="s">
        <v>2308</v>
      </c>
      <c r="H129" s="18"/>
      <c r="I129" s="17"/>
      <c r="J129" s="19" t="s">
        <v>133</v>
      </c>
      <c r="K129" s="19" t="s">
        <v>1640</v>
      </c>
      <c r="L129" s="19" t="s">
        <v>67</v>
      </c>
    </row>
    <row r="130" spans="1:17" s="1" customFormat="1">
      <c r="A130" s="15"/>
      <c r="B130" s="95" t="s">
        <v>2095</v>
      </c>
      <c r="C130" s="95" t="s">
        <v>45</v>
      </c>
      <c r="D130" s="96" t="s">
        <v>2100</v>
      </c>
      <c r="E130" s="16" t="s">
        <v>128</v>
      </c>
      <c r="F130" s="72"/>
      <c r="G130" s="17" t="s">
        <v>2309</v>
      </c>
      <c r="H130" s="18"/>
      <c r="I130" s="17"/>
      <c r="J130" s="19" t="s">
        <v>133</v>
      </c>
      <c r="K130" s="19" t="s">
        <v>1640</v>
      </c>
      <c r="L130" s="19" t="s">
        <v>67</v>
      </c>
    </row>
    <row r="131" spans="1:17" s="1" customFormat="1">
      <c r="A131" s="15"/>
      <c r="B131" s="95" t="s">
        <v>2096</v>
      </c>
      <c r="C131" s="95" t="s">
        <v>45</v>
      </c>
      <c r="D131" s="96" t="s">
        <v>2101</v>
      </c>
      <c r="E131" s="16" t="s">
        <v>128</v>
      </c>
      <c r="F131" s="72"/>
      <c r="G131" s="17" t="s">
        <v>2310</v>
      </c>
      <c r="H131" s="18"/>
      <c r="I131" s="17"/>
      <c r="J131" s="19" t="s">
        <v>133</v>
      </c>
      <c r="K131" s="19" t="s">
        <v>1640</v>
      </c>
      <c r="L131" s="19" t="s">
        <v>67</v>
      </c>
    </row>
    <row r="132" spans="1:17" s="1" customFormat="1">
      <c r="A132" s="15"/>
      <c r="B132" s="95" t="s">
        <v>2097</v>
      </c>
      <c r="C132" s="95" t="s">
        <v>45</v>
      </c>
      <c r="D132" s="96" t="s">
        <v>2102</v>
      </c>
      <c r="E132" s="16" t="s">
        <v>128</v>
      </c>
      <c r="F132" s="72"/>
      <c r="G132" s="17" t="s">
        <v>2311</v>
      </c>
      <c r="H132" s="18"/>
      <c r="I132" s="17"/>
      <c r="J132" s="19" t="s">
        <v>133</v>
      </c>
      <c r="K132" s="19" t="s">
        <v>1640</v>
      </c>
      <c r="L132" s="19" t="s">
        <v>67</v>
      </c>
    </row>
    <row r="133" spans="1:17" s="1" customFormat="1">
      <c r="A133" s="15"/>
      <c r="B133" s="95" t="s">
        <v>2098</v>
      </c>
      <c r="C133" s="95" t="s">
        <v>45</v>
      </c>
      <c r="D133" s="96" t="s">
        <v>2103</v>
      </c>
      <c r="E133" s="16" t="s">
        <v>128</v>
      </c>
      <c r="F133" s="72"/>
      <c r="G133" s="17" t="s">
        <v>2312</v>
      </c>
      <c r="H133" s="18"/>
      <c r="I133" s="17"/>
      <c r="J133" s="19" t="s">
        <v>133</v>
      </c>
      <c r="K133" s="19" t="s">
        <v>1640</v>
      </c>
      <c r="L133" s="19" t="s">
        <v>67</v>
      </c>
    </row>
    <row r="134" spans="1:17" s="1" customFormat="1">
      <c r="A134" s="15"/>
      <c r="B134" s="95" t="s">
        <v>2210</v>
      </c>
      <c r="C134" s="95" t="s">
        <v>45</v>
      </c>
      <c r="D134" s="9" t="s">
        <v>2212</v>
      </c>
      <c r="E134" s="16" t="s">
        <v>128</v>
      </c>
      <c r="F134" s="72"/>
      <c r="G134" s="17" t="s">
        <v>2313</v>
      </c>
      <c r="H134" s="18"/>
      <c r="I134" s="17"/>
      <c r="J134" s="19" t="s">
        <v>133</v>
      </c>
      <c r="K134" s="19" t="s">
        <v>2235</v>
      </c>
      <c r="L134" s="19" t="s">
        <v>2237</v>
      </c>
    </row>
    <row r="135" spans="1:17" s="1" customFormat="1">
      <c r="A135" s="15"/>
      <c r="B135" s="95" t="s">
        <v>2211</v>
      </c>
      <c r="C135" s="95" t="s">
        <v>45</v>
      </c>
      <c r="D135" s="9" t="s">
        <v>2213</v>
      </c>
      <c r="E135" s="16" t="s">
        <v>128</v>
      </c>
      <c r="F135" s="72"/>
      <c r="G135" s="17" t="s">
        <v>2321</v>
      </c>
      <c r="H135" s="18"/>
      <c r="I135" s="17"/>
      <c r="J135" s="19" t="s">
        <v>133</v>
      </c>
      <c r="K135" s="19" t="s">
        <v>1640</v>
      </c>
      <c r="L135" s="19" t="s">
        <v>67</v>
      </c>
    </row>
    <row r="136" spans="1:17" s="1" customFormat="1">
      <c r="A136" s="15"/>
      <c r="B136" s="95" t="s">
        <v>2112</v>
      </c>
      <c r="C136" s="95" t="s">
        <v>280</v>
      </c>
      <c r="D136" s="96" t="s">
        <v>2123</v>
      </c>
      <c r="E136" s="16" t="s">
        <v>128</v>
      </c>
      <c r="F136" s="72"/>
      <c r="G136" s="17" t="s">
        <v>2322</v>
      </c>
      <c r="H136" s="18"/>
      <c r="I136" s="17"/>
      <c r="J136" s="19" t="s">
        <v>133</v>
      </c>
      <c r="K136" s="19" t="s">
        <v>2235</v>
      </c>
      <c r="L136" s="19" t="s">
        <v>2237</v>
      </c>
    </row>
    <row r="137" spans="1:17" s="1" customFormat="1">
      <c r="A137" s="15"/>
      <c r="B137" s="95" t="s">
        <v>2642</v>
      </c>
      <c r="C137" s="95" t="s">
        <v>45</v>
      </c>
      <c r="D137" s="96" t="s">
        <v>2114</v>
      </c>
      <c r="E137" s="16" t="s">
        <v>128</v>
      </c>
      <c r="F137" s="72"/>
      <c r="G137" s="17" t="s">
        <v>2314</v>
      </c>
      <c r="H137" s="18"/>
      <c r="I137" s="17"/>
      <c r="J137" s="19" t="s">
        <v>133</v>
      </c>
      <c r="K137" s="19" t="s">
        <v>1640</v>
      </c>
      <c r="L137" s="19" t="s">
        <v>67</v>
      </c>
    </row>
    <row r="138" spans="1:17" s="1" customFormat="1">
      <c r="A138" s="15"/>
      <c r="B138" s="95" t="s">
        <v>2115</v>
      </c>
      <c r="C138" s="95" t="s">
        <v>45</v>
      </c>
      <c r="D138" s="96" t="s">
        <v>2116</v>
      </c>
      <c r="E138" s="16" t="s">
        <v>128</v>
      </c>
      <c r="F138" s="72"/>
      <c r="G138" s="17" t="s">
        <v>2315</v>
      </c>
      <c r="H138" s="18"/>
      <c r="I138" s="17"/>
      <c r="J138" s="19" t="s">
        <v>133</v>
      </c>
      <c r="K138" s="19" t="s">
        <v>1640</v>
      </c>
      <c r="L138" s="19" t="s">
        <v>67</v>
      </c>
    </row>
    <row r="139" spans="1:17" s="1" customFormat="1">
      <c r="A139" s="15"/>
      <c r="B139" s="95" t="s">
        <v>2117</v>
      </c>
      <c r="C139" s="95" t="s">
        <v>45</v>
      </c>
      <c r="D139" s="96" t="s">
        <v>2118</v>
      </c>
      <c r="E139" s="16" t="s">
        <v>128</v>
      </c>
      <c r="F139" s="72"/>
      <c r="G139" s="17" t="s">
        <v>2316</v>
      </c>
      <c r="H139" s="18"/>
      <c r="I139" s="17"/>
      <c r="J139" s="19" t="s">
        <v>133</v>
      </c>
      <c r="K139" s="19" t="s">
        <v>1640</v>
      </c>
      <c r="L139" s="19" t="s">
        <v>67</v>
      </c>
    </row>
    <row r="140" spans="1:17" s="1" customFormat="1">
      <c r="A140" s="15"/>
      <c r="B140" s="95" t="s">
        <v>2119</v>
      </c>
      <c r="C140" s="95" t="s">
        <v>45</v>
      </c>
      <c r="D140" s="96" t="s">
        <v>2120</v>
      </c>
      <c r="E140" s="16" t="s">
        <v>128</v>
      </c>
      <c r="F140" s="72"/>
      <c r="G140" s="17" t="s">
        <v>2317</v>
      </c>
      <c r="H140" s="18"/>
      <c r="I140" s="17"/>
      <c r="J140" s="19" t="s">
        <v>133</v>
      </c>
      <c r="K140" s="19" t="s">
        <v>1640</v>
      </c>
      <c r="L140" s="19" t="s">
        <v>67</v>
      </c>
    </row>
    <row r="141" spans="1:17" s="1" customFormat="1">
      <c r="A141" s="15"/>
      <c r="B141" s="95" t="s">
        <v>2121</v>
      </c>
      <c r="C141" s="95" t="s">
        <v>45</v>
      </c>
      <c r="D141" s="96" t="s">
        <v>2122</v>
      </c>
      <c r="E141" s="16" t="s">
        <v>128</v>
      </c>
      <c r="F141" s="72"/>
      <c r="G141" s="17" t="s">
        <v>2318</v>
      </c>
      <c r="H141" s="18"/>
      <c r="I141" s="17"/>
      <c r="J141" s="19" t="s">
        <v>133</v>
      </c>
      <c r="K141" s="19" t="s">
        <v>1640</v>
      </c>
      <c r="L141" s="19" t="s">
        <v>67</v>
      </c>
    </row>
    <row r="142" spans="1:17" s="1" customFormat="1">
      <c r="A142" s="15"/>
      <c r="B142" s="11" t="s">
        <v>315</v>
      </c>
      <c r="C142" s="11" t="s">
        <v>45</v>
      </c>
      <c r="D142" s="9" t="s">
        <v>112</v>
      </c>
      <c r="E142" s="16" t="s">
        <v>128</v>
      </c>
      <c r="F142" s="72"/>
      <c r="G142" s="17" t="s">
        <v>1145</v>
      </c>
      <c r="H142" s="18"/>
      <c r="I142" s="17"/>
      <c r="J142" s="19" t="s">
        <v>133</v>
      </c>
      <c r="K142" s="19" t="s">
        <v>44</v>
      </c>
      <c r="L142" s="19" t="s">
        <v>67</v>
      </c>
    </row>
    <row r="143" spans="1:17" s="3" customFormat="1">
      <c r="B143" s="23" t="s">
        <v>47</v>
      </c>
      <c r="C143" s="24" t="s">
        <v>46</v>
      </c>
      <c r="D143" s="21" t="s">
        <v>48</v>
      </c>
      <c r="E143" s="44"/>
      <c r="F143" s="44"/>
      <c r="G143" s="44" t="s">
        <v>282</v>
      </c>
      <c r="H143" s="23" t="s">
        <v>282</v>
      </c>
      <c r="I143" s="23"/>
      <c r="J143" s="23"/>
      <c r="K143" s="23"/>
      <c r="L143" s="23"/>
      <c r="M143" s="23"/>
      <c r="N143" s="23"/>
      <c r="O143" s="23"/>
      <c r="P143" s="23"/>
      <c r="Q143" s="23"/>
    </row>
    <row r="144" spans="1:17" s="3" customFormat="1">
      <c r="B144" s="23" t="s">
        <v>49</v>
      </c>
      <c r="C144" s="24" t="s">
        <v>43</v>
      </c>
      <c r="D144" s="21" t="s">
        <v>50</v>
      </c>
      <c r="E144" s="44"/>
      <c r="F144" s="44"/>
      <c r="G144" s="44" t="s">
        <v>282</v>
      </c>
      <c r="H144" s="23" t="s">
        <v>282</v>
      </c>
      <c r="I144" s="23"/>
      <c r="J144" s="23"/>
      <c r="K144" s="23"/>
      <c r="L144" s="23"/>
      <c r="M144" s="23"/>
      <c r="N144" s="23"/>
      <c r="O144" s="23"/>
      <c r="P144" s="23"/>
      <c r="Q144" s="23"/>
    </row>
    <row r="145" spans="2:17" s="3" customFormat="1">
      <c r="B145" s="23" t="s">
        <v>51</v>
      </c>
      <c r="C145" s="24" t="s">
        <v>46</v>
      </c>
      <c r="D145" s="21" t="s">
        <v>52</v>
      </c>
      <c r="E145" s="44"/>
      <c r="F145" s="44"/>
      <c r="G145" s="44" t="s">
        <v>282</v>
      </c>
      <c r="H145" s="23" t="s">
        <v>282</v>
      </c>
      <c r="I145" s="23"/>
      <c r="J145" s="23"/>
      <c r="K145" s="23"/>
      <c r="L145" s="23"/>
      <c r="M145" s="23"/>
      <c r="N145" s="23"/>
      <c r="O145" s="23"/>
      <c r="P145" s="23"/>
      <c r="Q145" s="23"/>
    </row>
    <row r="146" spans="2:17" s="3" customFormat="1">
      <c r="B146" s="23" t="s">
        <v>120</v>
      </c>
      <c r="C146" s="24" t="s">
        <v>46</v>
      </c>
      <c r="D146" s="21" t="s">
        <v>270</v>
      </c>
      <c r="E146" s="44"/>
      <c r="F146" s="44"/>
      <c r="G146" s="44" t="s">
        <v>282</v>
      </c>
      <c r="H146" s="23" t="s">
        <v>282</v>
      </c>
      <c r="I146" s="23"/>
      <c r="J146" s="23"/>
      <c r="K146" s="23"/>
      <c r="L146" s="23"/>
      <c r="M146" s="23"/>
      <c r="N146" s="23"/>
      <c r="O146" s="23"/>
      <c r="P146" s="23"/>
      <c r="Q146" s="23"/>
    </row>
  </sheetData>
  <autoFilter ref="A13:Q145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7BE8-1676-4F01-A84E-42B7271539AB}">
  <dimension ref="A1:Q93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4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1830</v>
      </c>
      <c r="C5" s="26" t="s">
        <v>2545</v>
      </c>
      <c r="D5" s="82" t="s">
        <v>2549</v>
      </c>
      <c r="E5" s="11" t="s">
        <v>92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1832</v>
      </c>
      <c r="D9" s="82" t="s">
        <v>1816</v>
      </c>
      <c r="E9" s="11" t="s">
        <v>55</v>
      </c>
      <c r="F9" s="17"/>
      <c r="G9" s="136" t="s">
        <v>2568</v>
      </c>
      <c r="H9" s="14" t="s">
        <v>17</v>
      </c>
    </row>
    <row r="10" spans="2:14">
      <c r="B10" s="11"/>
      <c r="C10" s="9" t="s">
        <v>2551</v>
      </c>
      <c r="D10" s="82" t="s">
        <v>2566</v>
      </c>
      <c r="E10" s="11" t="s">
        <v>256</v>
      </c>
      <c r="F10" s="17" t="s">
        <v>1817</v>
      </c>
      <c r="G10" s="136"/>
      <c r="H10" s="14"/>
    </row>
    <row r="12" spans="2:14">
      <c r="B12" s="4" t="s">
        <v>32</v>
      </c>
    </row>
    <row r="13" spans="2:14">
      <c r="B13" s="124" t="s">
        <v>32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</row>
    <row r="14" spans="2:14">
      <c r="B14" s="7" t="s">
        <v>33</v>
      </c>
      <c r="C14" s="7" t="s">
        <v>34</v>
      </c>
      <c r="D14" s="7" t="s">
        <v>35</v>
      </c>
      <c r="E14" s="7" t="s">
        <v>36</v>
      </c>
      <c r="F14" s="12" t="s">
        <v>37</v>
      </c>
      <c r="G14" s="12" t="s">
        <v>38</v>
      </c>
      <c r="H14" s="7" t="s">
        <v>39</v>
      </c>
      <c r="I14" s="7" t="s">
        <v>14</v>
      </c>
      <c r="J14" s="7" t="s">
        <v>40</v>
      </c>
      <c r="K14" s="7" t="s">
        <v>41</v>
      </c>
      <c r="L14" s="7" t="s">
        <v>42</v>
      </c>
    </row>
    <row r="15" spans="2:14" s="1" customFormat="1">
      <c r="B15" s="22" t="s">
        <v>1168</v>
      </c>
      <c r="C15" s="22" t="s">
        <v>43</v>
      </c>
      <c r="D15" s="9" t="s">
        <v>1265</v>
      </c>
      <c r="E15" s="16" t="s">
        <v>128</v>
      </c>
      <c r="F15" s="17" t="s">
        <v>118</v>
      </c>
      <c r="G15" s="17" t="s">
        <v>129</v>
      </c>
      <c r="H15" s="16"/>
      <c r="I15" s="19"/>
      <c r="J15" s="19" t="s">
        <v>131</v>
      </c>
      <c r="K15" s="19" t="s">
        <v>132</v>
      </c>
      <c r="L15" s="19" t="s">
        <v>674</v>
      </c>
    </row>
    <row r="16" spans="2:14" s="1" customFormat="1">
      <c r="B16" s="22" t="s">
        <v>1067</v>
      </c>
      <c r="C16" s="22" t="s">
        <v>46</v>
      </c>
      <c r="D16" s="9" t="s">
        <v>1160</v>
      </c>
      <c r="E16" s="16" t="s">
        <v>128</v>
      </c>
      <c r="F16" s="17" t="s">
        <v>119</v>
      </c>
      <c r="G16" s="17" t="s">
        <v>129</v>
      </c>
      <c r="H16" s="16"/>
      <c r="I16" s="19"/>
      <c r="J16" s="19" t="s">
        <v>131</v>
      </c>
      <c r="K16" s="19" t="s">
        <v>132</v>
      </c>
      <c r="L16" s="19" t="s">
        <v>675</v>
      </c>
    </row>
    <row r="17" spans="1:13" s="1" customFormat="1">
      <c r="B17" s="22" t="s">
        <v>77</v>
      </c>
      <c r="C17" s="22" t="s">
        <v>46</v>
      </c>
      <c r="D17" s="9" t="s">
        <v>329</v>
      </c>
      <c r="E17" s="16" t="s">
        <v>1617</v>
      </c>
      <c r="F17" s="17" t="s">
        <v>1879</v>
      </c>
      <c r="G17" s="17" t="s">
        <v>129</v>
      </c>
      <c r="H17" s="16"/>
      <c r="I17" s="19"/>
      <c r="J17" s="19" t="s">
        <v>131</v>
      </c>
      <c r="K17" s="19" t="s">
        <v>132</v>
      </c>
      <c r="L17" s="86">
        <v>100</v>
      </c>
    </row>
    <row r="18" spans="1:13" s="1" customFormat="1">
      <c r="A18" s="15"/>
      <c r="B18" s="22" t="s">
        <v>80</v>
      </c>
      <c r="C18" s="22" t="s">
        <v>94</v>
      </c>
      <c r="D18" s="9" t="s">
        <v>99</v>
      </c>
      <c r="E18" s="16"/>
      <c r="F18" s="17"/>
      <c r="G18" s="17" t="s">
        <v>2590</v>
      </c>
      <c r="H18" s="16"/>
      <c r="I18" s="20"/>
      <c r="J18" s="19" t="s">
        <v>131</v>
      </c>
      <c r="K18" s="19" t="s">
        <v>132</v>
      </c>
      <c r="L18" s="86">
        <v>10</v>
      </c>
    </row>
    <row r="19" spans="1:13" s="1" customFormat="1">
      <c r="A19" s="15"/>
      <c r="B19" s="22" t="s">
        <v>3228</v>
      </c>
      <c r="C19" s="22" t="s">
        <v>43</v>
      </c>
      <c r="D19" s="9" t="s">
        <v>1178</v>
      </c>
      <c r="E19" s="16" t="s">
        <v>1617</v>
      </c>
      <c r="F19" s="17" t="s">
        <v>1069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132</v>
      </c>
    </row>
    <row r="20" spans="1:13" s="1" customFormat="1">
      <c r="A20" s="15"/>
      <c r="B20" s="22" t="s">
        <v>1068</v>
      </c>
      <c r="C20" s="22" t="s">
        <v>46</v>
      </c>
      <c r="D20" s="9" t="s">
        <v>1267</v>
      </c>
      <c r="E20" s="16" t="s">
        <v>1617</v>
      </c>
      <c r="F20" s="17" t="s">
        <v>1068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679</v>
      </c>
    </row>
    <row r="21" spans="1:13" s="1" customFormat="1">
      <c r="A21" s="15"/>
      <c r="B21" s="11" t="s">
        <v>64</v>
      </c>
      <c r="C21" s="22" t="s">
        <v>43</v>
      </c>
      <c r="D21" s="9" t="s">
        <v>63</v>
      </c>
      <c r="E21" s="16" t="s">
        <v>1617</v>
      </c>
      <c r="F21" s="17" t="s">
        <v>64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132</v>
      </c>
    </row>
    <row r="22" spans="1:13" s="1" customFormat="1">
      <c r="A22" s="15"/>
      <c r="B22" s="11" t="s">
        <v>61</v>
      </c>
      <c r="C22" s="22" t="s">
        <v>46</v>
      </c>
      <c r="D22" s="9" t="s">
        <v>1796</v>
      </c>
      <c r="E22" s="16" t="s">
        <v>1617</v>
      </c>
      <c r="F22" s="17" t="s">
        <v>61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679</v>
      </c>
    </row>
    <row r="23" spans="1:13" s="1" customFormat="1">
      <c r="A23" s="15"/>
      <c r="B23" s="11" t="s">
        <v>65</v>
      </c>
      <c r="C23" s="22" t="s">
        <v>43</v>
      </c>
      <c r="D23" s="9" t="s">
        <v>1797</v>
      </c>
      <c r="E23" s="16" t="s">
        <v>1617</v>
      </c>
      <c r="F23" s="17" t="s">
        <v>65</v>
      </c>
      <c r="G23" s="17" t="s">
        <v>129</v>
      </c>
      <c r="H23" s="16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62</v>
      </c>
      <c r="C24" s="22" t="s">
        <v>46</v>
      </c>
      <c r="D24" s="9" t="s">
        <v>1268</v>
      </c>
      <c r="E24" s="16" t="s">
        <v>1617</v>
      </c>
      <c r="F24" s="17" t="s">
        <v>62</v>
      </c>
      <c r="G24" s="17" t="s">
        <v>129</v>
      </c>
      <c r="H24" s="16"/>
      <c r="I24" s="20"/>
      <c r="J24" s="19" t="s">
        <v>131</v>
      </c>
      <c r="K24" s="19" t="s">
        <v>132</v>
      </c>
      <c r="L24" s="19" t="s">
        <v>679</v>
      </c>
    </row>
    <row r="25" spans="1:13" s="1" customFormat="1">
      <c r="A25" s="15"/>
      <c r="B25" s="11" t="s">
        <v>66</v>
      </c>
      <c r="C25" s="11" t="s">
        <v>43</v>
      </c>
      <c r="D25" s="9" t="s">
        <v>68</v>
      </c>
      <c r="E25" s="16" t="s">
        <v>1617</v>
      </c>
      <c r="F25" s="17" t="s">
        <v>66</v>
      </c>
      <c r="G25" s="17" t="s">
        <v>129</v>
      </c>
      <c r="H25" s="16"/>
      <c r="I25" s="35"/>
      <c r="J25" s="19" t="s">
        <v>131</v>
      </c>
      <c r="K25" s="19" t="s">
        <v>132</v>
      </c>
      <c r="L25" s="19" t="s">
        <v>44</v>
      </c>
    </row>
    <row r="26" spans="1:13" s="1" customFormat="1">
      <c r="A26" s="15"/>
      <c r="B26" s="11" t="s">
        <v>1798</v>
      </c>
      <c r="C26" s="11" t="s">
        <v>46</v>
      </c>
      <c r="D26" s="9" t="s">
        <v>1799</v>
      </c>
      <c r="E26" s="16" t="s">
        <v>128</v>
      </c>
      <c r="F26" s="17" t="s">
        <v>2591</v>
      </c>
      <c r="G26" s="17" t="s">
        <v>129</v>
      </c>
      <c r="H26" s="16"/>
      <c r="I26" s="20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1800</v>
      </c>
      <c r="C27" s="11" t="s">
        <v>43</v>
      </c>
      <c r="D27" s="9" t="s">
        <v>1801</v>
      </c>
      <c r="E27" s="16" t="s">
        <v>128</v>
      </c>
      <c r="F27" s="9" t="s">
        <v>1800</v>
      </c>
      <c r="G27" s="17" t="s">
        <v>129</v>
      </c>
      <c r="H27" s="16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A28" s="15"/>
      <c r="B28" s="11" t="s">
        <v>3227</v>
      </c>
      <c r="C28" s="11" t="s">
        <v>43</v>
      </c>
      <c r="D28" s="9" t="s">
        <v>57</v>
      </c>
      <c r="E28" s="16" t="s">
        <v>128</v>
      </c>
      <c r="F28" s="17" t="s">
        <v>1270</v>
      </c>
      <c r="G28" s="17" t="s">
        <v>129</v>
      </c>
      <c r="H28" s="16"/>
      <c r="I28" s="20"/>
      <c r="J28" s="19" t="s">
        <v>131</v>
      </c>
      <c r="K28" s="19" t="s">
        <v>132</v>
      </c>
      <c r="L28" s="19" t="s">
        <v>44</v>
      </c>
    </row>
    <row r="29" spans="1:13" s="1" customFormat="1">
      <c r="B29" s="22" t="s">
        <v>58</v>
      </c>
      <c r="C29" s="11" t="s">
        <v>43</v>
      </c>
      <c r="D29" s="9" t="s">
        <v>59</v>
      </c>
      <c r="E29" s="16" t="s">
        <v>128</v>
      </c>
      <c r="F29" s="17" t="s">
        <v>58</v>
      </c>
      <c r="G29" s="17" t="s">
        <v>129</v>
      </c>
      <c r="H29" s="16"/>
      <c r="I29" s="19"/>
      <c r="J29" s="19" t="s">
        <v>131</v>
      </c>
      <c r="K29" s="19" t="s">
        <v>132</v>
      </c>
      <c r="L29" s="19" t="s">
        <v>44</v>
      </c>
    </row>
    <row r="30" spans="1:13" s="15" customFormat="1">
      <c r="B30" s="22" t="s">
        <v>1925</v>
      </c>
      <c r="C30" s="11" t="s">
        <v>43</v>
      </c>
      <c r="D30" s="9" t="s">
        <v>1925</v>
      </c>
      <c r="E30" s="16" t="s">
        <v>128</v>
      </c>
      <c r="F30" s="17"/>
      <c r="G30" s="17" t="s">
        <v>1922</v>
      </c>
      <c r="H30" s="16"/>
      <c r="I30" s="20"/>
      <c r="J30" s="19" t="s">
        <v>131</v>
      </c>
      <c r="K30" s="19" t="s">
        <v>132</v>
      </c>
      <c r="L30" s="19" t="s">
        <v>2597</v>
      </c>
      <c r="M30" s="1"/>
    </row>
    <row r="31" spans="1:13" s="1" customFormat="1">
      <c r="A31" s="15"/>
      <c r="B31" s="11" t="s">
        <v>3214</v>
      </c>
      <c r="C31" s="11" t="s">
        <v>45</v>
      </c>
      <c r="D31" s="9" t="s">
        <v>1802</v>
      </c>
      <c r="E31" s="16" t="s">
        <v>128</v>
      </c>
      <c r="F31" s="17"/>
      <c r="G31" s="17" t="s">
        <v>1667</v>
      </c>
      <c r="H31" s="18"/>
      <c r="I31" s="17"/>
      <c r="J31" s="19" t="s">
        <v>133</v>
      </c>
      <c r="K31" s="19" t="s">
        <v>203</v>
      </c>
      <c r="L31" s="19" t="s">
        <v>134</v>
      </c>
    </row>
    <row r="32" spans="1:13" s="1" customFormat="1">
      <c r="A32" s="15"/>
      <c r="B32" s="11" t="s">
        <v>3215</v>
      </c>
      <c r="C32" s="11" t="s">
        <v>45</v>
      </c>
      <c r="D32" s="9" t="s">
        <v>1185</v>
      </c>
      <c r="E32" s="16" t="s">
        <v>128</v>
      </c>
      <c r="F32" s="17"/>
      <c r="G32" s="17" t="s">
        <v>1200</v>
      </c>
      <c r="H32" s="18"/>
      <c r="I32" s="17"/>
      <c r="J32" s="19" t="s">
        <v>133</v>
      </c>
      <c r="K32" s="19" t="s">
        <v>1899</v>
      </c>
      <c r="L32" s="19" t="s">
        <v>134</v>
      </c>
    </row>
    <row r="33" spans="1:12" s="1" customFormat="1">
      <c r="A33" s="15"/>
      <c r="B33" s="22" t="s">
        <v>3216</v>
      </c>
      <c r="C33" s="22" t="s">
        <v>45</v>
      </c>
      <c r="D33" s="9" t="s">
        <v>160</v>
      </c>
      <c r="E33" s="16" t="s">
        <v>128</v>
      </c>
      <c r="F33" s="17"/>
      <c r="G33" s="17" t="s">
        <v>1201</v>
      </c>
      <c r="H33" s="18"/>
      <c r="I33" s="17"/>
      <c r="J33" s="19" t="s">
        <v>133</v>
      </c>
      <c r="K33" s="19" t="s">
        <v>1899</v>
      </c>
      <c r="L33" s="19" t="s">
        <v>134</v>
      </c>
    </row>
    <row r="34" spans="1:12" s="1" customFormat="1">
      <c r="A34" s="15"/>
      <c r="B34" s="11" t="s">
        <v>3224</v>
      </c>
      <c r="C34" s="11" t="s">
        <v>45</v>
      </c>
      <c r="D34" s="9" t="s">
        <v>161</v>
      </c>
      <c r="E34" s="16" t="s">
        <v>128</v>
      </c>
      <c r="F34" s="72"/>
      <c r="G34" s="17" t="s">
        <v>223</v>
      </c>
      <c r="H34" s="18"/>
      <c r="I34" s="17"/>
      <c r="J34" s="19" t="s">
        <v>133</v>
      </c>
      <c r="K34" s="19" t="s">
        <v>2596</v>
      </c>
      <c r="L34" s="19" t="s">
        <v>134</v>
      </c>
    </row>
    <row r="35" spans="1:12" s="1" customFormat="1">
      <c r="A35" s="15"/>
      <c r="B35" s="11" t="s">
        <v>3223</v>
      </c>
      <c r="C35" s="11" t="s">
        <v>45</v>
      </c>
      <c r="D35" s="9" t="s">
        <v>162</v>
      </c>
      <c r="E35" s="16" t="s">
        <v>128</v>
      </c>
      <c r="F35" s="72"/>
      <c r="G35" s="17" t="s">
        <v>224</v>
      </c>
      <c r="H35" s="18"/>
      <c r="I35" s="17"/>
      <c r="J35" s="19" t="s">
        <v>133</v>
      </c>
      <c r="K35" s="19" t="s">
        <v>2596</v>
      </c>
      <c r="L35" s="19" t="s">
        <v>134</v>
      </c>
    </row>
    <row r="36" spans="1:12" s="1" customFormat="1">
      <c r="A36" s="15"/>
      <c r="B36" s="11" t="s">
        <v>3219</v>
      </c>
      <c r="C36" s="11" t="s">
        <v>45</v>
      </c>
      <c r="D36" s="9" t="s">
        <v>163</v>
      </c>
      <c r="E36" s="16" t="s">
        <v>128</v>
      </c>
      <c r="F36" s="72"/>
      <c r="G36" s="17" t="s">
        <v>225</v>
      </c>
      <c r="H36" s="18"/>
      <c r="I36" s="17"/>
      <c r="J36" s="19" t="s">
        <v>133</v>
      </c>
      <c r="K36" s="19" t="s">
        <v>2596</v>
      </c>
      <c r="L36" s="19" t="s">
        <v>67</v>
      </c>
    </row>
    <row r="37" spans="1:12" s="1" customFormat="1">
      <c r="A37" s="15"/>
      <c r="B37" s="11" t="s">
        <v>3220</v>
      </c>
      <c r="C37" s="11" t="s">
        <v>45</v>
      </c>
      <c r="D37" s="9" t="s">
        <v>164</v>
      </c>
      <c r="E37" s="16" t="s">
        <v>128</v>
      </c>
      <c r="F37" s="72"/>
      <c r="G37" s="17" t="s">
        <v>226</v>
      </c>
      <c r="H37" s="18"/>
      <c r="I37" s="17"/>
      <c r="J37" s="19" t="s">
        <v>133</v>
      </c>
      <c r="K37" s="19" t="s">
        <v>2596</v>
      </c>
      <c r="L37" s="19" t="s">
        <v>67</v>
      </c>
    </row>
    <row r="38" spans="1:12" s="1" customFormat="1">
      <c r="A38" s="15"/>
      <c r="B38" s="11" t="s">
        <v>3221</v>
      </c>
      <c r="C38" s="11" t="s">
        <v>45</v>
      </c>
      <c r="D38" s="9" t="s">
        <v>165</v>
      </c>
      <c r="E38" s="16" t="s">
        <v>128</v>
      </c>
      <c r="F38" s="72"/>
      <c r="G38" s="17" t="s">
        <v>1114</v>
      </c>
      <c r="H38" s="18"/>
      <c r="I38" s="17"/>
      <c r="J38" s="19" t="s">
        <v>133</v>
      </c>
      <c r="K38" s="19" t="s">
        <v>2596</v>
      </c>
      <c r="L38" s="19" t="s">
        <v>67</v>
      </c>
    </row>
    <row r="39" spans="1:12" s="1" customFormat="1">
      <c r="A39" s="15"/>
      <c r="B39" s="11" t="s">
        <v>3222</v>
      </c>
      <c r="C39" s="11" t="s">
        <v>45</v>
      </c>
      <c r="D39" s="9" t="s">
        <v>166</v>
      </c>
      <c r="E39" s="16" t="s">
        <v>128</v>
      </c>
      <c r="F39" s="72"/>
      <c r="G39" s="17" t="s">
        <v>1115</v>
      </c>
      <c r="H39" s="18"/>
      <c r="I39" s="17"/>
      <c r="J39" s="19" t="s">
        <v>133</v>
      </c>
      <c r="K39" s="19" t="s">
        <v>2596</v>
      </c>
      <c r="L39" s="19" t="s">
        <v>67</v>
      </c>
    </row>
    <row r="40" spans="1:12" s="1" customFormat="1">
      <c r="A40" s="15"/>
      <c r="B40" s="11" t="s">
        <v>1188</v>
      </c>
      <c r="C40" s="11" t="s">
        <v>45</v>
      </c>
      <c r="D40" s="9" t="s">
        <v>2569</v>
      </c>
      <c r="E40" s="16" t="s">
        <v>128</v>
      </c>
      <c r="F40" s="72"/>
      <c r="G40" s="17" t="s">
        <v>1781</v>
      </c>
      <c r="H40" s="18"/>
      <c r="I40" s="17"/>
      <c r="J40" s="19" t="s">
        <v>133</v>
      </c>
      <c r="K40" s="19" t="s">
        <v>203</v>
      </c>
      <c r="L40" s="19" t="s">
        <v>67</v>
      </c>
    </row>
    <row r="41" spans="1:12" s="1" customFormat="1">
      <c r="A41" s="15"/>
      <c r="B41" s="11" t="s">
        <v>1190</v>
      </c>
      <c r="C41" s="11" t="s">
        <v>45</v>
      </c>
      <c r="D41" s="9" t="s">
        <v>2570</v>
      </c>
      <c r="E41" s="16" t="s">
        <v>128</v>
      </c>
      <c r="F41" s="72"/>
      <c r="G41" s="17" t="s">
        <v>1626</v>
      </c>
      <c r="H41" s="18"/>
      <c r="I41" s="17"/>
      <c r="J41" s="19" t="s">
        <v>133</v>
      </c>
      <c r="K41" s="19" t="s">
        <v>203</v>
      </c>
      <c r="L41" s="19" t="s">
        <v>67</v>
      </c>
    </row>
    <row r="42" spans="1:12" s="1" customFormat="1">
      <c r="A42" s="15"/>
      <c r="B42" s="11" t="s">
        <v>159</v>
      </c>
      <c r="C42" s="11" t="s">
        <v>45</v>
      </c>
      <c r="D42" s="9" t="s">
        <v>2571</v>
      </c>
      <c r="E42" s="16" t="s">
        <v>128</v>
      </c>
      <c r="F42" s="72"/>
      <c r="G42" s="17" t="s">
        <v>2592</v>
      </c>
      <c r="H42" s="18"/>
      <c r="I42" s="17"/>
      <c r="J42" s="19" t="s">
        <v>133</v>
      </c>
      <c r="K42" s="19" t="s">
        <v>203</v>
      </c>
      <c r="L42" s="19" t="s">
        <v>67</v>
      </c>
    </row>
    <row r="43" spans="1:12" s="1" customFormat="1">
      <c r="A43" s="15"/>
      <c r="B43" s="11" t="s">
        <v>3217</v>
      </c>
      <c r="C43" s="11" t="s">
        <v>45</v>
      </c>
      <c r="D43" s="9" t="s">
        <v>2165</v>
      </c>
      <c r="E43" s="16" t="s">
        <v>128</v>
      </c>
      <c r="F43" s="72"/>
      <c r="G43" s="17" t="s">
        <v>2593</v>
      </c>
      <c r="H43" s="18"/>
      <c r="I43" s="17"/>
      <c r="J43" s="19" t="s">
        <v>133</v>
      </c>
      <c r="K43" s="19" t="s">
        <v>903</v>
      </c>
      <c r="L43" s="19" t="s">
        <v>67</v>
      </c>
    </row>
    <row r="44" spans="1:12" s="1" customFormat="1">
      <c r="A44" s="15"/>
      <c r="B44" s="11" t="s">
        <v>3218</v>
      </c>
      <c r="C44" s="11" t="s">
        <v>45</v>
      </c>
      <c r="D44" s="9" t="s">
        <v>2166</v>
      </c>
      <c r="E44" s="16" t="s">
        <v>128</v>
      </c>
      <c r="F44" s="72"/>
      <c r="G44" s="17" t="s">
        <v>2594</v>
      </c>
      <c r="H44" s="18"/>
      <c r="I44" s="17"/>
      <c r="J44" s="19" t="s">
        <v>133</v>
      </c>
      <c r="K44" s="19" t="s">
        <v>903</v>
      </c>
      <c r="L44" s="19" t="s">
        <v>67</v>
      </c>
    </row>
    <row r="45" spans="1:12" s="1" customFormat="1">
      <c r="A45" s="15"/>
      <c r="B45" s="11" t="s">
        <v>2470</v>
      </c>
      <c r="C45" s="11" t="s">
        <v>45</v>
      </c>
      <c r="D45" s="9" t="s">
        <v>2477</v>
      </c>
      <c r="E45" s="16" t="s">
        <v>128</v>
      </c>
      <c r="F45" s="72"/>
      <c r="G45" s="17" t="s">
        <v>2595</v>
      </c>
      <c r="H45" s="18"/>
      <c r="I45" s="17"/>
      <c r="J45" s="19" t="s">
        <v>133</v>
      </c>
      <c r="K45" s="19" t="s">
        <v>903</v>
      </c>
      <c r="L45" s="19" t="s">
        <v>67</v>
      </c>
    </row>
    <row r="46" spans="1:12" s="1" customFormat="1">
      <c r="A46" s="15"/>
      <c r="B46" s="11" t="s">
        <v>2326</v>
      </c>
      <c r="C46" s="11" t="s">
        <v>45</v>
      </c>
      <c r="D46" s="9" t="s">
        <v>2478</v>
      </c>
      <c r="E46" s="16" t="s">
        <v>128</v>
      </c>
      <c r="F46" s="72"/>
      <c r="G46" s="17" t="s">
        <v>2330</v>
      </c>
      <c r="H46" s="18"/>
      <c r="I46" s="17"/>
      <c r="J46" s="19" t="s">
        <v>133</v>
      </c>
      <c r="K46" s="19" t="s">
        <v>903</v>
      </c>
      <c r="L46" s="19" t="s">
        <v>67</v>
      </c>
    </row>
    <row r="47" spans="1:12" s="1" customFormat="1">
      <c r="A47" s="15"/>
      <c r="B47" s="11" t="s">
        <v>2471</v>
      </c>
      <c r="C47" s="11" t="s">
        <v>45</v>
      </c>
      <c r="D47" s="9" t="s">
        <v>2479</v>
      </c>
      <c r="E47" s="16" t="s">
        <v>128</v>
      </c>
      <c r="F47" s="72"/>
      <c r="G47" s="17" t="s">
        <v>1334</v>
      </c>
      <c r="H47" s="18"/>
      <c r="I47" s="17"/>
      <c r="J47" s="19"/>
      <c r="K47" s="19"/>
      <c r="L47" s="19"/>
    </row>
    <row r="48" spans="1:12" s="1" customFormat="1">
      <c r="A48" s="15"/>
      <c r="B48" s="11" t="s">
        <v>2473</v>
      </c>
      <c r="C48" s="11" t="s">
        <v>45</v>
      </c>
      <c r="D48" s="9" t="s">
        <v>2005</v>
      </c>
      <c r="E48" s="16" t="s">
        <v>128</v>
      </c>
      <c r="F48" s="72"/>
      <c r="G48" s="17" t="s">
        <v>2320</v>
      </c>
      <c r="H48" s="18"/>
      <c r="I48" s="17"/>
      <c r="J48" s="19" t="s">
        <v>133</v>
      </c>
      <c r="K48" s="19" t="s">
        <v>2236</v>
      </c>
      <c r="L48" s="19" t="s">
        <v>67</v>
      </c>
    </row>
    <row r="49" spans="1:12" s="1" customFormat="1">
      <c r="A49" s="15"/>
      <c r="B49" s="11" t="s">
        <v>2140</v>
      </c>
      <c r="C49" s="11" t="s">
        <v>45</v>
      </c>
      <c r="D49" s="9" t="s">
        <v>2141</v>
      </c>
      <c r="E49" s="16" t="s">
        <v>128</v>
      </c>
      <c r="F49" s="72"/>
      <c r="G49" s="17" t="s">
        <v>2286</v>
      </c>
      <c r="H49" s="18"/>
      <c r="I49" s="17"/>
      <c r="J49" s="19" t="s">
        <v>133</v>
      </c>
      <c r="K49" s="19" t="s">
        <v>903</v>
      </c>
      <c r="L49" s="19" t="s">
        <v>67</v>
      </c>
    </row>
    <row r="50" spans="1:12" s="1" customFormat="1">
      <c r="A50" s="15"/>
      <c r="B50" s="11" t="s">
        <v>2142</v>
      </c>
      <c r="C50" s="11" t="s">
        <v>45</v>
      </c>
      <c r="D50" s="9" t="s">
        <v>2143</v>
      </c>
      <c r="E50" s="16" t="s">
        <v>128</v>
      </c>
      <c r="F50" s="72"/>
      <c r="G50" s="17" t="s">
        <v>2287</v>
      </c>
      <c r="H50" s="18"/>
      <c r="I50" s="17"/>
      <c r="J50" s="19" t="s">
        <v>133</v>
      </c>
      <c r="K50" s="19" t="s">
        <v>903</v>
      </c>
      <c r="L50" s="19" t="s">
        <v>67</v>
      </c>
    </row>
    <row r="51" spans="1:12" s="1" customFormat="1">
      <c r="A51" s="15"/>
      <c r="B51" s="11" t="s">
        <v>2144</v>
      </c>
      <c r="C51" s="11" t="s">
        <v>45</v>
      </c>
      <c r="D51" s="9" t="s">
        <v>2145</v>
      </c>
      <c r="E51" s="16" t="s">
        <v>128</v>
      </c>
      <c r="F51" s="72"/>
      <c r="G51" s="17" t="s">
        <v>2288</v>
      </c>
      <c r="H51" s="18"/>
      <c r="I51" s="17"/>
      <c r="J51" s="19" t="s">
        <v>133</v>
      </c>
      <c r="K51" s="19" t="s">
        <v>903</v>
      </c>
      <c r="L51" s="19" t="s">
        <v>67</v>
      </c>
    </row>
    <row r="52" spans="1:12" s="1" customFormat="1">
      <c r="A52" s="15"/>
      <c r="B52" s="11" t="s">
        <v>2146</v>
      </c>
      <c r="C52" s="11" t="s">
        <v>45</v>
      </c>
      <c r="D52" s="9" t="s">
        <v>2147</v>
      </c>
      <c r="E52" s="16" t="s">
        <v>128</v>
      </c>
      <c r="F52" s="72"/>
      <c r="G52" s="17" t="s">
        <v>2289</v>
      </c>
      <c r="H52" s="18"/>
      <c r="I52" s="17"/>
      <c r="J52" s="19" t="s">
        <v>133</v>
      </c>
      <c r="K52" s="19" t="s">
        <v>903</v>
      </c>
      <c r="L52" s="19" t="s">
        <v>67</v>
      </c>
    </row>
    <row r="53" spans="1:12" s="1" customFormat="1">
      <c r="A53" s="15"/>
      <c r="B53" s="11" t="s">
        <v>2148</v>
      </c>
      <c r="C53" s="11" t="s">
        <v>45</v>
      </c>
      <c r="D53" s="9" t="s">
        <v>2149</v>
      </c>
      <c r="E53" s="16" t="s">
        <v>128</v>
      </c>
      <c r="F53" s="72"/>
      <c r="G53" s="17" t="s">
        <v>2290</v>
      </c>
      <c r="H53" s="18"/>
      <c r="I53" s="17"/>
      <c r="J53" s="19" t="s">
        <v>133</v>
      </c>
      <c r="K53" s="19" t="s">
        <v>903</v>
      </c>
      <c r="L53" s="19" t="s">
        <v>67</v>
      </c>
    </row>
    <row r="54" spans="1:12" s="1" customFormat="1">
      <c r="A54" s="15"/>
      <c r="B54" s="11" t="s">
        <v>2150</v>
      </c>
      <c r="C54" s="11" t="s">
        <v>45</v>
      </c>
      <c r="D54" s="9" t="s">
        <v>2151</v>
      </c>
      <c r="E54" s="16" t="s">
        <v>128</v>
      </c>
      <c r="F54" s="72"/>
      <c r="G54" s="17" t="s">
        <v>2291</v>
      </c>
      <c r="H54" s="18"/>
      <c r="I54" s="17"/>
      <c r="J54" s="19" t="s">
        <v>133</v>
      </c>
      <c r="K54" s="19" t="s">
        <v>903</v>
      </c>
      <c r="L54" s="19" t="s">
        <v>67</v>
      </c>
    </row>
    <row r="55" spans="1:12" s="1" customFormat="1">
      <c r="A55" s="15"/>
      <c r="B55" s="11" t="s">
        <v>1651</v>
      </c>
      <c r="C55" s="11" t="s">
        <v>45</v>
      </c>
      <c r="D55" s="9" t="s">
        <v>1726</v>
      </c>
      <c r="E55" s="16" t="s">
        <v>128</v>
      </c>
      <c r="F55" s="72"/>
      <c r="G55" s="17" t="s">
        <v>1081</v>
      </c>
      <c r="H55" s="18"/>
      <c r="I55" s="17"/>
      <c r="J55" s="19" t="s">
        <v>133</v>
      </c>
      <c r="K55" s="19" t="s">
        <v>203</v>
      </c>
      <c r="L55" s="19" t="s">
        <v>67</v>
      </c>
    </row>
    <row r="56" spans="1:12" s="1" customFormat="1">
      <c r="A56" s="15"/>
      <c r="B56" s="11" t="s">
        <v>3225</v>
      </c>
      <c r="C56" s="11" t="s">
        <v>45</v>
      </c>
      <c r="D56" s="9" t="s">
        <v>148</v>
      </c>
      <c r="E56" s="16" t="s">
        <v>128</v>
      </c>
      <c r="F56" s="72"/>
      <c r="G56" s="17" t="s">
        <v>1127</v>
      </c>
      <c r="H56" s="18"/>
      <c r="I56" s="17"/>
      <c r="J56" s="19" t="s">
        <v>133</v>
      </c>
      <c r="K56" s="19" t="s">
        <v>903</v>
      </c>
      <c r="L56" s="19" t="s">
        <v>134</v>
      </c>
    </row>
    <row r="57" spans="1:12" s="1" customFormat="1">
      <c r="A57" s="15"/>
      <c r="B57" s="11" t="s">
        <v>287</v>
      </c>
      <c r="C57" s="11" t="s">
        <v>45</v>
      </c>
      <c r="D57" s="9" t="s">
        <v>149</v>
      </c>
      <c r="E57" s="16" t="s">
        <v>128</v>
      </c>
      <c r="F57" s="72"/>
      <c r="G57" s="17" t="s">
        <v>1128</v>
      </c>
      <c r="H57" s="18"/>
      <c r="I57" s="17"/>
      <c r="J57" s="19" t="s">
        <v>133</v>
      </c>
      <c r="K57" s="19" t="s">
        <v>903</v>
      </c>
      <c r="L57" s="19" t="s">
        <v>134</v>
      </c>
    </row>
    <row r="58" spans="1:12" s="1" customFormat="1">
      <c r="A58" s="15"/>
      <c r="B58" s="11" t="s">
        <v>288</v>
      </c>
      <c r="C58" s="11" t="s">
        <v>45</v>
      </c>
      <c r="D58" s="9" t="s">
        <v>150</v>
      </c>
      <c r="E58" s="16" t="s">
        <v>128</v>
      </c>
      <c r="F58" s="72"/>
      <c r="G58" s="17" t="s">
        <v>1129</v>
      </c>
      <c r="H58" s="18"/>
      <c r="I58" s="17"/>
      <c r="J58" s="19" t="s">
        <v>133</v>
      </c>
      <c r="K58" s="19" t="s">
        <v>903</v>
      </c>
      <c r="L58" s="19" t="s">
        <v>67</v>
      </c>
    </row>
    <row r="59" spans="1:12" s="1" customFormat="1">
      <c r="A59" s="15"/>
      <c r="B59" s="11" t="s">
        <v>289</v>
      </c>
      <c r="C59" s="11" t="s">
        <v>45</v>
      </c>
      <c r="D59" s="9" t="s">
        <v>151</v>
      </c>
      <c r="E59" s="16" t="s">
        <v>128</v>
      </c>
      <c r="F59" s="72"/>
      <c r="G59" s="17" t="s">
        <v>1130</v>
      </c>
      <c r="H59" s="18"/>
      <c r="I59" s="17"/>
      <c r="J59" s="19" t="s">
        <v>133</v>
      </c>
      <c r="K59" s="19" t="s">
        <v>903</v>
      </c>
      <c r="L59" s="19" t="s">
        <v>67</v>
      </c>
    </row>
    <row r="60" spans="1:12" s="1" customFormat="1">
      <c r="A60" s="15"/>
      <c r="B60" s="11" t="s">
        <v>290</v>
      </c>
      <c r="C60" s="11" t="s">
        <v>45</v>
      </c>
      <c r="D60" s="9" t="s">
        <v>152</v>
      </c>
      <c r="E60" s="16" t="s">
        <v>128</v>
      </c>
      <c r="F60" s="72"/>
      <c r="G60" s="17" t="s">
        <v>1131</v>
      </c>
      <c r="H60" s="18"/>
      <c r="I60" s="17"/>
      <c r="J60" s="19" t="s">
        <v>133</v>
      </c>
      <c r="K60" s="19" t="s">
        <v>903</v>
      </c>
      <c r="L60" s="19" t="s">
        <v>67</v>
      </c>
    </row>
    <row r="61" spans="1:12" s="1" customFormat="1">
      <c r="A61" s="15"/>
      <c r="B61" s="11" t="s">
        <v>1591</v>
      </c>
      <c r="C61" s="95" t="s">
        <v>45</v>
      </c>
      <c r="D61" s="9" t="s">
        <v>1727</v>
      </c>
      <c r="E61" s="16" t="s">
        <v>128</v>
      </c>
      <c r="F61" s="72"/>
      <c r="G61" s="17" t="s">
        <v>1082</v>
      </c>
      <c r="H61" s="18"/>
      <c r="I61" s="17"/>
      <c r="J61" s="19" t="s">
        <v>133</v>
      </c>
      <c r="K61" s="19" t="s">
        <v>203</v>
      </c>
      <c r="L61" s="19" t="s">
        <v>67</v>
      </c>
    </row>
    <row r="62" spans="1:12" s="1" customFormat="1">
      <c r="A62" s="15"/>
      <c r="B62" s="11" t="s">
        <v>3226</v>
      </c>
      <c r="C62" s="95" t="s">
        <v>45</v>
      </c>
      <c r="D62" s="9" t="s">
        <v>154</v>
      </c>
      <c r="E62" s="16" t="s">
        <v>128</v>
      </c>
      <c r="F62" s="72"/>
      <c r="G62" s="17" t="s">
        <v>1133</v>
      </c>
      <c r="H62" s="18"/>
      <c r="I62" s="17"/>
      <c r="J62" s="19" t="s">
        <v>133</v>
      </c>
      <c r="K62" s="19" t="s">
        <v>903</v>
      </c>
      <c r="L62" s="19" t="s">
        <v>67</v>
      </c>
    </row>
    <row r="63" spans="1:12" s="1" customFormat="1">
      <c r="A63" s="15"/>
      <c r="B63" s="11" t="s">
        <v>292</v>
      </c>
      <c r="C63" s="11" t="s">
        <v>45</v>
      </c>
      <c r="D63" s="9" t="s">
        <v>155</v>
      </c>
      <c r="E63" s="16" t="s">
        <v>128</v>
      </c>
      <c r="F63" s="72"/>
      <c r="G63" s="17" t="s">
        <v>1134</v>
      </c>
      <c r="H63" s="18"/>
      <c r="I63" s="17"/>
      <c r="J63" s="19" t="s">
        <v>133</v>
      </c>
      <c r="K63" s="19" t="s">
        <v>903</v>
      </c>
      <c r="L63" s="19" t="s">
        <v>67</v>
      </c>
    </row>
    <row r="64" spans="1:12" s="1" customFormat="1">
      <c r="A64" s="15"/>
      <c r="B64" s="11" t="s">
        <v>293</v>
      </c>
      <c r="C64" s="11" t="s">
        <v>45</v>
      </c>
      <c r="D64" s="9" t="s">
        <v>156</v>
      </c>
      <c r="E64" s="16" t="s">
        <v>128</v>
      </c>
      <c r="F64" s="72"/>
      <c r="G64" s="17" t="s">
        <v>1135</v>
      </c>
      <c r="H64" s="18"/>
      <c r="I64" s="17"/>
      <c r="J64" s="19" t="s">
        <v>133</v>
      </c>
      <c r="K64" s="19" t="s">
        <v>903</v>
      </c>
      <c r="L64" s="19" t="s">
        <v>67</v>
      </c>
    </row>
    <row r="65" spans="1:12" s="1" customFormat="1">
      <c r="A65" s="15"/>
      <c r="B65" s="11" t="s">
        <v>294</v>
      </c>
      <c r="C65" s="11" t="s">
        <v>45</v>
      </c>
      <c r="D65" s="9" t="s">
        <v>157</v>
      </c>
      <c r="E65" s="16" t="s">
        <v>128</v>
      </c>
      <c r="F65" s="72"/>
      <c r="G65" s="17" t="s">
        <v>1136</v>
      </c>
      <c r="H65" s="18"/>
      <c r="I65" s="17"/>
      <c r="J65" s="19" t="s">
        <v>133</v>
      </c>
      <c r="K65" s="19" t="s">
        <v>903</v>
      </c>
      <c r="L65" s="19" t="s">
        <v>67</v>
      </c>
    </row>
    <row r="66" spans="1:12" s="1" customFormat="1">
      <c r="A66" s="15"/>
      <c r="B66" s="11" t="s">
        <v>295</v>
      </c>
      <c r="C66" s="11" t="s">
        <v>45</v>
      </c>
      <c r="D66" s="9" t="s">
        <v>158</v>
      </c>
      <c r="E66" s="16" t="s">
        <v>128</v>
      </c>
      <c r="F66" s="72"/>
      <c r="G66" s="17" t="s">
        <v>1137</v>
      </c>
      <c r="H66" s="18"/>
      <c r="I66" s="17"/>
      <c r="J66" s="19" t="s">
        <v>133</v>
      </c>
      <c r="K66" s="19" t="s">
        <v>903</v>
      </c>
      <c r="L66" s="19" t="s">
        <v>67</v>
      </c>
    </row>
    <row r="67" spans="1:12" s="1" customFormat="1">
      <c r="A67" s="15"/>
      <c r="B67" s="11" t="s">
        <v>1625</v>
      </c>
      <c r="C67" s="11" t="s">
        <v>45</v>
      </c>
      <c r="D67" s="9" t="s">
        <v>1806</v>
      </c>
      <c r="E67" s="16" t="s">
        <v>128</v>
      </c>
      <c r="F67" s="72"/>
      <c r="G67" s="17" t="s">
        <v>1866</v>
      </c>
      <c r="H67" s="18"/>
      <c r="I67" s="17"/>
      <c r="J67" s="19" t="s">
        <v>133</v>
      </c>
      <c r="K67" s="19" t="s">
        <v>203</v>
      </c>
      <c r="L67" s="19" t="s">
        <v>67</v>
      </c>
    </row>
    <row r="68" spans="1:12" s="1" customFormat="1">
      <c r="A68" s="15"/>
      <c r="B68" s="11" t="s">
        <v>1469</v>
      </c>
      <c r="C68" s="11" t="s">
        <v>45</v>
      </c>
      <c r="D68" s="9" t="s">
        <v>1807</v>
      </c>
      <c r="E68" s="16" t="s">
        <v>128</v>
      </c>
      <c r="F68" s="72"/>
      <c r="G68" s="17" t="s">
        <v>1138</v>
      </c>
      <c r="H68" s="18"/>
      <c r="I68" s="17"/>
      <c r="J68" s="19" t="s">
        <v>133</v>
      </c>
      <c r="K68" s="19" t="s">
        <v>903</v>
      </c>
      <c r="L68" s="19" t="s">
        <v>67</v>
      </c>
    </row>
    <row r="69" spans="1:12" s="1" customFormat="1">
      <c r="A69" s="15"/>
      <c r="B69" s="11" t="s">
        <v>1470</v>
      </c>
      <c r="C69" s="11" t="s">
        <v>45</v>
      </c>
      <c r="D69" s="9" t="s">
        <v>1808</v>
      </c>
      <c r="E69" s="16" t="s">
        <v>128</v>
      </c>
      <c r="F69" s="72"/>
      <c r="G69" s="17" t="s">
        <v>1139</v>
      </c>
      <c r="H69" s="18"/>
      <c r="I69" s="17"/>
      <c r="J69" s="19" t="s">
        <v>133</v>
      </c>
      <c r="K69" s="19" t="s">
        <v>903</v>
      </c>
      <c r="L69" s="19" t="s">
        <v>67</v>
      </c>
    </row>
    <row r="70" spans="1:12" s="1" customFormat="1">
      <c r="A70" s="15"/>
      <c r="B70" s="11" t="s">
        <v>1471</v>
      </c>
      <c r="C70" s="11" t="s">
        <v>45</v>
      </c>
      <c r="D70" s="9" t="s">
        <v>1809</v>
      </c>
      <c r="E70" s="16" t="s">
        <v>128</v>
      </c>
      <c r="F70" s="72"/>
      <c r="G70" s="17" t="s">
        <v>1140</v>
      </c>
      <c r="H70" s="18"/>
      <c r="I70" s="17"/>
      <c r="J70" s="19" t="s">
        <v>133</v>
      </c>
      <c r="K70" s="19" t="s">
        <v>903</v>
      </c>
      <c r="L70" s="19" t="s">
        <v>67</v>
      </c>
    </row>
    <row r="71" spans="1:12" s="1" customFormat="1">
      <c r="A71" s="15"/>
      <c r="B71" s="11" t="s">
        <v>1472</v>
      </c>
      <c r="C71" s="11" t="s">
        <v>45</v>
      </c>
      <c r="D71" s="9" t="s">
        <v>1810</v>
      </c>
      <c r="E71" s="16" t="s">
        <v>128</v>
      </c>
      <c r="F71" s="72"/>
      <c r="G71" s="17" t="s">
        <v>1141</v>
      </c>
      <c r="H71" s="18"/>
      <c r="I71" s="17"/>
      <c r="J71" s="19" t="s">
        <v>133</v>
      </c>
      <c r="K71" s="19" t="s">
        <v>903</v>
      </c>
      <c r="L71" s="19" t="s">
        <v>67</v>
      </c>
    </row>
    <row r="72" spans="1:12" s="1" customFormat="1">
      <c r="A72" s="15"/>
      <c r="B72" s="11" t="s">
        <v>1473</v>
      </c>
      <c r="C72" s="11" t="s">
        <v>45</v>
      </c>
      <c r="D72" s="9" t="s">
        <v>1811</v>
      </c>
      <c r="E72" s="16" t="s">
        <v>128</v>
      </c>
      <c r="F72" s="72"/>
      <c r="G72" s="17" t="s">
        <v>1142</v>
      </c>
      <c r="H72" s="18"/>
      <c r="I72" s="17"/>
      <c r="J72" s="19" t="s">
        <v>133</v>
      </c>
      <c r="K72" s="19" t="s">
        <v>903</v>
      </c>
      <c r="L72" s="19" t="s">
        <v>67</v>
      </c>
    </row>
    <row r="73" spans="1:12" s="1" customFormat="1">
      <c r="A73" s="15"/>
      <c r="B73" s="11" t="s">
        <v>2037</v>
      </c>
      <c r="C73" s="11" t="s">
        <v>45</v>
      </c>
      <c r="D73" s="9" t="s">
        <v>2038</v>
      </c>
      <c r="E73" s="16" t="s">
        <v>128</v>
      </c>
      <c r="F73" s="72"/>
      <c r="G73" s="17" t="s">
        <v>3075</v>
      </c>
      <c r="H73" s="18"/>
      <c r="I73" s="17"/>
      <c r="J73" s="19" t="s">
        <v>133</v>
      </c>
      <c r="K73" s="19" t="s">
        <v>903</v>
      </c>
      <c r="L73" s="19" t="s">
        <v>67</v>
      </c>
    </row>
    <row r="74" spans="1:12" s="1" customFormat="1">
      <c r="A74" s="15"/>
      <c r="B74" s="11" t="s">
        <v>2041</v>
      </c>
      <c r="C74" s="11" t="s">
        <v>45</v>
      </c>
      <c r="D74" s="9" t="s">
        <v>2042</v>
      </c>
      <c r="E74" s="16" t="s">
        <v>128</v>
      </c>
      <c r="F74" s="72"/>
      <c r="G74" s="17" t="s">
        <v>2292</v>
      </c>
      <c r="H74" s="18"/>
      <c r="I74" s="17"/>
      <c r="J74" s="19" t="s">
        <v>133</v>
      </c>
      <c r="K74" s="19" t="s">
        <v>903</v>
      </c>
      <c r="L74" s="19" t="s">
        <v>67</v>
      </c>
    </row>
    <row r="75" spans="1:12" s="1" customFormat="1">
      <c r="A75" s="15"/>
      <c r="B75" s="11" t="s">
        <v>2043</v>
      </c>
      <c r="C75" s="11" t="s">
        <v>45</v>
      </c>
      <c r="D75" s="9" t="s">
        <v>2044</v>
      </c>
      <c r="E75" s="16" t="s">
        <v>128</v>
      </c>
      <c r="F75" s="72"/>
      <c r="G75" s="17" t="s">
        <v>2293</v>
      </c>
      <c r="H75" s="18"/>
      <c r="I75" s="17"/>
      <c r="J75" s="19" t="s">
        <v>133</v>
      </c>
      <c r="K75" s="19" t="s">
        <v>903</v>
      </c>
      <c r="L75" s="19" t="s">
        <v>67</v>
      </c>
    </row>
    <row r="76" spans="1:12" s="1" customFormat="1">
      <c r="A76" s="15"/>
      <c r="B76" s="11" t="s">
        <v>2045</v>
      </c>
      <c r="C76" s="11" t="s">
        <v>45</v>
      </c>
      <c r="D76" s="9" t="s">
        <v>2046</v>
      </c>
      <c r="E76" s="16" t="s">
        <v>128</v>
      </c>
      <c r="F76" s="72"/>
      <c r="G76" s="17" t="s">
        <v>2294</v>
      </c>
      <c r="H76" s="18"/>
      <c r="I76" s="17"/>
      <c r="J76" s="19" t="s">
        <v>133</v>
      </c>
      <c r="K76" s="19" t="s">
        <v>903</v>
      </c>
      <c r="L76" s="19" t="s">
        <v>67</v>
      </c>
    </row>
    <row r="77" spans="1:12" s="1" customFormat="1">
      <c r="A77" s="15"/>
      <c r="B77" s="11" t="s">
        <v>2047</v>
      </c>
      <c r="C77" s="11" t="s">
        <v>45</v>
      </c>
      <c r="D77" s="9" t="s">
        <v>2048</v>
      </c>
      <c r="E77" s="16" t="s">
        <v>128</v>
      </c>
      <c r="F77" s="72"/>
      <c r="G77" s="17" t="s">
        <v>2295</v>
      </c>
      <c r="H77" s="18"/>
      <c r="I77" s="17"/>
      <c r="J77" s="19" t="s">
        <v>133</v>
      </c>
      <c r="K77" s="19" t="s">
        <v>903</v>
      </c>
      <c r="L77" s="19" t="s">
        <v>67</v>
      </c>
    </row>
    <row r="78" spans="1:12" s="1" customFormat="1">
      <c r="A78" s="15"/>
      <c r="B78" s="11" t="s">
        <v>2049</v>
      </c>
      <c r="C78" s="11" t="s">
        <v>45</v>
      </c>
      <c r="D78" s="9" t="s">
        <v>2050</v>
      </c>
      <c r="E78" s="16" t="s">
        <v>128</v>
      </c>
      <c r="F78" s="72"/>
      <c r="G78" s="17" t="s">
        <v>2296</v>
      </c>
      <c r="H78" s="18"/>
      <c r="I78" s="17"/>
      <c r="J78" s="19" t="s">
        <v>133</v>
      </c>
      <c r="K78" s="19" t="s">
        <v>903</v>
      </c>
      <c r="L78" s="19" t="s">
        <v>67</v>
      </c>
    </row>
    <row r="79" spans="1:12" s="1" customFormat="1">
      <c r="A79" s="15"/>
      <c r="B79" s="11" t="s">
        <v>2572</v>
      </c>
      <c r="C79" s="11" t="s">
        <v>45</v>
      </c>
      <c r="D79" s="9" t="s">
        <v>2093</v>
      </c>
      <c r="E79" s="16" t="s">
        <v>128</v>
      </c>
      <c r="F79" s="72"/>
      <c r="G79" s="17" t="s">
        <v>2320</v>
      </c>
      <c r="H79" s="18"/>
      <c r="I79" s="17"/>
      <c r="J79" s="19" t="s">
        <v>133</v>
      </c>
      <c r="K79" s="19" t="s">
        <v>2236</v>
      </c>
      <c r="L79" s="19" t="s">
        <v>1306</v>
      </c>
    </row>
    <row r="80" spans="1:12" s="1" customFormat="1">
      <c r="A80" s="15"/>
      <c r="B80" s="11" t="s">
        <v>2094</v>
      </c>
      <c r="C80" s="11" t="s">
        <v>45</v>
      </c>
      <c r="D80" s="9" t="s">
        <v>2573</v>
      </c>
      <c r="E80" s="16" t="s">
        <v>128</v>
      </c>
      <c r="F80" s="72"/>
      <c r="G80" s="17" t="s">
        <v>2308</v>
      </c>
      <c r="H80" s="18"/>
      <c r="I80" s="17"/>
      <c r="J80" s="19" t="s">
        <v>133</v>
      </c>
      <c r="K80" s="19" t="s">
        <v>903</v>
      </c>
      <c r="L80" s="19" t="s">
        <v>67</v>
      </c>
    </row>
    <row r="81" spans="1:17" s="1" customFormat="1">
      <c r="A81" s="15"/>
      <c r="B81" s="11" t="s">
        <v>2095</v>
      </c>
      <c r="C81" s="11" t="s">
        <v>45</v>
      </c>
      <c r="D81" s="9" t="s">
        <v>2574</v>
      </c>
      <c r="E81" s="16" t="s">
        <v>128</v>
      </c>
      <c r="F81" s="72"/>
      <c r="G81" s="17" t="s">
        <v>2309</v>
      </c>
      <c r="H81" s="18"/>
      <c r="I81" s="17"/>
      <c r="J81" s="19" t="s">
        <v>133</v>
      </c>
      <c r="K81" s="19" t="s">
        <v>903</v>
      </c>
      <c r="L81" s="19" t="s">
        <v>67</v>
      </c>
    </row>
    <row r="82" spans="1:17" s="1" customFormat="1">
      <c r="A82" s="15"/>
      <c r="B82" s="11" t="s">
        <v>2096</v>
      </c>
      <c r="C82" s="11" t="s">
        <v>45</v>
      </c>
      <c r="D82" s="9" t="s">
        <v>2575</v>
      </c>
      <c r="E82" s="16" t="s">
        <v>128</v>
      </c>
      <c r="F82" s="72"/>
      <c r="G82" s="17" t="s">
        <v>2310</v>
      </c>
      <c r="H82" s="18"/>
      <c r="I82" s="17"/>
      <c r="J82" s="19" t="s">
        <v>133</v>
      </c>
      <c r="K82" s="19" t="s">
        <v>903</v>
      </c>
      <c r="L82" s="19" t="s">
        <v>67</v>
      </c>
    </row>
    <row r="83" spans="1:17" s="1" customFormat="1">
      <c r="A83" s="15"/>
      <c r="B83" s="11" t="s">
        <v>2097</v>
      </c>
      <c r="C83" s="11" t="s">
        <v>45</v>
      </c>
      <c r="D83" s="9" t="s">
        <v>2576</v>
      </c>
      <c r="E83" s="16" t="s">
        <v>128</v>
      </c>
      <c r="F83" s="72"/>
      <c r="G83" s="17" t="s">
        <v>2311</v>
      </c>
      <c r="H83" s="18"/>
      <c r="I83" s="17"/>
      <c r="J83" s="19" t="s">
        <v>133</v>
      </c>
      <c r="K83" s="19" t="s">
        <v>903</v>
      </c>
      <c r="L83" s="19" t="s">
        <v>67</v>
      </c>
    </row>
    <row r="84" spans="1:17" s="1" customFormat="1">
      <c r="A84" s="15"/>
      <c r="B84" s="22" t="s">
        <v>2098</v>
      </c>
      <c r="C84" s="22" t="s">
        <v>45</v>
      </c>
      <c r="D84" s="9" t="s">
        <v>2577</v>
      </c>
      <c r="E84" s="16" t="s">
        <v>128</v>
      </c>
      <c r="F84" s="72"/>
      <c r="G84" s="17" t="s">
        <v>2312</v>
      </c>
      <c r="H84" s="18"/>
      <c r="I84" s="17"/>
      <c r="J84" s="19" t="s">
        <v>133</v>
      </c>
      <c r="K84" s="19" t="s">
        <v>903</v>
      </c>
      <c r="L84" s="19" t="s">
        <v>67</v>
      </c>
    </row>
    <row r="85" spans="1:17" s="1" customFormat="1">
      <c r="A85" s="15"/>
      <c r="B85" s="22" t="s">
        <v>2578</v>
      </c>
      <c r="C85" s="22" t="s">
        <v>45</v>
      </c>
      <c r="D85" s="9" t="s">
        <v>2579</v>
      </c>
      <c r="E85" s="16" t="s">
        <v>128</v>
      </c>
      <c r="F85" s="72"/>
      <c r="G85" s="17" t="s">
        <v>2334</v>
      </c>
      <c r="H85" s="18"/>
      <c r="I85" s="17"/>
      <c r="J85" s="19" t="s">
        <v>133</v>
      </c>
      <c r="K85" s="19" t="s">
        <v>2136</v>
      </c>
      <c r="L85" s="19" t="s">
        <v>134</v>
      </c>
    </row>
    <row r="86" spans="1:17" s="1" customFormat="1">
      <c r="B86" s="22" t="s">
        <v>2580</v>
      </c>
      <c r="C86" s="22" t="s">
        <v>45</v>
      </c>
      <c r="D86" s="9" t="s">
        <v>2581</v>
      </c>
      <c r="E86" s="16" t="s">
        <v>128</v>
      </c>
      <c r="F86" s="22"/>
      <c r="G86" s="17" t="s">
        <v>1334</v>
      </c>
      <c r="H86" s="18"/>
      <c r="I86" s="88"/>
      <c r="J86" s="19"/>
      <c r="K86" s="19"/>
      <c r="L86" s="19"/>
    </row>
    <row r="87" spans="1:17" s="1" customFormat="1">
      <c r="B87" s="22" t="s">
        <v>2582</v>
      </c>
      <c r="C87" s="22" t="s">
        <v>45</v>
      </c>
      <c r="D87" s="9" t="s">
        <v>2583</v>
      </c>
      <c r="E87" s="16" t="s">
        <v>128</v>
      </c>
      <c r="F87" s="22"/>
      <c r="G87" s="17" t="s">
        <v>1334</v>
      </c>
      <c r="H87" s="18"/>
      <c r="I87" s="88"/>
      <c r="J87" s="19"/>
      <c r="K87" s="19"/>
      <c r="L87" s="19"/>
    </row>
    <row r="88" spans="1:17" s="1" customFormat="1">
      <c r="B88" s="22" t="s">
        <v>2584</v>
      </c>
      <c r="C88" s="22" t="s">
        <v>45</v>
      </c>
      <c r="D88" s="9" t="s">
        <v>2585</v>
      </c>
      <c r="E88" s="16" t="s">
        <v>128</v>
      </c>
      <c r="F88" s="22"/>
      <c r="G88" s="17" t="s">
        <v>1334</v>
      </c>
      <c r="H88" s="18"/>
      <c r="I88" s="88"/>
      <c r="J88" s="19"/>
      <c r="K88" s="19"/>
      <c r="L88" s="19"/>
    </row>
    <row r="89" spans="1:17" s="1" customFormat="1">
      <c r="B89" s="22" t="s">
        <v>2586</v>
      </c>
      <c r="C89" s="22" t="s">
        <v>45</v>
      </c>
      <c r="D89" s="9" t="s">
        <v>2587</v>
      </c>
      <c r="E89" s="16" t="s">
        <v>128</v>
      </c>
      <c r="F89" s="22"/>
      <c r="G89" s="17" t="s">
        <v>1334</v>
      </c>
      <c r="H89" s="18"/>
      <c r="I89" s="88"/>
      <c r="J89" s="19"/>
      <c r="K89" s="19"/>
      <c r="L89" s="19"/>
    </row>
    <row r="90" spans="1:17" s="1" customFormat="1">
      <c r="B90" s="22" t="s">
        <v>2588</v>
      </c>
      <c r="C90" s="22" t="s">
        <v>45</v>
      </c>
      <c r="D90" s="9" t="s">
        <v>2589</v>
      </c>
      <c r="E90" s="16" t="s">
        <v>128</v>
      </c>
      <c r="F90" s="22"/>
      <c r="G90" s="17" t="s">
        <v>1334</v>
      </c>
      <c r="H90" s="98"/>
      <c r="I90" s="88"/>
      <c r="J90" s="19"/>
      <c r="K90" s="19"/>
      <c r="L90" s="19"/>
    </row>
    <row r="91" spans="1:17" s="3" customFormat="1">
      <c r="B91" s="23" t="s">
        <v>47</v>
      </c>
      <c r="C91" s="24" t="s">
        <v>46</v>
      </c>
      <c r="D91" s="21" t="s">
        <v>48</v>
      </c>
      <c r="E91" s="44"/>
      <c r="F91" s="44"/>
      <c r="G91" s="44"/>
      <c r="H91" s="23" t="s">
        <v>282</v>
      </c>
      <c r="I91" s="23"/>
      <c r="J91" s="23"/>
      <c r="K91" s="23"/>
      <c r="L91" s="23"/>
      <c r="M91" s="23"/>
      <c r="N91" s="23"/>
      <c r="O91" s="23"/>
      <c r="P91" s="23"/>
      <c r="Q91" s="23"/>
    </row>
    <row r="92" spans="1:17" s="3" customFormat="1">
      <c r="B92" s="23" t="s">
        <v>49</v>
      </c>
      <c r="C92" s="24" t="s">
        <v>43</v>
      </c>
      <c r="D92" s="21" t="s">
        <v>50</v>
      </c>
      <c r="E92" s="44"/>
      <c r="F92" s="44"/>
      <c r="G92" s="44"/>
      <c r="H92" s="23" t="s">
        <v>282</v>
      </c>
      <c r="I92" s="23"/>
      <c r="J92" s="23"/>
      <c r="K92" s="23"/>
      <c r="L92" s="23"/>
      <c r="M92" s="23"/>
      <c r="N92" s="23"/>
      <c r="O92" s="23"/>
      <c r="P92" s="23"/>
      <c r="Q92" s="23"/>
    </row>
    <row r="93" spans="1:17" s="3" customFormat="1">
      <c r="B93" s="23" t="s">
        <v>51</v>
      </c>
      <c r="C93" s="24" t="s">
        <v>46</v>
      </c>
      <c r="D93" s="21" t="s">
        <v>52</v>
      </c>
      <c r="E93" s="44"/>
      <c r="F93" s="44"/>
      <c r="G93" s="44"/>
      <c r="H93" s="23" t="s">
        <v>282</v>
      </c>
      <c r="I93" s="23"/>
      <c r="J93" s="23"/>
      <c r="K93" s="23"/>
      <c r="L93" s="23"/>
      <c r="M93" s="23"/>
      <c r="N93" s="23"/>
      <c r="O93" s="23"/>
      <c r="P93" s="23"/>
      <c r="Q93" s="23"/>
    </row>
  </sheetData>
  <autoFilter ref="A14:Q93" xr:uid="{E16EFA29-E820-4A10-98BC-CF6E577605DD}"/>
  <mergeCells count="5">
    <mergeCell ref="B2:H2"/>
    <mergeCell ref="B3:H3"/>
    <mergeCell ref="B7:H7"/>
    <mergeCell ref="B13:L13"/>
    <mergeCell ref="G9:G10"/>
  </mergeCells>
  <phoneticPr fontId="16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3799-A660-48EA-89BB-CFD01253D5A5}">
  <dimension ref="A1:M87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4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128"/>
      <c r="C2" s="128"/>
      <c r="D2" s="128"/>
      <c r="E2" s="128"/>
      <c r="F2" s="128"/>
      <c r="G2" s="128"/>
      <c r="H2" s="128"/>
    </row>
    <row r="3" spans="1:12">
      <c r="B3" s="124" t="s">
        <v>18</v>
      </c>
      <c r="C3" s="124"/>
      <c r="D3" s="124"/>
      <c r="E3" s="124"/>
      <c r="F3" s="124"/>
      <c r="G3" s="124"/>
      <c r="H3" s="124"/>
    </row>
    <row r="4" spans="1:12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2">
      <c r="B5" s="8" t="s">
        <v>1830</v>
      </c>
      <c r="C5" s="26" t="s">
        <v>2553</v>
      </c>
      <c r="D5" s="82" t="s">
        <v>2550</v>
      </c>
      <c r="E5" s="11" t="s">
        <v>90</v>
      </c>
      <c r="F5" s="42"/>
      <c r="G5" s="11"/>
      <c r="H5" s="11"/>
    </row>
    <row r="6" spans="1:12">
      <c r="B6" s="6"/>
      <c r="C6" s="6"/>
      <c r="D6" s="6"/>
      <c r="E6" s="6"/>
      <c r="F6" s="43"/>
      <c r="G6" s="43"/>
      <c r="H6" s="6"/>
    </row>
    <row r="7" spans="1:12">
      <c r="B7" s="124" t="s">
        <v>25</v>
      </c>
      <c r="C7" s="124"/>
      <c r="D7" s="124"/>
      <c r="E7" s="124"/>
      <c r="F7" s="124"/>
      <c r="G7" s="124"/>
      <c r="H7" s="124"/>
    </row>
    <row r="8" spans="1:12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2">
      <c r="B9" s="11"/>
      <c r="C9" s="26" t="s">
        <v>2545</v>
      </c>
      <c r="D9" s="82" t="s">
        <v>2549</v>
      </c>
      <c r="E9" s="11" t="s">
        <v>55</v>
      </c>
      <c r="F9" s="17"/>
      <c r="G9" s="13"/>
      <c r="H9" s="14" t="s">
        <v>17</v>
      </c>
    </row>
    <row r="11" spans="1:12">
      <c r="B11" s="4" t="s">
        <v>32</v>
      </c>
    </row>
    <row r="12" spans="1:12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2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2" s="1" customFormat="1">
      <c r="B14" s="22" t="s">
        <v>1168</v>
      </c>
      <c r="C14" s="22" t="s">
        <v>43</v>
      </c>
      <c r="D14" s="9" t="s">
        <v>1265</v>
      </c>
      <c r="E14" s="16" t="s">
        <v>128</v>
      </c>
      <c r="F14" s="17" t="s">
        <v>118</v>
      </c>
      <c r="G14" s="17" t="s">
        <v>129</v>
      </c>
      <c r="H14" s="16"/>
      <c r="I14" s="19"/>
      <c r="J14" s="19" t="s">
        <v>131</v>
      </c>
      <c r="K14" s="19" t="s">
        <v>132</v>
      </c>
      <c r="L14" s="19" t="s">
        <v>674</v>
      </c>
    </row>
    <row r="15" spans="1:12" s="1" customFormat="1">
      <c r="B15" s="22" t="s">
        <v>77</v>
      </c>
      <c r="C15" s="22" t="s">
        <v>46</v>
      </c>
      <c r="D15" s="9" t="s">
        <v>329</v>
      </c>
      <c r="E15" s="16" t="s">
        <v>1617</v>
      </c>
      <c r="F15" s="17" t="s">
        <v>1879</v>
      </c>
      <c r="G15" s="17" t="s">
        <v>129</v>
      </c>
      <c r="H15" s="16"/>
      <c r="I15" s="19"/>
      <c r="J15" s="19" t="s">
        <v>131</v>
      </c>
      <c r="K15" s="19" t="s">
        <v>132</v>
      </c>
      <c r="L15" s="86">
        <v>100</v>
      </c>
    </row>
    <row r="16" spans="1:12" s="1" customFormat="1">
      <c r="A16" s="15"/>
      <c r="B16" s="22" t="s">
        <v>80</v>
      </c>
      <c r="C16" s="22" t="s">
        <v>94</v>
      </c>
      <c r="D16" s="9" t="s">
        <v>99</v>
      </c>
      <c r="E16" s="16"/>
      <c r="F16" s="13" t="s">
        <v>80</v>
      </c>
      <c r="G16" s="17" t="s">
        <v>129</v>
      </c>
      <c r="H16" s="16"/>
      <c r="I16" s="20"/>
      <c r="J16" s="19" t="s">
        <v>131</v>
      </c>
      <c r="K16" s="19" t="s">
        <v>132</v>
      </c>
      <c r="L16" s="86">
        <v>10</v>
      </c>
    </row>
    <row r="17" spans="1:12" s="1" customFormat="1">
      <c r="A17" s="15"/>
      <c r="B17" s="22" t="s">
        <v>1069</v>
      </c>
      <c r="C17" s="22" t="s">
        <v>43</v>
      </c>
      <c r="D17" s="9" t="s">
        <v>1178</v>
      </c>
      <c r="E17" s="16" t="s">
        <v>1617</v>
      </c>
      <c r="F17" s="17" t="s">
        <v>1069</v>
      </c>
      <c r="G17" s="17" t="s">
        <v>129</v>
      </c>
      <c r="H17" s="16"/>
      <c r="I17" s="20"/>
      <c r="J17" s="19" t="s">
        <v>131</v>
      </c>
      <c r="K17" s="19" t="s">
        <v>132</v>
      </c>
      <c r="L17" s="19" t="s">
        <v>132</v>
      </c>
    </row>
    <row r="18" spans="1:12" s="1" customFormat="1">
      <c r="A18" s="15"/>
      <c r="B18" s="22" t="s">
        <v>1068</v>
      </c>
      <c r="C18" s="22" t="s">
        <v>46</v>
      </c>
      <c r="D18" s="9" t="s">
        <v>1267</v>
      </c>
      <c r="E18" s="16" t="s">
        <v>1617</v>
      </c>
      <c r="F18" s="17" t="s">
        <v>1068</v>
      </c>
      <c r="G18" s="17" t="s">
        <v>129</v>
      </c>
      <c r="H18" s="16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64</v>
      </c>
      <c r="C19" s="22" t="s">
        <v>43</v>
      </c>
      <c r="D19" s="9" t="s">
        <v>63</v>
      </c>
      <c r="E19" s="16" t="s">
        <v>1617</v>
      </c>
      <c r="F19" s="17" t="s">
        <v>64</v>
      </c>
      <c r="G19" s="17" t="s">
        <v>129</v>
      </c>
      <c r="H19" s="16"/>
      <c r="I19" s="20"/>
      <c r="J19" s="19" t="s">
        <v>131</v>
      </c>
      <c r="K19" s="19" t="s">
        <v>132</v>
      </c>
      <c r="L19" s="19" t="s">
        <v>132</v>
      </c>
    </row>
    <row r="20" spans="1:12" s="1" customFormat="1">
      <c r="A20" s="15"/>
      <c r="B20" s="11" t="s">
        <v>61</v>
      </c>
      <c r="C20" s="22" t="s">
        <v>46</v>
      </c>
      <c r="D20" s="9" t="s">
        <v>1796</v>
      </c>
      <c r="E20" s="16" t="s">
        <v>1617</v>
      </c>
      <c r="F20" s="17" t="s">
        <v>61</v>
      </c>
      <c r="G20" s="17" t="s">
        <v>129</v>
      </c>
      <c r="H20" s="16"/>
      <c r="I20" s="20"/>
      <c r="J20" s="19" t="s">
        <v>131</v>
      </c>
      <c r="K20" s="19" t="s">
        <v>132</v>
      </c>
      <c r="L20" s="19" t="s">
        <v>679</v>
      </c>
    </row>
    <row r="21" spans="1:12" s="1" customFormat="1">
      <c r="A21" s="15"/>
      <c r="B21" s="11" t="s">
        <v>65</v>
      </c>
      <c r="C21" s="22" t="s">
        <v>43</v>
      </c>
      <c r="D21" s="9" t="s">
        <v>1797</v>
      </c>
      <c r="E21" s="16" t="s">
        <v>1617</v>
      </c>
      <c r="F21" s="17" t="s">
        <v>65</v>
      </c>
      <c r="G21" s="17" t="s">
        <v>129</v>
      </c>
      <c r="H21" s="16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62</v>
      </c>
      <c r="C22" s="22" t="s">
        <v>46</v>
      </c>
      <c r="D22" s="9" t="s">
        <v>1268</v>
      </c>
      <c r="E22" s="16" t="s">
        <v>1617</v>
      </c>
      <c r="F22" s="17" t="s">
        <v>62</v>
      </c>
      <c r="G22" s="17" t="s">
        <v>129</v>
      </c>
      <c r="H22" s="16"/>
      <c r="I22" s="20"/>
      <c r="J22" s="19" t="s">
        <v>131</v>
      </c>
      <c r="K22" s="19" t="s">
        <v>132</v>
      </c>
      <c r="L22" s="19" t="s">
        <v>679</v>
      </c>
    </row>
    <row r="23" spans="1:12" s="1" customFormat="1">
      <c r="A23" s="15"/>
      <c r="B23" s="11" t="s">
        <v>66</v>
      </c>
      <c r="C23" s="11" t="s">
        <v>43</v>
      </c>
      <c r="D23" s="9" t="s">
        <v>68</v>
      </c>
      <c r="E23" s="16" t="s">
        <v>1617</v>
      </c>
      <c r="F23" s="17" t="s">
        <v>66</v>
      </c>
      <c r="G23" s="17" t="s">
        <v>129</v>
      </c>
      <c r="H23" s="16"/>
      <c r="I23" s="35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1798</v>
      </c>
      <c r="C24" s="11" t="s">
        <v>46</v>
      </c>
      <c r="D24" s="9" t="s">
        <v>1799</v>
      </c>
      <c r="E24" s="16" t="s">
        <v>128</v>
      </c>
      <c r="F24" s="17" t="s">
        <v>1798</v>
      </c>
      <c r="G24" s="17" t="s">
        <v>129</v>
      </c>
      <c r="H24" s="16"/>
      <c r="I24" s="20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1800</v>
      </c>
      <c r="C25" s="11" t="s">
        <v>43</v>
      </c>
      <c r="D25" s="9" t="s">
        <v>1801</v>
      </c>
      <c r="E25" s="16" t="s">
        <v>128</v>
      </c>
      <c r="F25" s="9" t="s">
        <v>1800</v>
      </c>
      <c r="G25" s="17" t="s">
        <v>129</v>
      </c>
      <c r="H25" s="16"/>
      <c r="I25" s="20"/>
      <c r="J25" s="19" t="s">
        <v>131</v>
      </c>
      <c r="K25" s="19" t="s">
        <v>132</v>
      </c>
      <c r="L25" s="19" t="s">
        <v>44</v>
      </c>
    </row>
    <row r="26" spans="1:12" s="1" customFormat="1">
      <c r="A26" s="15"/>
      <c r="B26" s="11" t="s">
        <v>1383</v>
      </c>
      <c r="C26" s="11" t="s">
        <v>45</v>
      </c>
      <c r="D26" s="9" t="s">
        <v>1802</v>
      </c>
      <c r="E26" s="16" t="s">
        <v>128</v>
      </c>
      <c r="F26" s="17"/>
      <c r="G26" s="17" t="s">
        <v>1426</v>
      </c>
      <c r="H26" s="18"/>
      <c r="I26" s="17"/>
      <c r="J26" s="19" t="s">
        <v>133</v>
      </c>
      <c r="K26" s="19" t="s">
        <v>203</v>
      </c>
      <c r="L26" s="19" t="s">
        <v>134</v>
      </c>
    </row>
    <row r="27" spans="1:12" s="1" customFormat="1">
      <c r="A27" s="15"/>
      <c r="B27" s="11" t="s">
        <v>296</v>
      </c>
      <c r="C27" s="11" t="s">
        <v>45</v>
      </c>
      <c r="D27" s="9" t="s">
        <v>1185</v>
      </c>
      <c r="E27" s="16" t="s">
        <v>128</v>
      </c>
      <c r="F27" s="17"/>
      <c r="G27" s="17" t="s">
        <v>1427</v>
      </c>
      <c r="H27" s="18"/>
      <c r="I27" s="17"/>
      <c r="J27" s="19" t="s">
        <v>133</v>
      </c>
      <c r="K27" s="19" t="s">
        <v>1899</v>
      </c>
      <c r="L27" s="19" t="s">
        <v>134</v>
      </c>
    </row>
    <row r="28" spans="1:12" s="1" customFormat="1">
      <c r="A28" s="15"/>
      <c r="B28" s="22" t="s">
        <v>297</v>
      </c>
      <c r="C28" s="22" t="s">
        <v>45</v>
      </c>
      <c r="D28" s="9" t="s">
        <v>160</v>
      </c>
      <c r="E28" s="16" t="s">
        <v>128</v>
      </c>
      <c r="F28" s="17"/>
      <c r="G28" s="17" t="s">
        <v>1428</v>
      </c>
      <c r="H28" s="18"/>
      <c r="I28" s="17"/>
      <c r="J28" s="19" t="s">
        <v>133</v>
      </c>
      <c r="K28" s="19" t="s">
        <v>1899</v>
      </c>
      <c r="L28" s="19" t="s">
        <v>134</v>
      </c>
    </row>
    <row r="29" spans="1:12" s="1" customFormat="1">
      <c r="A29" s="15"/>
      <c r="B29" s="11" t="s">
        <v>298</v>
      </c>
      <c r="C29" s="11" t="s">
        <v>45</v>
      </c>
      <c r="D29" s="9" t="s">
        <v>161</v>
      </c>
      <c r="E29" s="16" t="s">
        <v>128</v>
      </c>
      <c r="F29" s="72"/>
      <c r="G29" s="17" t="s">
        <v>1430</v>
      </c>
      <c r="H29" s="18"/>
      <c r="I29" s="17"/>
      <c r="J29" s="19" t="s">
        <v>133</v>
      </c>
      <c r="K29" s="19" t="s">
        <v>2596</v>
      </c>
      <c r="L29" s="19" t="s">
        <v>134</v>
      </c>
    </row>
    <row r="30" spans="1:12" s="1" customFormat="1">
      <c r="A30" s="15"/>
      <c r="B30" s="11" t="s">
        <v>299</v>
      </c>
      <c r="C30" s="11" t="s">
        <v>45</v>
      </c>
      <c r="D30" s="9" t="s">
        <v>162</v>
      </c>
      <c r="E30" s="16" t="s">
        <v>128</v>
      </c>
      <c r="F30" s="72"/>
      <c r="G30" s="17" t="s">
        <v>1429</v>
      </c>
      <c r="H30" s="18"/>
      <c r="I30" s="17"/>
      <c r="J30" s="19" t="s">
        <v>133</v>
      </c>
      <c r="K30" s="19" t="s">
        <v>2596</v>
      </c>
      <c r="L30" s="19" t="s">
        <v>134</v>
      </c>
    </row>
    <row r="31" spans="1:12" s="1" customFormat="1">
      <c r="A31" s="15"/>
      <c r="B31" s="11" t="s">
        <v>300</v>
      </c>
      <c r="C31" s="11" t="s">
        <v>45</v>
      </c>
      <c r="D31" s="9" t="s">
        <v>163</v>
      </c>
      <c r="E31" s="16" t="s">
        <v>128</v>
      </c>
      <c r="F31" s="72"/>
      <c r="G31" s="17" t="s">
        <v>1431</v>
      </c>
      <c r="H31" s="18"/>
      <c r="I31" s="17"/>
      <c r="J31" s="19" t="s">
        <v>133</v>
      </c>
      <c r="K31" s="19" t="s">
        <v>2596</v>
      </c>
      <c r="L31" s="19" t="s">
        <v>67</v>
      </c>
    </row>
    <row r="32" spans="1:12" s="1" customFormat="1">
      <c r="A32" s="15"/>
      <c r="B32" s="11" t="s">
        <v>301</v>
      </c>
      <c r="C32" s="11" t="s">
        <v>45</v>
      </c>
      <c r="D32" s="9" t="s">
        <v>164</v>
      </c>
      <c r="E32" s="16" t="s">
        <v>128</v>
      </c>
      <c r="F32" s="72"/>
      <c r="G32" s="17" t="s">
        <v>1432</v>
      </c>
      <c r="H32" s="18"/>
      <c r="I32" s="17"/>
      <c r="J32" s="19" t="s">
        <v>133</v>
      </c>
      <c r="K32" s="19" t="s">
        <v>2596</v>
      </c>
      <c r="L32" s="19" t="s">
        <v>67</v>
      </c>
    </row>
    <row r="33" spans="1:12" s="1" customFormat="1">
      <c r="A33" s="15"/>
      <c r="B33" s="11" t="s">
        <v>302</v>
      </c>
      <c r="C33" s="11" t="s">
        <v>45</v>
      </c>
      <c r="D33" s="9" t="s">
        <v>165</v>
      </c>
      <c r="E33" s="16" t="s">
        <v>128</v>
      </c>
      <c r="F33" s="72"/>
      <c r="G33" s="17" t="s">
        <v>1433</v>
      </c>
      <c r="H33" s="18"/>
      <c r="I33" s="17"/>
      <c r="J33" s="19" t="s">
        <v>133</v>
      </c>
      <c r="K33" s="19" t="s">
        <v>2596</v>
      </c>
      <c r="L33" s="19" t="s">
        <v>67</v>
      </c>
    </row>
    <row r="34" spans="1:12" s="1" customFormat="1">
      <c r="A34" s="15"/>
      <c r="B34" s="11" t="s">
        <v>303</v>
      </c>
      <c r="C34" s="11" t="s">
        <v>45</v>
      </c>
      <c r="D34" s="9" t="s">
        <v>166</v>
      </c>
      <c r="E34" s="16" t="s">
        <v>128</v>
      </c>
      <c r="F34" s="72"/>
      <c r="G34" s="17" t="s">
        <v>1434</v>
      </c>
      <c r="H34" s="18"/>
      <c r="I34" s="17"/>
      <c r="J34" s="19" t="s">
        <v>133</v>
      </c>
      <c r="K34" s="19" t="s">
        <v>2596</v>
      </c>
      <c r="L34" s="19" t="s">
        <v>67</v>
      </c>
    </row>
    <row r="35" spans="1:12" s="1" customFormat="1">
      <c r="A35" s="15"/>
      <c r="B35" s="11" t="s">
        <v>1188</v>
      </c>
      <c r="C35" s="11" t="s">
        <v>45</v>
      </c>
      <c r="D35" s="9" t="s">
        <v>2569</v>
      </c>
      <c r="E35" s="16" t="s">
        <v>128</v>
      </c>
      <c r="F35" s="72"/>
      <c r="G35" s="17" t="s">
        <v>2598</v>
      </c>
      <c r="H35" s="18"/>
      <c r="I35" s="17"/>
      <c r="J35" s="19" t="s">
        <v>133</v>
      </c>
      <c r="K35" s="19" t="s">
        <v>203</v>
      </c>
      <c r="L35" s="19" t="s">
        <v>67</v>
      </c>
    </row>
    <row r="36" spans="1:12" s="1" customFormat="1">
      <c r="A36" s="15"/>
      <c r="B36" s="11" t="s">
        <v>1190</v>
      </c>
      <c r="C36" s="11" t="s">
        <v>45</v>
      </c>
      <c r="D36" s="9" t="s">
        <v>2570</v>
      </c>
      <c r="E36" s="16" t="s">
        <v>128</v>
      </c>
      <c r="F36" s="72"/>
      <c r="G36" s="17" t="s">
        <v>1950</v>
      </c>
      <c r="H36" s="18"/>
      <c r="I36" s="17"/>
      <c r="J36" s="19" t="s">
        <v>133</v>
      </c>
      <c r="K36" s="19" t="s">
        <v>203</v>
      </c>
      <c r="L36" s="19" t="s">
        <v>67</v>
      </c>
    </row>
    <row r="37" spans="1:12" s="1" customFormat="1">
      <c r="A37" s="15"/>
      <c r="B37" s="11" t="s">
        <v>159</v>
      </c>
      <c r="C37" s="11" t="s">
        <v>45</v>
      </c>
      <c r="D37" s="9" t="s">
        <v>2571</v>
      </c>
      <c r="E37" s="16" t="s">
        <v>128</v>
      </c>
      <c r="F37" s="72"/>
      <c r="G37" s="17" t="s">
        <v>2599</v>
      </c>
      <c r="H37" s="18"/>
      <c r="I37" s="17"/>
      <c r="J37" s="19" t="s">
        <v>133</v>
      </c>
      <c r="K37" s="19" t="s">
        <v>203</v>
      </c>
      <c r="L37" s="19" t="s">
        <v>67</v>
      </c>
    </row>
    <row r="38" spans="1:12" s="1" customFormat="1">
      <c r="A38" s="15"/>
      <c r="B38" s="11" t="s">
        <v>2469</v>
      </c>
      <c r="C38" s="11" t="s">
        <v>45</v>
      </c>
      <c r="D38" s="9" t="s">
        <v>2165</v>
      </c>
      <c r="E38" s="16" t="s">
        <v>128</v>
      </c>
      <c r="F38" s="72"/>
      <c r="G38" s="17" t="s">
        <v>2484</v>
      </c>
      <c r="H38" s="18"/>
      <c r="I38" s="17"/>
      <c r="J38" s="19" t="s">
        <v>133</v>
      </c>
      <c r="K38" s="19" t="s">
        <v>903</v>
      </c>
      <c r="L38" s="19" t="s">
        <v>67</v>
      </c>
    </row>
    <row r="39" spans="1:12" s="1" customFormat="1">
      <c r="A39" s="15"/>
      <c r="B39" s="11" t="s">
        <v>2407</v>
      </c>
      <c r="C39" s="11" t="s">
        <v>45</v>
      </c>
      <c r="D39" s="9" t="s">
        <v>2166</v>
      </c>
      <c r="E39" s="16" t="s">
        <v>128</v>
      </c>
      <c r="F39" s="72"/>
      <c r="G39" s="17" t="s">
        <v>2485</v>
      </c>
      <c r="H39" s="18"/>
      <c r="I39" s="17"/>
      <c r="J39" s="19" t="s">
        <v>133</v>
      </c>
      <c r="K39" s="19" t="s">
        <v>903</v>
      </c>
      <c r="L39" s="19" t="s">
        <v>67</v>
      </c>
    </row>
    <row r="40" spans="1:12" s="1" customFormat="1">
      <c r="A40" s="15"/>
      <c r="B40" s="11" t="s">
        <v>2470</v>
      </c>
      <c r="C40" s="11" t="s">
        <v>45</v>
      </c>
      <c r="D40" s="9" t="s">
        <v>2477</v>
      </c>
      <c r="E40" s="16" t="s">
        <v>128</v>
      </c>
      <c r="F40" s="72"/>
      <c r="G40" s="17" t="s">
        <v>2600</v>
      </c>
      <c r="H40" s="18"/>
      <c r="I40" s="17"/>
      <c r="J40" s="19" t="s">
        <v>133</v>
      </c>
      <c r="K40" s="19" t="s">
        <v>903</v>
      </c>
      <c r="L40" s="19" t="s">
        <v>67</v>
      </c>
    </row>
    <row r="41" spans="1:12" s="1" customFormat="1">
      <c r="A41" s="15"/>
      <c r="B41" s="11" t="s">
        <v>2326</v>
      </c>
      <c r="C41" s="11" t="s">
        <v>45</v>
      </c>
      <c r="D41" s="9" t="s">
        <v>2478</v>
      </c>
      <c r="E41" s="16" t="s">
        <v>128</v>
      </c>
      <c r="F41" s="72"/>
      <c r="G41" s="17" t="s">
        <v>2329</v>
      </c>
      <c r="H41" s="18"/>
      <c r="I41" s="17"/>
      <c r="J41" s="19" t="s">
        <v>133</v>
      </c>
      <c r="K41" s="19" t="s">
        <v>903</v>
      </c>
      <c r="L41" s="19" t="s">
        <v>67</v>
      </c>
    </row>
    <row r="42" spans="1:12" s="1" customFormat="1">
      <c r="A42" s="15"/>
      <c r="B42" s="11" t="s">
        <v>2471</v>
      </c>
      <c r="C42" s="11" t="s">
        <v>45</v>
      </c>
      <c r="D42" s="9" t="s">
        <v>2479</v>
      </c>
      <c r="E42" s="16" t="s">
        <v>128</v>
      </c>
      <c r="F42" s="72"/>
      <c r="G42" s="17" t="s">
        <v>2601</v>
      </c>
      <c r="H42" s="18"/>
      <c r="I42" s="17"/>
      <c r="J42" s="19" t="s">
        <v>133</v>
      </c>
      <c r="K42" s="19" t="s">
        <v>903</v>
      </c>
      <c r="L42" s="19" t="s">
        <v>67</v>
      </c>
    </row>
    <row r="43" spans="1:12" s="1" customFormat="1">
      <c r="A43" s="15"/>
      <c r="B43" s="11" t="s">
        <v>2473</v>
      </c>
      <c r="C43" s="11" t="s">
        <v>45</v>
      </c>
      <c r="D43" s="9" t="s">
        <v>2005</v>
      </c>
      <c r="E43" s="16" t="s">
        <v>128</v>
      </c>
      <c r="F43" s="72"/>
      <c r="G43" s="17" t="s">
        <v>2602</v>
      </c>
      <c r="H43" s="18"/>
      <c r="I43" s="17"/>
      <c r="J43" s="19" t="s">
        <v>133</v>
      </c>
      <c r="K43" s="19" t="s">
        <v>2236</v>
      </c>
      <c r="L43" s="19" t="s">
        <v>67</v>
      </c>
    </row>
    <row r="44" spans="1:12" s="1" customFormat="1">
      <c r="A44" s="15"/>
      <c r="B44" s="11" t="s">
        <v>2140</v>
      </c>
      <c r="C44" s="11" t="s">
        <v>45</v>
      </c>
      <c r="D44" s="9" t="s">
        <v>2141</v>
      </c>
      <c r="E44" s="16" t="s">
        <v>128</v>
      </c>
      <c r="F44" s="72"/>
      <c r="G44" s="17" t="s">
        <v>2286</v>
      </c>
      <c r="H44" s="18"/>
      <c r="I44" s="17"/>
      <c r="J44" s="19" t="s">
        <v>133</v>
      </c>
      <c r="K44" s="19" t="s">
        <v>903</v>
      </c>
      <c r="L44" s="19" t="s">
        <v>67</v>
      </c>
    </row>
    <row r="45" spans="1:12" s="1" customFormat="1">
      <c r="A45" s="15"/>
      <c r="B45" s="11" t="s">
        <v>2142</v>
      </c>
      <c r="C45" s="11" t="s">
        <v>45</v>
      </c>
      <c r="D45" s="9" t="s">
        <v>2143</v>
      </c>
      <c r="E45" s="16" t="s">
        <v>128</v>
      </c>
      <c r="F45" s="72"/>
      <c r="G45" s="17" t="s">
        <v>2287</v>
      </c>
      <c r="H45" s="18"/>
      <c r="I45" s="17"/>
      <c r="J45" s="19" t="s">
        <v>133</v>
      </c>
      <c r="K45" s="19" t="s">
        <v>903</v>
      </c>
      <c r="L45" s="19" t="s">
        <v>67</v>
      </c>
    </row>
    <row r="46" spans="1:12" s="1" customFormat="1">
      <c r="A46" s="15"/>
      <c r="B46" s="11" t="s">
        <v>2144</v>
      </c>
      <c r="C46" s="11" t="s">
        <v>45</v>
      </c>
      <c r="D46" s="9" t="s">
        <v>2145</v>
      </c>
      <c r="E46" s="16" t="s">
        <v>128</v>
      </c>
      <c r="F46" s="72"/>
      <c r="G46" s="17" t="s">
        <v>2288</v>
      </c>
      <c r="H46" s="18"/>
      <c r="I46" s="17"/>
      <c r="J46" s="19" t="s">
        <v>133</v>
      </c>
      <c r="K46" s="19" t="s">
        <v>903</v>
      </c>
      <c r="L46" s="19" t="s">
        <v>67</v>
      </c>
    </row>
    <row r="47" spans="1:12" s="1" customFormat="1">
      <c r="A47" s="15"/>
      <c r="B47" s="11" t="s">
        <v>2146</v>
      </c>
      <c r="C47" s="11" t="s">
        <v>45</v>
      </c>
      <c r="D47" s="9" t="s">
        <v>2147</v>
      </c>
      <c r="E47" s="16" t="s">
        <v>128</v>
      </c>
      <c r="F47" s="72"/>
      <c r="G47" s="17" t="s">
        <v>2289</v>
      </c>
      <c r="H47" s="18"/>
      <c r="I47" s="17"/>
      <c r="J47" s="19" t="s">
        <v>133</v>
      </c>
      <c r="K47" s="19" t="s">
        <v>903</v>
      </c>
      <c r="L47" s="19" t="s">
        <v>67</v>
      </c>
    </row>
    <row r="48" spans="1:12" s="1" customFormat="1">
      <c r="A48" s="15"/>
      <c r="B48" s="11" t="s">
        <v>2148</v>
      </c>
      <c r="C48" s="11" t="s">
        <v>45</v>
      </c>
      <c r="D48" s="9" t="s">
        <v>2149</v>
      </c>
      <c r="E48" s="16" t="s">
        <v>128</v>
      </c>
      <c r="F48" s="72"/>
      <c r="G48" s="17" t="s">
        <v>2290</v>
      </c>
      <c r="H48" s="18"/>
      <c r="I48" s="17"/>
      <c r="J48" s="19" t="s">
        <v>133</v>
      </c>
      <c r="K48" s="19" t="s">
        <v>903</v>
      </c>
      <c r="L48" s="19" t="s">
        <v>67</v>
      </c>
    </row>
    <row r="49" spans="1:12" s="1" customFormat="1">
      <c r="A49" s="15"/>
      <c r="B49" s="11" t="s">
        <v>2150</v>
      </c>
      <c r="C49" s="11" t="s">
        <v>45</v>
      </c>
      <c r="D49" s="9" t="s">
        <v>2151</v>
      </c>
      <c r="E49" s="16" t="s">
        <v>128</v>
      </c>
      <c r="F49" s="72"/>
      <c r="G49" s="17" t="s">
        <v>2291</v>
      </c>
      <c r="H49" s="18"/>
      <c r="I49" s="17"/>
      <c r="J49" s="19" t="s">
        <v>133</v>
      </c>
      <c r="K49" s="19" t="s">
        <v>903</v>
      </c>
      <c r="L49" s="19" t="s">
        <v>67</v>
      </c>
    </row>
    <row r="50" spans="1:12" s="1" customFormat="1">
      <c r="A50" s="15"/>
      <c r="B50" s="11" t="s">
        <v>1651</v>
      </c>
      <c r="C50" s="11" t="s">
        <v>45</v>
      </c>
      <c r="D50" s="9" t="s">
        <v>1726</v>
      </c>
      <c r="E50" s="16" t="s">
        <v>128</v>
      </c>
      <c r="F50" s="72"/>
      <c r="G50" s="17" t="s">
        <v>2603</v>
      </c>
      <c r="H50" s="18"/>
      <c r="I50" s="17"/>
      <c r="J50" s="19" t="s">
        <v>133</v>
      </c>
      <c r="K50" s="19" t="s">
        <v>203</v>
      </c>
      <c r="L50" s="19" t="s">
        <v>67</v>
      </c>
    </row>
    <row r="51" spans="1:12" s="1" customFormat="1">
      <c r="A51" s="15"/>
      <c r="B51" s="11" t="s">
        <v>286</v>
      </c>
      <c r="C51" s="11" t="s">
        <v>45</v>
      </c>
      <c r="D51" s="9" t="s">
        <v>148</v>
      </c>
      <c r="E51" s="16" t="s">
        <v>128</v>
      </c>
      <c r="F51" s="72"/>
      <c r="G51" s="17" t="s">
        <v>1441</v>
      </c>
      <c r="H51" s="18"/>
      <c r="I51" s="17"/>
      <c r="J51" s="19" t="s">
        <v>133</v>
      </c>
      <c r="K51" s="19" t="s">
        <v>903</v>
      </c>
      <c r="L51" s="19" t="s">
        <v>134</v>
      </c>
    </row>
    <row r="52" spans="1:12" s="1" customFormat="1">
      <c r="A52" s="15"/>
      <c r="B52" s="11" t="s">
        <v>287</v>
      </c>
      <c r="C52" s="11" t="s">
        <v>45</v>
      </c>
      <c r="D52" s="9" t="s">
        <v>149</v>
      </c>
      <c r="E52" s="16" t="s">
        <v>128</v>
      </c>
      <c r="F52" s="72"/>
      <c r="G52" s="17" t="s">
        <v>1442</v>
      </c>
      <c r="H52" s="18"/>
      <c r="I52" s="17"/>
      <c r="J52" s="19" t="s">
        <v>133</v>
      </c>
      <c r="K52" s="19" t="s">
        <v>903</v>
      </c>
      <c r="L52" s="19" t="s">
        <v>134</v>
      </c>
    </row>
    <row r="53" spans="1:12" s="1" customFormat="1">
      <c r="A53" s="15"/>
      <c r="B53" s="11" t="s">
        <v>288</v>
      </c>
      <c r="C53" s="11" t="s">
        <v>45</v>
      </c>
      <c r="D53" s="9" t="s">
        <v>150</v>
      </c>
      <c r="E53" s="16" t="s">
        <v>128</v>
      </c>
      <c r="F53" s="72"/>
      <c r="G53" s="17" t="s">
        <v>1443</v>
      </c>
      <c r="H53" s="18"/>
      <c r="I53" s="17"/>
      <c r="J53" s="19" t="s">
        <v>133</v>
      </c>
      <c r="K53" s="19" t="s">
        <v>903</v>
      </c>
      <c r="L53" s="19" t="s">
        <v>67</v>
      </c>
    </row>
    <row r="54" spans="1:12" s="1" customFormat="1">
      <c r="A54" s="15"/>
      <c r="B54" s="11" t="s">
        <v>289</v>
      </c>
      <c r="C54" s="11" t="s">
        <v>45</v>
      </c>
      <c r="D54" s="9" t="s">
        <v>151</v>
      </c>
      <c r="E54" s="16" t="s">
        <v>128</v>
      </c>
      <c r="F54" s="72"/>
      <c r="G54" s="17" t="s">
        <v>1444</v>
      </c>
      <c r="H54" s="18"/>
      <c r="I54" s="17"/>
      <c r="J54" s="19" t="s">
        <v>133</v>
      </c>
      <c r="K54" s="19" t="s">
        <v>903</v>
      </c>
      <c r="L54" s="19" t="s">
        <v>67</v>
      </c>
    </row>
    <row r="55" spans="1:12" s="1" customFormat="1">
      <c r="A55" s="15"/>
      <c r="B55" s="11" t="s">
        <v>290</v>
      </c>
      <c r="C55" s="11" t="s">
        <v>45</v>
      </c>
      <c r="D55" s="9" t="s">
        <v>152</v>
      </c>
      <c r="E55" s="16" t="s">
        <v>128</v>
      </c>
      <c r="F55" s="72"/>
      <c r="G55" s="17" t="s">
        <v>1445</v>
      </c>
      <c r="H55" s="18"/>
      <c r="I55" s="17"/>
      <c r="J55" s="19" t="s">
        <v>133</v>
      </c>
      <c r="K55" s="19" t="s">
        <v>903</v>
      </c>
      <c r="L55" s="19" t="s">
        <v>67</v>
      </c>
    </row>
    <row r="56" spans="1:12" s="1" customFormat="1">
      <c r="A56" s="15"/>
      <c r="B56" s="11" t="s">
        <v>1591</v>
      </c>
      <c r="C56" s="95" t="s">
        <v>45</v>
      </c>
      <c r="D56" s="9" t="s">
        <v>1727</v>
      </c>
      <c r="E56" s="16" t="s">
        <v>128</v>
      </c>
      <c r="F56" s="72"/>
      <c r="G56" s="17" t="s">
        <v>2604</v>
      </c>
      <c r="H56" s="18"/>
      <c r="I56" s="17"/>
      <c r="J56" s="19" t="s">
        <v>133</v>
      </c>
      <c r="K56" s="19" t="s">
        <v>203</v>
      </c>
      <c r="L56" s="19" t="s">
        <v>67</v>
      </c>
    </row>
    <row r="57" spans="1:12" s="1" customFormat="1">
      <c r="A57" s="15"/>
      <c r="B57" s="11" t="s">
        <v>291</v>
      </c>
      <c r="C57" s="95" t="s">
        <v>45</v>
      </c>
      <c r="D57" s="9" t="s">
        <v>154</v>
      </c>
      <c r="E57" s="16" t="s">
        <v>128</v>
      </c>
      <c r="F57" s="72"/>
      <c r="G57" s="17" t="s">
        <v>1446</v>
      </c>
      <c r="H57" s="18"/>
      <c r="I57" s="17"/>
      <c r="J57" s="19" t="s">
        <v>133</v>
      </c>
      <c r="K57" s="19" t="s">
        <v>903</v>
      </c>
      <c r="L57" s="19" t="s">
        <v>67</v>
      </c>
    </row>
    <row r="58" spans="1:12" s="1" customFormat="1">
      <c r="A58" s="15"/>
      <c r="B58" s="11" t="s">
        <v>292</v>
      </c>
      <c r="C58" s="11" t="s">
        <v>45</v>
      </c>
      <c r="D58" s="9" t="s">
        <v>155</v>
      </c>
      <c r="E58" s="16" t="s">
        <v>128</v>
      </c>
      <c r="F58" s="72"/>
      <c r="G58" s="17" t="s">
        <v>1447</v>
      </c>
      <c r="H58" s="18"/>
      <c r="I58" s="17"/>
      <c r="J58" s="19" t="s">
        <v>133</v>
      </c>
      <c r="K58" s="19" t="s">
        <v>903</v>
      </c>
      <c r="L58" s="19" t="s">
        <v>67</v>
      </c>
    </row>
    <row r="59" spans="1:12" s="1" customFormat="1">
      <c r="A59" s="15"/>
      <c r="B59" s="11" t="s">
        <v>293</v>
      </c>
      <c r="C59" s="11" t="s">
        <v>45</v>
      </c>
      <c r="D59" s="9" t="s">
        <v>156</v>
      </c>
      <c r="E59" s="16" t="s">
        <v>128</v>
      </c>
      <c r="F59" s="72"/>
      <c r="G59" s="17" t="s">
        <v>1448</v>
      </c>
      <c r="H59" s="18"/>
      <c r="I59" s="17"/>
      <c r="J59" s="19" t="s">
        <v>133</v>
      </c>
      <c r="K59" s="19" t="s">
        <v>903</v>
      </c>
      <c r="L59" s="19" t="s">
        <v>67</v>
      </c>
    </row>
    <row r="60" spans="1:12" s="1" customFormat="1">
      <c r="A60" s="15"/>
      <c r="B60" s="11" t="s">
        <v>294</v>
      </c>
      <c r="C60" s="11" t="s">
        <v>45</v>
      </c>
      <c r="D60" s="9" t="s">
        <v>157</v>
      </c>
      <c r="E60" s="16" t="s">
        <v>128</v>
      </c>
      <c r="F60" s="72"/>
      <c r="G60" s="17" t="s">
        <v>1449</v>
      </c>
      <c r="H60" s="18"/>
      <c r="I60" s="17"/>
      <c r="J60" s="19" t="s">
        <v>133</v>
      </c>
      <c r="K60" s="19" t="s">
        <v>903</v>
      </c>
      <c r="L60" s="19" t="s">
        <v>67</v>
      </c>
    </row>
    <row r="61" spans="1:12" s="1" customFormat="1">
      <c r="A61" s="15"/>
      <c r="B61" s="11" t="s">
        <v>295</v>
      </c>
      <c r="C61" s="11" t="s">
        <v>45</v>
      </c>
      <c r="D61" s="9" t="s">
        <v>158</v>
      </c>
      <c r="E61" s="16" t="s">
        <v>128</v>
      </c>
      <c r="F61" s="72"/>
      <c r="G61" s="17" t="s">
        <v>1450</v>
      </c>
      <c r="H61" s="18"/>
      <c r="I61" s="17"/>
      <c r="J61" s="19" t="s">
        <v>133</v>
      </c>
      <c r="K61" s="19" t="s">
        <v>903</v>
      </c>
      <c r="L61" s="19" t="s">
        <v>67</v>
      </c>
    </row>
    <row r="62" spans="1:12" s="1" customFormat="1">
      <c r="A62" s="15"/>
      <c r="B62" s="11" t="s">
        <v>1625</v>
      </c>
      <c r="C62" s="11" t="s">
        <v>45</v>
      </c>
      <c r="D62" s="9" t="s">
        <v>1806</v>
      </c>
      <c r="E62" s="16" t="s">
        <v>128</v>
      </c>
      <c r="F62" s="72"/>
      <c r="G62" s="17" t="s">
        <v>2605</v>
      </c>
      <c r="H62" s="18"/>
      <c r="I62" s="17"/>
      <c r="J62" s="19" t="s">
        <v>133</v>
      </c>
      <c r="K62" s="19" t="s">
        <v>203</v>
      </c>
      <c r="L62" s="19" t="s">
        <v>67</v>
      </c>
    </row>
    <row r="63" spans="1:12" s="1" customFormat="1">
      <c r="A63" s="15"/>
      <c r="B63" s="11" t="s">
        <v>1469</v>
      </c>
      <c r="C63" s="11" t="s">
        <v>45</v>
      </c>
      <c r="D63" s="9" t="s">
        <v>1807</v>
      </c>
      <c r="E63" s="16" t="s">
        <v>128</v>
      </c>
      <c r="F63" s="72"/>
      <c r="G63" s="17" t="s">
        <v>1451</v>
      </c>
      <c r="H63" s="18"/>
      <c r="I63" s="17"/>
      <c r="J63" s="19" t="s">
        <v>133</v>
      </c>
      <c r="K63" s="19" t="s">
        <v>903</v>
      </c>
      <c r="L63" s="19" t="s">
        <v>67</v>
      </c>
    </row>
    <row r="64" spans="1:12" s="1" customFormat="1">
      <c r="A64" s="15"/>
      <c r="B64" s="11" t="s">
        <v>1470</v>
      </c>
      <c r="C64" s="11" t="s">
        <v>45</v>
      </c>
      <c r="D64" s="9" t="s">
        <v>1808</v>
      </c>
      <c r="E64" s="16" t="s">
        <v>128</v>
      </c>
      <c r="F64" s="72"/>
      <c r="G64" s="17" t="s">
        <v>1452</v>
      </c>
      <c r="H64" s="18"/>
      <c r="I64" s="17"/>
      <c r="J64" s="19" t="s">
        <v>133</v>
      </c>
      <c r="K64" s="19" t="s">
        <v>903</v>
      </c>
      <c r="L64" s="19" t="s">
        <v>67</v>
      </c>
    </row>
    <row r="65" spans="1:12" s="1" customFormat="1">
      <c r="A65" s="15"/>
      <c r="B65" s="11" t="s">
        <v>1471</v>
      </c>
      <c r="C65" s="11" t="s">
        <v>45</v>
      </c>
      <c r="D65" s="9" t="s">
        <v>1809</v>
      </c>
      <c r="E65" s="16" t="s">
        <v>128</v>
      </c>
      <c r="F65" s="72"/>
      <c r="G65" s="17" t="s">
        <v>1453</v>
      </c>
      <c r="H65" s="18"/>
      <c r="I65" s="17"/>
      <c r="J65" s="19" t="s">
        <v>133</v>
      </c>
      <c r="K65" s="19" t="s">
        <v>903</v>
      </c>
      <c r="L65" s="19" t="s">
        <v>67</v>
      </c>
    </row>
    <row r="66" spans="1:12" s="1" customFormat="1">
      <c r="A66" s="15"/>
      <c r="B66" s="11" t="s">
        <v>1472</v>
      </c>
      <c r="C66" s="11" t="s">
        <v>45</v>
      </c>
      <c r="D66" s="9" t="s">
        <v>1810</v>
      </c>
      <c r="E66" s="16" t="s">
        <v>128</v>
      </c>
      <c r="F66" s="72"/>
      <c r="G66" s="17" t="s">
        <v>1454</v>
      </c>
      <c r="H66" s="18"/>
      <c r="I66" s="17"/>
      <c r="J66" s="19" t="s">
        <v>133</v>
      </c>
      <c r="K66" s="19" t="s">
        <v>903</v>
      </c>
      <c r="L66" s="19" t="s">
        <v>67</v>
      </c>
    </row>
    <row r="67" spans="1:12" s="1" customFormat="1">
      <c r="A67" s="15"/>
      <c r="B67" s="11" t="s">
        <v>1473</v>
      </c>
      <c r="C67" s="11" t="s">
        <v>45</v>
      </c>
      <c r="D67" s="9" t="s">
        <v>1811</v>
      </c>
      <c r="E67" s="16" t="s">
        <v>128</v>
      </c>
      <c r="F67" s="72"/>
      <c r="G67" s="17" t="s">
        <v>1455</v>
      </c>
      <c r="H67" s="18"/>
      <c r="I67" s="17"/>
      <c r="J67" s="19" t="s">
        <v>133</v>
      </c>
      <c r="K67" s="19" t="s">
        <v>903</v>
      </c>
      <c r="L67" s="19" t="s">
        <v>67</v>
      </c>
    </row>
    <row r="68" spans="1:12" s="1" customFormat="1">
      <c r="A68" s="15"/>
      <c r="B68" s="11" t="s">
        <v>2037</v>
      </c>
      <c r="C68" s="11" t="s">
        <v>45</v>
      </c>
      <c r="D68" s="9" t="s">
        <v>2038</v>
      </c>
      <c r="E68" s="16" t="s">
        <v>128</v>
      </c>
      <c r="F68" s="72"/>
      <c r="G68" s="17" t="s">
        <v>2606</v>
      </c>
      <c r="H68" s="18"/>
      <c r="I68" s="17"/>
      <c r="J68" s="19" t="s">
        <v>133</v>
      </c>
      <c r="K68" s="19" t="s">
        <v>903</v>
      </c>
      <c r="L68" s="19" t="s">
        <v>67</v>
      </c>
    </row>
    <row r="69" spans="1:12" s="1" customFormat="1">
      <c r="A69" s="15"/>
      <c r="B69" s="11" t="s">
        <v>2041</v>
      </c>
      <c r="C69" s="11" t="s">
        <v>45</v>
      </c>
      <c r="D69" s="9" t="s">
        <v>2042</v>
      </c>
      <c r="E69" s="16" t="s">
        <v>128</v>
      </c>
      <c r="F69" s="72"/>
      <c r="G69" s="17" t="s">
        <v>2292</v>
      </c>
      <c r="H69" s="18"/>
      <c r="I69" s="17"/>
      <c r="J69" s="19" t="s">
        <v>133</v>
      </c>
      <c r="K69" s="19" t="s">
        <v>903</v>
      </c>
      <c r="L69" s="19" t="s">
        <v>67</v>
      </c>
    </row>
    <row r="70" spans="1:12" s="1" customFormat="1">
      <c r="A70" s="15"/>
      <c r="B70" s="11" t="s">
        <v>2043</v>
      </c>
      <c r="C70" s="11" t="s">
        <v>45</v>
      </c>
      <c r="D70" s="9" t="s">
        <v>2044</v>
      </c>
      <c r="E70" s="16" t="s">
        <v>128</v>
      </c>
      <c r="F70" s="72"/>
      <c r="G70" s="17" t="s">
        <v>2293</v>
      </c>
      <c r="H70" s="18"/>
      <c r="I70" s="17"/>
      <c r="J70" s="19" t="s">
        <v>133</v>
      </c>
      <c r="K70" s="19" t="s">
        <v>903</v>
      </c>
      <c r="L70" s="19" t="s">
        <v>67</v>
      </c>
    </row>
    <row r="71" spans="1:12" s="1" customFormat="1">
      <c r="A71" s="15"/>
      <c r="B71" s="11" t="s">
        <v>2045</v>
      </c>
      <c r="C71" s="11" t="s">
        <v>45</v>
      </c>
      <c r="D71" s="9" t="s">
        <v>2046</v>
      </c>
      <c r="E71" s="16" t="s">
        <v>128</v>
      </c>
      <c r="F71" s="72"/>
      <c r="G71" s="17" t="s">
        <v>2294</v>
      </c>
      <c r="H71" s="18"/>
      <c r="I71" s="17"/>
      <c r="J71" s="19" t="s">
        <v>133</v>
      </c>
      <c r="K71" s="19" t="s">
        <v>903</v>
      </c>
      <c r="L71" s="19" t="s">
        <v>67</v>
      </c>
    </row>
    <row r="72" spans="1:12" s="1" customFormat="1">
      <c r="A72" s="15"/>
      <c r="B72" s="11" t="s">
        <v>2047</v>
      </c>
      <c r="C72" s="11" t="s">
        <v>45</v>
      </c>
      <c r="D72" s="9" t="s">
        <v>2048</v>
      </c>
      <c r="E72" s="16" t="s">
        <v>128</v>
      </c>
      <c r="F72" s="72"/>
      <c r="G72" s="17" t="s">
        <v>2295</v>
      </c>
      <c r="H72" s="18"/>
      <c r="I72" s="17"/>
      <c r="J72" s="19" t="s">
        <v>133</v>
      </c>
      <c r="K72" s="19" t="s">
        <v>903</v>
      </c>
      <c r="L72" s="19" t="s">
        <v>67</v>
      </c>
    </row>
    <row r="73" spans="1:12" s="1" customFormat="1">
      <c r="A73" s="15"/>
      <c r="B73" s="11" t="s">
        <v>2049</v>
      </c>
      <c r="C73" s="11" t="s">
        <v>45</v>
      </c>
      <c r="D73" s="9" t="s">
        <v>2050</v>
      </c>
      <c r="E73" s="16" t="s">
        <v>128</v>
      </c>
      <c r="F73" s="72"/>
      <c r="G73" s="17" t="s">
        <v>2296</v>
      </c>
      <c r="H73" s="18"/>
      <c r="I73" s="17"/>
      <c r="J73" s="19" t="s">
        <v>133</v>
      </c>
      <c r="K73" s="19" t="s">
        <v>903</v>
      </c>
      <c r="L73" s="19" t="s">
        <v>67</v>
      </c>
    </row>
    <row r="74" spans="1:12" s="1" customFormat="1">
      <c r="A74" s="15"/>
      <c r="B74" s="11" t="s">
        <v>2572</v>
      </c>
      <c r="C74" s="11" t="s">
        <v>45</v>
      </c>
      <c r="D74" s="9" t="s">
        <v>2093</v>
      </c>
      <c r="E74" s="16" t="s">
        <v>128</v>
      </c>
      <c r="F74" s="72"/>
      <c r="G74" s="17" t="s">
        <v>2607</v>
      </c>
      <c r="H74" s="18"/>
      <c r="I74" s="17"/>
      <c r="J74" s="19" t="s">
        <v>133</v>
      </c>
      <c r="K74" s="19" t="s">
        <v>2236</v>
      </c>
      <c r="L74" s="19" t="s">
        <v>1306</v>
      </c>
    </row>
    <row r="75" spans="1:12" s="1" customFormat="1">
      <c r="A75" s="15"/>
      <c r="B75" s="11" t="s">
        <v>2094</v>
      </c>
      <c r="C75" s="11" t="s">
        <v>45</v>
      </c>
      <c r="D75" s="9" t="s">
        <v>2573</v>
      </c>
      <c r="E75" s="16" t="s">
        <v>128</v>
      </c>
      <c r="F75" s="72"/>
      <c r="G75" s="17" t="s">
        <v>2308</v>
      </c>
      <c r="H75" s="18"/>
      <c r="I75" s="17"/>
      <c r="J75" s="19" t="s">
        <v>133</v>
      </c>
      <c r="K75" s="19" t="s">
        <v>903</v>
      </c>
      <c r="L75" s="19" t="s">
        <v>67</v>
      </c>
    </row>
    <row r="76" spans="1:12" s="1" customFormat="1">
      <c r="A76" s="15"/>
      <c r="B76" s="11" t="s">
        <v>2095</v>
      </c>
      <c r="C76" s="11" t="s">
        <v>45</v>
      </c>
      <c r="D76" s="9" t="s">
        <v>2574</v>
      </c>
      <c r="E76" s="16" t="s">
        <v>128</v>
      </c>
      <c r="F76" s="72"/>
      <c r="G76" s="17" t="s">
        <v>2309</v>
      </c>
      <c r="H76" s="18"/>
      <c r="I76" s="17"/>
      <c r="J76" s="19" t="s">
        <v>133</v>
      </c>
      <c r="K76" s="19" t="s">
        <v>903</v>
      </c>
      <c r="L76" s="19" t="s">
        <v>67</v>
      </c>
    </row>
    <row r="77" spans="1:12" s="1" customFormat="1">
      <c r="A77" s="15"/>
      <c r="B77" s="11" t="s">
        <v>2096</v>
      </c>
      <c r="C77" s="11" t="s">
        <v>45</v>
      </c>
      <c r="D77" s="9" t="s">
        <v>2575</v>
      </c>
      <c r="E77" s="16" t="s">
        <v>128</v>
      </c>
      <c r="F77" s="72"/>
      <c r="G77" s="17" t="s">
        <v>2310</v>
      </c>
      <c r="H77" s="18"/>
      <c r="I77" s="17"/>
      <c r="J77" s="19" t="s">
        <v>133</v>
      </c>
      <c r="K77" s="19" t="s">
        <v>903</v>
      </c>
      <c r="L77" s="19" t="s">
        <v>67</v>
      </c>
    </row>
    <row r="78" spans="1:12" s="1" customFormat="1">
      <c r="A78" s="15"/>
      <c r="B78" s="11" t="s">
        <v>2097</v>
      </c>
      <c r="C78" s="11" t="s">
        <v>45</v>
      </c>
      <c r="D78" s="9" t="s">
        <v>2576</v>
      </c>
      <c r="E78" s="16" t="s">
        <v>128</v>
      </c>
      <c r="F78" s="72"/>
      <c r="G78" s="17" t="s">
        <v>2311</v>
      </c>
      <c r="H78" s="18"/>
      <c r="I78" s="17"/>
      <c r="J78" s="19" t="s">
        <v>133</v>
      </c>
      <c r="K78" s="19" t="s">
        <v>903</v>
      </c>
      <c r="L78" s="19" t="s">
        <v>67</v>
      </c>
    </row>
    <row r="79" spans="1:12" s="1" customFormat="1">
      <c r="A79" s="15"/>
      <c r="B79" s="22" t="s">
        <v>2098</v>
      </c>
      <c r="C79" s="22" t="s">
        <v>45</v>
      </c>
      <c r="D79" s="9" t="s">
        <v>2577</v>
      </c>
      <c r="E79" s="16" t="s">
        <v>128</v>
      </c>
      <c r="F79" s="72"/>
      <c r="G79" s="17" t="s">
        <v>2312</v>
      </c>
      <c r="H79" s="18"/>
      <c r="I79" s="17"/>
      <c r="J79" s="19" t="s">
        <v>133</v>
      </c>
      <c r="K79" s="19" t="s">
        <v>903</v>
      </c>
      <c r="L79" s="19" t="s">
        <v>67</v>
      </c>
    </row>
    <row r="80" spans="1:12" s="1" customFormat="1">
      <c r="A80" s="15"/>
      <c r="B80" s="22" t="s">
        <v>2578</v>
      </c>
      <c r="C80" s="22" t="s">
        <v>45</v>
      </c>
      <c r="D80" s="9" t="s">
        <v>2579</v>
      </c>
      <c r="E80" s="16" t="s">
        <v>128</v>
      </c>
      <c r="F80" s="72"/>
      <c r="G80" s="17" t="s">
        <v>2608</v>
      </c>
      <c r="H80" s="18"/>
      <c r="I80" s="17"/>
      <c r="J80" s="19" t="s">
        <v>133</v>
      </c>
      <c r="K80" s="19" t="s">
        <v>2136</v>
      </c>
      <c r="L80" s="19" t="s">
        <v>134</v>
      </c>
    </row>
    <row r="81" spans="2:13" s="1" customFormat="1">
      <c r="B81" s="22" t="s">
        <v>2580</v>
      </c>
      <c r="C81" s="22" t="s">
        <v>45</v>
      </c>
      <c r="D81" s="9" t="s">
        <v>2581</v>
      </c>
      <c r="E81" s="16" t="s">
        <v>128</v>
      </c>
      <c r="F81" s="22"/>
      <c r="G81" s="17" t="s">
        <v>2609</v>
      </c>
      <c r="H81" s="18"/>
      <c r="I81" s="88"/>
      <c r="J81" s="19" t="s">
        <v>133</v>
      </c>
      <c r="K81" s="19" t="s">
        <v>903</v>
      </c>
      <c r="L81" s="19" t="s">
        <v>67</v>
      </c>
    </row>
    <row r="82" spans="2:13" s="1" customFormat="1">
      <c r="B82" s="22" t="s">
        <v>2582</v>
      </c>
      <c r="C82" s="22" t="s">
        <v>45</v>
      </c>
      <c r="D82" s="9" t="s">
        <v>2583</v>
      </c>
      <c r="E82" s="16" t="s">
        <v>128</v>
      </c>
      <c r="F82" s="22"/>
      <c r="G82" s="17" t="s">
        <v>2610</v>
      </c>
      <c r="H82" s="18"/>
      <c r="I82" s="88"/>
      <c r="J82" s="19" t="s">
        <v>133</v>
      </c>
      <c r="K82" s="19" t="s">
        <v>903</v>
      </c>
      <c r="L82" s="19" t="s">
        <v>67</v>
      </c>
    </row>
    <row r="83" spans="2:13" s="1" customFormat="1">
      <c r="B83" s="22" t="s">
        <v>2584</v>
      </c>
      <c r="C83" s="22" t="s">
        <v>45</v>
      </c>
      <c r="D83" s="9" t="s">
        <v>2585</v>
      </c>
      <c r="E83" s="16" t="s">
        <v>128</v>
      </c>
      <c r="F83" s="22"/>
      <c r="G83" s="17" t="s">
        <v>2611</v>
      </c>
      <c r="H83" s="18"/>
      <c r="I83" s="88"/>
      <c r="J83" s="19" t="s">
        <v>133</v>
      </c>
      <c r="K83" s="19" t="s">
        <v>903</v>
      </c>
      <c r="L83" s="19" t="s">
        <v>67</v>
      </c>
    </row>
    <row r="84" spans="2:13" s="1" customFormat="1">
      <c r="B84" s="22" t="s">
        <v>2586</v>
      </c>
      <c r="C84" s="22" t="s">
        <v>45</v>
      </c>
      <c r="D84" s="9" t="s">
        <v>2587</v>
      </c>
      <c r="E84" s="16" t="s">
        <v>128</v>
      </c>
      <c r="F84" s="22"/>
      <c r="G84" s="17" t="s">
        <v>2612</v>
      </c>
      <c r="H84" s="18"/>
      <c r="I84" s="88"/>
      <c r="J84" s="19" t="s">
        <v>133</v>
      </c>
      <c r="K84" s="19" t="s">
        <v>903</v>
      </c>
      <c r="L84" s="19" t="s">
        <v>67</v>
      </c>
    </row>
    <row r="85" spans="2:13" s="1" customFormat="1">
      <c r="B85" s="22" t="s">
        <v>2588</v>
      </c>
      <c r="C85" s="22" t="s">
        <v>45</v>
      </c>
      <c r="D85" s="9" t="s">
        <v>2589</v>
      </c>
      <c r="E85" s="16" t="s">
        <v>128</v>
      </c>
      <c r="F85" s="22"/>
      <c r="G85" s="17" t="s">
        <v>2613</v>
      </c>
      <c r="H85" s="98"/>
      <c r="I85" s="88"/>
      <c r="J85" s="19" t="s">
        <v>133</v>
      </c>
      <c r="K85" s="19" t="s">
        <v>903</v>
      </c>
      <c r="L85" s="19" t="s">
        <v>67</v>
      </c>
    </row>
    <row r="86" spans="2:13" s="3" customFormat="1">
      <c r="B86" s="23" t="s">
        <v>47</v>
      </c>
      <c r="C86" s="24" t="s">
        <v>46</v>
      </c>
      <c r="D86" s="21" t="s">
        <v>48</v>
      </c>
      <c r="E86" s="44"/>
      <c r="F86" s="44"/>
      <c r="G86" s="23"/>
      <c r="H86" s="23" t="s">
        <v>282</v>
      </c>
      <c r="I86" s="23"/>
      <c r="J86" s="23"/>
      <c r="K86" s="23"/>
      <c r="L86" s="23"/>
      <c r="M86" s="23"/>
    </row>
    <row r="87" spans="2:13" s="3" customFormat="1">
      <c r="B87" s="23" t="s">
        <v>49</v>
      </c>
      <c r="C87" s="24" t="s">
        <v>43</v>
      </c>
      <c r="D87" s="21" t="s">
        <v>50</v>
      </c>
      <c r="E87" s="44"/>
      <c r="F87" s="44"/>
      <c r="G87" s="23"/>
      <c r="H87" s="23" t="s">
        <v>282</v>
      </c>
      <c r="I87" s="23"/>
      <c r="J87" s="23"/>
      <c r="K87" s="23"/>
      <c r="L87" s="23"/>
      <c r="M87" s="23"/>
    </row>
  </sheetData>
  <autoFilter ref="A13:M87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8EA5-39D9-4C9F-8D0E-135B1FC51753}">
  <dimension ref="A1:N103"/>
  <sheetViews>
    <sheetView zoomScale="85" zoomScaleNormal="85" workbookViewId="0">
      <pane ySplit="5" topLeftCell="A6" activePane="bottomLeft" state="frozen"/>
      <selection activeCell="G45" sqref="G45"/>
      <selection pane="bottomLeft" activeCell="B1" sqref="B1"/>
    </sheetView>
  </sheetViews>
  <sheetFormatPr defaultColWidth="9" defaultRowHeight="13.2"/>
  <cols>
    <col min="1" max="1" width="1.33203125" style="4" customWidth="1"/>
    <col min="2" max="2" width="27.77734375" style="4" customWidth="1"/>
    <col min="3" max="3" width="32.77734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4.8867187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2">
      <c r="B1" s="5" t="str">
        <f>HYPERLINK("#导航!a2","返回")</f>
        <v>返回</v>
      </c>
    </row>
    <row r="2" spans="2:12">
      <c r="B2" s="128"/>
      <c r="C2" s="128"/>
      <c r="D2" s="128"/>
      <c r="E2" s="128"/>
      <c r="F2" s="128"/>
      <c r="G2" s="128"/>
      <c r="H2" s="128"/>
    </row>
    <row r="3" spans="2:12">
      <c r="B3" s="124" t="s">
        <v>18</v>
      </c>
      <c r="C3" s="124"/>
      <c r="D3" s="124"/>
      <c r="E3" s="124"/>
      <c r="F3" s="124"/>
      <c r="G3" s="124"/>
      <c r="H3" s="124"/>
    </row>
    <row r="4" spans="2:12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2">
      <c r="B5" s="8" t="s">
        <v>69</v>
      </c>
      <c r="C5" s="26" t="s">
        <v>2554</v>
      </c>
      <c r="D5" s="82" t="s">
        <v>2547</v>
      </c>
      <c r="E5" s="11" t="s">
        <v>1338</v>
      </c>
      <c r="F5" s="42"/>
      <c r="G5" s="11"/>
      <c r="H5" s="11"/>
    </row>
    <row r="6" spans="2:12">
      <c r="B6" s="6"/>
      <c r="C6" s="6"/>
      <c r="D6" s="6"/>
      <c r="E6" s="6"/>
      <c r="F6" s="43"/>
      <c r="G6" s="43"/>
      <c r="H6" s="6"/>
    </row>
    <row r="7" spans="2:12">
      <c r="B7" s="124" t="s">
        <v>25</v>
      </c>
      <c r="C7" s="124"/>
      <c r="D7" s="124"/>
      <c r="E7" s="124"/>
      <c r="F7" s="124"/>
      <c r="G7" s="124"/>
      <c r="H7" s="124"/>
    </row>
    <row r="8" spans="2:12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2" ht="13.2" customHeight="1">
      <c r="B9" s="11"/>
      <c r="C9" s="9" t="s">
        <v>1692</v>
      </c>
      <c r="D9" s="82" t="s">
        <v>1693</v>
      </c>
      <c r="E9" s="11" t="s">
        <v>128</v>
      </c>
      <c r="F9" s="17"/>
      <c r="G9" s="137" t="s">
        <v>1792</v>
      </c>
      <c r="H9" s="83"/>
    </row>
    <row r="10" spans="2:12">
      <c r="B10" s="11"/>
      <c r="C10" s="9" t="s">
        <v>2544</v>
      </c>
      <c r="D10" s="82" t="s">
        <v>2546</v>
      </c>
      <c r="E10" s="11" t="s">
        <v>1617</v>
      </c>
      <c r="F10" s="17" t="s">
        <v>1691</v>
      </c>
      <c r="G10" s="137"/>
      <c r="H10" s="83" t="s">
        <v>17</v>
      </c>
    </row>
    <row r="11" spans="2:12">
      <c r="B11" s="4" t="s">
        <v>32</v>
      </c>
    </row>
    <row r="12" spans="2:12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2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2:12" s="1" customFormat="1">
      <c r="B14" s="22" t="s">
        <v>1168</v>
      </c>
      <c r="C14" s="22" t="s">
        <v>43</v>
      </c>
      <c r="D14" s="9" t="s">
        <v>1267</v>
      </c>
      <c r="E14" s="16" t="s">
        <v>128</v>
      </c>
      <c r="F14" s="17" t="s">
        <v>90</v>
      </c>
      <c r="G14" s="17" t="s">
        <v>129</v>
      </c>
      <c r="H14" s="18"/>
      <c r="I14" s="19"/>
      <c r="J14" s="19" t="s">
        <v>60</v>
      </c>
      <c r="K14" s="19" t="s">
        <v>44</v>
      </c>
      <c r="L14" s="19" t="s">
        <v>44</v>
      </c>
    </row>
    <row r="15" spans="2:12" s="1" customFormat="1">
      <c r="B15" s="22" t="s">
        <v>1067</v>
      </c>
      <c r="C15" s="22" t="s">
        <v>46</v>
      </c>
      <c r="D15" s="9" t="s">
        <v>1160</v>
      </c>
      <c r="E15" s="16" t="s">
        <v>128</v>
      </c>
      <c r="F15" s="17" t="s">
        <v>91</v>
      </c>
      <c r="G15" s="17" t="s">
        <v>129</v>
      </c>
      <c r="H15" s="18"/>
      <c r="I15" s="19"/>
      <c r="J15" s="19" t="s">
        <v>60</v>
      </c>
      <c r="K15" s="19" t="s">
        <v>44</v>
      </c>
      <c r="L15" s="19" t="s">
        <v>44</v>
      </c>
    </row>
    <row r="16" spans="2:12" s="1" customFormat="1">
      <c r="B16" s="22" t="s">
        <v>24</v>
      </c>
      <c r="C16" s="22" t="s">
        <v>46</v>
      </c>
      <c r="D16" s="9" t="s">
        <v>1678</v>
      </c>
      <c r="E16" s="16" t="s">
        <v>128</v>
      </c>
      <c r="F16" s="17" t="s">
        <v>92</v>
      </c>
      <c r="G16" s="17" t="s">
        <v>129</v>
      </c>
      <c r="H16" s="18"/>
      <c r="I16" s="19"/>
      <c r="J16" s="19" t="s">
        <v>60</v>
      </c>
      <c r="K16" s="19" t="s">
        <v>44</v>
      </c>
      <c r="L16" s="19" t="s">
        <v>44</v>
      </c>
    </row>
    <row r="17" spans="1:12" s="1" customFormat="1">
      <c r="A17" s="15"/>
      <c r="B17" s="22" t="s">
        <v>1270</v>
      </c>
      <c r="C17" s="22" t="s">
        <v>43</v>
      </c>
      <c r="D17" s="9" t="s">
        <v>1265</v>
      </c>
      <c r="E17" s="16" t="s">
        <v>128</v>
      </c>
      <c r="F17" s="17" t="s">
        <v>1270</v>
      </c>
      <c r="G17" s="17" t="s">
        <v>129</v>
      </c>
      <c r="H17" s="18"/>
      <c r="I17" s="19"/>
      <c r="J17" s="19" t="s">
        <v>60</v>
      </c>
      <c r="K17" s="19" t="s">
        <v>44</v>
      </c>
      <c r="L17" s="19" t="s">
        <v>44</v>
      </c>
    </row>
    <row r="18" spans="1:12" s="1" customFormat="1">
      <c r="A18" s="15"/>
      <c r="B18" s="22" t="s">
        <v>1694</v>
      </c>
      <c r="C18" s="22" t="s">
        <v>43</v>
      </c>
      <c r="D18" s="9" t="s">
        <v>1720</v>
      </c>
      <c r="E18" s="16" t="s">
        <v>128</v>
      </c>
      <c r="F18" s="17" t="s">
        <v>1694</v>
      </c>
      <c r="G18" s="17" t="s">
        <v>129</v>
      </c>
      <c r="H18" s="18"/>
      <c r="I18" s="19"/>
      <c r="J18" s="19" t="s">
        <v>60</v>
      </c>
      <c r="K18" s="19" t="s">
        <v>44</v>
      </c>
      <c r="L18" s="19" t="s">
        <v>44</v>
      </c>
    </row>
    <row r="19" spans="1:12" s="1" customFormat="1">
      <c r="A19" s="15"/>
      <c r="B19" s="22" t="s">
        <v>1695</v>
      </c>
      <c r="C19" s="22" t="s">
        <v>43</v>
      </c>
      <c r="D19" s="9" t="s">
        <v>1721</v>
      </c>
      <c r="E19" s="16" t="s">
        <v>128</v>
      </c>
      <c r="F19" s="9" t="s">
        <v>1695</v>
      </c>
      <c r="G19" s="17" t="s">
        <v>129</v>
      </c>
      <c r="H19" s="18"/>
      <c r="I19" s="19"/>
      <c r="J19" s="19" t="s">
        <v>60</v>
      </c>
      <c r="K19" s="19" t="s">
        <v>44</v>
      </c>
      <c r="L19" s="19" t="s">
        <v>44</v>
      </c>
    </row>
    <row r="20" spans="1:12" s="1" customFormat="1">
      <c r="A20" s="15"/>
      <c r="B20" s="11" t="s">
        <v>1696</v>
      </c>
      <c r="C20" s="22" t="s">
        <v>43</v>
      </c>
      <c r="D20" s="9" t="s">
        <v>1722</v>
      </c>
      <c r="E20" s="16" t="s">
        <v>128</v>
      </c>
      <c r="F20" s="9" t="s">
        <v>1696</v>
      </c>
      <c r="G20" s="17" t="s">
        <v>129</v>
      </c>
      <c r="H20" s="18"/>
      <c r="I20" s="19"/>
      <c r="J20" s="19" t="s">
        <v>60</v>
      </c>
      <c r="K20" s="19" t="s">
        <v>44</v>
      </c>
      <c r="L20" s="19" t="s">
        <v>44</v>
      </c>
    </row>
    <row r="21" spans="1:12" s="1" customFormat="1">
      <c r="A21" s="15"/>
      <c r="B21" s="11" t="s">
        <v>1697</v>
      </c>
      <c r="C21" s="22" t="s">
        <v>43</v>
      </c>
      <c r="D21" s="9" t="s">
        <v>1723</v>
      </c>
      <c r="E21" s="16" t="s">
        <v>128</v>
      </c>
      <c r="F21" s="9" t="s">
        <v>1697</v>
      </c>
      <c r="G21" s="17" t="s">
        <v>129</v>
      </c>
      <c r="H21" s="18"/>
      <c r="I21" s="19"/>
      <c r="J21" s="19" t="s">
        <v>60</v>
      </c>
      <c r="K21" s="19" t="s">
        <v>44</v>
      </c>
      <c r="L21" s="19" t="s">
        <v>44</v>
      </c>
    </row>
    <row r="22" spans="1:12" s="1" customFormat="1">
      <c r="A22" s="15"/>
      <c r="B22" s="11" t="s">
        <v>1698</v>
      </c>
      <c r="C22" s="22" t="s">
        <v>56</v>
      </c>
      <c r="D22" s="9" t="s">
        <v>1724</v>
      </c>
      <c r="E22" s="16" t="s">
        <v>128</v>
      </c>
      <c r="F22" s="9" t="s">
        <v>1698</v>
      </c>
      <c r="G22" s="17" t="s">
        <v>129</v>
      </c>
      <c r="H22" s="18"/>
      <c r="I22" s="19"/>
      <c r="J22" s="19" t="s">
        <v>60</v>
      </c>
      <c r="K22" s="19" t="s">
        <v>44</v>
      </c>
      <c r="L22" s="19" t="s">
        <v>44</v>
      </c>
    </row>
    <row r="23" spans="1:12" s="1" customFormat="1">
      <c r="A23" s="15"/>
      <c r="B23" s="11" t="s">
        <v>1699</v>
      </c>
      <c r="C23" s="22" t="s">
        <v>56</v>
      </c>
      <c r="D23" s="9" t="s">
        <v>1725</v>
      </c>
      <c r="E23" s="16" t="s">
        <v>128</v>
      </c>
      <c r="F23" s="9" t="s">
        <v>1699</v>
      </c>
      <c r="G23" s="17" t="s">
        <v>129</v>
      </c>
      <c r="H23" s="18"/>
      <c r="I23" s="19"/>
      <c r="J23" s="19" t="s">
        <v>60</v>
      </c>
      <c r="K23" s="19" t="s">
        <v>44</v>
      </c>
      <c r="L23" s="19" t="s">
        <v>44</v>
      </c>
    </row>
    <row r="24" spans="1:12" s="1" customFormat="1">
      <c r="A24" s="15"/>
      <c r="B24" s="11" t="s">
        <v>1069</v>
      </c>
      <c r="C24" s="11" t="s">
        <v>43</v>
      </c>
      <c r="D24" s="9" t="s">
        <v>1178</v>
      </c>
      <c r="E24" s="16" t="s">
        <v>128</v>
      </c>
      <c r="F24" s="9" t="s">
        <v>1069</v>
      </c>
      <c r="G24" s="17" t="s">
        <v>129</v>
      </c>
      <c r="H24" s="18"/>
      <c r="I24" s="19"/>
      <c r="J24" s="19" t="s">
        <v>60</v>
      </c>
      <c r="K24" s="19" t="s">
        <v>44</v>
      </c>
      <c r="L24" s="19" t="s">
        <v>44</v>
      </c>
    </row>
    <row r="25" spans="1:12" s="1" customFormat="1">
      <c r="A25" s="15"/>
      <c r="B25" s="11" t="s">
        <v>85</v>
      </c>
      <c r="C25" s="11" t="s">
        <v>46</v>
      </c>
      <c r="D25" s="9" t="s">
        <v>107</v>
      </c>
      <c r="E25" s="16" t="s">
        <v>1617</v>
      </c>
      <c r="F25" s="17" t="s">
        <v>85</v>
      </c>
      <c r="G25" s="17" t="s">
        <v>129</v>
      </c>
      <c r="H25" s="18"/>
      <c r="I25" s="19"/>
      <c r="J25" s="19" t="s">
        <v>60</v>
      </c>
      <c r="K25" s="19" t="s">
        <v>44</v>
      </c>
      <c r="L25" s="19" t="s">
        <v>44</v>
      </c>
    </row>
    <row r="26" spans="1:12" s="1" customFormat="1" ht="13.8" customHeight="1">
      <c r="A26" s="15"/>
      <c r="B26" s="11" t="s">
        <v>1383</v>
      </c>
      <c r="C26" s="11" t="s">
        <v>45</v>
      </c>
      <c r="D26" s="9" t="s">
        <v>348</v>
      </c>
      <c r="E26" s="16" t="s">
        <v>1617</v>
      </c>
      <c r="F26" s="17"/>
      <c r="G26" s="17" t="s">
        <v>257</v>
      </c>
      <c r="H26" s="19"/>
      <c r="I26" s="19"/>
      <c r="J26" s="19" t="s">
        <v>1186</v>
      </c>
      <c r="K26" s="19" t="s">
        <v>202</v>
      </c>
      <c r="L26" s="19" t="s">
        <v>67</v>
      </c>
    </row>
    <row r="27" spans="1:12" s="1" customFormat="1">
      <c r="A27" s="15"/>
      <c r="B27" s="11" t="s">
        <v>1476</v>
      </c>
      <c r="C27" s="11" t="s">
        <v>45</v>
      </c>
      <c r="D27" s="9" t="s">
        <v>1185</v>
      </c>
      <c r="E27" s="16" t="s">
        <v>1617</v>
      </c>
      <c r="F27" s="17"/>
      <c r="G27" s="17" t="s">
        <v>320</v>
      </c>
      <c r="H27" s="19"/>
      <c r="I27" s="19"/>
      <c r="J27" s="19" t="s">
        <v>1186</v>
      </c>
      <c r="K27" s="19" t="s">
        <v>204</v>
      </c>
      <c r="L27" s="19" t="s">
        <v>67</v>
      </c>
    </row>
    <row r="28" spans="1:12" s="1" customFormat="1">
      <c r="A28" s="15"/>
      <c r="B28" s="11" t="s">
        <v>297</v>
      </c>
      <c r="C28" s="11" t="s">
        <v>45</v>
      </c>
      <c r="D28" s="9" t="s">
        <v>160</v>
      </c>
      <c r="E28" s="16" t="s">
        <v>1617</v>
      </c>
      <c r="F28" s="17"/>
      <c r="G28" s="17" t="s">
        <v>319</v>
      </c>
      <c r="H28" s="19"/>
      <c r="I28" s="19"/>
      <c r="J28" s="19" t="s">
        <v>1186</v>
      </c>
      <c r="K28" s="19" t="s">
        <v>204</v>
      </c>
      <c r="L28" s="19" t="s">
        <v>67</v>
      </c>
    </row>
    <row r="29" spans="1:12" s="1" customFormat="1">
      <c r="B29" s="22" t="s">
        <v>1188</v>
      </c>
      <c r="C29" s="62" t="s">
        <v>45</v>
      </c>
      <c r="D29" s="9" t="s">
        <v>1189</v>
      </c>
      <c r="E29" s="16" t="s">
        <v>1617</v>
      </c>
      <c r="F29" s="17"/>
      <c r="G29" s="17" t="s">
        <v>1781</v>
      </c>
      <c r="H29" s="19"/>
      <c r="I29" s="19"/>
      <c r="J29" s="19" t="s">
        <v>1186</v>
      </c>
      <c r="K29" s="19" t="s">
        <v>202</v>
      </c>
      <c r="L29" s="19" t="s">
        <v>67</v>
      </c>
    </row>
    <row r="30" spans="1:12" s="1" customFormat="1">
      <c r="B30" s="22" t="s">
        <v>1190</v>
      </c>
      <c r="C30" s="62" t="s">
        <v>45</v>
      </c>
      <c r="D30" s="9" t="s">
        <v>1191</v>
      </c>
      <c r="E30" s="16" t="s">
        <v>1617</v>
      </c>
      <c r="F30" s="17"/>
      <c r="G30" s="17" t="s">
        <v>1626</v>
      </c>
      <c r="H30" s="19"/>
      <c r="I30" s="19"/>
      <c r="J30" s="19" t="s">
        <v>1186</v>
      </c>
      <c r="K30" s="19" t="s">
        <v>202</v>
      </c>
      <c r="L30" s="19" t="s">
        <v>67</v>
      </c>
    </row>
    <row r="31" spans="1:12" s="15" customFormat="1">
      <c r="B31" s="22" t="s">
        <v>159</v>
      </c>
      <c r="C31" s="11" t="s">
        <v>45</v>
      </c>
      <c r="D31" s="9" t="s">
        <v>1773</v>
      </c>
      <c r="E31" s="16" t="s">
        <v>1617</v>
      </c>
      <c r="F31" s="17"/>
      <c r="G31" s="17" t="s">
        <v>1867</v>
      </c>
      <c r="H31" s="19"/>
      <c r="I31" s="19"/>
      <c r="J31" s="19" t="s">
        <v>1186</v>
      </c>
      <c r="K31" s="19" t="s">
        <v>202</v>
      </c>
      <c r="L31" s="19" t="s">
        <v>67</v>
      </c>
    </row>
    <row r="32" spans="1:12" s="1" customFormat="1">
      <c r="A32" s="15"/>
      <c r="B32" s="11" t="s">
        <v>2469</v>
      </c>
      <c r="C32" s="11" t="s">
        <v>45</v>
      </c>
      <c r="D32" s="9" t="s">
        <v>2165</v>
      </c>
      <c r="E32" s="16" t="s">
        <v>1617</v>
      </c>
      <c r="F32" s="17"/>
      <c r="G32" s="17" t="s">
        <v>2593</v>
      </c>
      <c r="H32" s="19"/>
      <c r="I32" s="19"/>
      <c r="J32" s="19" t="s">
        <v>1186</v>
      </c>
      <c r="K32" s="19" t="s">
        <v>903</v>
      </c>
      <c r="L32" s="19" t="s">
        <v>67</v>
      </c>
    </row>
    <row r="33" spans="1:12" s="1" customFormat="1">
      <c r="A33" s="15"/>
      <c r="B33" s="11" t="s">
        <v>2407</v>
      </c>
      <c r="C33" s="11" t="s">
        <v>45</v>
      </c>
      <c r="D33" s="9" t="s">
        <v>2166</v>
      </c>
      <c r="E33" s="16" t="s">
        <v>1617</v>
      </c>
      <c r="F33" s="17"/>
      <c r="G33" s="17" t="s">
        <v>2594</v>
      </c>
      <c r="H33" s="19"/>
      <c r="I33" s="19"/>
      <c r="J33" s="19" t="s">
        <v>1186</v>
      </c>
      <c r="K33" s="19" t="s">
        <v>903</v>
      </c>
      <c r="L33" s="19" t="s">
        <v>67</v>
      </c>
    </row>
    <row r="34" spans="1:12" s="1" customFormat="1">
      <c r="A34" s="15"/>
      <c r="B34" s="11" t="s">
        <v>2470</v>
      </c>
      <c r="C34" s="11" t="s">
        <v>45</v>
      </c>
      <c r="D34" s="9" t="s">
        <v>2477</v>
      </c>
      <c r="E34" s="16" t="s">
        <v>1617</v>
      </c>
      <c r="F34" s="17"/>
      <c r="G34" s="17" t="s">
        <v>2595</v>
      </c>
      <c r="H34" s="19"/>
      <c r="I34" s="19"/>
      <c r="J34" s="19" t="s">
        <v>1186</v>
      </c>
      <c r="K34" s="19" t="s">
        <v>903</v>
      </c>
      <c r="L34" s="19" t="s">
        <v>67</v>
      </c>
    </row>
    <row r="35" spans="1:12" s="1" customFormat="1">
      <c r="A35" s="15"/>
      <c r="B35" s="22" t="s">
        <v>2326</v>
      </c>
      <c r="C35" s="22" t="s">
        <v>45</v>
      </c>
      <c r="D35" s="9" t="s">
        <v>2478</v>
      </c>
      <c r="E35" s="16" t="s">
        <v>1617</v>
      </c>
      <c r="F35" s="17"/>
      <c r="G35" s="17" t="s">
        <v>2329</v>
      </c>
      <c r="H35" s="19"/>
      <c r="I35" s="19"/>
      <c r="J35" s="19" t="s">
        <v>1186</v>
      </c>
      <c r="K35" s="19" t="s">
        <v>903</v>
      </c>
      <c r="L35" s="19" t="s">
        <v>67</v>
      </c>
    </row>
    <row r="36" spans="1:12" s="1" customFormat="1">
      <c r="A36" s="15"/>
      <c r="B36" s="11" t="s">
        <v>2614</v>
      </c>
      <c r="C36" s="11" t="s">
        <v>45</v>
      </c>
      <c r="D36" s="9" t="s">
        <v>2621</v>
      </c>
      <c r="E36" s="16" t="s">
        <v>1617</v>
      </c>
      <c r="F36" s="17"/>
      <c r="G36" s="17" t="s">
        <v>257</v>
      </c>
      <c r="H36" s="19"/>
      <c r="I36" s="19"/>
      <c r="J36" s="19" t="s">
        <v>1186</v>
      </c>
      <c r="K36" s="19" t="s">
        <v>202</v>
      </c>
      <c r="L36" s="19" t="s">
        <v>67</v>
      </c>
    </row>
    <row r="37" spans="1:12" s="1" customFormat="1">
      <c r="A37" s="15"/>
      <c r="B37" s="11" t="s">
        <v>2472</v>
      </c>
      <c r="C37" s="11" t="s">
        <v>45</v>
      </c>
      <c r="D37" s="9" t="s">
        <v>2622</v>
      </c>
      <c r="E37" s="16" t="s">
        <v>1617</v>
      </c>
      <c r="F37" s="17"/>
      <c r="G37" s="17" t="s">
        <v>2646</v>
      </c>
      <c r="H37" s="19"/>
      <c r="I37" s="19"/>
      <c r="J37" s="19" t="s">
        <v>1186</v>
      </c>
      <c r="K37" s="19" t="s">
        <v>202</v>
      </c>
      <c r="L37" s="19" t="s">
        <v>67</v>
      </c>
    </row>
    <row r="38" spans="1:12" s="1" customFormat="1">
      <c r="A38" s="15"/>
      <c r="B38" s="11" t="s">
        <v>2615</v>
      </c>
      <c r="C38" s="11" t="s">
        <v>45</v>
      </c>
      <c r="D38" s="9" t="s">
        <v>2623</v>
      </c>
      <c r="E38" s="16" t="s">
        <v>1617</v>
      </c>
      <c r="F38" s="17"/>
      <c r="G38" s="9" t="s">
        <v>2620</v>
      </c>
      <c r="H38" s="19"/>
      <c r="I38" s="19"/>
      <c r="J38" s="19" t="s">
        <v>1186</v>
      </c>
      <c r="K38" s="19" t="s">
        <v>202</v>
      </c>
      <c r="L38" s="19" t="s">
        <v>67</v>
      </c>
    </row>
    <row r="39" spans="1:12" s="1" customFormat="1">
      <c r="A39" s="15"/>
      <c r="B39" s="11" t="s">
        <v>2413</v>
      </c>
      <c r="C39" s="11" t="s">
        <v>45</v>
      </c>
      <c r="D39" s="9" t="s">
        <v>2624</v>
      </c>
      <c r="E39" s="16" t="s">
        <v>1617</v>
      </c>
      <c r="F39" s="17"/>
      <c r="G39" s="9" t="s">
        <v>2647</v>
      </c>
      <c r="H39" s="19"/>
      <c r="I39" s="19"/>
      <c r="J39" s="19" t="s">
        <v>1186</v>
      </c>
      <c r="K39" s="19" t="s">
        <v>202</v>
      </c>
      <c r="L39" s="19" t="s">
        <v>67</v>
      </c>
    </row>
    <row r="40" spans="1:12" s="1" customFormat="1">
      <c r="A40" s="15"/>
      <c r="B40" s="11" t="s">
        <v>2473</v>
      </c>
      <c r="C40" s="11" t="s">
        <v>45</v>
      </c>
      <c r="D40" s="9" t="s">
        <v>2005</v>
      </c>
      <c r="E40" s="16" t="s">
        <v>1617</v>
      </c>
      <c r="F40" s="17"/>
      <c r="G40" s="17" t="s">
        <v>2320</v>
      </c>
      <c r="H40" s="115"/>
      <c r="I40" s="19"/>
      <c r="J40" s="19" t="s">
        <v>1186</v>
      </c>
      <c r="K40" s="19" t="s">
        <v>2236</v>
      </c>
      <c r="L40" s="19" t="s">
        <v>67</v>
      </c>
    </row>
    <row r="41" spans="1:12" s="1" customFormat="1">
      <c r="A41" s="15"/>
      <c r="B41" s="11" t="s">
        <v>2412</v>
      </c>
      <c r="C41" s="11" t="s">
        <v>45</v>
      </c>
      <c r="D41" s="9" t="s">
        <v>2189</v>
      </c>
      <c r="E41" s="16" t="s">
        <v>1617</v>
      </c>
      <c r="F41" s="17"/>
      <c r="G41" s="17" t="s">
        <v>2277</v>
      </c>
      <c r="H41" s="19"/>
      <c r="I41" s="19"/>
      <c r="J41" s="19" t="s">
        <v>1186</v>
      </c>
      <c r="K41" s="19" t="s">
        <v>1899</v>
      </c>
      <c r="L41" s="19" t="s">
        <v>67</v>
      </c>
    </row>
    <row r="42" spans="1:12" s="1" customFormat="1">
      <c r="A42" s="15"/>
      <c r="B42" s="11" t="s">
        <v>2179</v>
      </c>
      <c r="C42" s="11" t="s">
        <v>45</v>
      </c>
      <c r="D42" s="9" t="s">
        <v>2625</v>
      </c>
      <c r="E42" s="16" t="s">
        <v>1617</v>
      </c>
      <c r="F42" s="17"/>
      <c r="G42" s="17" t="s">
        <v>2649</v>
      </c>
      <c r="H42" s="19"/>
      <c r="I42" s="19"/>
      <c r="J42" s="19" t="s">
        <v>1186</v>
      </c>
      <c r="K42" s="19" t="s">
        <v>203</v>
      </c>
      <c r="L42" s="19" t="s">
        <v>67</v>
      </c>
    </row>
    <row r="43" spans="1:12" s="1" customFormat="1">
      <c r="A43" s="15"/>
      <c r="B43" s="11" t="s">
        <v>2616</v>
      </c>
      <c r="C43" s="11" t="s">
        <v>45</v>
      </c>
      <c r="D43" s="9" t="s">
        <v>2626</v>
      </c>
      <c r="E43" s="16" t="s">
        <v>1617</v>
      </c>
      <c r="F43" s="17"/>
      <c r="G43" s="17" t="s">
        <v>2650</v>
      </c>
      <c r="H43" s="19"/>
      <c r="I43" s="19"/>
      <c r="J43" s="19" t="s">
        <v>1186</v>
      </c>
      <c r="K43" s="19" t="s">
        <v>44</v>
      </c>
      <c r="L43" s="19" t="s">
        <v>1337</v>
      </c>
    </row>
    <row r="44" spans="1:12" s="1" customFormat="1">
      <c r="A44" s="15"/>
      <c r="B44" s="11" t="s">
        <v>2617</v>
      </c>
      <c r="C44" s="11" t="s">
        <v>45</v>
      </c>
      <c r="D44" s="9" t="s">
        <v>2627</v>
      </c>
      <c r="E44" s="16" t="s">
        <v>1617</v>
      </c>
      <c r="F44" s="17"/>
      <c r="G44" s="17" t="s">
        <v>2334</v>
      </c>
      <c r="H44" s="19"/>
      <c r="I44" s="19"/>
      <c r="J44" s="19" t="s">
        <v>1186</v>
      </c>
      <c r="K44" s="19" t="s">
        <v>2136</v>
      </c>
      <c r="L44" s="19" t="s">
        <v>67</v>
      </c>
    </row>
    <row r="45" spans="1:12" s="1" customFormat="1">
      <c r="A45" s="15"/>
      <c r="B45" s="11" t="s">
        <v>2628</v>
      </c>
      <c r="C45" s="11" t="s">
        <v>45</v>
      </c>
      <c r="D45" s="9" t="s">
        <v>2643</v>
      </c>
      <c r="E45" s="16" t="s">
        <v>1617</v>
      </c>
      <c r="F45" s="17"/>
      <c r="G45" s="17" t="s">
        <v>2651</v>
      </c>
      <c r="H45" s="19"/>
      <c r="I45" s="19"/>
      <c r="J45" s="19" t="s">
        <v>1186</v>
      </c>
      <c r="K45" s="19" t="s">
        <v>44</v>
      </c>
      <c r="L45" s="19" t="s">
        <v>1337</v>
      </c>
    </row>
    <row r="46" spans="1:12" s="1" customFormat="1">
      <c r="A46" s="15"/>
      <c r="B46" s="11" t="s">
        <v>2618</v>
      </c>
      <c r="C46" s="11" t="s">
        <v>45</v>
      </c>
      <c r="D46" s="9" t="s">
        <v>2644</v>
      </c>
      <c r="E46" s="16" t="s">
        <v>1617</v>
      </c>
      <c r="F46" s="17"/>
      <c r="G46" s="9" t="s">
        <v>2652</v>
      </c>
      <c r="H46" s="19"/>
      <c r="I46" s="19"/>
      <c r="J46" s="19" t="s">
        <v>1186</v>
      </c>
      <c r="K46" s="19" t="s">
        <v>44</v>
      </c>
      <c r="L46" s="19" t="s">
        <v>1337</v>
      </c>
    </row>
    <row r="47" spans="1:12" s="1" customFormat="1">
      <c r="A47" s="15"/>
      <c r="B47" s="11" t="s">
        <v>2619</v>
      </c>
      <c r="C47" s="11" t="s">
        <v>45</v>
      </c>
      <c r="D47" s="9" t="s">
        <v>2645</v>
      </c>
      <c r="E47" s="16" t="s">
        <v>1617</v>
      </c>
      <c r="F47" s="17"/>
      <c r="G47" s="17" t="s">
        <v>2649</v>
      </c>
      <c r="H47" s="19"/>
      <c r="I47" s="19"/>
      <c r="J47" s="19" t="s">
        <v>1186</v>
      </c>
      <c r="K47" s="19" t="s">
        <v>44</v>
      </c>
      <c r="L47" s="19" t="s">
        <v>1337</v>
      </c>
    </row>
    <row r="48" spans="1:12" s="1" customFormat="1">
      <c r="A48" s="15"/>
      <c r="B48" s="11" t="s">
        <v>2140</v>
      </c>
      <c r="C48" s="11" t="s">
        <v>45</v>
      </c>
      <c r="D48" s="9" t="s">
        <v>2141</v>
      </c>
      <c r="E48" s="16" t="s">
        <v>1617</v>
      </c>
      <c r="F48" s="17"/>
      <c r="G48" s="17" t="s">
        <v>2286</v>
      </c>
      <c r="H48" s="19"/>
      <c r="I48" s="19"/>
      <c r="J48" s="19" t="s">
        <v>1186</v>
      </c>
      <c r="K48" s="19" t="s">
        <v>903</v>
      </c>
      <c r="L48" s="19" t="s">
        <v>67</v>
      </c>
    </row>
    <row r="49" spans="1:12" s="1" customFormat="1">
      <c r="A49" s="15"/>
      <c r="B49" s="11" t="s">
        <v>2142</v>
      </c>
      <c r="C49" s="11" t="s">
        <v>45</v>
      </c>
      <c r="D49" s="9" t="s">
        <v>2143</v>
      </c>
      <c r="E49" s="16" t="s">
        <v>1617</v>
      </c>
      <c r="F49" s="17"/>
      <c r="G49" s="17" t="s">
        <v>2287</v>
      </c>
      <c r="H49" s="93"/>
      <c r="I49" s="93"/>
      <c r="J49" s="19" t="s">
        <v>1186</v>
      </c>
      <c r="K49" s="19" t="s">
        <v>903</v>
      </c>
      <c r="L49" s="19" t="s">
        <v>67</v>
      </c>
    </row>
    <row r="50" spans="1:12" s="1" customFormat="1">
      <c r="A50" s="15"/>
      <c r="B50" s="11" t="s">
        <v>2144</v>
      </c>
      <c r="C50" s="11" t="s">
        <v>45</v>
      </c>
      <c r="D50" s="9" t="s">
        <v>2145</v>
      </c>
      <c r="E50" s="16" t="s">
        <v>1617</v>
      </c>
      <c r="F50" s="17"/>
      <c r="G50" s="17" t="s">
        <v>2288</v>
      </c>
      <c r="H50" s="19"/>
      <c r="I50" s="19"/>
      <c r="J50" s="19" t="s">
        <v>1186</v>
      </c>
      <c r="K50" s="19" t="s">
        <v>903</v>
      </c>
      <c r="L50" s="19" t="s">
        <v>67</v>
      </c>
    </row>
    <row r="51" spans="1:12" s="1" customFormat="1">
      <c r="A51" s="15"/>
      <c r="B51" s="11" t="s">
        <v>2146</v>
      </c>
      <c r="C51" s="11" t="s">
        <v>45</v>
      </c>
      <c r="D51" s="9" t="s">
        <v>2147</v>
      </c>
      <c r="E51" s="16" t="s">
        <v>1617</v>
      </c>
      <c r="F51" s="17"/>
      <c r="G51" s="17" t="s">
        <v>2289</v>
      </c>
      <c r="H51" s="19"/>
      <c r="I51" s="19"/>
      <c r="J51" s="19" t="s">
        <v>1186</v>
      </c>
      <c r="K51" s="19" t="s">
        <v>903</v>
      </c>
      <c r="L51" s="19" t="s">
        <v>67</v>
      </c>
    </row>
    <row r="52" spans="1:12" s="1" customFormat="1">
      <c r="A52" s="15"/>
      <c r="B52" s="11" t="s">
        <v>2148</v>
      </c>
      <c r="C52" s="11" t="s">
        <v>45</v>
      </c>
      <c r="D52" s="9" t="s">
        <v>2149</v>
      </c>
      <c r="E52" s="16" t="s">
        <v>1617</v>
      </c>
      <c r="F52" s="17"/>
      <c r="G52" s="17" t="s">
        <v>2290</v>
      </c>
      <c r="H52" s="19"/>
      <c r="I52" s="19"/>
      <c r="J52" s="19" t="s">
        <v>1186</v>
      </c>
      <c r="K52" s="19" t="s">
        <v>903</v>
      </c>
      <c r="L52" s="19" t="s">
        <v>67</v>
      </c>
    </row>
    <row r="53" spans="1:12" s="1" customFormat="1">
      <c r="A53" s="15"/>
      <c r="B53" s="11" t="s">
        <v>2150</v>
      </c>
      <c r="C53" s="11" t="s">
        <v>45</v>
      </c>
      <c r="D53" s="9" t="s">
        <v>2151</v>
      </c>
      <c r="E53" s="16" t="s">
        <v>1617</v>
      </c>
      <c r="F53" s="17"/>
      <c r="G53" s="17" t="s">
        <v>2291</v>
      </c>
      <c r="H53" s="19"/>
      <c r="I53" s="19"/>
      <c r="J53" s="19" t="s">
        <v>1186</v>
      </c>
      <c r="K53" s="19" t="s">
        <v>903</v>
      </c>
      <c r="L53" s="19" t="s">
        <v>67</v>
      </c>
    </row>
    <row r="54" spans="1:12" s="1" customFormat="1">
      <c r="A54" s="15"/>
      <c r="B54" s="11" t="s">
        <v>1651</v>
      </c>
      <c r="C54" s="11" t="s">
        <v>45</v>
      </c>
      <c r="D54" s="9" t="s">
        <v>1726</v>
      </c>
      <c r="E54" s="16" t="s">
        <v>1617</v>
      </c>
      <c r="F54" s="17"/>
      <c r="G54" s="17" t="s">
        <v>1081</v>
      </c>
      <c r="H54" s="19"/>
      <c r="I54" s="19"/>
      <c r="J54" s="19" t="s">
        <v>1186</v>
      </c>
      <c r="K54" s="19" t="s">
        <v>202</v>
      </c>
      <c r="L54" s="19" t="s">
        <v>67</v>
      </c>
    </row>
    <row r="55" spans="1:12" s="1" customFormat="1">
      <c r="A55" s="15"/>
      <c r="B55" s="11" t="s">
        <v>286</v>
      </c>
      <c r="C55" s="11" t="s">
        <v>45</v>
      </c>
      <c r="D55" s="9" t="s">
        <v>148</v>
      </c>
      <c r="E55" s="16" t="s">
        <v>1617</v>
      </c>
      <c r="F55" s="17"/>
      <c r="G55" s="17" t="s">
        <v>1127</v>
      </c>
      <c r="H55" s="19"/>
      <c r="I55" s="19"/>
      <c r="J55" s="19" t="s">
        <v>1186</v>
      </c>
      <c r="K55" s="19" t="s">
        <v>903</v>
      </c>
      <c r="L55" s="19" t="s">
        <v>67</v>
      </c>
    </row>
    <row r="56" spans="1:12" s="1" customFormat="1">
      <c r="A56" s="15"/>
      <c r="B56" s="11" t="s">
        <v>287</v>
      </c>
      <c r="C56" s="11" t="s">
        <v>45</v>
      </c>
      <c r="D56" s="9" t="s">
        <v>149</v>
      </c>
      <c r="E56" s="16" t="s">
        <v>1617</v>
      </c>
      <c r="F56" s="17"/>
      <c r="G56" s="17" t="s">
        <v>1128</v>
      </c>
      <c r="H56" s="19"/>
      <c r="I56" s="19"/>
      <c r="J56" s="19" t="s">
        <v>1186</v>
      </c>
      <c r="K56" s="19" t="s">
        <v>903</v>
      </c>
      <c r="L56" s="19" t="s">
        <v>67</v>
      </c>
    </row>
    <row r="57" spans="1:12" s="1" customFormat="1">
      <c r="A57" s="15"/>
      <c r="B57" s="11" t="s">
        <v>288</v>
      </c>
      <c r="C57" s="11" t="s">
        <v>45</v>
      </c>
      <c r="D57" s="9" t="s">
        <v>150</v>
      </c>
      <c r="E57" s="16" t="s">
        <v>1617</v>
      </c>
      <c r="F57" s="17"/>
      <c r="G57" s="17" t="s">
        <v>1129</v>
      </c>
      <c r="H57" s="19"/>
      <c r="I57" s="19"/>
      <c r="J57" s="19" t="s">
        <v>1186</v>
      </c>
      <c r="K57" s="19" t="s">
        <v>903</v>
      </c>
      <c r="L57" s="19" t="s">
        <v>67</v>
      </c>
    </row>
    <row r="58" spans="1:12" s="1" customFormat="1">
      <c r="A58" s="15"/>
      <c r="B58" s="11" t="s">
        <v>289</v>
      </c>
      <c r="C58" s="11" t="s">
        <v>45</v>
      </c>
      <c r="D58" s="9" t="s">
        <v>151</v>
      </c>
      <c r="E58" s="16" t="s">
        <v>1617</v>
      </c>
      <c r="F58" s="17"/>
      <c r="G58" s="17" t="s">
        <v>1130</v>
      </c>
      <c r="H58" s="19"/>
      <c r="I58" s="19"/>
      <c r="J58" s="19" t="s">
        <v>1186</v>
      </c>
      <c r="K58" s="19" t="s">
        <v>903</v>
      </c>
      <c r="L58" s="19" t="s">
        <v>67</v>
      </c>
    </row>
    <row r="59" spans="1:12" s="1" customFormat="1">
      <c r="A59" s="15"/>
      <c r="B59" s="11" t="s">
        <v>290</v>
      </c>
      <c r="C59" s="11" t="s">
        <v>45</v>
      </c>
      <c r="D59" s="9" t="s">
        <v>152</v>
      </c>
      <c r="E59" s="16" t="s">
        <v>1617</v>
      </c>
      <c r="F59" s="17"/>
      <c r="G59" s="17" t="s">
        <v>1131</v>
      </c>
      <c r="H59" s="19"/>
      <c r="I59" s="19"/>
      <c r="J59" s="19" t="s">
        <v>1186</v>
      </c>
      <c r="K59" s="19" t="s">
        <v>903</v>
      </c>
      <c r="L59" s="19" t="s">
        <v>67</v>
      </c>
    </row>
    <row r="60" spans="1:12" s="1" customFormat="1">
      <c r="A60" s="15"/>
      <c r="B60" s="11" t="s">
        <v>1591</v>
      </c>
      <c r="C60" s="11" t="s">
        <v>45</v>
      </c>
      <c r="D60" s="9" t="s">
        <v>1727</v>
      </c>
      <c r="E60" s="16" t="s">
        <v>1617</v>
      </c>
      <c r="F60" s="17"/>
      <c r="G60" s="17" t="s">
        <v>1082</v>
      </c>
      <c r="H60" s="19"/>
      <c r="I60" s="19"/>
      <c r="J60" s="19" t="s">
        <v>1186</v>
      </c>
      <c r="K60" s="19" t="s">
        <v>202</v>
      </c>
      <c r="L60" s="19" t="s">
        <v>67</v>
      </c>
    </row>
    <row r="61" spans="1:12" s="1" customFormat="1">
      <c r="A61" s="15"/>
      <c r="B61" s="11" t="s">
        <v>291</v>
      </c>
      <c r="C61" s="11" t="s">
        <v>45</v>
      </c>
      <c r="D61" s="9" t="s">
        <v>154</v>
      </c>
      <c r="E61" s="16" t="s">
        <v>1617</v>
      </c>
      <c r="F61" s="17"/>
      <c r="G61" s="17" t="s">
        <v>1133</v>
      </c>
      <c r="H61" s="19"/>
      <c r="I61" s="19"/>
      <c r="J61" s="19" t="s">
        <v>1186</v>
      </c>
      <c r="K61" s="19" t="s">
        <v>903</v>
      </c>
      <c r="L61" s="19" t="s">
        <v>67</v>
      </c>
    </row>
    <row r="62" spans="1:12" s="1" customFormat="1">
      <c r="A62" s="15"/>
      <c r="B62" s="11" t="s">
        <v>292</v>
      </c>
      <c r="C62" s="11" t="s">
        <v>45</v>
      </c>
      <c r="D62" s="9" t="s">
        <v>155</v>
      </c>
      <c r="E62" s="16" t="s">
        <v>1617</v>
      </c>
      <c r="F62" s="17"/>
      <c r="G62" s="17" t="s">
        <v>1134</v>
      </c>
      <c r="H62" s="19"/>
      <c r="I62" s="19"/>
      <c r="J62" s="19" t="s">
        <v>1186</v>
      </c>
      <c r="K62" s="19" t="s">
        <v>903</v>
      </c>
      <c r="L62" s="19" t="s">
        <v>67</v>
      </c>
    </row>
    <row r="63" spans="1:12" s="1" customFormat="1">
      <c r="A63" s="15"/>
      <c r="B63" s="11" t="s">
        <v>293</v>
      </c>
      <c r="C63" s="11" t="s">
        <v>45</v>
      </c>
      <c r="D63" s="9" t="s">
        <v>156</v>
      </c>
      <c r="E63" s="16" t="s">
        <v>1617</v>
      </c>
      <c r="F63" s="17"/>
      <c r="G63" s="17" t="s">
        <v>1135</v>
      </c>
      <c r="H63" s="19"/>
      <c r="I63" s="19"/>
      <c r="J63" s="19" t="s">
        <v>1186</v>
      </c>
      <c r="K63" s="19" t="s">
        <v>903</v>
      </c>
      <c r="L63" s="19" t="s">
        <v>67</v>
      </c>
    </row>
    <row r="64" spans="1:12" s="1" customFormat="1">
      <c r="A64" s="15"/>
      <c r="B64" s="11" t="s">
        <v>294</v>
      </c>
      <c r="C64" s="11" t="s">
        <v>45</v>
      </c>
      <c r="D64" s="9" t="s">
        <v>157</v>
      </c>
      <c r="E64" s="16" t="s">
        <v>1617</v>
      </c>
      <c r="F64" s="17"/>
      <c r="G64" s="17" t="s">
        <v>1136</v>
      </c>
      <c r="H64" s="19"/>
      <c r="I64" s="19"/>
      <c r="J64" s="19" t="s">
        <v>1186</v>
      </c>
      <c r="K64" s="19" t="s">
        <v>903</v>
      </c>
      <c r="L64" s="19" t="s">
        <v>67</v>
      </c>
    </row>
    <row r="65" spans="1:12" s="1" customFormat="1">
      <c r="A65" s="15"/>
      <c r="B65" s="11" t="s">
        <v>295</v>
      </c>
      <c r="C65" s="11" t="s">
        <v>45</v>
      </c>
      <c r="D65" s="9" t="s">
        <v>158</v>
      </c>
      <c r="E65" s="16" t="s">
        <v>1617</v>
      </c>
      <c r="F65" s="17"/>
      <c r="G65" s="17" t="s">
        <v>1137</v>
      </c>
      <c r="H65" s="19"/>
      <c r="I65" s="19"/>
      <c r="J65" s="19" t="s">
        <v>1186</v>
      </c>
      <c r="K65" s="19" t="s">
        <v>903</v>
      </c>
      <c r="L65" s="19" t="s">
        <v>67</v>
      </c>
    </row>
    <row r="66" spans="1:12" s="1" customFormat="1">
      <c r="A66" s="15"/>
      <c r="B66" s="11" t="s">
        <v>1625</v>
      </c>
      <c r="C66" s="11" t="s">
        <v>45</v>
      </c>
      <c r="D66" s="9" t="s">
        <v>1728</v>
      </c>
      <c r="E66" s="16" t="s">
        <v>1617</v>
      </c>
      <c r="F66" s="17"/>
      <c r="G66" s="17" t="s">
        <v>1866</v>
      </c>
      <c r="H66" s="19"/>
      <c r="I66" s="19"/>
      <c r="J66" s="19" t="s">
        <v>1186</v>
      </c>
      <c r="K66" s="19" t="s">
        <v>202</v>
      </c>
      <c r="L66" s="19" t="s">
        <v>67</v>
      </c>
    </row>
    <row r="67" spans="1:12" s="1" customFormat="1">
      <c r="A67" s="15"/>
      <c r="B67" s="11" t="s">
        <v>1469</v>
      </c>
      <c r="C67" s="11" t="s">
        <v>45</v>
      </c>
      <c r="D67" s="9" t="s">
        <v>1750</v>
      </c>
      <c r="E67" s="16" t="s">
        <v>1617</v>
      </c>
      <c r="F67" s="17"/>
      <c r="G67" s="17" t="s">
        <v>1138</v>
      </c>
      <c r="H67" s="19"/>
      <c r="I67" s="19"/>
      <c r="J67" s="19" t="s">
        <v>1186</v>
      </c>
      <c r="K67" s="19" t="s">
        <v>903</v>
      </c>
      <c r="L67" s="19" t="s">
        <v>67</v>
      </c>
    </row>
    <row r="68" spans="1:12" s="1" customFormat="1">
      <c r="A68" s="15"/>
      <c r="B68" s="11" t="s">
        <v>1470</v>
      </c>
      <c r="C68" s="11" t="s">
        <v>45</v>
      </c>
      <c r="D68" s="9" t="s">
        <v>1752</v>
      </c>
      <c r="E68" s="16" t="s">
        <v>1617</v>
      </c>
      <c r="F68" s="17"/>
      <c r="G68" s="17" t="s">
        <v>1139</v>
      </c>
      <c r="H68" s="19"/>
      <c r="I68" s="19"/>
      <c r="J68" s="19" t="s">
        <v>1186</v>
      </c>
      <c r="K68" s="19" t="s">
        <v>903</v>
      </c>
      <c r="L68" s="19" t="s">
        <v>67</v>
      </c>
    </row>
    <row r="69" spans="1:12" s="1" customFormat="1">
      <c r="A69" s="15"/>
      <c r="B69" s="11" t="s">
        <v>1471</v>
      </c>
      <c r="C69" s="11" t="s">
        <v>45</v>
      </c>
      <c r="D69" s="9" t="s">
        <v>1753</v>
      </c>
      <c r="E69" s="16" t="s">
        <v>1617</v>
      </c>
      <c r="F69" s="17"/>
      <c r="G69" s="17" t="s">
        <v>1140</v>
      </c>
      <c r="H69" s="19"/>
      <c r="I69" s="19"/>
      <c r="J69" s="19" t="s">
        <v>1186</v>
      </c>
      <c r="K69" s="19" t="s">
        <v>903</v>
      </c>
      <c r="L69" s="19" t="s">
        <v>67</v>
      </c>
    </row>
    <row r="70" spans="1:12" s="1" customFormat="1">
      <c r="A70" s="15"/>
      <c r="B70" s="11" t="s">
        <v>1472</v>
      </c>
      <c r="C70" s="11" t="s">
        <v>45</v>
      </c>
      <c r="D70" s="9" t="s">
        <v>1754</v>
      </c>
      <c r="E70" s="16" t="s">
        <v>1617</v>
      </c>
      <c r="F70" s="17"/>
      <c r="G70" s="17" t="s">
        <v>1141</v>
      </c>
      <c r="H70" s="19"/>
      <c r="I70" s="19"/>
      <c r="J70" s="19" t="s">
        <v>1186</v>
      </c>
      <c r="K70" s="19" t="s">
        <v>903</v>
      </c>
      <c r="L70" s="19" t="s">
        <v>67</v>
      </c>
    </row>
    <row r="71" spans="1:12" s="1" customFormat="1">
      <c r="A71" s="15"/>
      <c r="B71" s="11" t="s">
        <v>1473</v>
      </c>
      <c r="C71" s="11" t="s">
        <v>45</v>
      </c>
      <c r="D71" s="9" t="s">
        <v>1755</v>
      </c>
      <c r="E71" s="16" t="s">
        <v>1617</v>
      </c>
      <c r="F71" s="17"/>
      <c r="G71" s="17" t="s">
        <v>1142</v>
      </c>
      <c r="H71" s="19"/>
      <c r="I71" s="19"/>
      <c r="J71" s="19" t="s">
        <v>1186</v>
      </c>
      <c r="K71" s="19" t="s">
        <v>903</v>
      </c>
      <c r="L71" s="19" t="s">
        <v>67</v>
      </c>
    </row>
    <row r="72" spans="1:12" s="1" customFormat="1">
      <c r="A72" s="15"/>
      <c r="B72" s="11" t="s">
        <v>2037</v>
      </c>
      <c r="C72" s="11" t="s">
        <v>45</v>
      </c>
      <c r="D72" s="9" t="s">
        <v>2038</v>
      </c>
      <c r="E72" s="16" t="s">
        <v>1617</v>
      </c>
      <c r="F72" s="17"/>
      <c r="G72" s="17" t="s">
        <v>2262</v>
      </c>
      <c r="H72" s="19"/>
      <c r="I72" s="19"/>
      <c r="J72" s="19" t="s">
        <v>1186</v>
      </c>
      <c r="K72" s="19" t="s">
        <v>903</v>
      </c>
      <c r="L72" s="19" t="s">
        <v>67</v>
      </c>
    </row>
    <row r="73" spans="1:12" s="1" customFormat="1">
      <c r="A73" s="15"/>
      <c r="B73" s="11" t="s">
        <v>2041</v>
      </c>
      <c r="C73" s="11" t="s">
        <v>45</v>
      </c>
      <c r="D73" s="9" t="s">
        <v>2042</v>
      </c>
      <c r="E73" s="16" t="s">
        <v>1617</v>
      </c>
      <c r="F73" s="17"/>
      <c r="G73" s="17" t="s">
        <v>2292</v>
      </c>
      <c r="H73" s="19"/>
      <c r="I73" s="19"/>
      <c r="J73" s="19" t="s">
        <v>1186</v>
      </c>
      <c r="K73" s="19" t="s">
        <v>903</v>
      </c>
      <c r="L73" s="19" t="s">
        <v>67</v>
      </c>
    </row>
    <row r="74" spans="1:12" s="1" customFormat="1">
      <c r="A74" s="15"/>
      <c r="B74" s="11" t="s">
        <v>2043</v>
      </c>
      <c r="C74" s="11" t="s">
        <v>45</v>
      </c>
      <c r="D74" s="9" t="s">
        <v>2044</v>
      </c>
      <c r="E74" s="16" t="s">
        <v>1617</v>
      </c>
      <c r="F74" s="17"/>
      <c r="G74" s="17" t="s">
        <v>2293</v>
      </c>
      <c r="H74" s="19"/>
      <c r="I74" s="19"/>
      <c r="J74" s="19" t="s">
        <v>1186</v>
      </c>
      <c r="K74" s="19" t="s">
        <v>903</v>
      </c>
      <c r="L74" s="19" t="s">
        <v>67</v>
      </c>
    </row>
    <row r="75" spans="1:12" s="1" customFormat="1">
      <c r="A75" s="15"/>
      <c r="B75" s="11" t="s">
        <v>2045</v>
      </c>
      <c r="C75" s="11" t="s">
        <v>45</v>
      </c>
      <c r="D75" s="9" t="s">
        <v>2046</v>
      </c>
      <c r="E75" s="16" t="s">
        <v>1617</v>
      </c>
      <c r="F75" s="17"/>
      <c r="G75" s="17" t="s">
        <v>2294</v>
      </c>
      <c r="H75" s="19"/>
      <c r="I75" s="19"/>
      <c r="J75" s="19" t="s">
        <v>1186</v>
      </c>
      <c r="K75" s="19" t="s">
        <v>903</v>
      </c>
      <c r="L75" s="19" t="s">
        <v>67</v>
      </c>
    </row>
    <row r="76" spans="1:12" s="1" customFormat="1">
      <c r="A76" s="15"/>
      <c r="B76" s="11" t="s">
        <v>2047</v>
      </c>
      <c r="C76" s="11" t="s">
        <v>45</v>
      </c>
      <c r="D76" s="9" t="s">
        <v>2048</v>
      </c>
      <c r="E76" s="16" t="s">
        <v>1617</v>
      </c>
      <c r="F76" s="17"/>
      <c r="G76" s="17" t="s">
        <v>2295</v>
      </c>
      <c r="H76" s="19"/>
      <c r="I76" s="19"/>
      <c r="J76" s="19" t="s">
        <v>1186</v>
      </c>
      <c r="K76" s="19" t="s">
        <v>903</v>
      </c>
      <c r="L76" s="19" t="s">
        <v>67</v>
      </c>
    </row>
    <row r="77" spans="1:12" s="1" customFormat="1">
      <c r="A77" s="15"/>
      <c r="B77" s="11" t="s">
        <v>2049</v>
      </c>
      <c r="C77" s="11" t="s">
        <v>45</v>
      </c>
      <c r="D77" s="9" t="s">
        <v>2050</v>
      </c>
      <c r="E77" s="16" t="s">
        <v>1617</v>
      </c>
      <c r="F77" s="17"/>
      <c r="G77" s="17" t="s">
        <v>2296</v>
      </c>
      <c r="H77" s="19"/>
      <c r="I77" s="19"/>
      <c r="J77" s="19" t="s">
        <v>1186</v>
      </c>
      <c r="K77" s="19" t="s">
        <v>903</v>
      </c>
      <c r="L77" s="19" t="s">
        <v>67</v>
      </c>
    </row>
    <row r="78" spans="1:12" s="1" customFormat="1">
      <c r="A78" s="15"/>
      <c r="B78" s="11" t="s">
        <v>2051</v>
      </c>
      <c r="C78" s="11" t="s">
        <v>45</v>
      </c>
      <c r="D78" s="9" t="s">
        <v>2052</v>
      </c>
      <c r="E78" s="16" t="s">
        <v>1617</v>
      </c>
      <c r="F78" s="17"/>
      <c r="G78" s="17" t="s">
        <v>2653</v>
      </c>
      <c r="H78" s="19"/>
      <c r="I78" s="19"/>
      <c r="J78" s="19" t="s">
        <v>1186</v>
      </c>
      <c r="K78" s="19" t="s">
        <v>203</v>
      </c>
      <c r="L78" s="19" t="s">
        <v>67</v>
      </c>
    </row>
    <row r="79" spans="1:12" s="1" customFormat="1">
      <c r="A79" s="15"/>
      <c r="B79" s="11" t="s">
        <v>2053</v>
      </c>
      <c r="C79" s="11" t="s">
        <v>45</v>
      </c>
      <c r="D79" s="9" t="s">
        <v>2054</v>
      </c>
      <c r="E79" s="16" t="s">
        <v>1617</v>
      </c>
      <c r="F79" s="17"/>
      <c r="G79" s="17" t="s">
        <v>2297</v>
      </c>
      <c r="H79" s="19"/>
      <c r="I79" s="19"/>
      <c r="J79" s="19" t="s">
        <v>1186</v>
      </c>
      <c r="K79" s="19" t="s">
        <v>1640</v>
      </c>
      <c r="L79" s="19" t="s">
        <v>67</v>
      </c>
    </row>
    <row r="80" spans="1:12" s="1" customFormat="1">
      <c r="A80" s="15"/>
      <c r="B80" s="11" t="s">
        <v>2055</v>
      </c>
      <c r="C80" s="11" t="s">
        <v>45</v>
      </c>
      <c r="D80" s="9" t="s">
        <v>2056</v>
      </c>
      <c r="E80" s="16" t="s">
        <v>1617</v>
      </c>
      <c r="F80" s="17"/>
      <c r="G80" s="17" t="s">
        <v>2298</v>
      </c>
      <c r="H80" s="19"/>
      <c r="I80" s="19"/>
      <c r="J80" s="19" t="s">
        <v>1186</v>
      </c>
      <c r="K80" s="19" t="s">
        <v>1640</v>
      </c>
      <c r="L80" s="19" t="s">
        <v>67</v>
      </c>
    </row>
    <row r="81" spans="1:12" s="1" customFormat="1">
      <c r="A81" s="15"/>
      <c r="B81" s="11" t="s">
        <v>2057</v>
      </c>
      <c r="C81" s="11" t="s">
        <v>45</v>
      </c>
      <c r="D81" s="9" t="s">
        <v>2058</v>
      </c>
      <c r="E81" s="16" t="s">
        <v>1617</v>
      </c>
      <c r="F81" s="17"/>
      <c r="G81" s="17" t="s">
        <v>2299</v>
      </c>
      <c r="H81" s="19"/>
      <c r="I81" s="19"/>
      <c r="J81" s="19" t="s">
        <v>1186</v>
      </c>
      <c r="K81" s="19" t="s">
        <v>1640</v>
      </c>
      <c r="L81" s="19" t="s">
        <v>67</v>
      </c>
    </row>
    <row r="82" spans="1:12" s="1" customFormat="1">
      <c r="A82" s="15"/>
      <c r="B82" s="11" t="s">
        <v>2059</v>
      </c>
      <c r="C82" s="11" t="s">
        <v>45</v>
      </c>
      <c r="D82" s="9" t="s">
        <v>2060</v>
      </c>
      <c r="E82" s="16" t="s">
        <v>1617</v>
      </c>
      <c r="F82" s="17"/>
      <c r="G82" s="17" t="s">
        <v>2300</v>
      </c>
      <c r="H82" s="19"/>
      <c r="I82" s="19"/>
      <c r="J82" s="19" t="s">
        <v>1186</v>
      </c>
      <c r="K82" s="19" t="s">
        <v>1640</v>
      </c>
      <c r="L82" s="19" t="s">
        <v>67</v>
      </c>
    </row>
    <row r="83" spans="1:12" s="1" customFormat="1">
      <c r="A83" s="15"/>
      <c r="B83" s="11" t="s">
        <v>2061</v>
      </c>
      <c r="C83" s="11" t="s">
        <v>45</v>
      </c>
      <c r="D83" s="9" t="s">
        <v>2062</v>
      </c>
      <c r="E83" s="16" t="s">
        <v>1617</v>
      </c>
      <c r="F83" s="17"/>
      <c r="G83" s="17" t="s">
        <v>2301</v>
      </c>
      <c r="H83" s="19"/>
      <c r="I83" s="19"/>
      <c r="J83" s="19" t="s">
        <v>1186</v>
      </c>
      <c r="K83" s="19" t="s">
        <v>1640</v>
      </c>
      <c r="L83" s="19" t="s">
        <v>67</v>
      </c>
    </row>
    <row r="84" spans="1:12" s="1" customFormat="1">
      <c r="A84" s="15"/>
      <c r="B84" s="11" t="s">
        <v>2075</v>
      </c>
      <c r="C84" s="11" t="s">
        <v>45</v>
      </c>
      <c r="D84" s="9" t="s">
        <v>2638</v>
      </c>
      <c r="E84" s="16" t="s">
        <v>1617</v>
      </c>
      <c r="F84" s="17"/>
      <c r="G84" s="17" t="s">
        <v>2654</v>
      </c>
      <c r="H84" s="19"/>
      <c r="I84" s="19"/>
      <c r="J84" s="19" t="s">
        <v>1186</v>
      </c>
      <c r="K84" s="19" t="s">
        <v>203</v>
      </c>
      <c r="L84" s="19" t="s">
        <v>67</v>
      </c>
    </row>
    <row r="85" spans="1:12" s="1" customFormat="1">
      <c r="A85" s="15"/>
      <c r="B85" s="11" t="s">
        <v>2076</v>
      </c>
      <c r="C85" s="11" t="s">
        <v>45</v>
      </c>
      <c r="D85" s="9" t="s">
        <v>2077</v>
      </c>
      <c r="E85" s="16" t="s">
        <v>1617</v>
      </c>
      <c r="F85" s="17"/>
      <c r="G85" s="17" t="s">
        <v>2302</v>
      </c>
      <c r="H85" s="19"/>
      <c r="I85" s="19"/>
      <c r="J85" s="19" t="s">
        <v>1186</v>
      </c>
      <c r="K85" s="19" t="s">
        <v>1640</v>
      </c>
      <c r="L85" s="19" t="s">
        <v>67</v>
      </c>
    </row>
    <row r="86" spans="1:12" s="1" customFormat="1">
      <c r="A86" s="15"/>
      <c r="B86" s="11" t="s">
        <v>2078</v>
      </c>
      <c r="C86" s="11" t="s">
        <v>45</v>
      </c>
      <c r="D86" s="9" t="s">
        <v>2079</v>
      </c>
      <c r="E86" s="16" t="s">
        <v>1617</v>
      </c>
      <c r="F86" s="17"/>
      <c r="G86" s="17" t="s">
        <v>2303</v>
      </c>
      <c r="H86" s="19"/>
      <c r="I86" s="19"/>
      <c r="J86" s="19" t="s">
        <v>1186</v>
      </c>
      <c r="K86" s="19" t="s">
        <v>1640</v>
      </c>
      <c r="L86" s="19" t="s">
        <v>67</v>
      </c>
    </row>
    <row r="87" spans="1:12" s="1" customFormat="1">
      <c r="A87" s="15"/>
      <c r="B87" s="11" t="s">
        <v>2080</v>
      </c>
      <c r="C87" s="11" t="s">
        <v>45</v>
      </c>
      <c r="D87" s="9" t="s">
        <v>2081</v>
      </c>
      <c r="E87" s="16" t="s">
        <v>1617</v>
      </c>
      <c r="F87" s="17"/>
      <c r="G87" s="17" t="s">
        <v>2304</v>
      </c>
      <c r="H87" s="19"/>
      <c r="I87" s="19"/>
      <c r="J87" s="19" t="s">
        <v>1186</v>
      </c>
      <c r="K87" s="19" t="s">
        <v>1640</v>
      </c>
      <c r="L87" s="19" t="s">
        <v>67</v>
      </c>
    </row>
    <row r="88" spans="1:12" s="1" customFormat="1">
      <c r="A88" s="15"/>
      <c r="B88" s="11" t="s">
        <v>2082</v>
      </c>
      <c r="C88" s="11" t="s">
        <v>45</v>
      </c>
      <c r="D88" s="9" t="s">
        <v>2083</v>
      </c>
      <c r="E88" s="16" t="s">
        <v>1617</v>
      </c>
      <c r="F88" s="17"/>
      <c r="G88" s="17" t="s">
        <v>2305</v>
      </c>
      <c r="H88" s="19"/>
      <c r="I88" s="19"/>
      <c r="J88" s="19" t="s">
        <v>1186</v>
      </c>
      <c r="K88" s="19" t="s">
        <v>1640</v>
      </c>
      <c r="L88" s="19" t="s">
        <v>67</v>
      </c>
    </row>
    <row r="89" spans="1:12" s="1" customFormat="1">
      <c r="A89" s="15"/>
      <c r="B89" s="11" t="s">
        <v>2084</v>
      </c>
      <c r="C89" s="11" t="s">
        <v>45</v>
      </c>
      <c r="D89" s="9" t="s">
        <v>2085</v>
      </c>
      <c r="E89" s="16" t="s">
        <v>1617</v>
      </c>
      <c r="F89" s="17"/>
      <c r="G89" s="17" t="s">
        <v>2306</v>
      </c>
      <c r="H89" s="19"/>
      <c r="I89" s="19"/>
      <c r="J89" s="19" t="s">
        <v>1186</v>
      </c>
      <c r="K89" s="19" t="s">
        <v>1640</v>
      </c>
      <c r="L89" s="19" t="s">
        <v>67</v>
      </c>
    </row>
    <row r="90" spans="1:12" s="1" customFormat="1">
      <c r="A90" s="15"/>
      <c r="B90" s="11" t="s">
        <v>2572</v>
      </c>
      <c r="C90" s="11" t="s">
        <v>45</v>
      </c>
      <c r="D90" s="9" t="s">
        <v>2093</v>
      </c>
      <c r="E90" s="16" t="s">
        <v>1617</v>
      </c>
      <c r="F90" s="17"/>
      <c r="G90" s="17" t="s">
        <v>2320</v>
      </c>
      <c r="H90" s="19"/>
      <c r="I90" s="19"/>
      <c r="J90" s="19" t="s">
        <v>1186</v>
      </c>
      <c r="K90" s="19" t="s">
        <v>2236</v>
      </c>
      <c r="L90" s="19" t="s">
        <v>67</v>
      </c>
    </row>
    <row r="91" spans="1:12" s="1" customFormat="1">
      <c r="A91" s="15"/>
      <c r="B91" s="11" t="s">
        <v>2094</v>
      </c>
      <c r="C91" s="11" t="s">
        <v>45</v>
      </c>
      <c r="D91" s="9" t="s">
        <v>2573</v>
      </c>
      <c r="E91" s="16" t="s">
        <v>1617</v>
      </c>
      <c r="F91" s="17"/>
      <c r="G91" s="17" t="s">
        <v>2308</v>
      </c>
      <c r="H91" s="19"/>
      <c r="I91" s="19"/>
      <c r="J91" s="19" t="s">
        <v>1186</v>
      </c>
      <c r="K91" s="19" t="s">
        <v>1640</v>
      </c>
      <c r="L91" s="19" t="s">
        <v>67</v>
      </c>
    </row>
    <row r="92" spans="1:12" s="1" customFormat="1">
      <c r="A92" s="15"/>
      <c r="B92" s="11" t="s">
        <v>2095</v>
      </c>
      <c r="C92" s="11" t="s">
        <v>45</v>
      </c>
      <c r="D92" s="9" t="s">
        <v>2574</v>
      </c>
      <c r="E92" s="16" t="s">
        <v>1617</v>
      </c>
      <c r="F92" s="17"/>
      <c r="G92" s="17" t="s">
        <v>2309</v>
      </c>
      <c r="H92" s="19"/>
      <c r="I92" s="19"/>
      <c r="J92" s="19" t="s">
        <v>1186</v>
      </c>
      <c r="K92" s="19" t="s">
        <v>1640</v>
      </c>
      <c r="L92" s="19" t="s">
        <v>67</v>
      </c>
    </row>
    <row r="93" spans="1:12" s="1" customFormat="1">
      <c r="A93" s="15"/>
      <c r="B93" s="11" t="s">
        <v>2096</v>
      </c>
      <c r="C93" s="11" t="s">
        <v>45</v>
      </c>
      <c r="D93" s="9" t="s">
        <v>2575</v>
      </c>
      <c r="E93" s="16" t="s">
        <v>1617</v>
      </c>
      <c r="F93" s="17"/>
      <c r="G93" s="17" t="s">
        <v>2310</v>
      </c>
      <c r="H93" s="19"/>
      <c r="I93" s="19"/>
      <c r="J93" s="19" t="s">
        <v>1186</v>
      </c>
      <c r="K93" s="19" t="s">
        <v>1640</v>
      </c>
      <c r="L93" s="19" t="s">
        <v>67</v>
      </c>
    </row>
    <row r="94" spans="1:12" s="1" customFormat="1">
      <c r="A94" s="15"/>
      <c r="B94" s="11" t="s">
        <v>2097</v>
      </c>
      <c r="C94" s="11" t="s">
        <v>45</v>
      </c>
      <c r="D94" s="9" t="s">
        <v>2576</v>
      </c>
      <c r="E94" s="16" t="s">
        <v>1617</v>
      </c>
      <c r="F94" s="17"/>
      <c r="G94" s="17" t="s">
        <v>2311</v>
      </c>
      <c r="H94" s="19"/>
      <c r="I94" s="19"/>
      <c r="J94" s="19" t="s">
        <v>1186</v>
      </c>
      <c r="K94" s="19" t="s">
        <v>1640</v>
      </c>
      <c r="L94" s="19" t="s">
        <v>67</v>
      </c>
    </row>
    <row r="95" spans="1:12" s="1" customFormat="1">
      <c r="A95" s="15"/>
      <c r="B95" s="11" t="s">
        <v>2098</v>
      </c>
      <c r="C95" s="11" t="s">
        <v>45</v>
      </c>
      <c r="D95" s="9" t="s">
        <v>2577</v>
      </c>
      <c r="E95" s="16" t="s">
        <v>1617</v>
      </c>
      <c r="F95" s="17"/>
      <c r="G95" s="17" t="s">
        <v>2312</v>
      </c>
      <c r="H95" s="19"/>
      <c r="I95" s="19"/>
      <c r="J95" s="19" t="s">
        <v>1186</v>
      </c>
      <c r="K95" s="19" t="s">
        <v>1640</v>
      </c>
      <c r="L95" s="19" t="s">
        <v>67</v>
      </c>
    </row>
    <row r="96" spans="1:12" s="1" customFormat="1">
      <c r="A96" s="15"/>
      <c r="B96" s="11" t="s">
        <v>2112</v>
      </c>
      <c r="C96" s="11" t="s">
        <v>56</v>
      </c>
      <c r="D96" s="9" t="s">
        <v>2639</v>
      </c>
      <c r="E96" s="16" t="s">
        <v>1617</v>
      </c>
      <c r="F96" s="17"/>
      <c r="G96" s="17" t="s">
        <v>2322</v>
      </c>
      <c r="H96" s="19"/>
      <c r="I96" s="19"/>
      <c r="J96" s="19" t="s">
        <v>1186</v>
      </c>
      <c r="K96" s="19" t="s">
        <v>2236</v>
      </c>
      <c r="L96" s="19" t="s">
        <v>67</v>
      </c>
    </row>
    <row r="97" spans="1:14" s="1" customFormat="1">
      <c r="A97" s="15"/>
      <c r="B97" s="11" t="s">
        <v>2113</v>
      </c>
      <c r="C97" s="11" t="s">
        <v>45</v>
      </c>
      <c r="D97" s="9" t="s">
        <v>2114</v>
      </c>
      <c r="E97" s="16" t="s">
        <v>1617</v>
      </c>
      <c r="F97" s="17"/>
      <c r="G97" s="17" t="s">
        <v>2314</v>
      </c>
      <c r="H97" s="19"/>
      <c r="I97" s="19"/>
      <c r="J97" s="19" t="s">
        <v>1186</v>
      </c>
      <c r="K97" s="19" t="s">
        <v>1640</v>
      </c>
      <c r="L97" s="19" t="s">
        <v>67</v>
      </c>
    </row>
    <row r="98" spans="1:14" s="1" customFormat="1">
      <c r="A98" s="15"/>
      <c r="B98" s="11" t="s">
        <v>2115</v>
      </c>
      <c r="C98" s="11" t="s">
        <v>45</v>
      </c>
      <c r="D98" s="9" t="s">
        <v>2116</v>
      </c>
      <c r="E98" s="16" t="s">
        <v>1617</v>
      </c>
      <c r="F98" s="17"/>
      <c r="G98" s="17" t="s">
        <v>2315</v>
      </c>
      <c r="H98" s="19"/>
      <c r="I98" s="19"/>
      <c r="J98" s="19" t="s">
        <v>1186</v>
      </c>
      <c r="K98" s="19" t="s">
        <v>1640</v>
      </c>
      <c r="L98" s="19" t="s">
        <v>67</v>
      </c>
    </row>
    <row r="99" spans="1:14" s="1" customFormat="1">
      <c r="A99" s="15"/>
      <c r="B99" s="11" t="s">
        <v>2117</v>
      </c>
      <c r="C99" s="11" t="s">
        <v>45</v>
      </c>
      <c r="D99" s="9" t="s">
        <v>2118</v>
      </c>
      <c r="E99" s="16" t="s">
        <v>1617</v>
      </c>
      <c r="F99" s="17"/>
      <c r="G99" s="17" t="s">
        <v>2316</v>
      </c>
      <c r="H99" s="19"/>
      <c r="I99" s="19"/>
      <c r="J99" s="19" t="s">
        <v>1186</v>
      </c>
      <c r="K99" s="19" t="s">
        <v>1640</v>
      </c>
      <c r="L99" s="19" t="s">
        <v>67</v>
      </c>
    </row>
    <row r="100" spans="1:14" s="1" customFormat="1">
      <c r="A100" s="15"/>
      <c r="B100" s="11" t="s">
        <v>2119</v>
      </c>
      <c r="C100" s="11" t="s">
        <v>45</v>
      </c>
      <c r="D100" s="9" t="s">
        <v>2120</v>
      </c>
      <c r="E100" s="16" t="s">
        <v>1617</v>
      </c>
      <c r="F100" s="17"/>
      <c r="G100" s="17" t="s">
        <v>2317</v>
      </c>
      <c r="H100" s="19"/>
      <c r="I100" s="19"/>
      <c r="J100" s="19" t="s">
        <v>1186</v>
      </c>
      <c r="K100" s="19" t="s">
        <v>1640</v>
      </c>
      <c r="L100" s="19" t="s">
        <v>67</v>
      </c>
    </row>
    <row r="101" spans="1:14" s="1" customFormat="1">
      <c r="A101" s="15"/>
      <c r="B101" s="11" t="s">
        <v>2121</v>
      </c>
      <c r="C101" s="11" t="s">
        <v>45</v>
      </c>
      <c r="D101" s="9" t="s">
        <v>2122</v>
      </c>
      <c r="E101" s="16" t="s">
        <v>1617</v>
      </c>
      <c r="F101" s="17"/>
      <c r="G101" s="17" t="s">
        <v>2318</v>
      </c>
      <c r="H101" s="19"/>
      <c r="I101" s="19"/>
      <c r="J101" s="19" t="s">
        <v>1186</v>
      </c>
      <c r="K101" s="19" t="s">
        <v>1640</v>
      </c>
      <c r="L101" s="19" t="s">
        <v>67</v>
      </c>
    </row>
    <row r="102" spans="1:14" s="3" customFormat="1">
      <c r="B102" s="23" t="s">
        <v>47</v>
      </c>
      <c r="C102" s="24" t="s">
        <v>46</v>
      </c>
      <c r="D102" s="24" t="s">
        <v>48</v>
      </c>
      <c r="E102" s="44"/>
      <c r="F102" s="44" t="s">
        <v>282</v>
      </c>
      <c r="G102" s="44"/>
      <c r="H102" s="23"/>
      <c r="I102" s="23"/>
      <c r="J102" s="23"/>
      <c r="K102" s="23"/>
      <c r="L102" s="23"/>
      <c r="M102" s="23"/>
      <c r="N102" s="23"/>
    </row>
    <row r="103" spans="1:14" s="3" customFormat="1">
      <c r="B103" s="23" t="s">
        <v>49</v>
      </c>
      <c r="C103" s="24" t="s">
        <v>43</v>
      </c>
      <c r="D103" s="24" t="s">
        <v>50</v>
      </c>
      <c r="E103" s="44"/>
      <c r="F103" s="44" t="s">
        <v>282</v>
      </c>
      <c r="G103" s="44" t="s">
        <v>282</v>
      </c>
      <c r="H103" s="23"/>
      <c r="I103" s="23"/>
      <c r="J103" s="23"/>
      <c r="K103" s="23"/>
      <c r="L103" s="23"/>
      <c r="M103" s="23"/>
      <c r="N103" s="23"/>
    </row>
  </sheetData>
  <autoFilter ref="A13:N103" xr:uid="{00000000-0009-0000-0000-00000B000000}"/>
  <mergeCells count="5">
    <mergeCell ref="B2:H2"/>
    <mergeCell ref="B3:H3"/>
    <mergeCell ref="B7:H7"/>
    <mergeCell ref="G9:G10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2D43-0844-4FFB-B6C1-98D14B67E53E}">
  <dimension ref="A1:N151"/>
  <sheetViews>
    <sheetView zoomScale="85" zoomScaleNormal="85" workbookViewId="0">
      <pane ySplit="5" topLeftCell="A6" activePane="bottomLeft" state="frozen"/>
      <selection pane="bottomLeft" activeCell="C13" sqref="C13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4.88671875" style="4" customWidth="1"/>
    <col min="5" max="5" width="10.109375" style="4" customWidth="1"/>
    <col min="6" max="6" width="17.5546875" style="4" customWidth="1"/>
    <col min="7" max="7" width="31.77734375" style="4" customWidth="1"/>
    <col min="8" max="8" width="8.66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2">
      <c r="B1" s="5" t="str">
        <f>HYPERLINK("#导航!a2","返回")</f>
        <v>返回</v>
      </c>
    </row>
    <row r="2" spans="2:12">
      <c r="B2" s="128"/>
      <c r="C2" s="128"/>
      <c r="D2" s="128"/>
      <c r="E2" s="128"/>
      <c r="F2" s="128"/>
      <c r="G2" s="128"/>
      <c r="H2" s="128"/>
    </row>
    <row r="3" spans="2:12">
      <c r="B3" s="124" t="s">
        <v>18</v>
      </c>
      <c r="C3" s="124"/>
      <c r="D3" s="124"/>
      <c r="E3" s="124"/>
      <c r="F3" s="124"/>
      <c r="G3" s="124"/>
      <c r="H3" s="124"/>
    </row>
    <row r="4" spans="2:12" ht="2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2">
      <c r="B5" s="8" t="s">
        <v>243</v>
      </c>
      <c r="C5" s="26" t="s">
        <v>2655</v>
      </c>
      <c r="D5" s="10" t="s">
        <v>3231</v>
      </c>
      <c r="E5" s="11" t="s">
        <v>92</v>
      </c>
      <c r="F5" s="42"/>
      <c r="G5" s="11"/>
      <c r="H5" s="11"/>
    </row>
    <row r="6" spans="2:12">
      <c r="B6" s="6"/>
      <c r="C6" s="6"/>
      <c r="D6" s="6"/>
      <c r="E6" s="6"/>
      <c r="F6" s="43"/>
      <c r="G6" s="43"/>
      <c r="H6" s="6"/>
    </row>
    <row r="7" spans="2:12">
      <c r="B7" s="124" t="s">
        <v>25</v>
      </c>
      <c r="C7" s="124"/>
      <c r="D7" s="124"/>
      <c r="E7" s="124"/>
      <c r="F7" s="124"/>
      <c r="G7" s="124"/>
      <c r="H7" s="124"/>
    </row>
    <row r="8" spans="2:12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2">
      <c r="B9" s="11"/>
      <c r="C9" s="9" t="s">
        <v>2657</v>
      </c>
      <c r="D9" s="10" t="s">
        <v>2660</v>
      </c>
      <c r="E9" s="11" t="s">
        <v>55</v>
      </c>
      <c r="F9" s="17"/>
      <c r="G9" s="17"/>
      <c r="H9" s="14" t="s">
        <v>17</v>
      </c>
    </row>
    <row r="10" spans="2:12">
      <c r="B10" s="11"/>
      <c r="C10" s="9" t="s">
        <v>73</v>
      </c>
      <c r="D10" s="9" t="s">
        <v>263</v>
      </c>
      <c r="E10" s="11" t="s">
        <v>75</v>
      </c>
      <c r="F10" s="17"/>
      <c r="G10" s="17" t="s">
        <v>633</v>
      </c>
      <c r="H10" s="14"/>
    </row>
    <row r="11" spans="2:12">
      <c r="B11" s="11"/>
      <c r="C11" s="9" t="s">
        <v>325</v>
      </c>
      <c r="D11" s="9" t="s">
        <v>327</v>
      </c>
      <c r="E11" s="11" t="s">
        <v>328</v>
      </c>
      <c r="F11" s="17"/>
      <c r="G11" s="17" t="s">
        <v>634</v>
      </c>
      <c r="H11" s="14"/>
    </row>
    <row r="12" spans="2:12">
      <c r="B12" s="11"/>
      <c r="C12" s="9" t="s">
        <v>326</v>
      </c>
      <c r="D12" s="9" t="s">
        <v>74</v>
      </c>
      <c r="E12" s="11" t="s">
        <v>76</v>
      </c>
      <c r="F12" s="17"/>
      <c r="G12" s="17" t="s">
        <v>635</v>
      </c>
      <c r="H12" s="14"/>
    </row>
    <row r="13" spans="2:12">
      <c r="B13" s="11"/>
      <c r="C13" s="55" t="s">
        <v>828</v>
      </c>
      <c r="D13" s="56" t="s">
        <v>894</v>
      </c>
      <c r="E13" s="11" t="s">
        <v>271</v>
      </c>
      <c r="F13" s="17"/>
      <c r="G13" s="17" t="s">
        <v>636</v>
      </c>
      <c r="H13" s="14"/>
    </row>
    <row r="15" spans="2:12">
      <c r="B15" s="4" t="s">
        <v>32</v>
      </c>
    </row>
    <row r="16" spans="2:12">
      <c r="B16" s="124" t="s">
        <v>32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</row>
    <row r="17" spans="2:12" ht="24">
      <c r="B17" s="7" t="s">
        <v>33</v>
      </c>
      <c r="C17" s="7" t="s">
        <v>34</v>
      </c>
      <c r="D17" s="7" t="s">
        <v>35</v>
      </c>
      <c r="E17" s="7" t="s">
        <v>36</v>
      </c>
      <c r="F17" s="12" t="s">
        <v>37</v>
      </c>
      <c r="G17" s="12" t="s">
        <v>38</v>
      </c>
      <c r="H17" s="7" t="s">
        <v>39</v>
      </c>
      <c r="I17" s="7" t="s">
        <v>14</v>
      </c>
      <c r="J17" s="7" t="s">
        <v>40</v>
      </c>
      <c r="K17" s="7" t="s">
        <v>41</v>
      </c>
      <c r="L17" s="7" t="s">
        <v>42</v>
      </c>
    </row>
    <row r="18" spans="2:12" s="1" customFormat="1">
      <c r="B18" s="22" t="s">
        <v>77</v>
      </c>
      <c r="C18" s="22" t="s">
        <v>46</v>
      </c>
      <c r="D18" s="9" t="s">
        <v>329</v>
      </c>
      <c r="E18" s="16" t="s">
        <v>128</v>
      </c>
      <c r="F18" s="17" t="s">
        <v>77</v>
      </c>
      <c r="G18" s="17" t="s">
        <v>129</v>
      </c>
      <c r="H18" s="18"/>
      <c r="I18" s="19"/>
      <c r="J18" s="19" t="s">
        <v>259</v>
      </c>
      <c r="K18" s="19" t="s">
        <v>132</v>
      </c>
      <c r="L18" s="19" t="s">
        <v>132</v>
      </c>
    </row>
    <row r="19" spans="2:12" s="1" customFormat="1">
      <c r="B19" s="22" t="s">
        <v>81</v>
      </c>
      <c r="C19" s="22" t="s">
        <v>43</v>
      </c>
      <c r="D19" s="9" t="s">
        <v>330</v>
      </c>
      <c r="E19" s="16" t="s">
        <v>128</v>
      </c>
      <c r="F19" s="17" t="s">
        <v>81</v>
      </c>
      <c r="G19" s="17" t="s">
        <v>129</v>
      </c>
      <c r="H19" s="18"/>
      <c r="I19" s="19"/>
      <c r="J19" s="19" t="s">
        <v>259</v>
      </c>
      <c r="K19" s="19" t="s">
        <v>132</v>
      </c>
      <c r="L19" s="19" t="s">
        <v>132</v>
      </c>
    </row>
    <row r="20" spans="2:12" s="1" customFormat="1">
      <c r="B20" s="22" t="s">
        <v>58</v>
      </c>
      <c r="C20" s="22" t="s">
        <v>43</v>
      </c>
      <c r="D20" s="9" t="s">
        <v>59</v>
      </c>
      <c r="E20" s="16" t="s">
        <v>128</v>
      </c>
      <c r="F20" s="17"/>
      <c r="G20" s="17" t="s">
        <v>191</v>
      </c>
      <c r="H20" s="18"/>
      <c r="I20" s="19"/>
      <c r="J20" s="19" t="s">
        <v>259</v>
      </c>
      <c r="K20" s="19" t="s">
        <v>132</v>
      </c>
      <c r="L20" s="19" t="s">
        <v>132</v>
      </c>
    </row>
    <row r="21" spans="2:12" s="1" customFormat="1">
      <c r="B21" s="22" t="s">
        <v>82</v>
      </c>
      <c r="C21" s="22" t="s">
        <v>43</v>
      </c>
      <c r="D21" s="9" t="s">
        <v>283</v>
      </c>
      <c r="E21" s="16" t="s">
        <v>128</v>
      </c>
      <c r="F21" s="17" t="s">
        <v>82</v>
      </c>
      <c r="G21" s="17" t="s">
        <v>129</v>
      </c>
      <c r="H21" s="18"/>
      <c r="I21" s="19"/>
      <c r="J21" s="19" t="s">
        <v>259</v>
      </c>
      <c r="K21" s="19" t="s">
        <v>132</v>
      </c>
      <c r="L21" s="19" t="s">
        <v>132</v>
      </c>
    </row>
    <row r="22" spans="2:12" s="1" customFormat="1">
      <c r="B22" s="22" t="s">
        <v>83</v>
      </c>
      <c r="C22" s="22" t="s">
        <v>43</v>
      </c>
      <c r="D22" s="9" t="s">
        <v>284</v>
      </c>
      <c r="E22" s="16" t="s">
        <v>128</v>
      </c>
      <c r="F22" s="17" t="s">
        <v>83</v>
      </c>
      <c r="G22" s="17" t="s">
        <v>129</v>
      </c>
      <c r="H22" s="18"/>
      <c r="I22" s="19"/>
      <c r="J22" s="19" t="s">
        <v>259</v>
      </c>
      <c r="K22" s="19" t="s">
        <v>132</v>
      </c>
      <c r="L22" s="19" t="s">
        <v>132</v>
      </c>
    </row>
    <row r="23" spans="2:12" s="1" customFormat="1">
      <c r="B23" s="22" t="s">
        <v>331</v>
      </c>
      <c r="C23" s="22" t="s">
        <v>43</v>
      </c>
      <c r="D23" s="9" t="s">
        <v>332</v>
      </c>
      <c r="E23" s="16" t="s">
        <v>128</v>
      </c>
      <c r="F23" s="17" t="s">
        <v>331</v>
      </c>
      <c r="G23" s="17" t="s">
        <v>129</v>
      </c>
      <c r="H23" s="18"/>
      <c r="I23" s="19"/>
      <c r="J23" s="19" t="s">
        <v>259</v>
      </c>
      <c r="K23" s="19" t="s">
        <v>132</v>
      </c>
      <c r="L23" s="19" t="s">
        <v>132</v>
      </c>
    </row>
    <row r="24" spans="2:12" s="1" customFormat="1">
      <c r="B24" s="22" t="s">
        <v>333</v>
      </c>
      <c r="C24" s="22" t="s">
        <v>46</v>
      </c>
      <c r="D24" s="9" t="s">
        <v>334</v>
      </c>
      <c r="E24" s="16" t="s">
        <v>128</v>
      </c>
      <c r="F24" s="17" t="s">
        <v>333</v>
      </c>
      <c r="G24" s="17" t="s">
        <v>129</v>
      </c>
      <c r="H24" s="18"/>
      <c r="I24" s="19"/>
      <c r="J24" s="19" t="s">
        <v>259</v>
      </c>
      <c r="K24" s="19" t="s">
        <v>132</v>
      </c>
      <c r="L24" s="19" t="s">
        <v>132</v>
      </c>
    </row>
    <row r="25" spans="2:12" s="1" customFormat="1">
      <c r="B25" s="22" t="s">
        <v>335</v>
      </c>
      <c r="C25" s="22" t="s">
        <v>43</v>
      </c>
      <c r="D25" s="9" t="s">
        <v>336</v>
      </c>
      <c r="E25" s="16" t="s">
        <v>128</v>
      </c>
      <c r="F25" s="17" t="s">
        <v>335</v>
      </c>
      <c r="G25" s="17" t="s">
        <v>129</v>
      </c>
      <c r="H25" s="18"/>
      <c r="I25" s="19"/>
      <c r="J25" s="19" t="s">
        <v>259</v>
      </c>
      <c r="K25" s="19" t="s">
        <v>132</v>
      </c>
      <c r="L25" s="19" t="s">
        <v>132</v>
      </c>
    </row>
    <row r="26" spans="2:12" s="1" customFormat="1">
      <c r="B26" s="22" t="s">
        <v>337</v>
      </c>
      <c r="C26" s="22" t="s">
        <v>46</v>
      </c>
      <c r="D26" s="9" t="s">
        <v>338</v>
      </c>
      <c r="E26" s="16" t="s">
        <v>128</v>
      </c>
      <c r="F26" s="17" t="s">
        <v>337</v>
      </c>
      <c r="G26" s="17" t="s">
        <v>129</v>
      </c>
      <c r="H26" s="18"/>
      <c r="I26" s="19"/>
      <c r="J26" s="19" t="s">
        <v>259</v>
      </c>
      <c r="K26" s="19" t="s">
        <v>132</v>
      </c>
      <c r="L26" s="19" t="s">
        <v>132</v>
      </c>
    </row>
    <row r="27" spans="2:12" s="1" customFormat="1">
      <c r="B27" s="22" t="s">
        <v>84</v>
      </c>
      <c r="C27" s="22" t="s">
        <v>43</v>
      </c>
      <c r="D27" s="9" t="s">
        <v>106</v>
      </c>
      <c r="E27" s="16" t="s">
        <v>128</v>
      </c>
      <c r="F27" s="17" t="s">
        <v>84</v>
      </c>
      <c r="G27" s="17" t="s">
        <v>129</v>
      </c>
      <c r="H27" s="18"/>
      <c r="I27" s="19"/>
      <c r="J27" s="19" t="s">
        <v>259</v>
      </c>
      <c r="K27" s="19" t="s">
        <v>132</v>
      </c>
      <c r="L27" s="19" t="s">
        <v>132</v>
      </c>
    </row>
    <row r="28" spans="2:12" s="1" customFormat="1" ht="26.4">
      <c r="B28" s="22" t="s">
        <v>908</v>
      </c>
      <c r="C28" s="22" t="s">
        <v>43</v>
      </c>
      <c r="D28" s="9" t="s">
        <v>340</v>
      </c>
      <c r="E28" s="16" t="s">
        <v>128</v>
      </c>
      <c r="F28" s="17" t="s">
        <v>339</v>
      </c>
      <c r="G28" s="17" t="s">
        <v>129</v>
      </c>
      <c r="H28" s="18"/>
      <c r="I28" s="64" t="s">
        <v>511</v>
      </c>
      <c r="J28" s="19" t="s">
        <v>259</v>
      </c>
      <c r="K28" s="19" t="s">
        <v>132</v>
      </c>
      <c r="L28" s="19" t="s">
        <v>132</v>
      </c>
    </row>
    <row r="29" spans="2:12" s="1" customFormat="1">
      <c r="B29" s="22" t="s">
        <v>78</v>
      </c>
      <c r="C29" s="22" t="s">
        <v>43</v>
      </c>
      <c r="D29" s="9" t="s">
        <v>103</v>
      </c>
      <c r="E29" s="16" t="s">
        <v>128</v>
      </c>
      <c r="F29" s="17" t="s">
        <v>78</v>
      </c>
      <c r="G29" s="17" t="s">
        <v>129</v>
      </c>
      <c r="H29" s="18"/>
      <c r="I29" s="20" t="s">
        <v>512</v>
      </c>
      <c r="J29" s="19" t="s">
        <v>259</v>
      </c>
      <c r="K29" s="19" t="s">
        <v>132</v>
      </c>
      <c r="L29" s="19" t="s">
        <v>132</v>
      </c>
    </row>
    <row r="30" spans="2:12" s="1" customFormat="1">
      <c r="B30" s="22" t="s">
        <v>79</v>
      </c>
      <c r="C30" s="22" t="s">
        <v>43</v>
      </c>
      <c r="D30" s="9" t="s">
        <v>104</v>
      </c>
      <c r="E30" s="16" t="s">
        <v>128</v>
      </c>
      <c r="F30" s="17" t="s">
        <v>79</v>
      </c>
      <c r="G30" s="17" t="s">
        <v>129</v>
      </c>
      <c r="H30" s="18"/>
      <c r="I30" s="19"/>
      <c r="J30" s="19" t="s">
        <v>259</v>
      </c>
      <c r="K30" s="19" t="s">
        <v>132</v>
      </c>
      <c r="L30" s="19" t="s">
        <v>132</v>
      </c>
    </row>
    <row r="31" spans="2:12" s="1" customFormat="1">
      <c r="B31" s="22" t="s">
        <v>80</v>
      </c>
      <c r="C31" s="22" t="s">
        <v>46</v>
      </c>
      <c r="D31" s="9" t="s">
        <v>341</v>
      </c>
      <c r="E31" s="16" t="s">
        <v>128</v>
      </c>
      <c r="F31" s="17" t="s">
        <v>80</v>
      </c>
      <c r="G31" s="17" t="s">
        <v>129</v>
      </c>
      <c r="H31" s="18"/>
      <c r="I31" s="19"/>
      <c r="J31" s="19" t="s">
        <v>259</v>
      </c>
      <c r="K31" s="19" t="s">
        <v>132</v>
      </c>
      <c r="L31" s="19" t="s">
        <v>132</v>
      </c>
    </row>
    <row r="32" spans="2:12" s="1" customFormat="1">
      <c r="B32" s="22" t="s">
        <v>342</v>
      </c>
      <c r="C32" s="22" t="s">
        <v>46</v>
      </c>
      <c r="D32" s="9" t="s">
        <v>343</v>
      </c>
      <c r="E32" s="16" t="s">
        <v>128</v>
      </c>
      <c r="F32" s="17" t="s">
        <v>342</v>
      </c>
      <c r="G32" s="17" t="s">
        <v>129</v>
      </c>
      <c r="H32" s="18"/>
      <c r="I32" s="19"/>
      <c r="J32" s="19" t="s">
        <v>259</v>
      </c>
      <c r="K32" s="19" t="s">
        <v>132</v>
      </c>
      <c r="L32" s="19" t="s">
        <v>132</v>
      </c>
    </row>
    <row r="33" spans="2:12" s="1" customFormat="1">
      <c r="B33" s="22" t="s">
        <v>904</v>
      </c>
      <c r="C33" s="22" t="s">
        <v>43</v>
      </c>
      <c r="D33" s="9" t="s">
        <v>107</v>
      </c>
      <c r="E33" s="16" t="s">
        <v>128</v>
      </c>
      <c r="F33" s="17"/>
      <c r="G33" s="17" t="s">
        <v>905</v>
      </c>
      <c r="H33" s="18"/>
      <c r="I33" s="19"/>
      <c r="J33" s="19" t="s">
        <v>259</v>
      </c>
      <c r="K33" s="19" t="s">
        <v>132</v>
      </c>
      <c r="L33" s="19" t="s">
        <v>132</v>
      </c>
    </row>
    <row r="34" spans="2:12" s="1" customFormat="1">
      <c r="B34" s="22" t="s">
        <v>1302</v>
      </c>
      <c r="C34" s="22" t="s">
        <v>43</v>
      </c>
      <c r="D34" s="9" t="s">
        <v>345</v>
      </c>
      <c r="E34" s="16" t="s">
        <v>128</v>
      </c>
      <c r="F34" s="17" t="s">
        <v>344</v>
      </c>
      <c r="G34" s="17" t="s">
        <v>129</v>
      </c>
      <c r="H34" s="18"/>
      <c r="I34" s="19"/>
      <c r="J34" s="19" t="s">
        <v>259</v>
      </c>
      <c r="K34" s="19" t="s">
        <v>132</v>
      </c>
      <c r="L34" s="19" t="s">
        <v>132</v>
      </c>
    </row>
    <row r="35" spans="2:12" s="1" customFormat="1">
      <c r="B35" s="22" t="s">
        <v>1303</v>
      </c>
      <c r="C35" s="22" t="s">
        <v>43</v>
      </c>
      <c r="D35" s="9" t="s">
        <v>347</v>
      </c>
      <c r="E35" s="16" t="s">
        <v>128</v>
      </c>
      <c r="F35" s="17" t="s">
        <v>346</v>
      </c>
      <c r="G35" s="17" t="s">
        <v>129</v>
      </c>
      <c r="H35" s="18"/>
      <c r="I35" s="19"/>
      <c r="J35" s="19" t="s">
        <v>259</v>
      </c>
      <c r="K35" s="19" t="s">
        <v>132</v>
      </c>
      <c r="L35" s="19" t="s">
        <v>132</v>
      </c>
    </row>
    <row r="36" spans="2:12" s="1" customFormat="1">
      <c r="B36" s="22" t="s">
        <v>254</v>
      </c>
      <c r="C36" s="22" t="s">
        <v>45</v>
      </c>
      <c r="D36" s="9" t="s">
        <v>348</v>
      </c>
      <c r="E36" s="16" t="s">
        <v>128</v>
      </c>
      <c r="F36" s="17" t="s">
        <v>254</v>
      </c>
      <c r="G36" s="17" t="s">
        <v>129</v>
      </c>
      <c r="H36" s="18"/>
      <c r="I36" s="19"/>
      <c r="J36" s="19" t="s">
        <v>259</v>
      </c>
      <c r="K36" s="19" t="s">
        <v>132</v>
      </c>
      <c r="L36" s="19" t="s">
        <v>132</v>
      </c>
    </row>
    <row r="37" spans="2:12" s="1" customFormat="1">
      <c r="B37" s="22" t="s">
        <v>349</v>
      </c>
      <c r="C37" s="22" t="s">
        <v>45</v>
      </c>
      <c r="D37" s="9" t="s">
        <v>350</v>
      </c>
      <c r="E37" s="16" t="s">
        <v>128</v>
      </c>
      <c r="F37" s="17" t="s">
        <v>349</v>
      </c>
      <c r="G37" s="17" t="s">
        <v>129</v>
      </c>
      <c r="H37" s="18"/>
      <c r="I37" s="19"/>
      <c r="J37" s="19" t="s">
        <v>259</v>
      </c>
      <c r="K37" s="19" t="s">
        <v>132</v>
      </c>
      <c r="L37" s="19" t="s">
        <v>132</v>
      </c>
    </row>
    <row r="38" spans="2:12" s="1" customFormat="1">
      <c r="B38" s="22" t="s">
        <v>351</v>
      </c>
      <c r="C38" s="22" t="s">
        <v>45</v>
      </c>
      <c r="D38" s="9" t="s">
        <v>352</v>
      </c>
      <c r="E38" s="16" t="s">
        <v>128</v>
      </c>
      <c r="F38" s="17" t="s">
        <v>351</v>
      </c>
      <c r="G38" s="17" t="s">
        <v>129</v>
      </c>
      <c r="H38" s="18"/>
      <c r="I38" s="19"/>
      <c r="J38" s="19" t="s">
        <v>259</v>
      </c>
      <c r="K38" s="19" t="s">
        <v>132</v>
      </c>
      <c r="L38" s="19" t="s">
        <v>132</v>
      </c>
    </row>
    <row r="39" spans="2:12" s="1" customFormat="1">
      <c r="B39" s="22" t="s">
        <v>353</v>
      </c>
      <c r="C39" s="22" t="s">
        <v>45</v>
      </c>
      <c r="D39" s="9" t="s">
        <v>161</v>
      </c>
      <c r="E39" s="16" t="s">
        <v>128</v>
      </c>
      <c r="F39" s="17" t="s">
        <v>353</v>
      </c>
      <c r="G39" s="17" t="s">
        <v>129</v>
      </c>
      <c r="H39" s="18"/>
      <c r="I39" s="19"/>
      <c r="J39" s="19" t="s">
        <v>259</v>
      </c>
      <c r="K39" s="19" t="s">
        <v>132</v>
      </c>
      <c r="L39" s="19" t="s">
        <v>132</v>
      </c>
    </row>
    <row r="40" spans="2:12" s="1" customFormat="1">
      <c r="B40" s="22" t="s">
        <v>354</v>
      </c>
      <c r="C40" s="22" t="s">
        <v>45</v>
      </c>
      <c r="D40" s="9" t="s">
        <v>162</v>
      </c>
      <c r="E40" s="16" t="s">
        <v>128</v>
      </c>
      <c r="F40" s="17" t="s">
        <v>354</v>
      </c>
      <c r="G40" s="17" t="s">
        <v>129</v>
      </c>
      <c r="H40" s="18"/>
      <c r="I40" s="19"/>
      <c r="J40" s="19" t="s">
        <v>259</v>
      </c>
      <c r="K40" s="19" t="s">
        <v>132</v>
      </c>
      <c r="L40" s="19" t="s">
        <v>132</v>
      </c>
    </row>
    <row r="41" spans="2:12" s="1" customFormat="1">
      <c r="B41" s="22" t="s">
        <v>355</v>
      </c>
      <c r="C41" s="22" t="s">
        <v>43</v>
      </c>
      <c r="D41" s="9" t="s">
        <v>356</v>
      </c>
      <c r="E41" s="16" t="s">
        <v>128</v>
      </c>
      <c r="F41" s="17" t="s">
        <v>355</v>
      </c>
      <c r="G41" s="17" t="s">
        <v>129</v>
      </c>
      <c r="H41" s="18"/>
      <c r="I41" s="19"/>
      <c r="J41" s="19" t="s">
        <v>259</v>
      </c>
      <c r="K41" s="19" t="s">
        <v>132</v>
      </c>
      <c r="L41" s="19" t="s">
        <v>132</v>
      </c>
    </row>
    <row r="42" spans="2:12" s="1" customFormat="1">
      <c r="B42" s="22" t="s">
        <v>357</v>
      </c>
      <c r="C42" s="22" t="s">
        <v>46</v>
      </c>
      <c r="D42" s="9" t="s">
        <v>358</v>
      </c>
      <c r="E42" s="16" t="s">
        <v>128</v>
      </c>
      <c r="F42" s="17" t="s">
        <v>357</v>
      </c>
      <c r="G42" s="17" t="s">
        <v>129</v>
      </c>
      <c r="H42" s="18"/>
      <c r="I42" s="19"/>
      <c r="J42" s="19" t="s">
        <v>259</v>
      </c>
      <c r="K42" s="19" t="s">
        <v>132</v>
      </c>
      <c r="L42" s="19" t="s">
        <v>132</v>
      </c>
    </row>
    <row r="43" spans="2:12" s="1" customFormat="1">
      <c r="B43" s="22" t="s">
        <v>86</v>
      </c>
      <c r="C43" s="22" t="s">
        <v>43</v>
      </c>
      <c r="D43" s="9" t="s">
        <v>108</v>
      </c>
      <c r="E43" s="16" t="s">
        <v>128</v>
      </c>
      <c r="F43" s="17" t="s">
        <v>86</v>
      </c>
      <c r="G43" s="17" t="s">
        <v>129</v>
      </c>
      <c r="H43" s="18"/>
      <c r="I43" s="19"/>
      <c r="J43" s="19" t="s">
        <v>259</v>
      </c>
      <c r="K43" s="19" t="s">
        <v>132</v>
      </c>
      <c r="L43" s="19" t="s">
        <v>132</v>
      </c>
    </row>
    <row r="44" spans="2:12" s="1" customFormat="1">
      <c r="B44" s="22" t="s">
        <v>359</v>
      </c>
      <c r="C44" s="22" t="s">
        <v>46</v>
      </c>
      <c r="D44" s="9" t="s">
        <v>360</v>
      </c>
      <c r="E44" s="16" t="s">
        <v>128</v>
      </c>
      <c r="F44" s="17" t="s">
        <v>359</v>
      </c>
      <c r="G44" s="17" t="s">
        <v>129</v>
      </c>
      <c r="H44" s="18"/>
      <c r="I44" s="19"/>
      <c r="J44" s="19" t="s">
        <v>259</v>
      </c>
      <c r="K44" s="19" t="s">
        <v>132</v>
      </c>
      <c r="L44" s="19" t="s">
        <v>132</v>
      </c>
    </row>
    <row r="45" spans="2:12" s="1" customFormat="1">
      <c r="B45" s="22" t="s">
        <v>361</v>
      </c>
      <c r="C45" s="22" t="s">
        <v>46</v>
      </c>
      <c r="D45" s="9" t="s">
        <v>362</v>
      </c>
      <c r="E45" s="16" t="s">
        <v>128</v>
      </c>
      <c r="F45" s="17" t="s">
        <v>361</v>
      </c>
      <c r="G45" s="17" t="s">
        <v>129</v>
      </c>
      <c r="H45" s="18"/>
      <c r="I45" s="19"/>
      <c r="J45" s="19" t="s">
        <v>259</v>
      </c>
      <c r="K45" s="19" t="s">
        <v>132</v>
      </c>
      <c r="L45" s="19" t="s">
        <v>132</v>
      </c>
    </row>
    <row r="46" spans="2:12" s="1" customFormat="1">
      <c r="B46" s="22" t="s">
        <v>87</v>
      </c>
      <c r="C46" s="22" t="s">
        <v>43</v>
      </c>
      <c r="D46" s="9" t="s">
        <v>109</v>
      </c>
      <c r="E46" s="16" t="s">
        <v>128</v>
      </c>
      <c r="F46" s="17" t="s">
        <v>87</v>
      </c>
      <c r="G46" s="17" t="s">
        <v>129</v>
      </c>
      <c r="H46" s="18"/>
      <c r="I46" s="19"/>
      <c r="J46" s="19" t="s">
        <v>259</v>
      </c>
      <c r="K46" s="19" t="s">
        <v>132</v>
      </c>
      <c r="L46" s="19" t="s">
        <v>132</v>
      </c>
    </row>
    <row r="47" spans="2:12" s="1" customFormat="1">
      <c r="B47" s="22" t="s">
        <v>117</v>
      </c>
      <c r="C47" s="22" t="s">
        <v>46</v>
      </c>
      <c r="D47" s="9" t="s">
        <v>285</v>
      </c>
      <c r="E47" s="16" t="s">
        <v>128</v>
      </c>
      <c r="F47" s="17" t="s">
        <v>117</v>
      </c>
      <c r="G47" s="17" t="s">
        <v>129</v>
      </c>
      <c r="H47" s="18"/>
      <c r="I47" s="19"/>
      <c r="J47" s="19" t="s">
        <v>259</v>
      </c>
      <c r="K47" s="19" t="s">
        <v>132</v>
      </c>
      <c r="L47" s="19" t="s">
        <v>132</v>
      </c>
    </row>
    <row r="48" spans="2:12" s="1" customFormat="1">
      <c r="B48" s="22" t="s">
        <v>363</v>
      </c>
      <c r="C48" s="22" t="s">
        <v>45</v>
      </c>
      <c r="D48" s="9" t="s">
        <v>364</v>
      </c>
      <c r="E48" s="16" t="s">
        <v>128</v>
      </c>
      <c r="F48" s="17" t="s">
        <v>363</v>
      </c>
      <c r="G48" s="17" t="s">
        <v>129</v>
      </c>
      <c r="H48" s="18"/>
      <c r="I48" s="19"/>
      <c r="J48" s="19" t="s">
        <v>259</v>
      </c>
      <c r="K48" s="19" t="s">
        <v>132</v>
      </c>
      <c r="L48" s="19" t="s">
        <v>132</v>
      </c>
    </row>
    <row r="49" spans="2:12" s="1" customFormat="1">
      <c r="B49" s="22" t="s">
        <v>365</v>
      </c>
      <c r="C49" s="22" t="s">
        <v>45</v>
      </c>
      <c r="D49" s="9" t="s">
        <v>366</v>
      </c>
      <c r="E49" s="16" t="s">
        <v>128</v>
      </c>
      <c r="F49" s="17" t="s">
        <v>365</v>
      </c>
      <c r="G49" s="17" t="s">
        <v>129</v>
      </c>
      <c r="H49" s="18"/>
      <c r="I49" s="19"/>
      <c r="J49" s="19" t="s">
        <v>259</v>
      </c>
      <c r="K49" s="19" t="s">
        <v>132</v>
      </c>
      <c r="L49" s="19" t="s">
        <v>132</v>
      </c>
    </row>
    <row r="50" spans="2:12" s="1" customFormat="1">
      <c r="B50" s="22" t="s">
        <v>367</v>
      </c>
      <c r="C50" s="22" t="s">
        <v>45</v>
      </c>
      <c r="D50" s="9" t="s">
        <v>368</v>
      </c>
      <c r="E50" s="16" t="s">
        <v>128</v>
      </c>
      <c r="F50" s="17" t="s">
        <v>367</v>
      </c>
      <c r="G50" s="17" t="s">
        <v>129</v>
      </c>
      <c r="H50" s="18"/>
      <c r="I50" s="19"/>
      <c r="J50" s="19" t="s">
        <v>259</v>
      </c>
      <c r="K50" s="19" t="s">
        <v>132</v>
      </c>
      <c r="L50" s="19" t="s">
        <v>132</v>
      </c>
    </row>
    <row r="51" spans="2:12" s="1" customFormat="1">
      <c r="B51" s="22" t="s">
        <v>369</v>
      </c>
      <c r="C51" s="22" t="s">
        <v>45</v>
      </c>
      <c r="D51" s="9" t="s">
        <v>370</v>
      </c>
      <c r="E51" s="16" t="s">
        <v>128</v>
      </c>
      <c r="F51" s="17" t="s">
        <v>369</v>
      </c>
      <c r="G51" s="17" t="s">
        <v>129</v>
      </c>
      <c r="H51" s="18"/>
      <c r="I51" s="19"/>
      <c r="J51" s="19" t="s">
        <v>259</v>
      </c>
      <c r="K51" s="19" t="s">
        <v>132</v>
      </c>
      <c r="L51" s="19" t="s">
        <v>132</v>
      </c>
    </row>
    <row r="52" spans="2:12" s="1" customFormat="1">
      <c r="B52" s="22" t="s">
        <v>371</v>
      </c>
      <c r="C52" s="22" t="s">
        <v>45</v>
      </c>
      <c r="D52" s="9" t="s">
        <v>372</v>
      </c>
      <c r="E52" s="16" t="s">
        <v>128</v>
      </c>
      <c r="F52" s="17"/>
      <c r="G52" s="17" t="s">
        <v>526</v>
      </c>
      <c r="H52" s="18"/>
      <c r="I52" s="19"/>
      <c r="J52" s="19" t="s">
        <v>259</v>
      </c>
      <c r="K52" s="19" t="s">
        <v>203</v>
      </c>
      <c r="L52" s="19" t="s">
        <v>627</v>
      </c>
    </row>
    <row r="53" spans="2:12" s="1" customFormat="1">
      <c r="B53" s="22" t="s">
        <v>373</v>
      </c>
      <c r="C53" s="22" t="s">
        <v>45</v>
      </c>
      <c r="D53" s="9" t="s">
        <v>374</v>
      </c>
      <c r="E53" s="16" t="s">
        <v>128</v>
      </c>
      <c r="F53" s="17"/>
      <c r="G53" s="17" t="s">
        <v>3258</v>
      </c>
      <c r="H53" s="18"/>
      <c r="I53" s="19"/>
      <c r="J53" s="19" t="s">
        <v>259</v>
      </c>
      <c r="K53" s="19" t="s">
        <v>203</v>
      </c>
      <c r="L53" s="19" t="s">
        <v>627</v>
      </c>
    </row>
    <row r="54" spans="2:12" s="1" customFormat="1">
      <c r="B54" s="22" t="s">
        <v>375</v>
      </c>
      <c r="C54" s="22" t="s">
        <v>45</v>
      </c>
      <c r="D54" s="9" t="s">
        <v>1260</v>
      </c>
      <c r="E54" s="16" t="s">
        <v>128</v>
      </c>
      <c r="F54" s="17" t="s">
        <v>375</v>
      </c>
      <c r="G54" s="17" t="s">
        <v>129</v>
      </c>
      <c r="H54" s="18"/>
      <c r="I54" s="19"/>
      <c r="J54" s="19" t="s">
        <v>259</v>
      </c>
      <c r="K54" s="19" t="s">
        <v>132</v>
      </c>
      <c r="L54" s="19" t="s">
        <v>132</v>
      </c>
    </row>
    <row r="55" spans="2:12" s="1" customFormat="1">
      <c r="B55" s="22" t="s">
        <v>376</v>
      </c>
      <c r="C55" s="22" t="s">
        <v>45</v>
      </c>
      <c r="D55" s="9" t="s">
        <v>1261</v>
      </c>
      <c r="E55" s="16" t="s">
        <v>128</v>
      </c>
      <c r="F55" s="17" t="s">
        <v>376</v>
      </c>
      <c r="G55" s="17" t="s">
        <v>129</v>
      </c>
      <c r="H55" s="18"/>
      <c r="I55" s="19"/>
      <c r="J55" s="19" t="s">
        <v>259</v>
      </c>
      <c r="K55" s="19" t="s">
        <v>132</v>
      </c>
      <c r="L55" s="19" t="s">
        <v>132</v>
      </c>
    </row>
    <row r="56" spans="2:12" s="1" customFormat="1">
      <c r="B56" s="22" t="s">
        <v>377</v>
      </c>
      <c r="C56" s="22" t="s">
        <v>45</v>
      </c>
      <c r="D56" s="9" t="s">
        <v>518</v>
      </c>
      <c r="E56" s="16" t="s">
        <v>128</v>
      </c>
      <c r="F56" s="17" t="s">
        <v>377</v>
      </c>
      <c r="G56" s="17" t="s">
        <v>527</v>
      </c>
      <c r="H56" s="18"/>
      <c r="I56" s="19"/>
      <c r="J56" s="19" t="s">
        <v>259</v>
      </c>
      <c r="K56" s="19" t="s">
        <v>203</v>
      </c>
      <c r="L56" s="19" t="s">
        <v>628</v>
      </c>
    </row>
    <row r="57" spans="2:12" s="1" customFormat="1">
      <c r="B57" s="22" t="s">
        <v>378</v>
      </c>
      <c r="C57" s="22" t="s">
        <v>45</v>
      </c>
      <c r="D57" s="9" t="s">
        <v>519</v>
      </c>
      <c r="E57" s="16" t="s">
        <v>128</v>
      </c>
      <c r="F57" s="17" t="s">
        <v>378</v>
      </c>
      <c r="G57" s="17" t="s">
        <v>528</v>
      </c>
      <c r="H57" s="18"/>
      <c r="I57" s="19"/>
      <c r="J57" s="19" t="s">
        <v>259</v>
      </c>
      <c r="K57" s="19" t="s">
        <v>203</v>
      </c>
      <c r="L57" s="19" t="s">
        <v>628</v>
      </c>
    </row>
    <row r="58" spans="2:12" s="1" customFormat="1">
      <c r="B58" s="22" t="s">
        <v>379</v>
      </c>
      <c r="C58" s="22" t="s">
        <v>46</v>
      </c>
      <c r="D58" s="9" t="s">
        <v>380</v>
      </c>
      <c r="E58" s="16" t="s">
        <v>128</v>
      </c>
      <c r="F58" s="17" t="s">
        <v>379</v>
      </c>
      <c r="G58" s="17" t="s">
        <v>129</v>
      </c>
      <c r="H58" s="18"/>
      <c r="I58" s="19"/>
      <c r="J58" s="19" t="s">
        <v>259</v>
      </c>
      <c r="K58" s="19" t="s">
        <v>132</v>
      </c>
      <c r="L58" s="19" t="s">
        <v>132</v>
      </c>
    </row>
    <row r="59" spans="2:12" s="1" customFormat="1">
      <c r="B59" s="22" t="s">
        <v>381</v>
      </c>
      <c r="C59" s="22" t="s">
        <v>46</v>
      </c>
      <c r="D59" s="9" t="s">
        <v>382</v>
      </c>
      <c r="E59" s="16" t="s">
        <v>128</v>
      </c>
      <c r="F59" s="17" t="s">
        <v>381</v>
      </c>
      <c r="G59" s="17" t="s">
        <v>129</v>
      </c>
      <c r="H59" s="18"/>
      <c r="I59" s="19"/>
      <c r="J59" s="19" t="s">
        <v>259</v>
      </c>
      <c r="K59" s="19" t="s">
        <v>132</v>
      </c>
      <c r="L59" s="19" t="s">
        <v>132</v>
      </c>
    </row>
    <row r="60" spans="2:12" s="1" customFormat="1">
      <c r="B60" s="22" t="s">
        <v>383</v>
      </c>
      <c r="C60" s="22" t="s">
        <v>46</v>
      </c>
      <c r="D60" s="9" t="s">
        <v>384</v>
      </c>
      <c r="E60" s="16" t="s">
        <v>128</v>
      </c>
      <c r="F60" s="17" t="s">
        <v>383</v>
      </c>
      <c r="G60" s="17" t="s">
        <v>129</v>
      </c>
      <c r="H60" s="18"/>
      <c r="I60" s="19"/>
      <c r="J60" s="19" t="s">
        <v>259</v>
      </c>
      <c r="K60" s="19" t="s">
        <v>132</v>
      </c>
      <c r="L60" s="19" t="s">
        <v>132</v>
      </c>
    </row>
    <row r="61" spans="2:12" s="1" customFormat="1">
      <c r="B61" s="22" t="s">
        <v>385</v>
      </c>
      <c r="C61" s="22" t="s">
        <v>46</v>
      </c>
      <c r="D61" s="9" t="s">
        <v>386</v>
      </c>
      <c r="E61" s="16" t="s">
        <v>128</v>
      </c>
      <c r="F61" s="17" t="s">
        <v>385</v>
      </c>
      <c r="G61" s="17" t="s">
        <v>129</v>
      </c>
      <c r="H61" s="18"/>
      <c r="I61" s="19"/>
      <c r="J61" s="19" t="s">
        <v>259</v>
      </c>
      <c r="K61" s="19" t="s">
        <v>132</v>
      </c>
      <c r="L61" s="19" t="s">
        <v>132</v>
      </c>
    </row>
    <row r="62" spans="2:12" s="1" customFormat="1">
      <c r="B62" s="22" t="s">
        <v>88</v>
      </c>
      <c r="C62" s="22" t="s">
        <v>46</v>
      </c>
      <c r="D62" s="9" t="s">
        <v>110</v>
      </c>
      <c r="E62" s="16" t="s">
        <v>128</v>
      </c>
      <c r="F62" s="17" t="s">
        <v>88</v>
      </c>
      <c r="G62" s="17" t="s">
        <v>129</v>
      </c>
      <c r="H62" s="18"/>
      <c r="I62" s="19"/>
      <c r="J62" s="19" t="s">
        <v>259</v>
      </c>
      <c r="K62" s="19" t="s">
        <v>132</v>
      </c>
      <c r="L62" s="19" t="s">
        <v>132</v>
      </c>
    </row>
    <row r="63" spans="2:12" s="1" customFormat="1">
      <c r="B63" s="22" t="s">
        <v>89</v>
      </c>
      <c r="C63" s="22" t="s">
        <v>46</v>
      </c>
      <c r="D63" s="9" t="s">
        <v>111</v>
      </c>
      <c r="E63" s="16" t="s">
        <v>128</v>
      </c>
      <c r="F63" s="17" t="s">
        <v>89</v>
      </c>
      <c r="G63" s="17" t="s">
        <v>129</v>
      </c>
      <c r="H63" s="18"/>
      <c r="I63" s="19"/>
      <c r="J63" s="19" t="s">
        <v>259</v>
      </c>
      <c r="K63" s="19" t="s">
        <v>132</v>
      </c>
      <c r="L63" s="19" t="s">
        <v>132</v>
      </c>
    </row>
    <row r="64" spans="2:12" s="1" customFormat="1">
      <c r="B64" s="22" t="s">
        <v>264</v>
      </c>
      <c r="C64" s="22" t="s">
        <v>45</v>
      </c>
      <c r="D64" s="13" t="s">
        <v>264</v>
      </c>
      <c r="E64" s="16" t="s">
        <v>128</v>
      </c>
      <c r="F64" s="17" t="s">
        <v>264</v>
      </c>
      <c r="G64" s="17" t="s">
        <v>129</v>
      </c>
      <c r="H64" s="18"/>
      <c r="I64" s="19"/>
      <c r="J64" s="19" t="s">
        <v>259</v>
      </c>
      <c r="K64" s="19" t="s">
        <v>132</v>
      </c>
      <c r="L64" s="19" t="s">
        <v>132</v>
      </c>
    </row>
    <row r="65" spans="2:12" s="1" customFormat="1">
      <c r="B65" s="22" t="s">
        <v>265</v>
      </c>
      <c r="C65" s="22" t="s">
        <v>45</v>
      </c>
      <c r="D65" s="13" t="s">
        <v>265</v>
      </c>
      <c r="E65" s="16" t="s">
        <v>128</v>
      </c>
      <c r="F65" s="17" t="s">
        <v>265</v>
      </c>
      <c r="G65" s="17" t="s">
        <v>129</v>
      </c>
      <c r="H65" s="18"/>
      <c r="I65" s="19"/>
      <c r="J65" s="19" t="s">
        <v>259</v>
      </c>
      <c r="K65" s="19" t="s">
        <v>132</v>
      </c>
      <c r="L65" s="19" t="s">
        <v>132</v>
      </c>
    </row>
    <row r="66" spans="2:12" s="1" customFormat="1">
      <c r="B66" s="22" t="s">
        <v>142</v>
      </c>
      <c r="C66" s="22" t="s">
        <v>46</v>
      </c>
      <c r="D66" s="9" t="s">
        <v>509</v>
      </c>
      <c r="E66" s="16" t="s">
        <v>128</v>
      </c>
      <c r="F66" s="17" t="s">
        <v>387</v>
      </c>
      <c r="G66" s="17" t="s">
        <v>129</v>
      </c>
      <c r="H66" s="18"/>
      <c r="I66" s="19"/>
      <c r="J66" s="19" t="s">
        <v>259</v>
      </c>
      <c r="K66" s="19" t="s">
        <v>132</v>
      </c>
      <c r="L66" s="19" t="s">
        <v>132</v>
      </c>
    </row>
    <row r="67" spans="2:12" s="1" customFormat="1">
      <c r="B67" s="22" t="s">
        <v>388</v>
      </c>
      <c r="C67" s="22" t="s">
        <v>46</v>
      </c>
      <c r="D67" s="9" t="s">
        <v>389</v>
      </c>
      <c r="E67" s="16" t="s">
        <v>128</v>
      </c>
      <c r="F67" s="17" t="s">
        <v>388</v>
      </c>
      <c r="G67" s="17" t="s">
        <v>129</v>
      </c>
      <c r="H67" s="18"/>
      <c r="I67" s="19"/>
      <c r="J67" s="19" t="s">
        <v>259</v>
      </c>
      <c r="K67" s="19" t="s">
        <v>132</v>
      </c>
      <c r="L67" s="19" t="s">
        <v>132</v>
      </c>
    </row>
    <row r="68" spans="2:12" s="1" customFormat="1">
      <c r="B68" s="22" t="s">
        <v>390</v>
      </c>
      <c r="C68" s="22" t="s">
        <v>46</v>
      </c>
      <c r="D68" s="9" t="s">
        <v>391</v>
      </c>
      <c r="E68" s="16" t="s">
        <v>128</v>
      </c>
      <c r="F68" s="17" t="s">
        <v>390</v>
      </c>
      <c r="G68" s="17" t="s">
        <v>129</v>
      </c>
      <c r="H68" s="18"/>
      <c r="I68" s="19"/>
      <c r="J68" s="19" t="s">
        <v>259</v>
      </c>
      <c r="K68" s="19" t="s">
        <v>132</v>
      </c>
      <c r="L68" s="19" t="s">
        <v>132</v>
      </c>
    </row>
    <row r="69" spans="2:12" s="1" customFormat="1">
      <c r="B69" s="22" t="s">
        <v>392</v>
      </c>
      <c r="C69" s="22" t="s">
        <v>46</v>
      </c>
      <c r="D69" s="9" t="s">
        <v>393</v>
      </c>
      <c r="E69" s="16" t="s">
        <v>128</v>
      </c>
      <c r="F69" s="17" t="s">
        <v>392</v>
      </c>
      <c r="G69" s="17" t="s">
        <v>129</v>
      </c>
      <c r="H69" s="18"/>
      <c r="I69" s="19"/>
      <c r="J69" s="19" t="s">
        <v>259</v>
      </c>
      <c r="K69" s="19" t="s">
        <v>132</v>
      </c>
      <c r="L69" s="19" t="s">
        <v>132</v>
      </c>
    </row>
    <row r="70" spans="2:12" s="1" customFormat="1">
      <c r="B70" s="22" t="s">
        <v>394</v>
      </c>
      <c r="C70" s="22" t="s">
        <v>46</v>
      </c>
      <c r="D70" s="9" t="s">
        <v>395</v>
      </c>
      <c r="E70" s="16" t="s">
        <v>128</v>
      </c>
      <c r="F70" s="17" t="s">
        <v>394</v>
      </c>
      <c r="G70" s="17" t="s">
        <v>129</v>
      </c>
      <c r="H70" s="18"/>
      <c r="I70" s="19"/>
      <c r="J70" s="19" t="s">
        <v>259</v>
      </c>
      <c r="K70" s="19" t="s">
        <v>132</v>
      </c>
      <c r="L70" s="19" t="s">
        <v>132</v>
      </c>
    </row>
    <row r="71" spans="2:12" s="1" customFormat="1">
      <c r="B71" s="22" t="s">
        <v>396</v>
      </c>
      <c r="C71" s="22" t="s">
        <v>46</v>
      </c>
      <c r="D71" s="9" t="s">
        <v>397</v>
      </c>
      <c r="E71" s="16" t="s">
        <v>128</v>
      </c>
      <c r="F71" s="17" t="s">
        <v>396</v>
      </c>
      <c r="G71" s="17" t="s">
        <v>129</v>
      </c>
      <c r="H71" s="18"/>
      <c r="I71" s="19"/>
      <c r="J71" s="19" t="s">
        <v>259</v>
      </c>
      <c r="K71" s="19" t="s">
        <v>132</v>
      </c>
      <c r="L71" s="19" t="s">
        <v>132</v>
      </c>
    </row>
    <row r="72" spans="2:12" s="1" customFormat="1">
      <c r="B72" s="22" t="s">
        <v>398</v>
      </c>
      <c r="C72" s="22" t="s">
        <v>46</v>
      </c>
      <c r="D72" s="9" t="s">
        <v>399</v>
      </c>
      <c r="E72" s="16" t="s">
        <v>128</v>
      </c>
      <c r="F72" s="17" t="s">
        <v>398</v>
      </c>
      <c r="G72" s="17" t="s">
        <v>129</v>
      </c>
      <c r="H72" s="18"/>
      <c r="I72" s="19"/>
      <c r="J72" s="19" t="s">
        <v>259</v>
      </c>
      <c r="K72" s="19" t="s">
        <v>132</v>
      </c>
      <c r="L72" s="19" t="s">
        <v>132</v>
      </c>
    </row>
    <row r="73" spans="2:12" s="1" customFormat="1">
      <c r="B73" s="22" t="s">
        <v>400</v>
      </c>
      <c r="C73" s="22" t="s">
        <v>46</v>
      </c>
      <c r="D73" s="9" t="s">
        <v>401</v>
      </c>
      <c r="E73" s="16" t="s">
        <v>128</v>
      </c>
      <c r="F73" s="17" t="s">
        <v>400</v>
      </c>
      <c r="G73" s="17" t="s">
        <v>129</v>
      </c>
      <c r="H73" s="18"/>
      <c r="I73" s="19"/>
      <c r="J73" s="19" t="s">
        <v>259</v>
      </c>
      <c r="K73" s="19" t="s">
        <v>132</v>
      </c>
      <c r="L73" s="19" t="s">
        <v>132</v>
      </c>
    </row>
    <row r="74" spans="2:12" s="1" customFormat="1">
      <c r="B74" s="22" t="s">
        <v>402</v>
      </c>
      <c r="C74" s="22" t="s">
        <v>46</v>
      </c>
      <c r="D74" s="9" t="s">
        <v>403</v>
      </c>
      <c r="E74" s="16" t="s">
        <v>128</v>
      </c>
      <c r="F74" s="17" t="s">
        <v>402</v>
      </c>
      <c r="G74" s="17" t="s">
        <v>129</v>
      </c>
      <c r="H74" s="18"/>
      <c r="I74" s="19"/>
      <c r="J74" s="19" t="s">
        <v>259</v>
      </c>
      <c r="K74" s="19" t="s">
        <v>132</v>
      </c>
      <c r="L74" s="19" t="s">
        <v>132</v>
      </c>
    </row>
    <row r="75" spans="2:12" s="1" customFormat="1">
      <c r="B75" s="22" t="s">
        <v>404</v>
      </c>
      <c r="C75" s="22" t="s">
        <v>45</v>
      </c>
      <c r="D75" s="9" t="s">
        <v>167</v>
      </c>
      <c r="E75" s="16" t="s">
        <v>128</v>
      </c>
      <c r="F75" s="17" t="s">
        <v>404</v>
      </c>
      <c r="G75" s="17" t="s">
        <v>129</v>
      </c>
      <c r="H75" s="18"/>
      <c r="I75" s="19"/>
      <c r="J75" s="19" t="s">
        <v>259</v>
      </c>
      <c r="K75" s="19" t="s">
        <v>132</v>
      </c>
      <c r="L75" s="19" t="s">
        <v>132</v>
      </c>
    </row>
    <row r="76" spans="2:12" s="1" customFormat="1">
      <c r="B76" s="22" t="s">
        <v>317</v>
      </c>
      <c r="C76" s="22" t="s">
        <v>45</v>
      </c>
      <c r="D76" s="9" t="s">
        <v>168</v>
      </c>
      <c r="E76" s="16" t="s">
        <v>128</v>
      </c>
      <c r="F76" s="17" t="s">
        <v>405</v>
      </c>
      <c r="G76" s="17" t="s">
        <v>129</v>
      </c>
      <c r="H76" s="18"/>
      <c r="I76" s="19"/>
      <c r="J76" s="19" t="s">
        <v>259</v>
      </c>
      <c r="K76" s="19" t="s">
        <v>132</v>
      </c>
      <c r="L76" s="19" t="s">
        <v>132</v>
      </c>
    </row>
    <row r="77" spans="2:12" s="1" customFormat="1">
      <c r="B77" s="22" t="s">
        <v>406</v>
      </c>
      <c r="C77" s="22" t="s">
        <v>46</v>
      </c>
      <c r="D77" s="9" t="s">
        <v>407</v>
      </c>
      <c r="E77" s="16" t="s">
        <v>128</v>
      </c>
      <c r="F77" s="17" t="s">
        <v>406</v>
      </c>
      <c r="G77" s="17" t="s">
        <v>129</v>
      </c>
      <c r="H77" s="18"/>
      <c r="I77" s="19"/>
      <c r="J77" s="19" t="s">
        <v>259</v>
      </c>
      <c r="K77" s="19" t="s">
        <v>132</v>
      </c>
      <c r="L77" s="19" t="s">
        <v>132</v>
      </c>
    </row>
    <row r="78" spans="2:12" s="1" customFormat="1">
      <c r="B78" s="22" t="s">
        <v>408</v>
      </c>
      <c r="C78" s="22" t="s">
        <v>46</v>
      </c>
      <c r="D78" s="9" t="s">
        <v>409</v>
      </c>
      <c r="E78" s="16" t="s">
        <v>128</v>
      </c>
      <c r="F78" s="17" t="s">
        <v>408</v>
      </c>
      <c r="G78" s="17" t="s">
        <v>129</v>
      </c>
      <c r="H78" s="18"/>
      <c r="I78" s="19"/>
      <c r="J78" s="19" t="s">
        <v>259</v>
      </c>
      <c r="K78" s="19" t="s">
        <v>132</v>
      </c>
      <c r="L78" s="19" t="s">
        <v>132</v>
      </c>
    </row>
    <row r="79" spans="2:12" s="1" customFormat="1">
      <c r="B79" s="22" t="s">
        <v>410</v>
      </c>
      <c r="C79" s="22" t="s">
        <v>46</v>
      </c>
      <c r="D79" s="9" t="s">
        <v>411</v>
      </c>
      <c r="E79" s="16" t="s">
        <v>128</v>
      </c>
      <c r="F79" s="17" t="s">
        <v>410</v>
      </c>
      <c r="G79" s="17" t="s">
        <v>129</v>
      </c>
      <c r="H79" s="18"/>
      <c r="I79" s="19"/>
      <c r="J79" s="19" t="s">
        <v>259</v>
      </c>
      <c r="K79" s="19" t="s">
        <v>132</v>
      </c>
      <c r="L79" s="19" t="s">
        <v>132</v>
      </c>
    </row>
    <row r="80" spans="2:12" s="1" customFormat="1">
      <c r="B80" s="22" t="s">
        <v>412</v>
      </c>
      <c r="C80" s="22" t="s">
        <v>46</v>
      </c>
      <c r="D80" s="9" t="s">
        <v>413</v>
      </c>
      <c r="E80" s="16" t="s">
        <v>128</v>
      </c>
      <c r="F80" s="17" t="s">
        <v>412</v>
      </c>
      <c r="G80" s="17" t="s">
        <v>129</v>
      </c>
      <c r="H80" s="18"/>
      <c r="I80" s="19"/>
      <c r="J80" s="19" t="s">
        <v>259</v>
      </c>
      <c r="K80" s="19" t="s">
        <v>132</v>
      </c>
      <c r="L80" s="19" t="s">
        <v>132</v>
      </c>
    </row>
    <row r="81" spans="2:12" s="1" customFormat="1">
      <c r="B81" s="22" t="s">
        <v>414</v>
      </c>
      <c r="C81" s="22" t="s">
        <v>46</v>
      </c>
      <c r="D81" s="9" t="s">
        <v>415</v>
      </c>
      <c r="E81" s="16" t="s">
        <v>128</v>
      </c>
      <c r="F81" s="17" t="s">
        <v>414</v>
      </c>
      <c r="G81" s="17" t="s">
        <v>129</v>
      </c>
      <c r="H81" s="18"/>
      <c r="I81" s="19"/>
      <c r="J81" s="19" t="s">
        <v>259</v>
      </c>
      <c r="K81" s="19" t="s">
        <v>132</v>
      </c>
      <c r="L81" s="19" t="s">
        <v>132</v>
      </c>
    </row>
    <row r="82" spans="2:12" s="1" customFormat="1">
      <c r="B82" s="22" t="s">
        <v>416</v>
      </c>
      <c r="C82" s="22" t="s">
        <v>46</v>
      </c>
      <c r="D82" s="9" t="s">
        <v>417</v>
      </c>
      <c r="E82" s="16" t="s">
        <v>128</v>
      </c>
      <c r="F82" s="17" t="s">
        <v>416</v>
      </c>
      <c r="G82" s="17" t="s">
        <v>129</v>
      </c>
      <c r="H82" s="18"/>
      <c r="I82" s="19"/>
      <c r="J82" s="19" t="s">
        <v>259</v>
      </c>
      <c r="K82" s="19" t="s">
        <v>132</v>
      </c>
      <c r="L82" s="19" t="s">
        <v>132</v>
      </c>
    </row>
    <row r="83" spans="2:12" s="1" customFormat="1">
      <c r="B83" s="22" t="s">
        <v>418</v>
      </c>
      <c r="C83" s="22" t="s">
        <v>46</v>
      </c>
      <c r="D83" s="9" t="s">
        <v>419</v>
      </c>
      <c r="E83" s="16" t="s">
        <v>128</v>
      </c>
      <c r="F83" s="17" t="s">
        <v>418</v>
      </c>
      <c r="G83" s="17" t="s">
        <v>129</v>
      </c>
      <c r="H83" s="18"/>
      <c r="I83" s="19"/>
      <c r="J83" s="19" t="s">
        <v>259</v>
      </c>
      <c r="K83" s="19" t="s">
        <v>132</v>
      </c>
      <c r="L83" s="19" t="s">
        <v>132</v>
      </c>
    </row>
    <row r="84" spans="2:12" s="1" customFormat="1">
      <c r="B84" s="22" t="s">
        <v>420</v>
      </c>
      <c r="C84" s="22" t="s">
        <v>46</v>
      </c>
      <c r="D84" s="9" t="s">
        <v>421</v>
      </c>
      <c r="E84" s="16" t="s">
        <v>128</v>
      </c>
      <c r="F84" s="17" t="s">
        <v>420</v>
      </c>
      <c r="G84" s="17" t="s">
        <v>129</v>
      </c>
      <c r="H84" s="18"/>
      <c r="I84" s="19"/>
      <c r="J84" s="19" t="s">
        <v>259</v>
      </c>
      <c r="K84" s="19" t="s">
        <v>132</v>
      </c>
      <c r="L84" s="19" t="s">
        <v>132</v>
      </c>
    </row>
    <row r="85" spans="2:12" s="1" customFormat="1">
      <c r="B85" s="22" t="s">
        <v>422</v>
      </c>
      <c r="C85" s="22" t="s">
        <v>46</v>
      </c>
      <c r="D85" s="9" t="s">
        <v>423</v>
      </c>
      <c r="E85" s="16" t="s">
        <v>128</v>
      </c>
      <c r="F85" s="17" t="s">
        <v>422</v>
      </c>
      <c r="G85" s="17" t="s">
        <v>129</v>
      </c>
      <c r="H85" s="18"/>
      <c r="I85" s="19"/>
      <c r="J85" s="19" t="s">
        <v>259</v>
      </c>
      <c r="K85" s="19" t="s">
        <v>132</v>
      </c>
      <c r="L85" s="19" t="s">
        <v>132</v>
      </c>
    </row>
    <row r="86" spans="2:12" s="1" customFormat="1">
      <c r="B86" s="22" t="s">
        <v>424</v>
      </c>
      <c r="C86" s="22" t="s">
        <v>46</v>
      </c>
      <c r="D86" s="9" t="s">
        <v>425</v>
      </c>
      <c r="E86" s="16" t="s">
        <v>128</v>
      </c>
      <c r="F86" s="17" t="s">
        <v>424</v>
      </c>
      <c r="G86" s="17" t="s">
        <v>129</v>
      </c>
      <c r="H86" s="18"/>
      <c r="I86" s="19"/>
      <c r="J86" s="19" t="s">
        <v>259</v>
      </c>
      <c r="K86" s="19" t="s">
        <v>132</v>
      </c>
      <c r="L86" s="19" t="s">
        <v>132</v>
      </c>
    </row>
    <row r="87" spans="2:12" s="1" customFormat="1">
      <c r="B87" s="22" t="s">
        <v>426</v>
      </c>
      <c r="C87" s="22" t="s">
        <v>46</v>
      </c>
      <c r="D87" s="9" t="s">
        <v>427</v>
      </c>
      <c r="E87" s="16" t="s">
        <v>128</v>
      </c>
      <c r="F87" s="17" t="s">
        <v>426</v>
      </c>
      <c r="G87" s="17" t="s">
        <v>129</v>
      </c>
      <c r="H87" s="18"/>
      <c r="I87" s="19"/>
      <c r="J87" s="19" t="s">
        <v>259</v>
      </c>
      <c r="K87" s="19" t="s">
        <v>132</v>
      </c>
      <c r="L87" s="19" t="s">
        <v>132</v>
      </c>
    </row>
    <row r="88" spans="2:12" s="1" customFormat="1">
      <c r="B88" s="22" t="s">
        <v>428</v>
      </c>
      <c r="C88" s="22" t="s">
        <v>46</v>
      </c>
      <c r="D88" s="9" t="s">
        <v>429</v>
      </c>
      <c r="E88" s="16" t="s">
        <v>128</v>
      </c>
      <c r="F88" s="17" t="s">
        <v>428</v>
      </c>
      <c r="G88" s="17" t="s">
        <v>129</v>
      </c>
      <c r="H88" s="18"/>
      <c r="I88" s="19"/>
      <c r="J88" s="19" t="s">
        <v>259</v>
      </c>
      <c r="K88" s="19" t="s">
        <v>132</v>
      </c>
      <c r="L88" s="19" t="s">
        <v>132</v>
      </c>
    </row>
    <row r="89" spans="2:12" s="1" customFormat="1">
      <c r="B89" s="22" t="s">
        <v>430</v>
      </c>
      <c r="C89" s="22" t="s">
        <v>46</v>
      </c>
      <c r="D89" s="9" t="s">
        <v>431</v>
      </c>
      <c r="E89" s="16" t="s">
        <v>128</v>
      </c>
      <c r="F89" s="17" t="s">
        <v>430</v>
      </c>
      <c r="G89" s="17" t="s">
        <v>129</v>
      </c>
      <c r="H89" s="18"/>
      <c r="I89" s="19"/>
      <c r="J89" s="19" t="s">
        <v>259</v>
      </c>
      <c r="K89" s="19" t="s">
        <v>132</v>
      </c>
      <c r="L89" s="19" t="s">
        <v>132</v>
      </c>
    </row>
    <row r="90" spans="2:12" s="1" customFormat="1">
      <c r="B90" s="22" t="s">
        <v>432</v>
      </c>
      <c r="C90" s="22" t="s">
        <v>46</v>
      </c>
      <c r="D90" s="9" t="s">
        <v>433</v>
      </c>
      <c r="E90" s="16" t="s">
        <v>128</v>
      </c>
      <c r="F90" s="17" t="s">
        <v>432</v>
      </c>
      <c r="G90" s="17" t="s">
        <v>129</v>
      </c>
      <c r="H90" s="18"/>
      <c r="I90" s="19"/>
      <c r="J90" s="19" t="s">
        <v>259</v>
      </c>
      <c r="K90" s="19" t="s">
        <v>132</v>
      </c>
      <c r="L90" s="19" t="s">
        <v>132</v>
      </c>
    </row>
    <row r="91" spans="2:12" s="1" customFormat="1">
      <c r="B91" s="22" t="s">
        <v>436</v>
      </c>
      <c r="C91" s="22" t="s">
        <v>43</v>
      </c>
      <c r="D91" s="9" t="s">
        <v>437</v>
      </c>
      <c r="E91" s="16" t="s">
        <v>128</v>
      </c>
      <c r="F91" s="17" t="s">
        <v>436</v>
      </c>
      <c r="G91" s="17" t="s">
        <v>129</v>
      </c>
      <c r="H91" s="18"/>
      <c r="I91" s="19"/>
      <c r="J91" s="19" t="s">
        <v>259</v>
      </c>
      <c r="K91" s="19" t="s">
        <v>132</v>
      </c>
      <c r="L91" s="19" t="s">
        <v>132</v>
      </c>
    </row>
    <row r="92" spans="2:12" s="1" customFormat="1">
      <c r="B92" s="22" t="s">
        <v>438</v>
      </c>
      <c r="C92" s="22" t="s">
        <v>43</v>
      </c>
      <c r="D92" s="9" t="s">
        <v>439</v>
      </c>
      <c r="E92" s="16" t="s">
        <v>128</v>
      </c>
      <c r="F92" s="17" t="s">
        <v>438</v>
      </c>
      <c r="G92" s="17" t="s">
        <v>129</v>
      </c>
      <c r="H92" s="18"/>
      <c r="I92" s="19"/>
      <c r="J92" s="19" t="s">
        <v>259</v>
      </c>
      <c r="K92" s="19" t="s">
        <v>132</v>
      </c>
      <c r="L92" s="19" t="s">
        <v>132</v>
      </c>
    </row>
    <row r="93" spans="2:12" s="1" customFormat="1">
      <c r="B93" s="22" t="s">
        <v>440</v>
      </c>
      <c r="C93" s="22" t="s">
        <v>43</v>
      </c>
      <c r="D93" s="9" t="s">
        <v>2009</v>
      </c>
      <c r="E93" s="16" t="s">
        <v>128</v>
      </c>
      <c r="F93" s="17" t="s">
        <v>440</v>
      </c>
      <c r="G93" s="17" t="s">
        <v>129</v>
      </c>
      <c r="H93" s="18"/>
      <c r="I93" s="19"/>
      <c r="J93" s="19" t="s">
        <v>259</v>
      </c>
      <c r="K93" s="19" t="s">
        <v>132</v>
      </c>
      <c r="L93" s="19" t="s">
        <v>132</v>
      </c>
    </row>
    <row r="94" spans="2:12" s="1" customFormat="1">
      <c r="B94" s="22" t="s">
        <v>458</v>
      </c>
      <c r="C94" s="22" t="s">
        <v>45</v>
      </c>
      <c r="D94" s="9" t="s">
        <v>2671</v>
      </c>
      <c r="E94" s="16" t="s">
        <v>128</v>
      </c>
      <c r="F94" s="17" t="s">
        <v>458</v>
      </c>
      <c r="G94" s="17" t="s">
        <v>129</v>
      </c>
      <c r="H94" s="18"/>
      <c r="I94" s="19"/>
      <c r="J94" s="19" t="s">
        <v>259</v>
      </c>
      <c r="K94" s="19" t="s">
        <v>132</v>
      </c>
      <c r="L94" s="19" t="s">
        <v>132</v>
      </c>
    </row>
    <row r="95" spans="2:12" s="1" customFormat="1">
      <c r="B95" s="22" t="s">
        <v>460</v>
      </c>
      <c r="C95" s="22" t="s">
        <v>45</v>
      </c>
      <c r="D95" s="9" t="s">
        <v>2672</v>
      </c>
      <c r="E95" s="16" t="s">
        <v>128</v>
      </c>
      <c r="F95" s="17" t="s">
        <v>460</v>
      </c>
      <c r="G95" s="17" t="s">
        <v>129</v>
      </c>
      <c r="H95" s="18"/>
      <c r="I95" s="19"/>
      <c r="J95" s="19" t="s">
        <v>259</v>
      </c>
      <c r="K95" s="19" t="s">
        <v>132</v>
      </c>
      <c r="L95" s="19" t="s">
        <v>132</v>
      </c>
    </row>
    <row r="96" spans="2:12" s="1" customFormat="1">
      <c r="B96" s="22" t="s">
        <v>462</v>
      </c>
      <c r="C96" s="22" t="s">
        <v>45</v>
      </c>
      <c r="D96" s="9" t="s">
        <v>2673</v>
      </c>
      <c r="E96" s="16" t="s">
        <v>128</v>
      </c>
      <c r="F96" s="17" t="s">
        <v>462</v>
      </c>
      <c r="G96" s="17" t="s">
        <v>129</v>
      </c>
      <c r="H96" s="18"/>
      <c r="I96" s="19"/>
      <c r="J96" s="19" t="s">
        <v>259</v>
      </c>
      <c r="K96" s="19" t="s">
        <v>132</v>
      </c>
      <c r="L96" s="19" t="s">
        <v>132</v>
      </c>
    </row>
    <row r="97" spans="2:12" s="1" customFormat="1">
      <c r="B97" s="22" t="s">
        <v>2675</v>
      </c>
      <c r="C97" s="22" t="s">
        <v>45</v>
      </c>
      <c r="D97" s="9" t="s">
        <v>465</v>
      </c>
      <c r="E97" s="16" t="s">
        <v>128</v>
      </c>
      <c r="F97" s="17" t="s">
        <v>464</v>
      </c>
      <c r="G97" s="17" t="s">
        <v>129</v>
      </c>
      <c r="H97" s="18"/>
      <c r="I97" s="19"/>
      <c r="J97" s="19" t="s">
        <v>259</v>
      </c>
      <c r="K97" s="19" t="s">
        <v>132</v>
      </c>
      <c r="L97" s="19" t="s">
        <v>132</v>
      </c>
    </row>
    <row r="98" spans="2:12" s="1" customFormat="1">
      <c r="B98" s="22" t="s">
        <v>472</v>
      </c>
      <c r="C98" s="22" t="s">
        <v>45</v>
      </c>
      <c r="D98" s="9" t="s">
        <v>473</v>
      </c>
      <c r="E98" s="16" t="s">
        <v>128</v>
      </c>
      <c r="F98" s="17" t="s">
        <v>472</v>
      </c>
      <c r="G98" s="17" t="s">
        <v>129</v>
      </c>
      <c r="H98" s="18"/>
      <c r="I98" s="19"/>
      <c r="J98" s="19" t="s">
        <v>259</v>
      </c>
      <c r="K98" s="19" t="s">
        <v>132</v>
      </c>
      <c r="L98" s="19" t="s">
        <v>132</v>
      </c>
    </row>
    <row r="99" spans="2:12" s="1" customFormat="1" ht="52.8">
      <c r="B99" s="22" t="s">
        <v>468</v>
      </c>
      <c r="C99" s="22" t="s">
        <v>45</v>
      </c>
      <c r="D99" s="13" t="s">
        <v>2669</v>
      </c>
      <c r="E99" s="16" t="s">
        <v>128</v>
      </c>
      <c r="F99" s="17" t="s">
        <v>468</v>
      </c>
      <c r="G99" s="17" t="s">
        <v>129</v>
      </c>
      <c r="H99" s="18"/>
      <c r="I99" s="19"/>
      <c r="J99" s="19" t="s">
        <v>259</v>
      </c>
      <c r="K99" s="19" t="s">
        <v>132</v>
      </c>
      <c r="L99" s="19" t="s">
        <v>132</v>
      </c>
    </row>
    <row r="100" spans="2:12" s="1" customFormat="1">
      <c r="B100" s="22" t="s">
        <v>474</v>
      </c>
      <c r="C100" s="22" t="s">
        <v>45</v>
      </c>
      <c r="D100" s="9" t="s">
        <v>475</v>
      </c>
      <c r="E100" s="16" t="s">
        <v>128</v>
      </c>
      <c r="F100" s="17" t="s">
        <v>474</v>
      </c>
      <c r="G100" s="17" t="s">
        <v>129</v>
      </c>
      <c r="H100" s="18"/>
      <c r="I100" s="19"/>
      <c r="J100" s="19" t="s">
        <v>259</v>
      </c>
      <c r="K100" s="19" t="s">
        <v>132</v>
      </c>
      <c r="L100" s="19" t="s">
        <v>132</v>
      </c>
    </row>
    <row r="101" spans="2:12" s="1" customFormat="1">
      <c r="B101" s="22" t="s">
        <v>485</v>
      </c>
      <c r="C101" s="22" t="s">
        <v>45</v>
      </c>
      <c r="D101" s="9" t="s">
        <v>2670</v>
      </c>
      <c r="E101" s="16" t="s">
        <v>128</v>
      </c>
      <c r="F101" s="17" t="s">
        <v>485</v>
      </c>
      <c r="G101" s="17" t="s">
        <v>129</v>
      </c>
      <c r="H101" s="18"/>
      <c r="I101" s="19"/>
      <c r="J101" s="19" t="s">
        <v>259</v>
      </c>
      <c r="K101" s="19" t="s">
        <v>132</v>
      </c>
      <c r="L101" s="19" t="s">
        <v>132</v>
      </c>
    </row>
    <row r="102" spans="2:12" s="1" customFormat="1">
      <c r="B102" s="22" t="s">
        <v>487</v>
      </c>
      <c r="C102" s="22" t="s">
        <v>45</v>
      </c>
      <c r="D102" s="9" t="s">
        <v>488</v>
      </c>
      <c r="E102" s="16" t="s">
        <v>128</v>
      </c>
      <c r="F102" s="17" t="s">
        <v>487</v>
      </c>
      <c r="G102" s="17" t="s">
        <v>129</v>
      </c>
      <c r="H102" s="18"/>
      <c r="I102" s="19"/>
      <c r="J102" s="19" t="s">
        <v>259</v>
      </c>
      <c r="K102" s="19" t="s">
        <v>132</v>
      </c>
      <c r="L102" s="19" t="s">
        <v>132</v>
      </c>
    </row>
    <row r="103" spans="2:12" s="1" customFormat="1">
      <c r="B103" s="22" t="s">
        <v>489</v>
      </c>
      <c r="C103" s="22" t="s">
        <v>45</v>
      </c>
      <c r="D103" s="9" t="s">
        <v>490</v>
      </c>
      <c r="E103" s="16" t="s">
        <v>128</v>
      </c>
      <c r="F103" s="17" t="s">
        <v>489</v>
      </c>
      <c r="G103" s="17" t="s">
        <v>129</v>
      </c>
      <c r="H103" s="18"/>
      <c r="I103" s="19"/>
      <c r="J103" s="19" t="s">
        <v>259</v>
      </c>
      <c r="K103" s="19" t="s">
        <v>132</v>
      </c>
      <c r="L103" s="19" t="s">
        <v>132</v>
      </c>
    </row>
    <row r="104" spans="2:12" s="1" customFormat="1">
      <c r="B104" s="22" t="s">
        <v>491</v>
      </c>
      <c r="C104" s="22" t="s">
        <v>45</v>
      </c>
      <c r="D104" s="9" t="s">
        <v>492</v>
      </c>
      <c r="E104" s="16" t="s">
        <v>128</v>
      </c>
      <c r="F104" s="17" t="s">
        <v>491</v>
      </c>
      <c r="G104" s="17" t="s">
        <v>129</v>
      </c>
      <c r="H104" s="18"/>
      <c r="I104" s="19"/>
      <c r="J104" s="19" t="s">
        <v>259</v>
      </c>
      <c r="K104" s="19" t="s">
        <v>132</v>
      </c>
      <c r="L104" s="19" t="s">
        <v>132</v>
      </c>
    </row>
    <row r="105" spans="2:12" s="1" customFormat="1">
      <c r="B105" s="22" t="s">
        <v>493</v>
      </c>
      <c r="C105" s="22" t="s">
        <v>45</v>
      </c>
      <c r="D105" s="9" t="s">
        <v>494</v>
      </c>
      <c r="E105" s="16" t="s">
        <v>128</v>
      </c>
      <c r="F105" s="17" t="s">
        <v>493</v>
      </c>
      <c r="G105" s="17" t="s">
        <v>129</v>
      </c>
      <c r="H105" s="18"/>
      <c r="I105" s="19"/>
      <c r="J105" s="19" t="s">
        <v>259</v>
      </c>
      <c r="K105" s="19" t="s">
        <v>132</v>
      </c>
      <c r="L105" s="19" t="s">
        <v>132</v>
      </c>
    </row>
    <row r="106" spans="2:12" s="1" customFormat="1">
      <c r="B106" s="22" t="s">
        <v>2661</v>
      </c>
      <c r="C106" s="22" t="s">
        <v>45</v>
      </c>
      <c r="D106" s="9" t="s">
        <v>2665</v>
      </c>
      <c r="E106" s="16" t="s">
        <v>128</v>
      </c>
      <c r="F106" s="17" t="s">
        <v>2661</v>
      </c>
      <c r="G106" s="17" t="s">
        <v>129</v>
      </c>
      <c r="H106" s="18"/>
      <c r="I106" s="19"/>
      <c r="J106" s="19" t="s">
        <v>259</v>
      </c>
      <c r="K106" s="19" t="s">
        <v>132</v>
      </c>
      <c r="L106" s="19" t="s">
        <v>132</v>
      </c>
    </row>
    <row r="107" spans="2:12" s="1" customFormat="1">
      <c r="B107" s="22" t="s">
        <v>2662</v>
      </c>
      <c r="C107" s="22" t="s">
        <v>45</v>
      </c>
      <c r="D107" s="9" t="s">
        <v>2666</v>
      </c>
      <c r="E107" s="16" t="s">
        <v>128</v>
      </c>
      <c r="F107" s="17" t="s">
        <v>2662</v>
      </c>
      <c r="G107" s="17" t="s">
        <v>129</v>
      </c>
      <c r="H107" s="18"/>
      <c r="I107" s="19"/>
      <c r="J107" s="19" t="s">
        <v>259</v>
      </c>
      <c r="K107" s="19" t="s">
        <v>132</v>
      </c>
      <c r="L107" s="19" t="s">
        <v>132</v>
      </c>
    </row>
    <row r="108" spans="2:12" s="1" customFormat="1">
      <c r="B108" s="22" t="s">
        <v>2663</v>
      </c>
      <c r="C108" s="22" t="s">
        <v>45</v>
      </c>
      <c r="D108" s="9" t="s">
        <v>2667</v>
      </c>
      <c r="E108" s="16" t="s">
        <v>128</v>
      </c>
      <c r="F108" s="17" t="s">
        <v>2663</v>
      </c>
      <c r="G108" s="17" t="s">
        <v>129</v>
      </c>
      <c r="H108" s="18"/>
      <c r="I108" s="19"/>
      <c r="J108" s="19" t="s">
        <v>259</v>
      </c>
      <c r="K108" s="19" t="s">
        <v>132</v>
      </c>
      <c r="L108" s="19" t="s">
        <v>132</v>
      </c>
    </row>
    <row r="109" spans="2:12" s="1" customFormat="1">
      <c r="B109" s="22" t="s">
        <v>2664</v>
      </c>
      <c r="C109" s="22" t="s">
        <v>45</v>
      </c>
      <c r="D109" s="9" t="s">
        <v>2668</v>
      </c>
      <c r="E109" s="16" t="s">
        <v>128</v>
      </c>
      <c r="F109" s="17" t="s">
        <v>2664</v>
      </c>
      <c r="G109" s="17" t="s">
        <v>129</v>
      </c>
      <c r="H109" s="18"/>
      <c r="I109" s="19"/>
      <c r="J109" s="19" t="s">
        <v>259</v>
      </c>
      <c r="K109" s="19" t="s">
        <v>132</v>
      </c>
      <c r="L109" s="19" t="s">
        <v>132</v>
      </c>
    </row>
    <row r="110" spans="2:12" s="1" customFormat="1">
      <c r="B110" s="22" t="s">
        <v>95</v>
      </c>
      <c r="C110" s="22" t="s">
        <v>45</v>
      </c>
      <c r="D110" s="9" t="s">
        <v>114</v>
      </c>
      <c r="E110" s="16" t="s">
        <v>128</v>
      </c>
      <c r="F110" s="17"/>
      <c r="G110" s="17" t="s">
        <v>525</v>
      </c>
      <c r="H110" s="18"/>
      <c r="I110" s="19"/>
      <c r="J110" s="19" t="s">
        <v>259</v>
      </c>
      <c r="K110" s="19" t="s">
        <v>132</v>
      </c>
      <c r="L110" s="19" t="s">
        <v>132</v>
      </c>
    </row>
    <row r="111" spans="2:12" s="1" customFormat="1">
      <c r="B111" s="22" t="s">
        <v>61</v>
      </c>
      <c r="C111" s="22" t="s">
        <v>46</v>
      </c>
      <c r="D111" s="9" t="s">
        <v>520</v>
      </c>
      <c r="E111" s="16" t="s">
        <v>122</v>
      </c>
      <c r="F111" s="9" t="s">
        <v>123</v>
      </c>
      <c r="G111" s="17" t="s">
        <v>121</v>
      </c>
      <c r="H111" s="18"/>
      <c r="I111" s="19"/>
      <c r="J111" s="19" t="s">
        <v>259</v>
      </c>
      <c r="K111" s="19" t="s">
        <v>132</v>
      </c>
      <c r="L111" s="19" t="s">
        <v>132</v>
      </c>
    </row>
    <row r="112" spans="2:12" s="1" customFormat="1">
      <c r="B112" s="22" t="s">
        <v>62</v>
      </c>
      <c r="C112" s="22" t="s">
        <v>46</v>
      </c>
      <c r="D112" s="9" t="s">
        <v>521</v>
      </c>
      <c r="E112" s="16" t="s">
        <v>122</v>
      </c>
      <c r="F112" s="9" t="s">
        <v>124</v>
      </c>
      <c r="G112" s="17" t="s">
        <v>121</v>
      </c>
      <c r="H112" s="18"/>
      <c r="I112" s="19"/>
      <c r="J112" s="19" t="s">
        <v>259</v>
      </c>
      <c r="K112" s="19" t="s">
        <v>132</v>
      </c>
      <c r="L112" s="19" t="s">
        <v>132</v>
      </c>
    </row>
    <row r="113" spans="2:12" s="1" customFormat="1" ht="26.4">
      <c r="B113" s="22" t="s">
        <v>64</v>
      </c>
      <c r="C113" s="22" t="s">
        <v>43</v>
      </c>
      <c r="D113" s="9" t="s">
        <v>522</v>
      </c>
      <c r="E113" s="16" t="s">
        <v>122</v>
      </c>
      <c r="F113" s="13" t="s">
        <v>125</v>
      </c>
      <c r="G113" s="17" t="s">
        <v>121</v>
      </c>
      <c r="H113" s="18"/>
      <c r="I113" s="19"/>
      <c r="J113" s="19" t="s">
        <v>259</v>
      </c>
      <c r="K113" s="19" t="s">
        <v>132</v>
      </c>
      <c r="L113" s="19" t="s">
        <v>132</v>
      </c>
    </row>
    <row r="114" spans="2:12" s="1" customFormat="1" ht="26.4">
      <c r="B114" s="22" t="s">
        <v>65</v>
      </c>
      <c r="C114" s="22" t="s">
        <v>43</v>
      </c>
      <c r="D114" s="9" t="s">
        <v>523</v>
      </c>
      <c r="E114" s="16" t="s">
        <v>122</v>
      </c>
      <c r="F114" s="13" t="s">
        <v>126</v>
      </c>
      <c r="G114" s="17" t="s">
        <v>121</v>
      </c>
      <c r="H114" s="18"/>
      <c r="I114" s="19"/>
      <c r="J114" s="19" t="s">
        <v>259</v>
      </c>
      <c r="K114" s="19" t="s">
        <v>132</v>
      </c>
      <c r="L114" s="19" t="s">
        <v>132</v>
      </c>
    </row>
    <row r="115" spans="2:12" s="1" customFormat="1" ht="26.4">
      <c r="B115" s="22" t="s">
        <v>66</v>
      </c>
      <c r="C115" s="22" t="s">
        <v>43</v>
      </c>
      <c r="D115" s="9" t="s">
        <v>524</v>
      </c>
      <c r="E115" s="16" t="s">
        <v>122</v>
      </c>
      <c r="F115" s="13" t="s">
        <v>127</v>
      </c>
      <c r="G115" s="17" t="s">
        <v>121</v>
      </c>
      <c r="H115" s="18"/>
      <c r="I115" s="19"/>
      <c r="J115" s="19" t="s">
        <v>259</v>
      </c>
      <c r="K115" s="19" t="s">
        <v>132</v>
      </c>
      <c r="L115" s="19" t="s">
        <v>132</v>
      </c>
    </row>
    <row r="116" spans="2:12" s="1" customFormat="1">
      <c r="B116" s="22" t="s">
        <v>535</v>
      </c>
      <c r="C116" s="62" t="s">
        <v>2695</v>
      </c>
      <c r="D116" s="9" t="s">
        <v>534</v>
      </c>
      <c r="E116" s="16" t="s">
        <v>128</v>
      </c>
      <c r="F116" s="22"/>
      <c r="G116" s="17" t="s">
        <v>532</v>
      </c>
      <c r="H116" s="18"/>
      <c r="I116" s="88" t="s">
        <v>1382</v>
      </c>
      <c r="J116" s="19" t="s">
        <v>259</v>
      </c>
      <c r="K116" s="19" t="s">
        <v>203</v>
      </c>
      <c r="L116" s="19" t="s">
        <v>630</v>
      </c>
    </row>
    <row r="117" spans="2:12" s="1" customFormat="1">
      <c r="B117" s="22" t="s">
        <v>855</v>
      </c>
      <c r="C117" s="62" t="s">
        <v>45</v>
      </c>
      <c r="D117" s="9" t="s">
        <v>760</v>
      </c>
      <c r="E117" s="16" t="s">
        <v>128</v>
      </c>
      <c r="F117" s="22"/>
      <c r="G117" s="17" t="s">
        <v>761</v>
      </c>
      <c r="H117" s="18"/>
      <c r="I117" s="88" t="s">
        <v>1379</v>
      </c>
      <c r="J117" s="19" t="s">
        <v>259</v>
      </c>
      <c r="K117" s="19" t="s">
        <v>203</v>
      </c>
      <c r="L117" s="19" t="s">
        <v>627</v>
      </c>
    </row>
    <row r="118" spans="2:12" s="1" customFormat="1">
      <c r="B118" s="22" t="s">
        <v>889</v>
      </c>
      <c r="C118" s="62" t="s">
        <v>45</v>
      </c>
      <c r="D118" s="9" t="s">
        <v>503</v>
      </c>
      <c r="E118" s="16" t="s">
        <v>128</v>
      </c>
      <c r="F118" s="22"/>
      <c r="G118" s="17" t="s">
        <v>2674</v>
      </c>
      <c r="H118" s="18"/>
      <c r="I118" s="88" t="s">
        <v>1380</v>
      </c>
      <c r="J118" s="19" t="s">
        <v>259</v>
      </c>
      <c r="K118" s="19" t="s">
        <v>203</v>
      </c>
      <c r="L118" s="19" t="s">
        <v>627</v>
      </c>
    </row>
    <row r="119" spans="2:12" s="1" customFormat="1">
      <c r="B119" s="22" t="s">
        <v>504</v>
      </c>
      <c r="C119" s="62" t="s">
        <v>45</v>
      </c>
      <c r="D119" s="9" t="s">
        <v>517</v>
      </c>
      <c r="E119" s="16" t="s">
        <v>128</v>
      </c>
      <c r="F119" s="22"/>
      <c r="G119" s="17" t="s">
        <v>2676</v>
      </c>
      <c r="H119" s="18"/>
      <c r="I119" s="88" t="s">
        <v>1381</v>
      </c>
      <c r="J119" s="19" t="s">
        <v>259</v>
      </c>
      <c r="K119" s="19" t="s">
        <v>203</v>
      </c>
      <c r="L119" s="19" t="s">
        <v>631</v>
      </c>
    </row>
    <row r="120" spans="2:12" s="1" customFormat="1">
      <c r="B120" s="22" t="s">
        <v>799</v>
      </c>
      <c r="C120" s="62" t="s">
        <v>45</v>
      </c>
      <c r="D120" s="9" t="s">
        <v>506</v>
      </c>
      <c r="E120" s="16" t="s">
        <v>128</v>
      </c>
      <c r="F120" s="22"/>
      <c r="G120" s="17" t="s">
        <v>2678</v>
      </c>
      <c r="H120" s="18"/>
      <c r="I120" s="88" t="s">
        <v>1377</v>
      </c>
      <c r="J120" s="19" t="s">
        <v>259</v>
      </c>
      <c r="K120" s="19" t="s">
        <v>203</v>
      </c>
      <c r="L120" s="19" t="s">
        <v>631</v>
      </c>
    </row>
    <row r="121" spans="2:12" s="1" customFormat="1">
      <c r="B121" s="22" t="s">
        <v>623</v>
      </c>
      <c r="C121" s="62" t="s">
        <v>45</v>
      </c>
      <c r="D121" s="9" t="s">
        <v>536</v>
      </c>
      <c r="E121" s="16" t="s">
        <v>128</v>
      </c>
      <c r="F121" s="22"/>
      <c r="G121" s="17" t="s">
        <v>2679</v>
      </c>
      <c r="H121" s="18"/>
      <c r="I121" s="88" t="s">
        <v>1378</v>
      </c>
      <c r="J121" s="19" t="s">
        <v>259</v>
      </c>
      <c r="K121" s="19" t="s">
        <v>203</v>
      </c>
      <c r="L121" s="19" t="s">
        <v>631</v>
      </c>
    </row>
    <row r="122" spans="2:12" s="1" customFormat="1">
      <c r="B122" s="22" t="s">
        <v>827</v>
      </c>
      <c r="C122" s="62" t="s">
        <v>94</v>
      </c>
      <c r="D122" s="9" t="s">
        <v>625</v>
      </c>
      <c r="E122" s="16" t="s">
        <v>271</v>
      </c>
      <c r="F122" s="22"/>
      <c r="G122" s="17" t="s">
        <v>624</v>
      </c>
      <c r="H122" s="18"/>
      <c r="I122" s="19"/>
      <c r="J122" s="19" t="s">
        <v>259</v>
      </c>
      <c r="K122" s="19" t="s">
        <v>132</v>
      </c>
      <c r="L122" s="19" t="s">
        <v>629</v>
      </c>
    </row>
    <row r="123" spans="2:12" s="1" customFormat="1">
      <c r="B123" s="22" t="s">
        <v>139</v>
      </c>
      <c r="C123" s="62" t="s">
        <v>43</v>
      </c>
      <c r="D123" s="9" t="s">
        <v>637</v>
      </c>
      <c r="E123" s="16" t="s">
        <v>128</v>
      </c>
      <c r="F123" s="22"/>
      <c r="G123" s="17" t="s">
        <v>672</v>
      </c>
      <c r="H123" s="18"/>
      <c r="I123" s="17" t="s">
        <v>130</v>
      </c>
      <c r="J123" s="19" t="s">
        <v>259</v>
      </c>
      <c r="K123" s="19" t="s">
        <v>132</v>
      </c>
      <c r="L123" s="19" t="s">
        <v>673</v>
      </c>
    </row>
    <row r="124" spans="2:12" s="1" customFormat="1">
      <c r="B124" s="22" t="s">
        <v>906</v>
      </c>
      <c r="C124" s="62" t="s">
        <v>43</v>
      </c>
      <c r="D124" s="9" t="s">
        <v>626</v>
      </c>
      <c r="E124" s="16" t="s">
        <v>128</v>
      </c>
      <c r="F124" s="22"/>
      <c r="G124" s="17" t="s">
        <v>1673</v>
      </c>
      <c r="H124" s="18"/>
      <c r="I124" s="19"/>
      <c r="J124" s="19" t="s">
        <v>259</v>
      </c>
      <c r="K124" s="19" t="s">
        <v>132</v>
      </c>
      <c r="L124" s="19" t="s">
        <v>632</v>
      </c>
    </row>
    <row r="125" spans="2:12" s="1" customFormat="1">
      <c r="B125" s="22" t="s">
        <v>1052</v>
      </c>
      <c r="C125" s="62" t="s">
        <v>46</v>
      </c>
      <c r="D125" s="9" t="s">
        <v>508</v>
      </c>
      <c r="E125" s="16" t="s">
        <v>128</v>
      </c>
      <c r="F125" s="22"/>
      <c r="G125" s="17" t="s">
        <v>999</v>
      </c>
      <c r="H125" s="18"/>
      <c r="I125" s="19"/>
      <c r="J125" s="19" t="s">
        <v>259</v>
      </c>
      <c r="K125" s="19" t="s">
        <v>132</v>
      </c>
      <c r="L125" s="19" t="s">
        <v>629</v>
      </c>
    </row>
    <row r="126" spans="2:12" s="1" customFormat="1">
      <c r="B126" s="22" t="s">
        <v>197</v>
      </c>
      <c r="C126" s="62" t="s">
        <v>46</v>
      </c>
      <c r="D126" s="9" t="s">
        <v>515</v>
      </c>
      <c r="E126" s="16" t="s">
        <v>128</v>
      </c>
      <c r="F126" s="22"/>
      <c r="G126" s="17" t="s">
        <v>895</v>
      </c>
      <c r="H126" s="18"/>
      <c r="I126" s="19"/>
      <c r="J126" s="19" t="s">
        <v>259</v>
      </c>
      <c r="K126" s="19" t="s">
        <v>132</v>
      </c>
      <c r="L126" s="19" t="s">
        <v>629</v>
      </c>
    </row>
    <row r="127" spans="2:12" s="1" customFormat="1">
      <c r="B127" s="22" t="s">
        <v>199</v>
      </c>
      <c r="C127" s="62" t="s">
        <v>46</v>
      </c>
      <c r="D127" s="9" t="s">
        <v>516</v>
      </c>
      <c r="E127" s="16" t="s">
        <v>128</v>
      </c>
      <c r="F127" s="22"/>
      <c r="G127" s="17" t="s">
        <v>896</v>
      </c>
      <c r="H127" s="18"/>
      <c r="I127" s="19"/>
      <c r="J127" s="19" t="s">
        <v>259</v>
      </c>
      <c r="K127" s="19" t="s">
        <v>132</v>
      </c>
      <c r="L127" s="19" t="s">
        <v>629</v>
      </c>
    </row>
    <row r="128" spans="2:12" s="1" customFormat="1">
      <c r="B128" s="22"/>
      <c r="C128" s="22"/>
      <c r="D128" s="9"/>
      <c r="E128" s="16"/>
      <c r="F128" s="13"/>
      <c r="G128" s="17"/>
      <c r="H128" s="18"/>
      <c r="I128" s="19"/>
      <c r="J128" s="19"/>
      <c r="K128" s="19"/>
      <c r="L128" s="19"/>
    </row>
    <row r="129" spans="2:12" s="1" customFormat="1">
      <c r="B129" s="22"/>
      <c r="C129" s="22"/>
      <c r="D129" s="9"/>
      <c r="E129" s="16"/>
      <c r="F129" s="13"/>
      <c r="G129" s="17"/>
      <c r="H129" s="18"/>
      <c r="I129" s="19"/>
      <c r="J129" s="19"/>
      <c r="K129" s="19"/>
      <c r="L129" s="19"/>
    </row>
    <row r="130" spans="2:12" s="1" customFormat="1">
      <c r="B130" s="22"/>
      <c r="C130" s="22"/>
      <c r="D130" s="9"/>
      <c r="E130" s="16"/>
      <c r="F130" s="22"/>
      <c r="G130" s="17"/>
      <c r="H130" s="18"/>
      <c r="I130" s="19"/>
      <c r="J130" s="19"/>
      <c r="K130" s="19"/>
      <c r="L130" s="19"/>
    </row>
    <row r="131" spans="2:12" s="1" customFormat="1">
      <c r="B131" s="22"/>
      <c r="C131" s="62"/>
      <c r="D131" s="9"/>
      <c r="E131" s="16"/>
      <c r="F131" s="22"/>
      <c r="G131" s="17"/>
      <c r="H131" s="18"/>
      <c r="I131" s="19"/>
      <c r="J131" s="19"/>
      <c r="K131" s="19"/>
      <c r="L131" s="19"/>
    </row>
    <row r="132" spans="2:12" s="1" customFormat="1">
      <c r="B132" s="22"/>
      <c r="C132" s="62"/>
      <c r="D132" s="9"/>
      <c r="E132" s="16"/>
      <c r="F132" s="22"/>
      <c r="G132" s="17"/>
      <c r="H132" s="18"/>
      <c r="I132" s="19"/>
      <c r="J132" s="19"/>
      <c r="K132" s="19"/>
      <c r="L132" s="19"/>
    </row>
    <row r="133" spans="2:12" s="1" customFormat="1">
      <c r="B133" s="22"/>
      <c r="C133" s="62"/>
      <c r="D133" s="9"/>
      <c r="E133" s="16"/>
      <c r="F133" s="22"/>
      <c r="G133" s="17"/>
      <c r="H133" s="18"/>
      <c r="I133" s="88"/>
      <c r="J133" s="19"/>
      <c r="K133" s="19"/>
      <c r="L133" s="19"/>
    </row>
    <row r="134" spans="2:12" s="1" customFormat="1">
      <c r="B134" s="22"/>
      <c r="C134" s="62"/>
      <c r="D134" s="9"/>
      <c r="E134" s="16"/>
      <c r="F134" s="22"/>
      <c r="G134" s="17"/>
      <c r="H134" s="18"/>
      <c r="I134" s="88"/>
      <c r="J134" s="19"/>
      <c r="K134" s="19"/>
      <c r="L134" s="19"/>
    </row>
    <row r="135" spans="2:12" s="1" customFormat="1">
      <c r="B135" s="22"/>
      <c r="C135" s="62"/>
      <c r="D135" s="9"/>
      <c r="E135" s="16"/>
      <c r="F135" s="22"/>
      <c r="G135" s="17"/>
      <c r="H135" s="18"/>
      <c r="I135" s="88"/>
      <c r="J135" s="19"/>
      <c r="K135" s="19"/>
      <c r="L135" s="19"/>
    </row>
    <row r="136" spans="2:12" s="1" customFormat="1">
      <c r="B136" s="22"/>
      <c r="C136" s="62"/>
      <c r="D136" s="9"/>
      <c r="E136" s="16"/>
      <c r="F136" s="22"/>
      <c r="G136" s="17"/>
      <c r="H136" s="18"/>
      <c r="I136" s="88"/>
      <c r="J136" s="19"/>
      <c r="K136" s="19"/>
      <c r="L136" s="19"/>
    </row>
    <row r="137" spans="2:12" s="1" customFormat="1">
      <c r="B137" s="22"/>
      <c r="C137" s="62"/>
      <c r="D137" s="9"/>
      <c r="E137" s="16"/>
      <c r="F137" s="22"/>
      <c r="G137" s="17"/>
      <c r="H137" s="18"/>
      <c r="I137" s="88"/>
      <c r="J137" s="19"/>
      <c r="K137" s="19"/>
      <c r="L137" s="19"/>
    </row>
    <row r="138" spans="2:12" s="1" customFormat="1">
      <c r="B138" s="22"/>
      <c r="C138" s="62"/>
      <c r="D138" s="9"/>
      <c r="E138" s="16"/>
      <c r="F138" s="22"/>
      <c r="G138" s="17"/>
      <c r="H138" s="18"/>
      <c r="I138" s="88"/>
      <c r="J138" s="19"/>
      <c r="K138" s="19"/>
      <c r="L138" s="19"/>
    </row>
    <row r="139" spans="2:12" s="1" customFormat="1">
      <c r="B139" s="22"/>
      <c r="C139" s="62"/>
      <c r="D139" s="9"/>
      <c r="E139" s="16"/>
      <c r="F139" s="22"/>
      <c r="G139" s="17"/>
      <c r="H139" s="18"/>
      <c r="I139" s="19"/>
      <c r="J139" s="19"/>
      <c r="K139" s="19"/>
      <c r="L139" s="19"/>
    </row>
    <row r="140" spans="2:12" s="1" customFormat="1">
      <c r="B140" s="22"/>
      <c r="C140" s="62"/>
      <c r="D140" s="9"/>
      <c r="E140" s="16"/>
      <c r="F140" s="22"/>
      <c r="G140" s="17"/>
      <c r="H140" s="18"/>
      <c r="I140" s="17"/>
      <c r="J140" s="19"/>
      <c r="K140" s="19"/>
      <c r="L140" s="19"/>
    </row>
    <row r="141" spans="2:12" s="1" customFormat="1">
      <c r="B141" s="22"/>
      <c r="C141" s="62"/>
      <c r="D141" s="9"/>
      <c r="E141" s="16"/>
      <c r="F141" s="22"/>
      <c r="G141" s="17"/>
      <c r="H141" s="18"/>
      <c r="I141" s="19"/>
      <c r="J141" s="19"/>
      <c r="K141" s="19"/>
      <c r="L141" s="19"/>
    </row>
    <row r="142" spans="2:12" s="1" customFormat="1">
      <c r="B142" s="22"/>
      <c r="C142" s="62"/>
      <c r="D142" s="9"/>
      <c r="E142" s="16"/>
      <c r="F142" s="22"/>
      <c r="G142" s="17"/>
      <c r="H142" s="18"/>
      <c r="I142" s="19"/>
      <c r="J142" s="19"/>
      <c r="K142" s="19"/>
      <c r="L142" s="19"/>
    </row>
    <row r="143" spans="2:12" s="1" customFormat="1">
      <c r="B143" s="22"/>
      <c r="C143" s="62"/>
      <c r="D143" s="9"/>
      <c r="E143" s="16"/>
      <c r="F143" s="22"/>
      <c r="G143" s="17"/>
      <c r="H143" s="18"/>
      <c r="I143" s="19"/>
      <c r="J143" s="19"/>
      <c r="K143" s="19"/>
      <c r="L143" s="19"/>
    </row>
    <row r="144" spans="2:12" s="1" customFormat="1">
      <c r="B144" s="22"/>
      <c r="C144" s="62"/>
      <c r="D144" s="9"/>
      <c r="E144" s="16"/>
      <c r="F144" s="22"/>
      <c r="G144" s="17"/>
      <c r="H144" s="18"/>
      <c r="I144" s="19"/>
      <c r="J144" s="19"/>
      <c r="K144" s="19"/>
      <c r="L144" s="19"/>
    </row>
    <row r="145" spans="2:14" s="1" customFormat="1">
      <c r="B145" s="22"/>
      <c r="C145" s="62"/>
      <c r="D145" s="9"/>
      <c r="E145" s="16"/>
      <c r="F145" s="9"/>
      <c r="G145" s="17"/>
      <c r="H145" s="18"/>
      <c r="I145" s="19"/>
      <c r="J145" s="19"/>
      <c r="K145" s="19"/>
      <c r="L145" s="19"/>
    </row>
    <row r="146" spans="2:14" s="1" customFormat="1">
      <c r="B146" s="22"/>
      <c r="C146" s="62"/>
      <c r="D146" s="9"/>
      <c r="E146" s="16"/>
      <c r="F146" s="9"/>
      <c r="G146" s="17"/>
      <c r="H146" s="18"/>
      <c r="I146" s="19"/>
      <c r="J146" s="19"/>
      <c r="K146" s="19"/>
      <c r="L146" s="19"/>
    </row>
    <row r="147" spans="2:14" s="1" customFormat="1">
      <c r="B147" s="22"/>
      <c r="C147" s="62"/>
      <c r="D147" s="9"/>
      <c r="E147" s="16"/>
      <c r="F147" s="17"/>
      <c r="G147" s="17"/>
      <c r="H147" s="18"/>
      <c r="I147" s="19"/>
      <c r="J147" s="19"/>
      <c r="K147" s="19"/>
      <c r="L147" s="19"/>
    </row>
    <row r="148" spans="2:14" s="3" customFormat="1">
      <c r="B148" s="23" t="s">
        <v>47</v>
      </c>
      <c r="C148" s="24" t="s">
        <v>46</v>
      </c>
      <c r="D148" s="21" t="s">
        <v>48</v>
      </c>
      <c r="E148" s="44"/>
      <c r="F148" s="44"/>
      <c r="G148" s="44"/>
      <c r="H148" s="23"/>
      <c r="I148" s="23"/>
      <c r="J148" s="23"/>
      <c r="K148" s="23"/>
      <c r="L148" s="23"/>
      <c r="M148" s="23"/>
      <c r="N148" s="23"/>
    </row>
    <row r="149" spans="2:14" s="3" customFormat="1">
      <c r="B149" s="23" t="s">
        <v>49</v>
      </c>
      <c r="C149" s="24" t="s">
        <v>43</v>
      </c>
      <c r="D149" s="21" t="s">
        <v>50</v>
      </c>
      <c r="E149" s="44"/>
      <c r="F149" s="44"/>
      <c r="G149" s="44"/>
      <c r="H149" s="23"/>
      <c r="I149" s="23"/>
      <c r="J149" s="23"/>
      <c r="K149" s="23"/>
      <c r="L149" s="23"/>
      <c r="M149" s="23"/>
      <c r="N149" s="23"/>
    </row>
    <row r="150" spans="2:14" s="3" customFormat="1">
      <c r="B150" s="23" t="s">
        <v>51</v>
      </c>
      <c r="C150" s="24" t="s">
        <v>46</v>
      </c>
      <c r="D150" s="21" t="s">
        <v>52</v>
      </c>
      <c r="E150" s="44"/>
      <c r="F150" s="44"/>
      <c r="G150" s="44"/>
      <c r="H150" s="23"/>
      <c r="I150" s="23"/>
      <c r="J150" s="23"/>
      <c r="K150" s="23"/>
      <c r="L150" s="23"/>
      <c r="M150" s="23"/>
      <c r="N150" s="23"/>
    </row>
    <row r="151" spans="2:14" s="3" customFormat="1">
      <c r="B151" s="23" t="s">
        <v>120</v>
      </c>
      <c r="C151" s="24" t="s">
        <v>46</v>
      </c>
      <c r="D151" s="21" t="s">
        <v>270</v>
      </c>
      <c r="E151" s="44"/>
      <c r="F151" s="44"/>
      <c r="G151" s="44"/>
      <c r="H151" s="23"/>
      <c r="I151" s="23"/>
      <c r="J151" s="23"/>
      <c r="K151" s="23"/>
      <c r="L151" s="23"/>
      <c r="M151" s="23"/>
      <c r="N151" s="23"/>
    </row>
  </sheetData>
  <autoFilter ref="A17:N150" xr:uid="{00000000-0009-0000-0000-00000B000000}"/>
  <mergeCells count="4">
    <mergeCell ref="B2:H2"/>
    <mergeCell ref="B3:H3"/>
    <mergeCell ref="B7:H7"/>
    <mergeCell ref="B16:L16"/>
  </mergeCells>
  <phoneticPr fontId="16" type="noConversion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9AEB-F056-4113-9026-27C04F052E7B}">
  <dimension ref="A1:Q120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9" t="s">
        <v>2680</v>
      </c>
      <c r="D5" s="10" t="s">
        <v>2681</v>
      </c>
      <c r="E5" s="11" t="s">
        <v>24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2655</v>
      </c>
      <c r="D9" s="10" t="s">
        <v>2656</v>
      </c>
      <c r="E9" s="11" t="s">
        <v>55</v>
      </c>
      <c r="F9" s="17"/>
      <c r="G9" s="17"/>
      <c r="H9" s="14" t="s">
        <v>17</v>
      </c>
    </row>
    <row r="11" spans="2:14">
      <c r="B11" s="4" t="s">
        <v>32</v>
      </c>
    </row>
    <row r="12" spans="2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2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2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2:14" s="1" customFormat="1">
      <c r="B16" s="22" t="s">
        <v>92</v>
      </c>
      <c r="C16" s="22" t="s">
        <v>94</v>
      </c>
      <c r="D16" s="9" t="s">
        <v>98</v>
      </c>
      <c r="E16" s="16" t="s">
        <v>128</v>
      </c>
      <c r="F16" s="17" t="s">
        <v>120</v>
      </c>
      <c r="G16" s="17" t="s">
        <v>129</v>
      </c>
      <c r="H16" s="18"/>
      <c r="I16" s="19"/>
      <c r="J16" s="19" t="s">
        <v>131</v>
      </c>
      <c r="K16" s="19" t="s">
        <v>132</v>
      </c>
      <c r="L16" s="19" t="s">
        <v>676</v>
      </c>
    </row>
    <row r="17" spans="1:12" s="1" customFormat="1">
      <c r="A17" s="15"/>
      <c r="B17" s="22" t="s">
        <v>77</v>
      </c>
      <c r="C17" s="22" t="s">
        <v>94</v>
      </c>
      <c r="D17" s="9" t="s">
        <v>113</v>
      </c>
      <c r="E17" s="16" t="s">
        <v>128</v>
      </c>
      <c r="F17" s="17" t="s">
        <v>77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677</v>
      </c>
    </row>
    <row r="18" spans="1:12" s="1" customFormat="1">
      <c r="A18" s="15"/>
      <c r="B18" s="22" t="s">
        <v>80</v>
      </c>
      <c r="C18" s="22" t="s">
        <v>94</v>
      </c>
      <c r="D18" s="9" t="s">
        <v>99</v>
      </c>
      <c r="E18" s="16" t="s">
        <v>128</v>
      </c>
      <c r="F18" s="17" t="s">
        <v>80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678</v>
      </c>
    </row>
    <row r="19" spans="1:12" s="1" customFormat="1">
      <c r="A19" s="15"/>
      <c r="B19" s="22" t="s">
        <v>136</v>
      </c>
      <c r="C19" s="22" t="s">
        <v>94</v>
      </c>
      <c r="D19" s="9" t="s">
        <v>137</v>
      </c>
      <c r="E19" s="16" t="s">
        <v>128</v>
      </c>
      <c r="F19" s="17" t="s">
        <v>138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22" t="s">
        <v>61</v>
      </c>
      <c r="C20" s="22" t="s">
        <v>94</v>
      </c>
      <c r="D20" s="9" t="s">
        <v>100</v>
      </c>
      <c r="E20" s="16" t="s">
        <v>128</v>
      </c>
      <c r="F20" s="9" t="s">
        <v>123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679</v>
      </c>
    </row>
    <row r="21" spans="1:12" s="1" customFormat="1">
      <c r="A21" s="15"/>
      <c r="B21" s="11" t="s">
        <v>62</v>
      </c>
      <c r="C21" s="22" t="s">
        <v>94</v>
      </c>
      <c r="D21" s="9" t="s">
        <v>101</v>
      </c>
      <c r="E21" s="16" t="s">
        <v>128</v>
      </c>
      <c r="F21" s="9" t="s">
        <v>124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679</v>
      </c>
    </row>
    <row r="22" spans="1:12" s="1" customFormat="1">
      <c r="A22" s="15"/>
      <c r="B22" s="11" t="s">
        <v>64</v>
      </c>
      <c r="C22" s="22" t="s">
        <v>93</v>
      </c>
      <c r="D22" s="9" t="s">
        <v>63</v>
      </c>
      <c r="E22" s="16" t="s">
        <v>128</v>
      </c>
      <c r="F22" s="9" t="s">
        <v>318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65</v>
      </c>
      <c r="C23" s="22" t="s">
        <v>93</v>
      </c>
      <c r="D23" s="9" t="s">
        <v>102</v>
      </c>
      <c r="E23" s="16" t="s">
        <v>128</v>
      </c>
      <c r="F23" s="9" t="s">
        <v>273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66</v>
      </c>
      <c r="C24" s="22" t="s">
        <v>93</v>
      </c>
      <c r="D24" s="9" t="s">
        <v>68</v>
      </c>
      <c r="E24" s="16" t="s">
        <v>128</v>
      </c>
      <c r="F24" s="9" t="s">
        <v>272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95</v>
      </c>
      <c r="C25" s="11" t="s">
        <v>93</v>
      </c>
      <c r="D25" s="9" t="s">
        <v>114</v>
      </c>
      <c r="E25" s="16" t="s">
        <v>128</v>
      </c>
      <c r="F25" s="9" t="s">
        <v>95</v>
      </c>
      <c r="G25" s="17" t="s">
        <v>129</v>
      </c>
      <c r="H25" s="18"/>
      <c r="I25" s="35"/>
      <c r="J25" s="19" t="s">
        <v>131</v>
      </c>
      <c r="K25" s="19" t="s">
        <v>132</v>
      </c>
      <c r="L25" s="19" t="s">
        <v>44</v>
      </c>
    </row>
    <row r="26" spans="1:12" s="1" customFormat="1">
      <c r="A26" s="15"/>
      <c r="B26" s="11" t="s">
        <v>78</v>
      </c>
      <c r="C26" s="11" t="s">
        <v>93</v>
      </c>
      <c r="D26" s="9" t="s">
        <v>103</v>
      </c>
      <c r="E26" s="16" t="s">
        <v>128</v>
      </c>
      <c r="F26" s="17" t="s">
        <v>78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44</v>
      </c>
    </row>
    <row r="27" spans="1:12" s="1" customFormat="1">
      <c r="A27" s="15"/>
      <c r="B27" s="11" t="s">
        <v>81</v>
      </c>
      <c r="C27" s="11" t="s">
        <v>43</v>
      </c>
      <c r="D27" s="9" t="s">
        <v>57</v>
      </c>
      <c r="E27" s="16" t="s">
        <v>128</v>
      </c>
      <c r="F27" s="17" t="s">
        <v>81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2" s="1" customFormat="1">
      <c r="A28" s="15"/>
      <c r="B28" s="11" t="s">
        <v>58</v>
      </c>
      <c r="C28" s="11" t="s">
        <v>43</v>
      </c>
      <c r="D28" s="9" t="s">
        <v>59</v>
      </c>
      <c r="E28" s="16" t="s">
        <v>128</v>
      </c>
      <c r="F28" s="9" t="s">
        <v>58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2" s="1" customFormat="1">
      <c r="A29" s="15"/>
      <c r="B29" s="11" t="s">
        <v>82</v>
      </c>
      <c r="C29" s="11" t="s">
        <v>43</v>
      </c>
      <c r="D29" s="9" t="s">
        <v>105</v>
      </c>
      <c r="E29" s="16" t="s">
        <v>128</v>
      </c>
      <c r="F29" s="17" t="s">
        <v>82</v>
      </c>
      <c r="G29" s="17" t="s">
        <v>129</v>
      </c>
      <c r="H29" s="18"/>
      <c r="I29" s="20"/>
      <c r="J29" s="19" t="s">
        <v>131</v>
      </c>
      <c r="K29" s="19" t="s">
        <v>132</v>
      </c>
      <c r="L29" s="19" t="s">
        <v>44</v>
      </c>
    </row>
    <row r="30" spans="1:12" s="1" customFormat="1">
      <c r="A30" s="15"/>
      <c r="B30" s="11" t="s">
        <v>83</v>
      </c>
      <c r="C30" s="11" t="s">
        <v>43</v>
      </c>
      <c r="D30" s="9" t="s">
        <v>135</v>
      </c>
      <c r="E30" s="16" t="s">
        <v>128</v>
      </c>
      <c r="F30" s="17" t="s">
        <v>83</v>
      </c>
      <c r="G30" s="17" t="s">
        <v>129</v>
      </c>
      <c r="H30" s="18"/>
      <c r="I30" s="20"/>
      <c r="J30" s="19" t="s">
        <v>131</v>
      </c>
      <c r="K30" s="19" t="s">
        <v>132</v>
      </c>
      <c r="L30" s="19" t="s">
        <v>44</v>
      </c>
    </row>
    <row r="31" spans="1:12" s="1" customFormat="1">
      <c r="A31" s="15"/>
      <c r="B31" s="22" t="s">
        <v>195</v>
      </c>
      <c r="C31" s="11" t="s">
        <v>43</v>
      </c>
      <c r="D31" s="9" t="s">
        <v>106</v>
      </c>
      <c r="E31" s="16" t="s">
        <v>128</v>
      </c>
      <c r="F31" s="17" t="s">
        <v>84</v>
      </c>
      <c r="G31" s="17" t="s">
        <v>129</v>
      </c>
      <c r="H31" s="18"/>
      <c r="I31" s="20"/>
      <c r="J31" s="19" t="s">
        <v>131</v>
      </c>
      <c r="K31" s="19" t="s">
        <v>132</v>
      </c>
      <c r="L31" s="19" t="s">
        <v>44</v>
      </c>
    </row>
    <row r="32" spans="1:12" s="1" customFormat="1">
      <c r="B32" s="22" t="s">
        <v>85</v>
      </c>
      <c r="C32" s="11" t="s">
        <v>43</v>
      </c>
      <c r="D32" s="9" t="s">
        <v>107</v>
      </c>
      <c r="E32" s="16" t="s">
        <v>128</v>
      </c>
      <c r="F32" s="17" t="s">
        <v>85</v>
      </c>
      <c r="G32" s="17" t="s">
        <v>129</v>
      </c>
      <c r="H32" s="18"/>
      <c r="I32" s="19"/>
      <c r="J32" s="19" t="s">
        <v>131</v>
      </c>
      <c r="K32" s="19" t="s">
        <v>132</v>
      </c>
      <c r="L32" s="19" t="s">
        <v>44</v>
      </c>
    </row>
    <row r="33" spans="1:13" s="1" customFormat="1">
      <c r="B33" s="22" t="s">
        <v>507</v>
      </c>
      <c r="C33" s="62" t="s">
        <v>43</v>
      </c>
      <c r="D33" s="9" t="s">
        <v>626</v>
      </c>
      <c r="E33" s="16" t="s">
        <v>128</v>
      </c>
      <c r="F33" s="9" t="s">
        <v>507</v>
      </c>
      <c r="G33" s="17" t="s">
        <v>129</v>
      </c>
      <c r="H33" s="18"/>
      <c r="I33" s="19"/>
      <c r="J33" s="19" t="s">
        <v>131</v>
      </c>
      <c r="K33" s="19" t="s">
        <v>132</v>
      </c>
      <c r="L33" s="19" t="s">
        <v>632</v>
      </c>
    </row>
    <row r="34" spans="1:13" s="1" customFormat="1">
      <c r="B34" s="22" t="s">
        <v>86</v>
      </c>
      <c r="C34" s="11" t="s">
        <v>43</v>
      </c>
      <c r="D34" s="9" t="s">
        <v>108</v>
      </c>
      <c r="E34" s="16" t="s">
        <v>128</v>
      </c>
      <c r="F34" s="17" t="s">
        <v>86</v>
      </c>
      <c r="G34" s="17" t="s">
        <v>129</v>
      </c>
      <c r="H34" s="18"/>
      <c r="I34" s="19"/>
      <c r="J34" s="19" t="s">
        <v>131</v>
      </c>
      <c r="K34" s="19" t="s">
        <v>132</v>
      </c>
      <c r="L34" s="19" t="s">
        <v>44</v>
      </c>
    </row>
    <row r="35" spans="1:13" s="15" customFormat="1">
      <c r="B35" s="22" t="s">
        <v>87</v>
      </c>
      <c r="C35" s="11" t="s">
        <v>43</v>
      </c>
      <c r="D35" s="9" t="s">
        <v>109</v>
      </c>
      <c r="E35" s="16" t="s">
        <v>128</v>
      </c>
      <c r="F35" s="17" t="s">
        <v>87</v>
      </c>
      <c r="G35" s="17" t="s">
        <v>129</v>
      </c>
      <c r="H35" s="18"/>
      <c r="I35" s="20"/>
      <c r="J35" s="19" t="s">
        <v>131</v>
      </c>
      <c r="K35" s="19" t="s">
        <v>132</v>
      </c>
      <c r="L35" s="19" t="s">
        <v>679</v>
      </c>
      <c r="M35" s="1"/>
    </row>
    <row r="36" spans="1:13" s="15" customFormat="1">
      <c r="B36" s="22" t="s">
        <v>88</v>
      </c>
      <c r="C36" s="11" t="s">
        <v>43</v>
      </c>
      <c r="D36" s="9" t="s">
        <v>110</v>
      </c>
      <c r="E36" s="16" t="s">
        <v>128</v>
      </c>
      <c r="F36" s="17" t="s">
        <v>88</v>
      </c>
      <c r="G36" s="17" t="s">
        <v>129</v>
      </c>
      <c r="H36" s="18"/>
      <c r="I36" s="20"/>
      <c r="J36" s="19" t="s">
        <v>131</v>
      </c>
      <c r="K36" s="19" t="s">
        <v>132</v>
      </c>
      <c r="L36" s="19" t="s">
        <v>44</v>
      </c>
      <c r="M36" s="1"/>
    </row>
    <row r="37" spans="1:13" s="68" customFormat="1">
      <c r="A37" s="65"/>
      <c r="B37" s="66" t="s">
        <v>89</v>
      </c>
      <c r="C37" s="11" t="s">
        <v>43</v>
      </c>
      <c r="D37" s="9" t="s">
        <v>111</v>
      </c>
      <c r="E37" s="16" t="s">
        <v>128</v>
      </c>
      <c r="F37" s="17" t="s">
        <v>89</v>
      </c>
      <c r="G37" s="17" t="s">
        <v>129</v>
      </c>
      <c r="H37" s="18"/>
      <c r="I37" s="67"/>
      <c r="J37" s="19" t="s">
        <v>131</v>
      </c>
      <c r="K37" s="19" t="s">
        <v>132</v>
      </c>
      <c r="L37" s="19" t="s">
        <v>44</v>
      </c>
      <c r="M37" s="1"/>
    </row>
    <row r="38" spans="1:13" s="68" customFormat="1">
      <c r="A38" s="65"/>
      <c r="B38" s="66" t="s">
        <v>117</v>
      </c>
      <c r="C38" s="11" t="s">
        <v>46</v>
      </c>
      <c r="D38" s="9" t="s">
        <v>143</v>
      </c>
      <c r="E38" s="16" t="s">
        <v>128</v>
      </c>
      <c r="F38" s="17" t="s">
        <v>117</v>
      </c>
      <c r="G38" s="17" t="s">
        <v>129</v>
      </c>
      <c r="H38" s="18"/>
      <c r="I38" s="67"/>
      <c r="J38" s="19" t="s">
        <v>131</v>
      </c>
      <c r="K38" s="19" t="s">
        <v>132</v>
      </c>
      <c r="L38" s="19" t="s">
        <v>680</v>
      </c>
      <c r="M38" s="1"/>
    </row>
    <row r="39" spans="1:13" s="68" customFormat="1">
      <c r="A39" s="65"/>
      <c r="B39" s="66" t="s">
        <v>142</v>
      </c>
      <c r="C39" s="11" t="s">
        <v>46</v>
      </c>
      <c r="D39" s="9" t="s">
        <v>144</v>
      </c>
      <c r="E39" s="16" t="s">
        <v>128</v>
      </c>
      <c r="F39" s="13" t="s">
        <v>142</v>
      </c>
      <c r="G39" s="17" t="s">
        <v>129</v>
      </c>
      <c r="H39" s="18"/>
      <c r="I39" s="67"/>
      <c r="J39" s="19" t="s">
        <v>131</v>
      </c>
      <c r="K39" s="19" t="s">
        <v>132</v>
      </c>
      <c r="L39" s="19" t="s">
        <v>44</v>
      </c>
      <c r="M39" s="1"/>
    </row>
    <row r="40" spans="1:13" s="1" customFormat="1">
      <c r="A40" s="15"/>
      <c r="B40" s="11" t="s">
        <v>139</v>
      </c>
      <c r="C40" s="11" t="s">
        <v>43</v>
      </c>
      <c r="D40" s="9" t="s">
        <v>115</v>
      </c>
      <c r="E40" s="16" t="s">
        <v>128</v>
      </c>
      <c r="F40" s="17" t="s">
        <v>139</v>
      </c>
      <c r="G40" s="17" t="s">
        <v>129</v>
      </c>
      <c r="H40" s="18"/>
      <c r="I40" s="17"/>
      <c r="J40" s="19" t="s">
        <v>131</v>
      </c>
      <c r="K40" s="19" t="s">
        <v>132</v>
      </c>
      <c r="L40" s="19" t="s">
        <v>44</v>
      </c>
    </row>
    <row r="41" spans="1:13" s="1" customFormat="1">
      <c r="A41" s="15"/>
      <c r="B41" s="11" t="s">
        <v>197</v>
      </c>
      <c r="C41" s="11" t="s">
        <v>94</v>
      </c>
      <c r="D41" s="9" t="s">
        <v>198</v>
      </c>
      <c r="E41" s="16" t="s">
        <v>128</v>
      </c>
      <c r="F41" s="17" t="s">
        <v>197</v>
      </c>
      <c r="G41" s="17" t="s">
        <v>129</v>
      </c>
      <c r="H41" s="18"/>
      <c r="I41" s="17"/>
      <c r="J41" s="19" t="s">
        <v>131</v>
      </c>
      <c r="K41" s="19" t="s">
        <v>132</v>
      </c>
      <c r="L41" s="19" t="s">
        <v>281</v>
      </c>
    </row>
    <row r="42" spans="1:13" s="1" customFormat="1">
      <c r="A42" s="15"/>
      <c r="B42" s="11" t="s">
        <v>200</v>
      </c>
      <c r="C42" s="11" t="s">
        <v>94</v>
      </c>
      <c r="D42" s="9" t="s">
        <v>201</v>
      </c>
      <c r="E42" s="16" t="s">
        <v>128</v>
      </c>
      <c r="F42" s="17" t="s">
        <v>200</v>
      </c>
      <c r="G42" s="17" t="s">
        <v>129</v>
      </c>
      <c r="H42" s="18"/>
      <c r="I42" s="17"/>
      <c r="J42" s="19" t="s">
        <v>131</v>
      </c>
      <c r="K42" s="19" t="s">
        <v>132</v>
      </c>
      <c r="L42" s="19" t="s">
        <v>281</v>
      </c>
    </row>
    <row r="43" spans="1:13" s="1" customFormat="1">
      <c r="A43" s="15"/>
      <c r="B43" s="11" t="s">
        <v>3232</v>
      </c>
      <c r="C43" s="11" t="s">
        <v>45</v>
      </c>
      <c r="D43" s="9" t="s">
        <v>146</v>
      </c>
      <c r="E43" s="16" t="s">
        <v>128</v>
      </c>
      <c r="F43" s="17"/>
      <c r="G43" s="17" t="s">
        <v>1053</v>
      </c>
      <c r="H43" s="18"/>
      <c r="I43" s="17"/>
      <c r="J43" s="19" t="s">
        <v>133</v>
      </c>
      <c r="K43" s="19" t="s">
        <v>132</v>
      </c>
      <c r="L43" s="19" t="s">
        <v>134</v>
      </c>
    </row>
    <row r="44" spans="1:13" s="1" customFormat="1">
      <c r="A44" s="15"/>
      <c r="B44" s="11" t="s">
        <v>189</v>
      </c>
      <c r="C44" s="11" t="s">
        <v>45</v>
      </c>
      <c r="D44" s="9" t="s">
        <v>190</v>
      </c>
      <c r="E44" s="16" t="s">
        <v>128</v>
      </c>
      <c r="F44" s="17"/>
      <c r="G44" s="17" t="s">
        <v>188</v>
      </c>
      <c r="H44" s="18"/>
      <c r="I44" s="17"/>
      <c r="J44" s="19" t="s">
        <v>133</v>
      </c>
      <c r="K44" s="19" t="s">
        <v>132</v>
      </c>
      <c r="L44" s="19" t="s">
        <v>134</v>
      </c>
    </row>
    <row r="45" spans="1:13" s="1" customFormat="1">
      <c r="A45" s="15"/>
      <c r="B45" s="11" t="s">
        <v>192</v>
      </c>
      <c r="C45" s="11" t="s">
        <v>45</v>
      </c>
      <c r="D45" s="9" t="s">
        <v>193</v>
      </c>
      <c r="E45" s="16" t="s">
        <v>128</v>
      </c>
      <c r="F45" s="17"/>
      <c r="G45" s="17" t="s">
        <v>194</v>
      </c>
      <c r="H45" s="18"/>
      <c r="I45" s="17"/>
      <c r="J45" s="19" t="s">
        <v>133</v>
      </c>
      <c r="K45" s="19" t="s">
        <v>132</v>
      </c>
      <c r="L45" s="19" t="s">
        <v>134</v>
      </c>
    </row>
    <row r="46" spans="1:13" s="1" customFormat="1">
      <c r="A46" s="15"/>
      <c r="B46" s="22" t="s">
        <v>255</v>
      </c>
      <c r="C46" s="22" t="s">
        <v>45</v>
      </c>
      <c r="D46" s="9" t="s">
        <v>348</v>
      </c>
      <c r="E46" s="16" t="s">
        <v>128</v>
      </c>
      <c r="F46" s="17"/>
      <c r="G46" s="17" t="s">
        <v>257</v>
      </c>
      <c r="H46" s="18"/>
      <c r="I46" s="17"/>
      <c r="J46" s="19" t="s">
        <v>133</v>
      </c>
      <c r="K46" s="19" t="s">
        <v>203</v>
      </c>
      <c r="L46" s="19" t="s">
        <v>134</v>
      </c>
    </row>
    <row r="47" spans="1:13" s="1" customFormat="1">
      <c r="A47" s="15"/>
      <c r="B47" s="11" t="s">
        <v>207</v>
      </c>
      <c r="C47" s="11" t="s">
        <v>45</v>
      </c>
      <c r="D47" s="9" t="s">
        <v>759</v>
      </c>
      <c r="E47" s="16" t="s">
        <v>128</v>
      </c>
      <c r="F47" s="72"/>
      <c r="G47" s="17" t="s">
        <v>320</v>
      </c>
      <c r="H47" s="18"/>
      <c r="I47" s="17"/>
      <c r="J47" s="19" t="s">
        <v>133</v>
      </c>
      <c r="K47" s="19" t="s">
        <v>204</v>
      </c>
      <c r="L47" s="19" t="s">
        <v>134</v>
      </c>
    </row>
    <row r="48" spans="1:13" s="1" customFormat="1">
      <c r="A48" s="15"/>
      <c r="B48" s="11" t="s">
        <v>208</v>
      </c>
      <c r="C48" s="11" t="s">
        <v>45</v>
      </c>
      <c r="D48" s="9" t="s">
        <v>160</v>
      </c>
      <c r="E48" s="16" t="s">
        <v>128</v>
      </c>
      <c r="F48" s="72"/>
      <c r="G48" s="17" t="s">
        <v>319</v>
      </c>
      <c r="H48" s="18"/>
      <c r="I48" s="17"/>
      <c r="J48" s="19" t="s">
        <v>133</v>
      </c>
      <c r="K48" s="19" t="s">
        <v>204</v>
      </c>
      <c r="L48" s="19" t="s">
        <v>134</v>
      </c>
    </row>
    <row r="49" spans="1:12" s="1" customFormat="1">
      <c r="A49" s="15"/>
      <c r="B49" s="11" t="s">
        <v>763</v>
      </c>
      <c r="C49" s="11" t="s">
        <v>45</v>
      </c>
      <c r="D49" s="9" t="s">
        <v>181</v>
      </c>
      <c r="E49" s="16" t="s">
        <v>128</v>
      </c>
      <c r="F49" s="72"/>
      <c r="G49" s="9" t="s">
        <v>764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803</v>
      </c>
      <c r="C50" s="11" t="s">
        <v>45</v>
      </c>
      <c r="D50" s="9" t="s">
        <v>183</v>
      </c>
      <c r="E50" s="16" t="s">
        <v>128</v>
      </c>
      <c r="F50" s="72"/>
      <c r="G50" s="17" t="s">
        <v>773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804</v>
      </c>
      <c r="C51" s="11" t="s">
        <v>45</v>
      </c>
      <c r="D51" s="9" t="s">
        <v>182</v>
      </c>
      <c r="E51" s="16" t="s">
        <v>128</v>
      </c>
      <c r="F51" s="72"/>
      <c r="G51" s="17" t="s">
        <v>774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805</v>
      </c>
      <c r="C52" s="11" t="s">
        <v>45</v>
      </c>
      <c r="D52" s="9" t="s">
        <v>184</v>
      </c>
      <c r="E52" s="16" t="s">
        <v>128</v>
      </c>
      <c r="F52" s="72"/>
      <c r="G52" s="17" t="s">
        <v>765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806</v>
      </c>
      <c r="C53" s="11" t="s">
        <v>45</v>
      </c>
      <c r="D53" s="9" t="s">
        <v>186</v>
      </c>
      <c r="E53" s="16" t="s">
        <v>128</v>
      </c>
      <c r="F53" s="72"/>
      <c r="G53" s="17" t="s">
        <v>775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807</v>
      </c>
      <c r="C54" s="11" t="s">
        <v>45</v>
      </c>
      <c r="D54" s="9" t="s">
        <v>185</v>
      </c>
      <c r="E54" s="16" t="s">
        <v>128</v>
      </c>
      <c r="F54" s="72"/>
      <c r="G54" s="9" t="s">
        <v>776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808</v>
      </c>
      <c r="C55" s="11" t="s">
        <v>45</v>
      </c>
      <c r="D55" s="9" t="s">
        <v>187</v>
      </c>
      <c r="E55" s="16" t="s">
        <v>128</v>
      </c>
      <c r="F55" s="72"/>
      <c r="G55" s="9" t="s">
        <v>777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210</v>
      </c>
      <c r="C56" s="11" t="s">
        <v>45</v>
      </c>
      <c r="D56" s="9" t="s">
        <v>1056</v>
      </c>
      <c r="E56" s="16" t="s">
        <v>128</v>
      </c>
      <c r="F56" s="72"/>
      <c r="G56" s="17" t="s">
        <v>224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209</v>
      </c>
      <c r="C57" s="11" t="s">
        <v>45</v>
      </c>
      <c r="D57" s="9" t="s">
        <v>1055</v>
      </c>
      <c r="E57" s="16" t="s">
        <v>128</v>
      </c>
      <c r="F57" s="72"/>
      <c r="G57" s="17" t="s">
        <v>223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211</v>
      </c>
      <c r="C58" s="11" t="s">
        <v>45</v>
      </c>
      <c r="D58" s="9" t="s">
        <v>163</v>
      </c>
      <c r="E58" s="16" t="s">
        <v>128</v>
      </c>
      <c r="F58" s="72"/>
      <c r="G58" s="17" t="s">
        <v>225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212</v>
      </c>
      <c r="C59" s="11" t="s">
        <v>45</v>
      </c>
      <c r="D59" s="9" t="s">
        <v>164</v>
      </c>
      <c r="E59" s="16" t="s">
        <v>128</v>
      </c>
      <c r="F59" s="72"/>
      <c r="G59" s="17" t="s">
        <v>226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213</v>
      </c>
      <c r="C60" s="11" t="s">
        <v>45</v>
      </c>
      <c r="D60" s="9" t="s">
        <v>165</v>
      </c>
      <c r="E60" s="16" t="s">
        <v>128</v>
      </c>
      <c r="F60" s="72"/>
      <c r="G60" s="17" t="s">
        <v>766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214</v>
      </c>
      <c r="C61" s="11" t="s">
        <v>45</v>
      </c>
      <c r="D61" s="9" t="s">
        <v>166</v>
      </c>
      <c r="E61" s="16" t="s">
        <v>128</v>
      </c>
      <c r="F61" s="72"/>
      <c r="G61" s="17" t="s">
        <v>767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217</v>
      </c>
      <c r="C62" s="11" t="s">
        <v>45</v>
      </c>
      <c r="D62" s="9" t="s">
        <v>171</v>
      </c>
      <c r="E62" s="16" t="s">
        <v>128</v>
      </c>
      <c r="F62" s="72"/>
      <c r="G62" s="17" t="s">
        <v>779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218</v>
      </c>
      <c r="C63" s="11" t="s">
        <v>45</v>
      </c>
      <c r="D63" s="9" t="s">
        <v>172</v>
      </c>
      <c r="E63" s="16" t="s">
        <v>128</v>
      </c>
      <c r="F63" s="72"/>
      <c r="G63" s="17" t="s">
        <v>780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219</v>
      </c>
      <c r="C64" s="11" t="s">
        <v>45</v>
      </c>
      <c r="D64" s="9" t="s">
        <v>173</v>
      </c>
      <c r="E64" s="16" t="s">
        <v>128</v>
      </c>
      <c r="F64" s="72"/>
      <c r="G64" s="17" t="s">
        <v>1047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220</v>
      </c>
      <c r="C65" s="11" t="s">
        <v>45</v>
      </c>
      <c r="D65" s="9" t="s">
        <v>174</v>
      </c>
      <c r="E65" s="16" t="s">
        <v>128</v>
      </c>
      <c r="F65" s="72"/>
      <c r="G65" s="17" t="s">
        <v>771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215</v>
      </c>
      <c r="C66" s="11" t="s">
        <v>45</v>
      </c>
      <c r="D66" s="9" t="s">
        <v>1260</v>
      </c>
      <c r="E66" s="16" t="s">
        <v>128</v>
      </c>
      <c r="F66" s="72"/>
      <c r="G66" s="17" t="s">
        <v>227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216</v>
      </c>
      <c r="C67" s="11" t="s">
        <v>45</v>
      </c>
      <c r="D67" s="9" t="s">
        <v>1261</v>
      </c>
      <c r="E67" s="16" t="s">
        <v>128</v>
      </c>
      <c r="F67" s="72"/>
      <c r="G67" s="17" t="s">
        <v>228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316</v>
      </c>
      <c r="C68" s="11" t="s">
        <v>45</v>
      </c>
      <c r="D68" s="9" t="s">
        <v>167</v>
      </c>
      <c r="E68" s="16" t="s">
        <v>128</v>
      </c>
      <c r="F68" s="72"/>
      <c r="G68" s="17" t="s">
        <v>772</v>
      </c>
      <c r="H68" s="18"/>
      <c r="I68" s="17"/>
      <c r="J68" s="19" t="s">
        <v>133</v>
      </c>
      <c r="K68" s="19" t="s">
        <v>202</v>
      </c>
      <c r="L68" s="19" t="s">
        <v>67</v>
      </c>
    </row>
    <row r="69" spans="1:12" s="1" customFormat="1">
      <c r="A69" s="15"/>
      <c r="B69" s="11" t="s">
        <v>809</v>
      </c>
      <c r="C69" s="11" t="s">
        <v>45</v>
      </c>
      <c r="D69" s="9" t="s">
        <v>175</v>
      </c>
      <c r="E69" s="16" t="s">
        <v>128</v>
      </c>
      <c r="F69" s="72"/>
      <c r="G69" s="17" t="s">
        <v>781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317</v>
      </c>
      <c r="C70" s="11" t="s">
        <v>45</v>
      </c>
      <c r="D70" s="9" t="s">
        <v>168</v>
      </c>
      <c r="E70" s="16" t="s">
        <v>128</v>
      </c>
      <c r="F70" s="72"/>
      <c r="G70" s="17" t="s">
        <v>778</v>
      </c>
      <c r="H70" s="18"/>
      <c r="I70" s="17"/>
      <c r="J70" s="19" t="s">
        <v>133</v>
      </c>
      <c r="K70" s="19" t="s">
        <v>202</v>
      </c>
      <c r="L70" s="19" t="s">
        <v>67</v>
      </c>
    </row>
    <row r="71" spans="1:12" s="1" customFormat="1">
      <c r="A71" s="15"/>
      <c r="B71" s="11" t="s">
        <v>810</v>
      </c>
      <c r="C71" s="11" t="s">
        <v>45</v>
      </c>
      <c r="D71" s="9" t="s">
        <v>176</v>
      </c>
      <c r="E71" s="16" t="s">
        <v>128</v>
      </c>
      <c r="F71" s="72"/>
      <c r="G71" s="17" t="s">
        <v>782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1213</v>
      </c>
      <c r="C72" s="11" t="s">
        <v>45</v>
      </c>
      <c r="D72" s="9" t="s">
        <v>178</v>
      </c>
      <c r="E72" s="16" t="s">
        <v>128</v>
      </c>
      <c r="F72" s="72"/>
      <c r="G72" s="17" t="s">
        <v>783</v>
      </c>
      <c r="H72" s="18"/>
      <c r="I72" s="17"/>
      <c r="J72" s="19" t="s">
        <v>133</v>
      </c>
      <c r="K72" s="19" t="s">
        <v>202</v>
      </c>
      <c r="L72" s="19" t="s">
        <v>67</v>
      </c>
    </row>
    <row r="73" spans="1:12" s="1" customFormat="1">
      <c r="A73" s="15"/>
      <c r="B73" s="11" t="s">
        <v>221</v>
      </c>
      <c r="C73" s="11" t="s">
        <v>45</v>
      </c>
      <c r="D73" s="9" t="s">
        <v>177</v>
      </c>
      <c r="E73" s="16" t="s">
        <v>128</v>
      </c>
      <c r="F73" s="72"/>
      <c r="G73" s="17" t="s">
        <v>784</v>
      </c>
      <c r="H73" s="18"/>
      <c r="I73" s="17"/>
      <c r="J73" s="19" t="s">
        <v>133</v>
      </c>
      <c r="K73" s="19" t="s">
        <v>204</v>
      </c>
      <c r="L73" s="19" t="s">
        <v>67</v>
      </c>
    </row>
    <row r="74" spans="1:12" s="1" customFormat="1">
      <c r="A74" s="15"/>
      <c r="B74" s="11" t="s">
        <v>1212</v>
      </c>
      <c r="C74" s="11" t="s">
        <v>45</v>
      </c>
      <c r="D74" s="9" t="s">
        <v>180</v>
      </c>
      <c r="E74" s="16" t="s">
        <v>128</v>
      </c>
      <c r="F74" s="72"/>
      <c r="G74" s="17" t="s">
        <v>785</v>
      </c>
      <c r="H74" s="18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222</v>
      </c>
      <c r="C75" s="11" t="s">
        <v>45</v>
      </c>
      <c r="D75" s="9" t="s">
        <v>179</v>
      </c>
      <c r="E75" s="16" t="s">
        <v>128</v>
      </c>
      <c r="F75" s="72"/>
      <c r="G75" s="17" t="s">
        <v>786</v>
      </c>
      <c r="H75" s="18"/>
      <c r="I75" s="17"/>
      <c r="J75" s="19" t="s">
        <v>133</v>
      </c>
      <c r="K75" s="19" t="s">
        <v>204</v>
      </c>
      <c r="L75" s="19" t="s">
        <v>67</v>
      </c>
    </row>
    <row r="76" spans="1:12" s="1" customFormat="1">
      <c r="A76" s="15"/>
      <c r="B76" s="11" t="s">
        <v>205</v>
      </c>
      <c r="C76" s="11" t="s">
        <v>45</v>
      </c>
      <c r="D76" s="9" t="s">
        <v>147</v>
      </c>
      <c r="E76" s="16" t="s">
        <v>128</v>
      </c>
      <c r="F76" s="72"/>
      <c r="G76" s="17" t="s">
        <v>1047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206</v>
      </c>
      <c r="C77" s="11" t="s">
        <v>280</v>
      </c>
      <c r="D77" s="9" t="s">
        <v>820</v>
      </c>
      <c r="E77" s="16" t="s">
        <v>128</v>
      </c>
      <c r="F77" s="72"/>
      <c r="G77" s="17" t="s">
        <v>821</v>
      </c>
      <c r="H77" s="18"/>
      <c r="I77" s="17"/>
      <c r="J77" s="19" t="s">
        <v>133</v>
      </c>
      <c r="K77" s="19" t="s">
        <v>202</v>
      </c>
      <c r="L77" s="19" t="s">
        <v>67</v>
      </c>
    </row>
    <row r="78" spans="1:12" s="1" customFormat="1">
      <c r="A78" s="15"/>
      <c r="B78" s="11" t="s">
        <v>1022</v>
      </c>
      <c r="C78" s="11" t="s">
        <v>45</v>
      </c>
      <c r="D78" s="9" t="s">
        <v>1018</v>
      </c>
      <c r="E78" s="16" t="s">
        <v>128</v>
      </c>
      <c r="F78" s="72"/>
      <c r="G78" s="17" t="s">
        <v>787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1014</v>
      </c>
      <c r="C79" s="11" t="s">
        <v>45</v>
      </c>
      <c r="D79" s="9" t="s">
        <v>1019</v>
      </c>
      <c r="E79" s="16" t="s">
        <v>128</v>
      </c>
      <c r="F79" s="72"/>
      <c r="G79" s="17" t="s">
        <v>788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1015</v>
      </c>
      <c r="C80" s="11" t="s">
        <v>45</v>
      </c>
      <c r="D80" s="9" t="s">
        <v>1020</v>
      </c>
      <c r="E80" s="16" t="s">
        <v>128</v>
      </c>
      <c r="F80" s="72"/>
      <c r="G80" s="17" t="s">
        <v>789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1016</v>
      </c>
      <c r="C81" s="11" t="s">
        <v>45</v>
      </c>
      <c r="D81" s="9" t="s">
        <v>1021</v>
      </c>
      <c r="E81" s="16" t="s">
        <v>128</v>
      </c>
      <c r="F81" s="72"/>
      <c r="G81" s="17" t="s">
        <v>790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1017</v>
      </c>
      <c r="C82" s="11" t="s">
        <v>45</v>
      </c>
      <c r="D82" s="9" t="s">
        <v>1042</v>
      </c>
      <c r="E82" s="16" t="s">
        <v>128</v>
      </c>
      <c r="F82" s="72"/>
      <c r="G82" s="17" t="s">
        <v>791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1049</v>
      </c>
      <c r="C83" s="11" t="s">
        <v>45</v>
      </c>
      <c r="D83" s="9" t="s">
        <v>153</v>
      </c>
      <c r="E83" s="16" t="s">
        <v>128</v>
      </c>
      <c r="F83" s="72"/>
      <c r="G83" s="17" t="s">
        <v>1048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823</v>
      </c>
      <c r="C84" s="11" t="s">
        <v>280</v>
      </c>
      <c r="D84" s="9" t="s">
        <v>1474</v>
      </c>
      <c r="E84" s="16" t="s">
        <v>128</v>
      </c>
      <c r="F84" s="72"/>
      <c r="G84" s="17" t="s">
        <v>822</v>
      </c>
      <c r="H84" s="18"/>
      <c r="I84" s="17"/>
      <c r="J84" s="19" t="s">
        <v>133</v>
      </c>
      <c r="K84" s="19" t="s">
        <v>202</v>
      </c>
      <c r="L84" s="19" t="s">
        <v>67</v>
      </c>
    </row>
    <row r="85" spans="1:12" s="1" customFormat="1">
      <c r="A85" s="15"/>
      <c r="B85" s="11" t="s">
        <v>1030</v>
      </c>
      <c r="C85" s="11" t="s">
        <v>45</v>
      </c>
      <c r="D85" s="9" t="s">
        <v>1026</v>
      </c>
      <c r="E85" s="16" t="s">
        <v>128</v>
      </c>
      <c r="F85" s="72"/>
      <c r="G85" s="17" t="s">
        <v>792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1023</v>
      </c>
      <c r="C86" s="11" t="s">
        <v>45</v>
      </c>
      <c r="D86" s="9" t="s">
        <v>1027</v>
      </c>
      <c r="E86" s="16" t="s">
        <v>128</v>
      </c>
      <c r="F86" s="72"/>
      <c r="G86" s="17" t="s">
        <v>793</v>
      </c>
      <c r="H86" s="18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1024</v>
      </c>
      <c r="C87" s="11" t="s">
        <v>45</v>
      </c>
      <c r="D87" s="9" t="s">
        <v>1028</v>
      </c>
      <c r="E87" s="16" t="s">
        <v>128</v>
      </c>
      <c r="F87" s="72"/>
      <c r="G87" s="17" t="s">
        <v>794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1032</v>
      </c>
      <c r="C88" s="11" t="s">
        <v>45</v>
      </c>
      <c r="D88" s="9" t="s">
        <v>1029</v>
      </c>
      <c r="E88" s="16" t="s">
        <v>128</v>
      </c>
      <c r="F88" s="72"/>
      <c r="G88" s="17" t="s">
        <v>795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1025</v>
      </c>
      <c r="C89" s="11" t="s">
        <v>45</v>
      </c>
      <c r="D89" s="9" t="s">
        <v>1043</v>
      </c>
      <c r="E89" s="16" t="s">
        <v>128</v>
      </c>
      <c r="F89" s="72"/>
      <c r="G89" s="17" t="s">
        <v>796</v>
      </c>
      <c r="H89" s="18"/>
      <c r="I89" s="17"/>
      <c r="J89" s="19" t="s">
        <v>133</v>
      </c>
      <c r="K89" s="19" t="s">
        <v>44</v>
      </c>
      <c r="L89" s="19" t="s">
        <v>67</v>
      </c>
    </row>
    <row r="90" spans="1:12" s="1" customFormat="1">
      <c r="A90" s="15"/>
      <c r="B90" s="11" t="s">
        <v>1084</v>
      </c>
      <c r="C90" s="11" t="s">
        <v>280</v>
      </c>
      <c r="D90" s="9" t="s">
        <v>1086</v>
      </c>
      <c r="E90" s="16" t="s">
        <v>128</v>
      </c>
      <c r="F90" s="72"/>
      <c r="G90" s="17" t="s">
        <v>1085</v>
      </c>
      <c r="H90" s="18"/>
      <c r="I90" s="17"/>
      <c r="J90" s="19" t="s">
        <v>133</v>
      </c>
      <c r="K90" s="19" t="s">
        <v>202</v>
      </c>
      <c r="L90" s="19" t="s">
        <v>67</v>
      </c>
    </row>
    <row r="91" spans="1:12" s="1" customFormat="1">
      <c r="A91" s="15"/>
      <c r="B91" s="11" t="s">
        <v>1083</v>
      </c>
      <c r="C91" s="11" t="s">
        <v>280</v>
      </c>
      <c r="D91" s="9" t="s">
        <v>841</v>
      </c>
      <c r="E91" s="16" t="s">
        <v>128</v>
      </c>
      <c r="F91" s="72"/>
      <c r="G91" s="17" t="s">
        <v>840</v>
      </c>
      <c r="H91" s="18"/>
      <c r="I91" s="17"/>
      <c r="J91" s="19" t="s">
        <v>133</v>
      </c>
      <c r="K91" s="19" t="s">
        <v>202</v>
      </c>
      <c r="L91" s="19" t="s">
        <v>67</v>
      </c>
    </row>
    <row r="92" spans="1:12" s="1" customFormat="1">
      <c r="A92" s="15"/>
      <c r="B92" s="11" t="s">
        <v>1033</v>
      </c>
      <c r="C92" s="11" t="s">
        <v>45</v>
      </c>
      <c r="D92" s="9" t="s">
        <v>1038</v>
      </c>
      <c r="E92" s="16" t="s">
        <v>128</v>
      </c>
      <c r="F92" s="72"/>
      <c r="G92" s="17" t="s">
        <v>1031</v>
      </c>
      <c r="H92" s="18"/>
      <c r="I92" s="17"/>
      <c r="J92" s="19" t="s">
        <v>133</v>
      </c>
      <c r="K92" s="19" t="s">
        <v>44</v>
      </c>
      <c r="L92" s="19" t="s">
        <v>67</v>
      </c>
    </row>
    <row r="93" spans="1:12" s="1" customFormat="1">
      <c r="A93" s="15"/>
      <c r="B93" s="11" t="s">
        <v>1034</v>
      </c>
      <c r="C93" s="11" t="s">
        <v>45</v>
      </c>
      <c r="D93" s="9" t="s">
        <v>1039</v>
      </c>
      <c r="E93" s="16" t="s">
        <v>128</v>
      </c>
      <c r="F93" s="72"/>
      <c r="G93" s="17" t="s">
        <v>898</v>
      </c>
      <c r="H93" s="18"/>
      <c r="I93" s="17"/>
      <c r="J93" s="19" t="s">
        <v>133</v>
      </c>
      <c r="K93" s="19" t="s">
        <v>44</v>
      </c>
      <c r="L93" s="19" t="s">
        <v>67</v>
      </c>
    </row>
    <row r="94" spans="1:12" s="1" customFormat="1">
      <c r="A94" s="15"/>
      <c r="B94" s="11" t="s">
        <v>1035</v>
      </c>
      <c r="C94" s="11" t="s">
        <v>45</v>
      </c>
      <c r="D94" s="9" t="s">
        <v>1040</v>
      </c>
      <c r="E94" s="16" t="s">
        <v>128</v>
      </c>
      <c r="F94" s="72"/>
      <c r="G94" s="17" t="s">
        <v>899</v>
      </c>
      <c r="H94" s="18"/>
      <c r="I94" s="17"/>
      <c r="J94" s="19" t="s">
        <v>133</v>
      </c>
      <c r="K94" s="19" t="s">
        <v>44</v>
      </c>
      <c r="L94" s="19" t="s">
        <v>67</v>
      </c>
    </row>
    <row r="95" spans="1:12" s="1" customFormat="1">
      <c r="A95" s="15"/>
      <c r="B95" s="11" t="s">
        <v>1036</v>
      </c>
      <c r="C95" s="11" t="s">
        <v>45</v>
      </c>
      <c r="D95" s="9" t="s">
        <v>1041</v>
      </c>
      <c r="E95" s="16" t="s">
        <v>128</v>
      </c>
      <c r="F95" s="72"/>
      <c r="G95" s="17" t="s">
        <v>900</v>
      </c>
      <c r="H95" s="18"/>
      <c r="I95" s="17"/>
      <c r="J95" s="19" t="s">
        <v>133</v>
      </c>
      <c r="K95" s="19" t="s">
        <v>44</v>
      </c>
      <c r="L95" s="19" t="s">
        <v>67</v>
      </c>
    </row>
    <row r="96" spans="1:12" s="1" customFormat="1">
      <c r="A96" s="15"/>
      <c r="B96" s="11" t="s">
        <v>1037</v>
      </c>
      <c r="C96" s="11" t="s">
        <v>45</v>
      </c>
      <c r="D96" s="9" t="s">
        <v>1044</v>
      </c>
      <c r="E96" s="16" t="s">
        <v>128</v>
      </c>
      <c r="F96" s="72"/>
      <c r="G96" s="17" t="s">
        <v>901</v>
      </c>
      <c r="H96" s="18"/>
      <c r="I96" s="17"/>
      <c r="J96" s="19" t="s">
        <v>133</v>
      </c>
      <c r="K96" s="19" t="s">
        <v>44</v>
      </c>
      <c r="L96" s="19" t="s">
        <v>67</v>
      </c>
    </row>
    <row r="97" spans="1:12" s="1" customFormat="1">
      <c r="A97" s="15"/>
      <c r="B97" s="11" t="s">
        <v>816</v>
      </c>
      <c r="C97" s="11" t="s">
        <v>280</v>
      </c>
      <c r="D97" s="9" t="s">
        <v>839</v>
      </c>
      <c r="E97" s="16" t="s">
        <v>128</v>
      </c>
      <c r="F97" s="72"/>
      <c r="G97" s="17" t="s">
        <v>838</v>
      </c>
      <c r="H97" s="18"/>
      <c r="I97" s="17"/>
      <c r="J97" s="19" t="s">
        <v>133</v>
      </c>
      <c r="K97" s="19" t="s">
        <v>202</v>
      </c>
      <c r="L97" s="19" t="s">
        <v>67</v>
      </c>
    </row>
    <row r="98" spans="1:12" s="1" customFormat="1">
      <c r="A98" s="15"/>
      <c r="B98" s="11" t="s">
        <v>817</v>
      </c>
      <c r="C98" s="11" t="s">
        <v>45</v>
      </c>
      <c r="D98" s="9" t="s">
        <v>658</v>
      </c>
      <c r="E98" s="16" t="s">
        <v>128</v>
      </c>
      <c r="F98" s="72"/>
      <c r="G98" s="17" t="s">
        <v>1045</v>
      </c>
      <c r="H98" s="18"/>
      <c r="I98" s="17"/>
      <c r="J98" s="19" t="s">
        <v>133</v>
      </c>
      <c r="K98" s="19" t="s">
        <v>44</v>
      </c>
      <c r="L98" s="19" t="s">
        <v>67</v>
      </c>
    </row>
    <row r="99" spans="1:12" s="1" customFormat="1">
      <c r="A99" s="15"/>
      <c r="B99" s="11" t="s">
        <v>818</v>
      </c>
      <c r="C99" s="11" t="s">
        <v>280</v>
      </c>
      <c r="D99" s="9" t="s">
        <v>842</v>
      </c>
      <c r="E99" s="16" t="s">
        <v>128</v>
      </c>
      <c r="F99" s="72"/>
      <c r="G99" s="17" t="s">
        <v>835</v>
      </c>
      <c r="H99" s="18"/>
      <c r="I99" s="17"/>
      <c r="J99" s="19" t="s">
        <v>133</v>
      </c>
      <c r="K99" s="19" t="s">
        <v>202</v>
      </c>
      <c r="L99" s="19" t="s">
        <v>67</v>
      </c>
    </row>
    <row r="100" spans="1:12" s="1" customFormat="1">
      <c r="A100" s="15"/>
      <c r="B100" s="11" t="s">
        <v>819</v>
      </c>
      <c r="C100" s="11" t="s">
        <v>45</v>
      </c>
      <c r="D100" s="9" t="s">
        <v>660</v>
      </c>
      <c r="E100" s="16" t="s">
        <v>128</v>
      </c>
      <c r="F100" s="72"/>
      <c r="G100" s="17" t="s">
        <v>1046</v>
      </c>
      <c r="H100" s="18"/>
      <c r="I100" s="17"/>
      <c r="J100" s="19" t="s">
        <v>133</v>
      </c>
      <c r="K100" s="19" t="s">
        <v>44</v>
      </c>
      <c r="L100" s="19" t="s">
        <v>67</v>
      </c>
    </row>
    <row r="101" spans="1:12" s="1" customFormat="1">
      <c r="A101" s="15"/>
      <c r="B101" s="11" t="s">
        <v>2688</v>
      </c>
      <c r="C101" s="11" t="s">
        <v>2396</v>
      </c>
      <c r="D101" s="9" t="s">
        <v>2690</v>
      </c>
      <c r="E101" s="16" t="s">
        <v>128</v>
      </c>
      <c r="F101" s="72"/>
      <c r="G101" s="17" t="s">
        <v>2693</v>
      </c>
      <c r="H101" s="18"/>
      <c r="I101" s="17"/>
      <c r="J101" s="19" t="s">
        <v>133</v>
      </c>
      <c r="K101" s="19" t="s">
        <v>903</v>
      </c>
      <c r="L101" s="19" t="s">
        <v>134</v>
      </c>
    </row>
    <row r="102" spans="1:12" s="1" customFormat="1">
      <c r="A102" s="15"/>
      <c r="B102" s="11" t="s">
        <v>829</v>
      </c>
      <c r="C102" s="11" t="s">
        <v>280</v>
      </c>
      <c r="D102" s="9" t="s">
        <v>517</v>
      </c>
      <c r="E102" s="16" t="s">
        <v>128</v>
      </c>
      <c r="F102" s="72"/>
      <c r="G102" s="17" t="s">
        <v>843</v>
      </c>
      <c r="H102" s="18"/>
      <c r="I102" s="17"/>
      <c r="J102" s="19" t="s">
        <v>133</v>
      </c>
      <c r="K102" s="19" t="s">
        <v>203</v>
      </c>
      <c r="L102" s="19" t="s">
        <v>67</v>
      </c>
    </row>
    <row r="103" spans="1:12" s="1" customFormat="1">
      <c r="A103" s="15"/>
      <c r="B103" s="11" t="s">
        <v>2689</v>
      </c>
      <c r="C103" s="11" t="s">
        <v>2396</v>
      </c>
      <c r="D103" s="9" t="s">
        <v>2692</v>
      </c>
      <c r="E103" s="16" t="s">
        <v>128</v>
      </c>
      <c r="F103" s="72"/>
      <c r="G103" s="17" t="s">
        <v>2694</v>
      </c>
      <c r="H103" s="18"/>
      <c r="I103" s="17"/>
      <c r="J103" s="19" t="s">
        <v>133</v>
      </c>
      <c r="K103" s="19" t="s">
        <v>903</v>
      </c>
      <c r="L103" s="19" t="s">
        <v>134</v>
      </c>
    </row>
    <row r="104" spans="1:12" s="1" customFormat="1">
      <c r="A104" s="15"/>
      <c r="B104" s="11" t="s">
        <v>799</v>
      </c>
      <c r="C104" s="11" t="s">
        <v>280</v>
      </c>
      <c r="D104" s="9" t="s">
        <v>2691</v>
      </c>
      <c r="E104" s="16" t="s">
        <v>128</v>
      </c>
      <c r="F104" s="72"/>
      <c r="G104" s="17" t="s">
        <v>844</v>
      </c>
      <c r="H104" s="18"/>
      <c r="I104" s="17"/>
      <c r="J104" s="19" t="s">
        <v>133</v>
      </c>
      <c r="K104" s="19" t="s">
        <v>203</v>
      </c>
      <c r="L104" s="19" t="s">
        <v>67</v>
      </c>
    </row>
    <row r="105" spans="1:12" s="1" customFormat="1">
      <c r="A105" s="15"/>
      <c r="B105" s="11" t="s">
        <v>830</v>
      </c>
      <c r="C105" s="11" t="s">
        <v>45</v>
      </c>
      <c r="D105" s="9" t="s">
        <v>837</v>
      </c>
      <c r="E105" s="16" t="s">
        <v>128</v>
      </c>
      <c r="F105" s="72"/>
      <c r="G105" s="17" t="s">
        <v>797</v>
      </c>
      <c r="H105" s="18"/>
      <c r="I105" s="17"/>
      <c r="J105" s="19" t="s">
        <v>133</v>
      </c>
      <c r="K105" s="19" t="s">
        <v>44</v>
      </c>
      <c r="L105" s="19" t="s">
        <v>67</v>
      </c>
    </row>
    <row r="106" spans="1:12" s="1" customFormat="1">
      <c r="A106" s="15"/>
      <c r="B106" s="11" t="s">
        <v>623</v>
      </c>
      <c r="C106" s="11" t="s">
        <v>280</v>
      </c>
      <c r="D106" s="9" t="s">
        <v>836</v>
      </c>
      <c r="E106" s="16" t="s">
        <v>128</v>
      </c>
      <c r="F106" s="72"/>
      <c r="G106" s="17" t="s">
        <v>832</v>
      </c>
      <c r="H106" s="18"/>
      <c r="I106" s="17"/>
      <c r="J106" s="19" t="s">
        <v>133</v>
      </c>
      <c r="K106" s="19" t="s">
        <v>202</v>
      </c>
      <c r="L106" s="19" t="s">
        <v>67</v>
      </c>
    </row>
    <row r="107" spans="1:12" s="1" customFormat="1">
      <c r="A107" s="15"/>
      <c r="B107" s="11" t="s">
        <v>831</v>
      </c>
      <c r="C107" s="11" t="s">
        <v>45</v>
      </c>
      <c r="D107" s="9" t="s">
        <v>825</v>
      </c>
      <c r="E107" s="16" t="s">
        <v>128</v>
      </c>
      <c r="F107" s="72"/>
      <c r="G107" s="17" t="s">
        <v>1061</v>
      </c>
      <c r="H107" s="18"/>
      <c r="I107" s="17"/>
      <c r="J107" s="19" t="s">
        <v>133</v>
      </c>
      <c r="K107" s="19" t="s">
        <v>903</v>
      </c>
      <c r="L107" s="19" t="s">
        <v>67</v>
      </c>
    </row>
    <row r="108" spans="1:12" s="1" customFormat="1">
      <c r="A108" s="15"/>
      <c r="B108" s="11" t="s">
        <v>1098</v>
      </c>
      <c r="C108" s="11" t="s">
        <v>280</v>
      </c>
      <c r="D108" s="9" t="s">
        <v>826</v>
      </c>
      <c r="E108" s="16" t="s">
        <v>128</v>
      </c>
      <c r="F108" s="72"/>
      <c r="G108" s="17" t="s">
        <v>1062</v>
      </c>
      <c r="H108" s="18"/>
      <c r="I108" s="17"/>
      <c r="J108" s="19" t="s">
        <v>133</v>
      </c>
      <c r="K108" s="19" t="s">
        <v>202</v>
      </c>
      <c r="L108" s="19" t="s">
        <v>67</v>
      </c>
    </row>
    <row r="109" spans="1:12" s="1" customFormat="1">
      <c r="A109" s="15"/>
      <c r="B109" s="11" t="s">
        <v>535</v>
      </c>
      <c r="C109" s="11" t="s">
        <v>280</v>
      </c>
      <c r="D109" s="9" t="s">
        <v>534</v>
      </c>
      <c r="E109" s="16" t="s">
        <v>128</v>
      </c>
      <c r="F109" s="72"/>
      <c r="G109" s="17" t="s">
        <v>847</v>
      </c>
      <c r="H109" s="18"/>
      <c r="I109" s="17"/>
      <c r="J109" s="19" t="s">
        <v>133</v>
      </c>
      <c r="K109" s="19" t="s">
        <v>202</v>
      </c>
      <c r="L109" s="19" t="s">
        <v>67</v>
      </c>
    </row>
    <row r="110" spans="1:12" s="1" customFormat="1">
      <c r="A110" s="15"/>
      <c r="B110" s="11" t="s">
        <v>848</v>
      </c>
      <c r="C110" s="11" t="s">
        <v>45</v>
      </c>
      <c r="D110" s="9" t="s">
        <v>850</v>
      </c>
      <c r="E110" s="16" t="s">
        <v>128</v>
      </c>
      <c r="F110" s="72"/>
      <c r="G110" s="17" t="s">
        <v>1258</v>
      </c>
      <c r="H110" s="18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11" t="s">
        <v>849</v>
      </c>
      <c r="C111" s="11" t="s">
        <v>45</v>
      </c>
      <c r="D111" s="9" t="s">
        <v>116</v>
      </c>
      <c r="E111" s="16" t="s">
        <v>128</v>
      </c>
      <c r="F111" s="72"/>
      <c r="G111" s="17" t="s">
        <v>853</v>
      </c>
      <c r="H111" s="18"/>
      <c r="I111" s="17"/>
      <c r="J111" s="19" t="s">
        <v>133</v>
      </c>
      <c r="K111" s="19" t="s">
        <v>903</v>
      </c>
      <c r="L111" s="19" t="s">
        <v>67</v>
      </c>
    </row>
    <row r="112" spans="1:12" s="1" customFormat="1">
      <c r="A112" s="15"/>
      <c r="B112" s="11" t="s">
        <v>854</v>
      </c>
      <c r="C112" s="11" t="s">
        <v>280</v>
      </c>
      <c r="D112" s="9" t="s">
        <v>502</v>
      </c>
      <c r="E112" s="16" t="s">
        <v>128</v>
      </c>
      <c r="F112" s="72"/>
      <c r="G112" s="17" t="s">
        <v>858</v>
      </c>
      <c r="H112" s="18"/>
      <c r="I112" s="17"/>
      <c r="J112" s="19" t="s">
        <v>133</v>
      </c>
      <c r="K112" s="19" t="s">
        <v>202</v>
      </c>
      <c r="L112" s="19" t="s">
        <v>67</v>
      </c>
    </row>
    <row r="113" spans="1:17" s="1" customFormat="1">
      <c r="A113" s="15"/>
      <c r="B113" s="11" t="s">
        <v>856</v>
      </c>
      <c r="C113" s="11" t="s">
        <v>45</v>
      </c>
      <c r="D113" s="9" t="s">
        <v>857</v>
      </c>
      <c r="E113" s="16" t="s">
        <v>128</v>
      </c>
      <c r="F113" s="72"/>
      <c r="G113" s="17" t="s">
        <v>1257</v>
      </c>
      <c r="H113" s="18"/>
      <c r="I113" s="17"/>
      <c r="J113" s="19" t="s">
        <v>133</v>
      </c>
      <c r="K113" s="19" t="s">
        <v>903</v>
      </c>
      <c r="L113" s="19" t="s">
        <v>67</v>
      </c>
    </row>
    <row r="114" spans="1:17" s="1" customFormat="1">
      <c r="A114" s="15"/>
      <c r="B114" s="11" t="s">
        <v>315</v>
      </c>
      <c r="C114" s="11" t="s">
        <v>45</v>
      </c>
      <c r="D114" s="9" t="s">
        <v>112</v>
      </c>
      <c r="E114" s="16" t="s">
        <v>128</v>
      </c>
      <c r="F114" s="72"/>
      <c r="G114" s="17" t="s">
        <v>770</v>
      </c>
      <c r="H114" s="18"/>
      <c r="I114" s="17"/>
      <c r="J114" s="19" t="s">
        <v>133</v>
      </c>
      <c r="K114" s="19" t="s">
        <v>44</v>
      </c>
      <c r="L114" s="19" t="s">
        <v>67</v>
      </c>
    </row>
    <row r="115" spans="1:17" s="1" customFormat="1">
      <c r="A115" s="15"/>
      <c r="B115" s="11" t="s">
        <v>1280</v>
      </c>
      <c r="C115" s="11" t="s">
        <v>43</v>
      </c>
      <c r="D115" s="9" t="s">
        <v>1281</v>
      </c>
      <c r="E115" s="16" t="s">
        <v>55</v>
      </c>
      <c r="F115" s="13"/>
      <c r="G115" s="13" t="s">
        <v>1304</v>
      </c>
      <c r="H115" s="18"/>
      <c r="I115" s="87">
        <v>20250415101139</v>
      </c>
      <c r="J115" s="19" t="s">
        <v>133</v>
      </c>
      <c r="K115" s="19" t="s">
        <v>44</v>
      </c>
      <c r="L115" s="19" t="s">
        <v>1306</v>
      </c>
    </row>
    <row r="116" spans="1:17" s="1" customFormat="1">
      <c r="A116" s="15"/>
      <c r="B116" s="11" t="s">
        <v>1283</v>
      </c>
      <c r="C116" s="11" t="s">
        <v>43</v>
      </c>
      <c r="D116" s="9" t="s">
        <v>1284</v>
      </c>
      <c r="E116" s="16" t="s">
        <v>55</v>
      </c>
      <c r="F116" s="13"/>
      <c r="G116" s="13" t="s">
        <v>1305</v>
      </c>
      <c r="H116" s="18"/>
      <c r="I116" s="87">
        <v>20250415101024</v>
      </c>
      <c r="J116" s="19" t="s">
        <v>133</v>
      </c>
      <c r="K116" s="19" t="s">
        <v>44</v>
      </c>
      <c r="L116" s="19" t="s">
        <v>1306</v>
      </c>
    </row>
    <row r="117" spans="1:17" s="3" customFormat="1">
      <c r="B117" s="23" t="s">
        <v>47</v>
      </c>
      <c r="C117" s="24" t="s">
        <v>46</v>
      </c>
      <c r="D117" s="21" t="s">
        <v>48</v>
      </c>
      <c r="E117" s="44"/>
      <c r="F117" s="44"/>
      <c r="G117" s="44" t="s">
        <v>282</v>
      </c>
      <c r="H117" s="23" t="s">
        <v>282</v>
      </c>
      <c r="I117" s="23"/>
      <c r="J117" s="23"/>
      <c r="K117" s="23"/>
      <c r="L117" s="23"/>
      <c r="M117" s="23"/>
      <c r="N117" s="23"/>
      <c r="O117" s="23"/>
      <c r="P117" s="23"/>
      <c r="Q117" s="23"/>
    </row>
    <row r="118" spans="1:17" s="3" customFormat="1">
      <c r="B118" s="23" t="s">
        <v>49</v>
      </c>
      <c r="C118" s="24" t="s">
        <v>43</v>
      </c>
      <c r="D118" s="21" t="s">
        <v>50</v>
      </c>
      <c r="E118" s="44"/>
      <c r="F118" s="44"/>
      <c r="G118" s="44" t="s">
        <v>282</v>
      </c>
      <c r="H118" s="23" t="s">
        <v>282</v>
      </c>
      <c r="I118" s="23"/>
      <c r="J118" s="23"/>
      <c r="K118" s="23"/>
      <c r="L118" s="23"/>
      <c r="M118" s="23"/>
      <c r="N118" s="23"/>
      <c r="O118" s="23"/>
      <c r="P118" s="23"/>
      <c r="Q118" s="23"/>
    </row>
    <row r="119" spans="1:17" s="3" customFormat="1">
      <c r="B119" s="23" t="s">
        <v>51</v>
      </c>
      <c r="C119" s="24" t="s">
        <v>46</v>
      </c>
      <c r="D119" s="21" t="s">
        <v>52</v>
      </c>
      <c r="E119" s="44"/>
      <c r="F119" s="44"/>
      <c r="G119" s="44" t="s">
        <v>282</v>
      </c>
      <c r="H119" s="23" t="s">
        <v>282</v>
      </c>
      <c r="I119" s="23"/>
      <c r="J119" s="23"/>
      <c r="K119" s="23"/>
      <c r="L119" s="23"/>
      <c r="M119" s="23"/>
      <c r="N119" s="23"/>
      <c r="O119" s="23"/>
      <c r="P119" s="23"/>
      <c r="Q119" s="23"/>
    </row>
    <row r="120" spans="1:17" s="3" customFormat="1">
      <c r="B120" s="23" t="s">
        <v>53</v>
      </c>
      <c r="C120" s="24" t="s">
        <v>46</v>
      </c>
      <c r="D120" s="21" t="s">
        <v>54</v>
      </c>
      <c r="E120" s="44"/>
      <c r="F120" s="44"/>
      <c r="G120" s="44" t="s">
        <v>282</v>
      </c>
      <c r="H120" s="23" t="s">
        <v>282</v>
      </c>
      <c r="I120" s="23"/>
      <c r="J120" s="23"/>
      <c r="K120" s="23"/>
      <c r="L120" s="23"/>
      <c r="M120" s="23"/>
      <c r="N120" s="23"/>
      <c r="O120" s="23"/>
      <c r="P120" s="23"/>
      <c r="Q120" s="23"/>
    </row>
  </sheetData>
  <autoFilter ref="A13:Q120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77E7-D849-4113-8A0E-19798A172411}">
  <dimension ref="A1:Q118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2684</v>
      </c>
      <c r="D5" s="10" t="s">
        <v>2685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2680</v>
      </c>
      <c r="D9" s="10" t="s">
        <v>2681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2" s="1" customFormat="1">
      <c r="A17" s="15"/>
      <c r="B17" s="22" t="s">
        <v>80</v>
      </c>
      <c r="C17" s="22" t="s">
        <v>94</v>
      </c>
      <c r="D17" s="9" t="s">
        <v>99</v>
      </c>
      <c r="E17" s="16" t="s">
        <v>128</v>
      </c>
      <c r="F17" s="17" t="s">
        <v>80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678</v>
      </c>
    </row>
    <row r="18" spans="1:12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138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123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124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679</v>
      </c>
    </row>
    <row r="21" spans="1:12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318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273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272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95</v>
      </c>
      <c r="G24" s="17" t="s">
        <v>129</v>
      </c>
      <c r="H24" s="18"/>
      <c r="I24" s="35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2" s="1" customFormat="1">
      <c r="A26" s="15"/>
      <c r="B26" s="11" t="s">
        <v>81</v>
      </c>
      <c r="C26" s="11" t="s">
        <v>43</v>
      </c>
      <c r="D26" s="9" t="s">
        <v>57</v>
      </c>
      <c r="E26" s="16" t="s">
        <v>128</v>
      </c>
      <c r="F26" s="17" t="s">
        <v>81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44</v>
      </c>
    </row>
    <row r="27" spans="1:12" s="1" customFormat="1">
      <c r="A27" s="15"/>
      <c r="B27" s="11" t="s">
        <v>58</v>
      </c>
      <c r="C27" s="11" t="s">
        <v>43</v>
      </c>
      <c r="D27" s="9" t="s">
        <v>59</v>
      </c>
      <c r="E27" s="16" t="s">
        <v>128</v>
      </c>
      <c r="F27" s="9" t="s">
        <v>58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2" s="1" customFormat="1">
      <c r="A28" s="15"/>
      <c r="B28" s="11" t="s">
        <v>82</v>
      </c>
      <c r="C28" s="11" t="s">
        <v>43</v>
      </c>
      <c r="D28" s="9" t="s">
        <v>105</v>
      </c>
      <c r="E28" s="16" t="s">
        <v>128</v>
      </c>
      <c r="F28" s="17" t="s">
        <v>82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2" s="1" customFormat="1">
      <c r="A29" s="15"/>
      <c r="B29" s="11" t="s">
        <v>83</v>
      </c>
      <c r="C29" s="11" t="s">
        <v>43</v>
      </c>
      <c r="D29" s="9" t="s">
        <v>135</v>
      </c>
      <c r="E29" s="16" t="s">
        <v>128</v>
      </c>
      <c r="F29" s="17" t="s">
        <v>83</v>
      </c>
      <c r="G29" s="17" t="s">
        <v>129</v>
      </c>
      <c r="H29" s="18"/>
      <c r="I29" s="20"/>
      <c r="J29" s="19" t="s">
        <v>131</v>
      </c>
      <c r="K29" s="19" t="s">
        <v>132</v>
      </c>
      <c r="L29" s="19" t="s">
        <v>44</v>
      </c>
    </row>
    <row r="30" spans="1:12" s="1" customFormat="1">
      <c r="A30" s="15"/>
      <c r="B30" s="22" t="s">
        <v>195</v>
      </c>
      <c r="C30" s="11" t="s">
        <v>43</v>
      </c>
      <c r="D30" s="9" t="s">
        <v>106</v>
      </c>
      <c r="E30" s="16" t="s">
        <v>128</v>
      </c>
      <c r="F30" s="17" t="s">
        <v>84</v>
      </c>
      <c r="G30" s="17" t="s">
        <v>129</v>
      </c>
      <c r="H30" s="18"/>
      <c r="I30" s="20"/>
      <c r="J30" s="19" t="s">
        <v>131</v>
      </c>
      <c r="K30" s="19" t="s">
        <v>132</v>
      </c>
      <c r="L30" s="19" t="s">
        <v>44</v>
      </c>
    </row>
    <row r="31" spans="1:12" s="1" customFormat="1">
      <c r="B31" s="22" t="s">
        <v>85</v>
      </c>
      <c r="C31" s="11" t="s">
        <v>43</v>
      </c>
      <c r="D31" s="9" t="s">
        <v>107</v>
      </c>
      <c r="E31" s="16" t="s">
        <v>128</v>
      </c>
      <c r="F31" s="17" t="s">
        <v>85</v>
      </c>
      <c r="G31" s="17" t="s">
        <v>129</v>
      </c>
      <c r="H31" s="18"/>
      <c r="I31" s="19"/>
      <c r="J31" s="19" t="s">
        <v>131</v>
      </c>
      <c r="K31" s="19" t="s">
        <v>132</v>
      </c>
      <c r="L31" s="19" t="s">
        <v>44</v>
      </c>
    </row>
    <row r="32" spans="1:12" s="1" customFormat="1">
      <c r="B32" s="22" t="s">
        <v>507</v>
      </c>
      <c r="C32" s="62" t="s">
        <v>43</v>
      </c>
      <c r="D32" s="9" t="s">
        <v>626</v>
      </c>
      <c r="E32" s="16" t="s">
        <v>128</v>
      </c>
      <c r="F32" s="9" t="s">
        <v>507</v>
      </c>
      <c r="G32" s="17" t="s">
        <v>129</v>
      </c>
      <c r="H32" s="18"/>
      <c r="I32" s="19"/>
      <c r="J32" s="19" t="s">
        <v>131</v>
      </c>
      <c r="K32" s="19" t="s">
        <v>132</v>
      </c>
      <c r="L32" s="19" t="s">
        <v>632</v>
      </c>
    </row>
    <row r="33" spans="1:13" s="1" customFormat="1">
      <c r="B33" s="22" t="s">
        <v>86</v>
      </c>
      <c r="C33" s="11" t="s">
        <v>43</v>
      </c>
      <c r="D33" s="9" t="s">
        <v>108</v>
      </c>
      <c r="E33" s="16" t="s">
        <v>128</v>
      </c>
      <c r="F33" s="17" t="s">
        <v>86</v>
      </c>
      <c r="G33" s="17" t="s">
        <v>129</v>
      </c>
      <c r="H33" s="18"/>
      <c r="I33" s="19"/>
      <c r="J33" s="19" t="s">
        <v>131</v>
      </c>
      <c r="K33" s="19" t="s">
        <v>132</v>
      </c>
      <c r="L33" s="19" t="s">
        <v>44</v>
      </c>
    </row>
    <row r="34" spans="1:13" s="15" customFormat="1">
      <c r="B34" s="22" t="s">
        <v>87</v>
      </c>
      <c r="C34" s="11" t="s">
        <v>43</v>
      </c>
      <c r="D34" s="9" t="s">
        <v>109</v>
      </c>
      <c r="E34" s="16" t="s">
        <v>128</v>
      </c>
      <c r="F34" s="17" t="s">
        <v>87</v>
      </c>
      <c r="G34" s="17" t="s">
        <v>129</v>
      </c>
      <c r="H34" s="18"/>
      <c r="I34" s="20"/>
      <c r="J34" s="19" t="s">
        <v>131</v>
      </c>
      <c r="K34" s="19" t="s">
        <v>132</v>
      </c>
      <c r="L34" s="19" t="s">
        <v>679</v>
      </c>
      <c r="M34" s="1"/>
    </row>
    <row r="35" spans="1:13" s="15" customFormat="1">
      <c r="B35" s="22" t="s">
        <v>88</v>
      </c>
      <c r="C35" s="11" t="s">
        <v>43</v>
      </c>
      <c r="D35" s="9" t="s">
        <v>110</v>
      </c>
      <c r="E35" s="16" t="s">
        <v>128</v>
      </c>
      <c r="F35" s="17" t="s">
        <v>88</v>
      </c>
      <c r="G35" s="17" t="s">
        <v>129</v>
      </c>
      <c r="H35" s="18"/>
      <c r="I35" s="20"/>
      <c r="J35" s="19" t="s">
        <v>131</v>
      </c>
      <c r="K35" s="19" t="s">
        <v>132</v>
      </c>
      <c r="L35" s="19" t="s">
        <v>44</v>
      </c>
      <c r="M35" s="1"/>
    </row>
    <row r="36" spans="1:13" s="68" customFormat="1">
      <c r="A36" s="65"/>
      <c r="B36" s="66" t="s">
        <v>89</v>
      </c>
      <c r="C36" s="11" t="s">
        <v>43</v>
      </c>
      <c r="D36" s="9" t="s">
        <v>111</v>
      </c>
      <c r="E36" s="16" t="s">
        <v>128</v>
      </c>
      <c r="F36" s="17" t="s">
        <v>89</v>
      </c>
      <c r="G36" s="17" t="s">
        <v>129</v>
      </c>
      <c r="H36" s="18"/>
      <c r="I36" s="67"/>
      <c r="J36" s="19" t="s">
        <v>131</v>
      </c>
      <c r="K36" s="19" t="s">
        <v>132</v>
      </c>
      <c r="L36" s="19" t="s">
        <v>44</v>
      </c>
      <c r="M36" s="1"/>
    </row>
    <row r="37" spans="1:13" s="68" customFormat="1">
      <c r="A37" s="65"/>
      <c r="B37" s="66" t="s">
        <v>117</v>
      </c>
      <c r="C37" s="11" t="s">
        <v>46</v>
      </c>
      <c r="D37" s="9" t="s">
        <v>143</v>
      </c>
      <c r="E37" s="16" t="s">
        <v>128</v>
      </c>
      <c r="F37" s="17" t="s">
        <v>117</v>
      </c>
      <c r="G37" s="17" t="s">
        <v>129</v>
      </c>
      <c r="H37" s="18"/>
      <c r="I37" s="67"/>
      <c r="J37" s="19" t="s">
        <v>131</v>
      </c>
      <c r="K37" s="19" t="s">
        <v>132</v>
      </c>
      <c r="L37" s="19" t="s">
        <v>680</v>
      </c>
      <c r="M37" s="1"/>
    </row>
    <row r="38" spans="1:13" s="68" customFormat="1">
      <c r="A38" s="65"/>
      <c r="B38" s="66" t="s">
        <v>142</v>
      </c>
      <c r="C38" s="11" t="s">
        <v>46</v>
      </c>
      <c r="D38" s="9" t="s">
        <v>144</v>
      </c>
      <c r="E38" s="16" t="s">
        <v>128</v>
      </c>
      <c r="F38" s="13" t="s">
        <v>142</v>
      </c>
      <c r="G38" s="17" t="s">
        <v>129</v>
      </c>
      <c r="H38" s="18"/>
      <c r="I38" s="67"/>
      <c r="J38" s="19" t="s">
        <v>131</v>
      </c>
      <c r="K38" s="19" t="s">
        <v>132</v>
      </c>
      <c r="L38" s="19" t="s">
        <v>44</v>
      </c>
      <c r="M38" s="1"/>
    </row>
    <row r="39" spans="1:13" s="1" customFormat="1">
      <c r="A39" s="15"/>
      <c r="B39" s="11" t="s">
        <v>139</v>
      </c>
      <c r="C39" s="11" t="s">
        <v>43</v>
      </c>
      <c r="D39" s="9" t="s">
        <v>115</v>
      </c>
      <c r="E39" s="16" t="s">
        <v>128</v>
      </c>
      <c r="F39" s="17" t="s">
        <v>139</v>
      </c>
      <c r="G39" s="17" t="s">
        <v>129</v>
      </c>
      <c r="H39" s="18"/>
      <c r="I39" s="17"/>
      <c r="J39" s="19" t="s">
        <v>131</v>
      </c>
      <c r="K39" s="19" t="s">
        <v>132</v>
      </c>
      <c r="L39" s="19" t="s">
        <v>44</v>
      </c>
    </row>
    <row r="40" spans="1:13" s="1" customFormat="1">
      <c r="A40" s="15"/>
      <c r="B40" s="11" t="s">
        <v>197</v>
      </c>
      <c r="C40" s="11" t="s">
        <v>94</v>
      </c>
      <c r="D40" s="9" t="s">
        <v>198</v>
      </c>
      <c r="E40" s="16" t="s">
        <v>128</v>
      </c>
      <c r="F40" s="17" t="s">
        <v>197</v>
      </c>
      <c r="G40" s="17" t="s">
        <v>129</v>
      </c>
      <c r="H40" s="18"/>
      <c r="I40" s="17"/>
      <c r="J40" s="19" t="s">
        <v>131</v>
      </c>
      <c r="K40" s="19" t="s">
        <v>132</v>
      </c>
      <c r="L40" s="19" t="s">
        <v>281</v>
      </c>
    </row>
    <row r="41" spans="1:13" s="1" customFormat="1">
      <c r="A41" s="15"/>
      <c r="B41" s="11" t="s">
        <v>200</v>
      </c>
      <c r="C41" s="11" t="s">
        <v>94</v>
      </c>
      <c r="D41" s="9" t="s">
        <v>201</v>
      </c>
      <c r="E41" s="16" t="s">
        <v>128</v>
      </c>
      <c r="F41" s="17" t="s">
        <v>200</v>
      </c>
      <c r="G41" s="17" t="s">
        <v>129</v>
      </c>
      <c r="H41" s="18"/>
      <c r="I41" s="17"/>
      <c r="J41" s="19" t="s">
        <v>131</v>
      </c>
      <c r="K41" s="19" t="s">
        <v>132</v>
      </c>
      <c r="L41" s="19" t="s">
        <v>281</v>
      </c>
    </row>
    <row r="42" spans="1:13" s="1" customFormat="1">
      <c r="A42" s="15"/>
      <c r="B42" s="11" t="s">
        <v>1072</v>
      </c>
      <c r="C42" s="11" t="s">
        <v>45</v>
      </c>
      <c r="D42" s="9" t="s">
        <v>146</v>
      </c>
      <c r="E42" s="16" t="s">
        <v>128</v>
      </c>
      <c r="F42" s="17"/>
      <c r="G42" s="17" t="s">
        <v>1289</v>
      </c>
      <c r="H42" s="18"/>
      <c r="I42" s="17"/>
      <c r="J42" s="19" t="s">
        <v>133</v>
      </c>
      <c r="K42" s="19" t="s">
        <v>132</v>
      </c>
      <c r="L42" s="19" t="s">
        <v>134</v>
      </c>
    </row>
    <row r="43" spans="1:13" s="1" customFormat="1">
      <c r="A43" s="15"/>
      <c r="B43" s="11" t="s">
        <v>189</v>
      </c>
      <c r="C43" s="11" t="s">
        <v>45</v>
      </c>
      <c r="D43" s="9" t="s">
        <v>190</v>
      </c>
      <c r="E43" s="16" t="s">
        <v>128</v>
      </c>
      <c r="F43" s="17"/>
      <c r="G43" s="17" t="s">
        <v>2698</v>
      </c>
      <c r="H43" s="18"/>
      <c r="I43" s="17"/>
      <c r="J43" s="19" t="s">
        <v>133</v>
      </c>
      <c r="K43" s="19" t="s">
        <v>132</v>
      </c>
      <c r="L43" s="19" t="s">
        <v>134</v>
      </c>
    </row>
    <row r="44" spans="1:13" s="1" customFormat="1">
      <c r="A44" s="15"/>
      <c r="B44" s="11" t="s">
        <v>192</v>
      </c>
      <c r="C44" s="11" t="s">
        <v>45</v>
      </c>
      <c r="D44" s="9" t="s">
        <v>193</v>
      </c>
      <c r="E44" s="16" t="s">
        <v>128</v>
      </c>
      <c r="F44" s="17"/>
      <c r="G44" s="17" t="s">
        <v>2265</v>
      </c>
      <c r="H44" s="18"/>
      <c r="I44" s="17"/>
      <c r="J44" s="19" t="s">
        <v>133</v>
      </c>
      <c r="K44" s="19" t="s">
        <v>132</v>
      </c>
      <c r="L44" s="19" t="s">
        <v>134</v>
      </c>
    </row>
    <row r="45" spans="1:13" s="1" customFormat="1">
      <c r="A45" s="15"/>
      <c r="B45" s="22" t="s">
        <v>255</v>
      </c>
      <c r="C45" s="22" t="s">
        <v>45</v>
      </c>
      <c r="D45" s="9" t="s">
        <v>348</v>
      </c>
      <c r="E45" s="16" t="s">
        <v>128</v>
      </c>
      <c r="F45" s="17"/>
      <c r="G45" s="17" t="s">
        <v>1667</v>
      </c>
      <c r="H45" s="18"/>
      <c r="I45" s="17"/>
      <c r="J45" s="19" t="s">
        <v>133</v>
      </c>
      <c r="K45" s="19" t="s">
        <v>203</v>
      </c>
      <c r="L45" s="19" t="s">
        <v>134</v>
      </c>
    </row>
    <row r="46" spans="1:13" s="1" customFormat="1">
      <c r="A46" s="15"/>
      <c r="B46" s="11" t="s">
        <v>207</v>
      </c>
      <c r="C46" s="11" t="s">
        <v>45</v>
      </c>
      <c r="D46" s="9" t="s">
        <v>759</v>
      </c>
      <c r="E46" s="16" t="s">
        <v>128</v>
      </c>
      <c r="F46" s="72"/>
      <c r="G46" s="17" t="s">
        <v>1200</v>
      </c>
      <c r="H46" s="18"/>
      <c r="I46" s="17"/>
      <c r="J46" s="19" t="s">
        <v>133</v>
      </c>
      <c r="K46" s="19" t="s">
        <v>204</v>
      </c>
      <c r="L46" s="19" t="s">
        <v>134</v>
      </c>
    </row>
    <row r="47" spans="1:13" s="1" customFormat="1">
      <c r="A47" s="15"/>
      <c r="B47" s="11" t="s">
        <v>208</v>
      </c>
      <c r="C47" s="11" t="s">
        <v>45</v>
      </c>
      <c r="D47" s="9" t="s">
        <v>160</v>
      </c>
      <c r="E47" s="16" t="s">
        <v>128</v>
      </c>
      <c r="F47" s="72"/>
      <c r="G47" s="17" t="s">
        <v>1201</v>
      </c>
      <c r="H47" s="18"/>
      <c r="I47" s="17"/>
      <c r="J47" s="19" t="s">
        <v>133</v>
      </c>
      <c r="K47" s="19" t="s">
        <v>204</v>
      </c>
      <c r="L47" s="19" t="s">
        <v>134</v>
      </c>
    </row>
    <row r="48" spans="1:13" s="1" customFormat="1">
      <c r="A48" s="15"/>
      <c r="B48" s="11" t="s">
        <v>763</v>
      </c>
      <c r="C48" s="11" t="s">
        <v>45</v>
      </c>
      <c r="D48" s="9" t="s">
        <v>181</v>
      </c>
      <c r="E48" s="16" t="s">
        <v>128</v>
      </c>
      <c r="F48" s="72"/>
      <c r="G48" s="17" t="s">
        <v>1075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803</v>
      </c>
      <c r="C49" s="11" t="s">
        <v>45</v>
      </c>
      <c r="D49" s="9" t="s">
        <v>183</v>
      </c>
      <c r="E49" s="16" t="s">
        <v>128</v>
      </c>
      <c r="F49" s="72"/>
      <c r="G49" s="17" t="s">
        <v>1077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804</v>
      </c>
      <c r="C50" s="11" t="s">
        <v>45</v>
      </c>
      <c r="D50" s="9" t="s">
        <v>182</v>
      </c>
      <c r="E50" s="16" t="s">
        <v>128</v>
      </c>
      <c r="F50" s="72"/>
      <c r="G50" s="17" t="s">
        <v>1079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805</v>
      </c>
      <c r="C51" s="11" t="s">
        <v>45</v>
      </c>
      <c r="D51" s="9" t="s">
        <v>184</v>
      </c>
      <c r="E51" s="16" t="s">
        <v>128</v>
      </c>
      <c r="F51" s="72"/>
      <c r="G51" s="17" t="s">
        <v>1110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806</v>
      </c>
      <c r="C52" s="11" t="s">
        <v>45</v>
      </c>
      <c r="D52" s="9" t="s">
        <v>186</v>
      </c>
      <c r="E52" s="16" t="s">
        <v>128</v>
      </c>
      <c r="F52" s="72"/>
      <c r="G52" s="17" t="s">
        <v>1111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807</v>
      </c>
      <c r="C53" s="11" t="s">
        <v>45</v>
      </c>
      <c r="D53" s="9" t="s">
        <v>185</v>
      </c>
      <c r="E53" s="16" t="s">
        <v>128</v>
      </c>
      <c r="F53" s="72"/>
      <c r="G53" s="17" t="s">
        <v>1112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808</v>
      </c>
      <c r="C54" s="11" t="s">
        <v>45</v>
      </c>
      <c r="D54" s="9" t="s">
        <v>187</v>
      </c>
      <c r="E54" s="16" t="s">
        <v>128</v>
      </c>
      <c r="F54" s="72"/>
      <c r="G54" s="17" t="s">
        <v>1113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210</v>
      </c>
      <c r="C55" s="11" t="s">
        <v>45</v>
      </c>
      <c r="D55" s="9" t="s">
        <v>1056</v>
      </c>
      <c r="E55" s="16" t="s">
        <v>128</v>
      </c>
      <c r="F55" s="72"/>
      <c r="G55" s="17" t="s">
        <v>224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209</v>
      </c>
      <c r="C56" s="11" t="s">
        <v>45</v>
      </c>
      <c r="D56" s="9" t="s">
        <v>1055</v>
      </c>
      <c r="E56" s="16" t="s">
        <v>128</v>
      </c>
      <c r="F56" s="72"/>
      <c r="G56" s="17" t="s">
        <v>223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211</v>
      </c>
      <c r="C57" s="11" t="s">
        <v>45</v>
      </c>
      <c r="D57" s="9" t="s">
        <v>163</v>
      </c>
      <c r="E57" s="16" t="s">
        <v>128</v>
      </c>
      <c r="F57" s="72"/>
      <c r="G57" s="17" t="s">
        <v>225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212</v>
      </c>
      <c r="C58" s="11" t="s">
        <v>45</v>
      </c>
      <c r="D58" s="9" t="s">
        <v>164</v>
      </c>
      <c r="E58" s="16" t="s">
        <v>128</v>
      </c>
      <c r="F58" s="72"/>
      <c r="G58" s="17" t="s">
        <v>226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213</v>
      </c>
      <c r="C59" s="11" t="s">
        <v>45</v>
      </c>
      <c r="D59" s="9" t="s">
        <v>165</v>
      </c>
      <c r="E59" s="16" t="s">
        <v>128</v>
      </c>
      <c r="F59" s="72"/>
      <c r="G59" s="17" t="s">
        <v>1114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214</v>
      </c>
      <c r="C60" s="11" t="s">
        <v>45</v>
      </c>
      <c r="D60" s="9" t="s">
        <v>166</v>
      </c>
      <c r="E60" s="16" t="s">
        <v>128</v>
      </c>
      <c r="F60" s="72"/>
      <c r="G60" s="17" t="s">
        <v>1115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217</v>
      </c>
      <c r="C61" s="11" t="s">
        <v>45</v>
      </c>
      <c r="D61" s="9" t="s">
        <v>171</v>
      </c>
      <c r="E61" s="16" t="s">
        <v>128</v>
      </c>
      <c r="F61" s="72"/>
      <c r="G61" s="17" t="s">
        <v>1116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218</v>
      </c>
      <c r="C62" s="11" t="s">
        <v>45</v>
      </c>
      <c r="D62" s="9" t="s">
        <v>172</v>
      </c>
      <c r="E62" s="16" t="s">
        <v>128</v>
      </c>
      <c r="F62" s="72"/>
      <c r="G62" s="17" t="s">
        <v>1117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219</v>
      </c>
      <c r="C63" s="11" t="s">
        <v>45</v>
      </c>
      <c r="D63" s="9" t="s">
        <v>173</v>
      </c>
      <c r="E63" s="16" t="s">
        <v>128</v>
      </c>
      <c r="F63" s="72"/>
      <c r="G63" s="17" t="s">
        <v>1118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220</v>
      </c>
      <c r="C64" s="11" t="s">
        <v>45</v>
      </c>
      <c r="D64" s="9" t="s">
        <v>174</v>
      </c>
      <c r="E64" s="16" t="s">
        <v>128</v>
      </c>
      <c r="F64" s="72"/>
      <c r="G64" s="17" t="s">
        <v>1119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215</v>
      </c>
      <c r="C65" s="11" t="s">
        <v>45</v>
      </c>
      <c r="D65" s="9" t="s">
        <v>1260</v>
      </c>
      <c r="E65" s="16" t="s">
        <v>128</v>
      </c>
      <c r="F65" s="72"/>
      <c r="G65" s="17" t="s">
        <v>227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216</v>
      </c>
      <c r="C66" s="11" t="s">
        <v>45</v>
      </c>
      <c r="D66" s="9" t="s">
        <v>1261</v>
      </c>
      <c r="E66" s="16" t="s">
        <v>128</v>
      </c>
      <c r="F66" s="72"/>
      <c r="G66" s="17" t="s">
        <v>228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316</v>
      </c>
      <c r="C67" s="11" t="s">
        <v>45</v>
      </c>
      <c r="D67" s="9" t="s">
        <v>167</v>
      </c>
      <c r="E67" s="16" t="s">
        <v>128</v>
      </c>
      <c r="F67" s="72"/>
      <c r="G67" s="17" t="s">
        <v>772</v>
      </c>
      <c r="H67" s="18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" t="s">
        <v>809</v>
      </c>
      <c r="C68" s="11" t="s">
        <v>45</v>
      </c>
      <c r="D68" s="9" t="s">
        <v>175</v>
      </c>
      <c r="E68" s="16" t="s">
        <v>128</v>
      </c>
      <c r="F68" s="72"/>
      <c r="G68" s="17" t="s">
        <v>1120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317</v>
      </c>
      <c r="C69" s="11" t="s">
        <v>45</v>
      </c>
      <c r="D69" s="9" t="s">
        <v>168</v>
      </c>
      <c r="E69" s="16" t="s">
        <v>128</v>
      </c>
      <c r="F69" s="72"/>
      <c r="G69" s="17" t="s">
        <v>778</v>
      </c>
      <c r="H69" s="18"/>
      <c r="I69" s="17"/>
      <c r="J69" s="19" t="s">
        <v>133</v>
      </c>
      <c r="K69" s="19" t="s">
        <v>202</v>
      </c>
      <c r="L69" s="19" t="s">
        <v>67</v>
      </c>
    </row>
    <row r="70" spans="1:12" s="1" customFormat="1">
      <c r="A70" s="15"/>
      <c r="B70" s="11" t="s">
        <v>810</v>
      </c>
      <c r="C70" s="11" t="s">
        <v>45</v>
      </c>
      <c r="D70" s="9" t="s">
        <v>176</v>
      </c>
      <c r="E70" s="16" t="s">
        <v>128</v>
      </c>
      <c r="F70" s="72"/>
      <c r="G70" s="17" t="s">
        <v>1121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1213</v>
      </c>
      <c r="C71" s="11" t="s">
        <v>45</v>
      </c>
      <c r="D71" s="9" t="s">
        <v>178</v>
      </c>
      <c r="E71" s="16" t="s">
        <v>128</v>
      </c>
      <c r="F71" s="72"/>
      <c r="G71" s="17" t="s">
        <v>2266</v>
      </c>
      <c r="H71" s="18"/>
      <c r="I71" s="17"/>
      <c r="J71" s="19" t="s">
        <v>133</v>
      </c>
      <c r="K71" s="19" t="s">
        <v>202</v>
      </c>
      <c r="L71" s="19" t="s">
        <v>67</v>
      </c>
    </row>
    <row r="72" spans="1:12" s="1" customFormat="1">
      <c r="A72" s="15"/>
      <c r="B72" s="11" t="s">
        <v>221</v>
      </c>
      <c r="C72" s="11" t="s">
        <v>45</v>
      </c>
      <c r="D72" s="9" t="s">
        <v>177</v>
      </c>
      <c r="E72" s="16" t="s">
        <v>128</v>
      </c>
      <c r="F72" s="72"/>
      <c r="G72" s="17" t="s">
        <v>1122</v>
      </c>
      <c r="H72" s="18"/>
      <c r="I72" s="17"/>
      <c r="J72" s="19" t="s">
        <v>133</v>
      </c>
      <c r="K72" s="19" t="s">
        <v>204</v>
      </c>
      <c r="L72" s="19" t="s">
        <v>67</v>
      </c>
    </row>
    <row r="73" spans="1:12" s="1" customFormat="1">
      <c r="A73" s="15"/>
      <c r="B73" s="11" t="s">
        <v>1212</v>
      </c>
      <c r="C73" s="11" t="s">
        <v>45</v>
      </c>
      <c r="D73" s="9" t="s">
        <v>180</v>
      </c>
      <c r="E73" s="16" t="s">
        <v>128</v>
      </c>
      <c r="F73" s="72"/>
      <c r="G73" s="17" t="s">
        <v>2267</v>
      </c>
      <c r="H73" s="18"/>
      <c r="I73" s="17"/>
      <c r="J73" s="19" t="s">
        <v>133</v>
      </c>
      <c r="K73" s="19" t="s">
        <v>202</v>
      </c>
      <c r="L73" s="19" t="s">
        <v>67</v>
      </c>
    </row>
    <row r="74" spans="1:12" s="1" customFormat="1">
      <c r="A74" s="15"/>
      <c r="B74" s="11" t="s">
        <v>222</v>
      </c>
      <c r="C74" s="11" t="s">
        <v>45</v>
      </c>
      <c r="D74" s="9" t="s">
        <v>179</v>
      </c>
      <c r="E74" s="16" t="s">
        <v>128</v>
      </c>
      <c r="F74" s="72"/>
      <c r="G74" s="17" t="s">
        <v>1123</v>
      </c>
      <c r="H74" s="18"/>
      <c r="I74" s="17"/>
      <c r="J74" s="19" t="s">
        <v>133</v>
      </c>
      <c r="K74" s="19" t="s">
        <v>204</v>
      </c>
      <c r="L74" s="19" t="s">
        <v>67</v>
      </c>
    </row>
    <row r="75" spans="1:12" s="1" customFormat="1">
      <c r="A75" s="15"/>
      <c r="B75" s="11" t="s">
        <v>205</v>
      </c>
      <c r="C75" s="11" t="s">
        <v>45</v>
      </c>
      <c r="D75" s="9" t="s">
        <v>147</v>
      </c>
      <c r="E75" s="16" t="s">
        <v>128</v>
      </c>
      <c r="F75" s="72"/>
      <c r="G75" s="17" t="s">
        <v>1126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206</v>
      </c>
      <c r="C76" s="11" t="s">
        <v>280</v>
      </c>
      <c r="D76" s="9" t="s">
        <v>820</v>
      </c>
      <c r="E76" s="16" t="s">
        <v>128</v>
      </c>
      <c r="F76" s="72"/>
      <c r="G76" s="17" t="s">
        <v>1081</v>
      </c>
      <c r="H76" s="18"/>
      <c r="I76" s="17"/>
      <c r="J76" s="19" t="s">
        <v>133</v>
      </c>
      <c r="K76" s="19" t="s">
        <v>202</v>
      </c>
      <c r="L76" s="19" t="s">
        <v>67</v>
      </c>
    </row>
    <row r="77" spans="1:12" s="1" customFormat="1">
      <c r="A77" s="15"/>
      <c r="B77" s="11" t="s">
        <v>1022</v>
      </c>
      <c r="C77" s="11" t="s">
        <v>45</v>
      </c>
      <c r="D77" s="9" t="s">
        <v>1018</v>
      </c>
      <c r="E77" s="16" t="s">
        <v>128</v>
      </c>
      <c r="F77" s="72"/>
      <c r="G77" s="17" t="s">
        <v>1127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1014</v>
      </c>
      <c r="C78" s="11" t="s">
        <v>45</v>
      </c>
      <c r="D78" s="9" t="s">
        <v>1019</v>
      </c>
      <c r="E78" s="16" t="s">
        <v>128</v>
      </c>
      <c r="F78" s="72"/>
      <c r="G78" s="17" t="s">
        <v>1128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1015</v>
      </c>
      <c r="C79" s="11" t="s">
        <v>45</v>
      </c>
      <c r="D79" s="9" t="s">
        <v>1020</v>
      </c>
      <c r="E79" s="16" t="s">
        <v>128</v>
      </c>
      <c r="F79" s="72"/>
      <c r="G79" s="17" t="s">
        <v>1129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1016</v>
      </c>
      <c r="C80" s="11" t="s">
        <v>45</v>
      </c>
      <c r="D80" s="9" t="s">
        <v>1021</v>
      </c>
      <c r="E80" s="16" t="s">
        <v>128</v>
      </c>
      <c r="F80" s="72"/>
      <c r="G80" s="17" t="s">
        <v>1130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1017</v>
      </c>
      <c r="C81" s="11" t="s">
        <v>45</v>
      </c>
      <c r="D81" s="9" t="s">
        <v>1042</v>
      </c>
      <c r="E81" s="16" t="s">
        <v>128</v>
      </c>
      <c r="F81" s="72"/>
      <c r="G81" s="17" t="s">
        <v>1131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1049</v>
      </c>
      <c r="C82" s="11" t="s">
        <v>45</v>
      </c>
      <c r="D82" s="9" t="s">
        <v>153</v>
      </c>
      <c r="E82" s="16" t="s">
        <v>128</v>
      </c>
      <c r="F82" s="72"/>
      <c r="G82" s="17" t="s">
        <v>1132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823</v>
      </c>
      <c r="C83" s="11" t="s">
        <v>280</v>
      </c>
      <c r="D83" s="9" t="s">
        <v>1474</v>
      </c>
      <c r="E83" s="16" t="s">
        <v>128</v>
      </c>
      <c r="F83" s="72"/>
      <c r="G83" s="17" t="s">
        <v>1082</v>
      </c>
      <c r="H83" s="18"/>
      <c r="I83" s="17"/>
      <c r="J83" s="19" t="s">
        <v>133</v>
      </c>
      <c r="K83" s="19" t="s">
        <v>202</v>
      </c>
      <c r="L83" s="19" t="s">
        <v>67</v>
      </c>
    </row>
    <row r="84" spans="1:12" s="1" customFormat="1">
      <c r="A84" s="15"/>
      <c r="B84" s="11" t="s">
        <v>1030</v>
      </c>
      <c r="C84" s="11" t="s">
        <v>45</v>
      </c>
      <c r="D84" s="9" t="s">
        <v>1026</v>
      </c>
      <c r="E84" s="16" t="s">
        <v>128</v>
      </c>
      <c r="F84" s="72"/>
      <c r="G84" s="17" t="s">
        <v>1133</v>
      </c>
      <c r="H84" s="18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1023</v>
      </c>
      <c r="C85" s="11" t="s">
        <v>45</v>
      </c>
      <c r="D85" s="9" t="s">
        <v>1027</v>
      </c>
      <c r="E85" s="16" t="s">
        <v>128</v>
      </c>
      <c r="F85" s="72"/>
      <c r="G85" s="17" t="s">
        <v>1134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1024</v>
      </c>
      <c r="C86" s="11" t="s">
        <v>45</v>
      </c>
      <c r="D86" s="9" t="s">
        <v>1028</v>
      </c>
      <c r="E86" s="16" t="s">
        <v>128</v>
      </c>
      <c r="F86" s="72"/>
      <c r="G86" s="17" t="s">
        <v>1135</v>
      </c>
      <c r="H86" s="18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1032</v>
      </c>
      <c r="C87" s="11" t="s">
        <v>45</v>
      </c>
      <c r="D87" s="9" t="s">
        <v>1029</v>
      </c>
      <c r="E87" s="16" t="s">
        <v>128</v>
      </c>
      <c r="F87" s="72"/>
      <c r="G87" s="17" t="s">
        <v>1136</v>
      </c>
      <c r="H87" s="18"/>
      <c r="I87" s="17"/>
      <c r="J87" s="19" t="s">
        <v>133</v>
      </c>
      <c r="K87" s="19" t="s">
        <v>44</v>
      </c>
      <c r="L87" s="19" t="s">
        <v>67</v>
      </c>
    </row>
    <row r="88" spans="1:12" s="1" customFormat="1">
      <c r="A88" s="15"/>
      <c r="B88" s="11" t="s">
        <v>1025</v>
      </c>
      <c r="C88" s="11" t="s">
        <v>45</v>
      </c>
      <c r="D88" s="9" t="s">
        <v>1043</v>
      </c>
      <c r="E88" s="16" t="s">
        <v>128</v>
      </c>
      <c r="F88" s="72"/>
      <c r="G88" s="17" t="s">
        <v>1137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1084</v>
      </c>
      <c r="C89" s="11" t="s">
        <v>280</v>
      </c>
      <c r="D89" s="9" t="s">
        <v>1086</v>
      </c>
      <c r="E89" s="16" t="s">
        <v>128</v>
      </c>
      <c r="F89" s="72"/>
      <c r="G89" s="17" t="s">
        <v>2248</v>
      </c>
      <c r="H89" s="18"/>
      <c r="I89" s="17"/>
      <c r="J89" s="19" t="s">
        <v>133</v>
      </c>
      <c r="K89" s="19" t="s">
        <v>202</v>
      </c>
      <c r="L89" s="19" t="s">
        <v>67</v>
      </c>
    </row>
    <row r="90" spans="1:12" s="1" customFormat="1">
      <c r="A90" s="15"/>
      <c r="B90" s="11" t="s">
        <v>1083</v>
      </c>
      <c r="C90" s="11" t="s">
        <v>280</v>
      </c>
      <c r="D90" s="9" t="s">
        <v>841</v>
      </c>
      <c r="E90" s="16" t="s">
        <v>128</v>
      </c>
      <c r="F90" s="72"/>
      <c r="G90" s="17" t="s">
        <v>1866</v>
      </c>
      <c r="H90" s="18"/>
      <c r="I90" s="17"/>
      <c r="J90" s="19" t="s">
        <v>133</v>
      </c>
      <c r="K90" s="19" t="s">
        <v>202</v>
      </c>
      <c r="L90" s="19" t="s">
        <v>67</v>
      </c>
    </row>
    <row r="91" spans="1:12" s="1" customFormat="1">
      <c r="A91" s="15"/>
      <c r="B91" s="11" t="s">
        <v>1033</v>
      </c>
      <c r="C91" s="11" t="s">
        <v>45</v>
      </c>
      <c r="D91" s="9" t="s">
        <v>1038</v>
      </c>
      <c r="E91" s="16" t="s">
        <v>128</v>
      </c>
      <c r="F91" s="72"/>
      <c r="G91" s="17" t="s">
        <v>1138</v>
      </c>
      <c r="H91" s="18"/>
      <c r="I91" s="17"/>
      <c r="J91" s="19" t="s">
        <v>133</v>
      </c>
      <c r="K91" s="19" t="s">
        <v>44</v>
      </c>
      <c r="L91" s="19" t="s">
        <v>67</v>
      </c>
    </row>
    <row r="92" spans="1:12" s="1" customFormat="1">
      <c r="A92" s="15"/>
      <c r="B92" s="11" t="s">
        <v>1034</v>
      </c>
      <c r="C92" s="11" t="s">
        <v>45</v>
      </c>
      <c r="D92" s="9" t="s">
        <v>1039</v>
      </c>
      <c r="E92" s="16" t="s">
        <v>128</v>
      </c>
      <c r="F92" s="72"/>
      <c r="G92" s="17" t="s">
        <v>1139</v>
      </c>
      <c r="H92" s="18"/>
      <c r="I92" s="17"/>
      <c r="J92" s="19" t="s">
        <v>133</v>
      </c>
      <c r="K92" s="19" t="s">
        <v>44</v>
      </c>
      <c r="L92" s="19" t="s">
        <v>67</v>
      </c>
    </row>
    <row r="93" spans="1:12" s="1" customFormat="1">
      <c r="A93" s="15"/>
      <c r="B93" s="11" t="s">
        <v>1035</v>
      </c>
      <c r="C93" s="11" t="s">
        <v>45</v>
      </c>
      <c r="D93" s="9" t="s">
        <v>1040</v>
      </c>
      <c r="E93" s="16" t="s">
        <v>128</v>
      </c>
      <c r="F93" s="72"/>
      <c r="G93" s="17" t="s">
        <v>1140</v>
      </c>
      <c r="H93" s="18"/>
      <c r="I93" s="17"/>
      <c r="J93" s="19" t="s">
        <v>133</v>
      </c>
      <c r="K93" s="19" t="s">
        <v>44</v>
      </c>
      <c r="L93" s="19" t="s">
        <v>67</v>
      </c>
    </row>
    <row r="94" spans="1:12" s="1" customFormat="1">
      <c r="A94" s="15"/>
      <c r="B94" s="11" t="s">
        <v>1036</v>
      </c>
      <c r="C94" s="11" t="s">
        <v>45</v>
      </c>
      <c r="D94" s="9" t="s">
        <v>1041</v>
      </c>
      <c r="E94" s="16" t="s">
        <v>128</v>
      </c>
      <c r="F94" s="72"/>
      <c r="G94" s="17" t="s">
        <v>1141</v>
      </c>
      <c r="H94" s="18"/>
      <c r="I94" s="17"/>
      <c r="J94" s="19" t="s">
        <v>133</v>
      </c>
      <c r="K94" s="19" t="s">
        <v>44</v>
      </c>
      <c r="L94" s="19" t="s">
        <v>67</v>
      </c>
    </row>
    <row r="95" spans="1:12" s="1" customFormat="1">
      <c r="A95" s="15"/>
      <c r="B95" s="11" t="s">
        <v>1037</v>
      </c>
      <c r="C95" s="11" t="s">
        <v>45</v>
      </c>
      <c r="D95" s="9" t="s">
        <v>1044</v>
      </c>
      <c r="E95" s="16" t="s">
        <v>128</v>
      </c>
      <c r="F95" s="72"/>
      <c r="G95" s="17" t="s">
        <v>1142</v>
      </c>
      <c r="H95" s="18"/>
      <c r="I95" s="17"/>
      <c r="J95" s="19" t="s">
        <v>133</v>
      </c>
      <c r="K95" s="19" t="s">
        <v>44</v>
      </c>
      <c r="L95" s="19" t="s">
        <v>67</v>
      </c>
    </row>
    <row r="96" spans="1:12" s="1" customFormat="1">
      <c r="A96" s="15"/>
      <c r="B96" s="11" t="s">
        <v>816</v>
      </c>
      <c r="C96" s="11" t="s">
        <v>280</v>
      </c>
      <c r="D96" s="9" t="s">
        <v>839</v>
      </c>
      <c r="E96" s="16" t="s">
        <v>128</v>
      </c>
      <c r="F96" s="72"/>
      <c r="G96" s="17" t="s">
        <v>1088</v>
      </c>
      <c r="H96" s="18"/>
      <c r="I96" s="17"/>
      <c r="J96" s="19" t="s">
        <v>133</v>
      </c>
      <c r="K96" s="19" t="s">
        <v>202</v>
      </c>
      <c r="L96" s="19" t="s">
        <v>67</v>
      </c>
    </row>
    <row r="97" spans="1:12" s="1" customFormat="1">
      <c r="A97" s="15"/>
      <c r="B97" s="11" t="s">
        <v>817</v>
      </c>
      <c r="C97" s="11" t="s">
        <v>45</v>
      </c>
      <c r="D97" s="9" t="s">
        <v>658</v>
      </c>
      <c r="E97" s="16" t="s">
        <v>128</v>
      </c>
      <c r="F97" s="72"/>
      <c r="G97" s="17" t="s">
        <v>1089</v>
      </c>
      <c r="H97" s="18"/>
      <c r="I97" s="17"/>
      <c r="J97" s="19" t="s">
        <v>133</v>
      </c>
      <c r="K97" s="19" t="s">
        <v>44</v>
      </c>
      <c r="L97" s="19" t="s">
        <v>67</v>
      </c>
    </row>
    <row r="98" spans="1:12" s="1" customFormat="1">
      <c r="A98" s="15"/>
      <c r="B98" s="11" t="s">
        <v>818</v>
      </c>
      <c r="C98" s="11" t="s">
        <v>280</v>
      </c>
      <c r="D98" s="9" t="s">
        <v>842</v>
      </c>
      <c r="E98" s="16" t="s">
        <v>128</v>
      </c>
      <c r="F98" s="72"/>
      <c r="G98" s="17" t="s">
        <v>1091</v>
      </c>
      <c r="H98" s="18"/>
      <c r="I98" s="17"/>
      <c r="J98" s="19" t="s">
        <v>133</v>
      </c>
      <c r="K98" s="19" t="s">
        <v>202</v>
      </c>
      <c r="L98" s="19" t="s">
        <v>67</v>
      </c>
    </row>
    <row r="99" spans="1:12" s="1" customFormat="1">
      <c r="A99" s="15"/>
      <c r="B99" s="11" t="s">
        <v>819</v>
      </c>
      <c r="C99" s="11" t="s">
        <v>45</v>
      </c>
      <c r="D99" s="9" t="s">
        <v>660</v>
      </c>
      <c r="E99" s="16" t="s">
        <v>128</v>
      </c>
      <c r="F99" s="72"/>
      <c r="G99" s="17" t="s">
        <v>1092</v>
      </c>
      <c r="H99" s="18"/>
      <c r="I99" s="17"/>
      <c r="J99" s="19" t="s">
        <v>133</v>
      </c>
      <c r="K99" s="19" t="s">
        <v>44</v>
      </c>
      <c r="L99" s="19" t="s">
        <v>67</v>
      </c>
    </row>
    <row r="100" spans="1:12" s="1" customFormat="1">
      <c r="A100" s="15"/>
      <c r="B100" s="11" t="s">
        <v>2688</v>
      </c>
      <c r="C100" s="11" t="s">
        <v>2396</v>
      </c>
      <c r="D100" s="9" t="s">
        <v>2690</v>
      </c>
      <c r="E100" s="16" t="s">
        <v>128</v>
      </c>
      <c r="F100" s="72"/>
      <c r="G100" s="17" t="s">
        <v>2699</v>
      </c>
      <c r="H100" s="18"/>
      <c r="I100" s="17"/>
      <c r="J100" s="19" t="s">
        <v>133</v>
      </c>
      <c r="K100" s="19" t="s">
        <v>903</v>
      </c>
      <c r="L100" s="19" t="s">
        <v>134</v>
      </c>
    </row>
    <row r="101" spans="1:12" s="1" customFormat="1">
      <c r="A101" s="15"/>
      <c r="B101" s="11" t="s">
        <v>829</v>
      </c>
      <c r="C101" s="11" t="s">
        <v>280</v>
      </c>
      <c r="D101" s="9" t="s">
        <v>517</v>
      </c>
      <c r="E101" s="16" t="s">
        <v>128</v>
      </c>
      <c r="F101" s="72"/>
      <c r="G101" s="17" t="s">
        <v>2696</v>
      </c>
      <c r="H101" s="18"/>
      <c r="I101" s="17"/>
      <c r="J101" s="19" t="s">
        <v>133</v>
      </c>
      <c r="K101" s="19" t="s">
        <v>203</v>
      </c>
      <c r="L101" s="19" t="s">
        <v>67</v>
      </c>
    </row>
    <row r="102" spans="1:12" s="1" customFormat="1">
      <c r="A102" s="15"/>
      <c r="B102" s="11" t="s">
        <v>2689</v>
      </c>
      <c r="C102" s="11" t="s">
        <v>2396</v>
      </c>
      <c r="D102" s="9" t="s">
        <v>2692</v>
      </c>
      <c r="E102" s="16" t="s">
        <v>128</v>
      </c>
      <c r="F102" s="72"/>
      <c r="G102" s="17" t="s">
        <v>2700</v>
      </c>
      <c r="H102" s="18"/>
      <c r="I102" s="17"/>
      <c r="J102" s="19" t="s">
        <v>133</v>
      </c>
      <c r="K102" s="19" t="s">
        <v>903</v>
      </c>
      <c r="L102" s="19" t="s">
        <v>134</v>
      </c>
    </row>
    <row r="103" spans="1:12" s="1" customFormat="1">
      <c r="A103" s="15"/>
      <c r="B103" s="11" t="s">
        <v>799</v>
      </c>
      <c r="C103" s="11" t="s">
        <v>280</v>
      </c>
      <c r="D103" s="9" t="s">
        <v>2691</v>
      </c>
      <c r="E103" s="16" t="s">
        <v>128</v>
      </c>
      <c r="F103" s="72"/>
      <c r="G103" s="17" t="s">
        <v>2697</v>
      </c>
      <c r="H103" s="18"/>
      <c r="I103" s="17"/>
      <c r="J103" s="19" t="s">
        <v>133</v>
      </c>
      <c r="K103" s="19" t="s">
        <v>203</v>
      </c>
      <c r="L103" s="19" t="s">
        <v>67</v>
      </c>
    </row>
    <row r="104" spans="1:12" s="1" customFormat="1">
      <c r="A104" s="15"/>
      <c r="B104" s="11" t="s">
        <v>830</v>
      </c>
      <c r="C104" s="11" t="s">
        <v>45</v>
      </c>
      <c r="D104" s="9" t="s">
        <v>837</v>
      </c>
      <c r="E104" s="16" t="s">
        <v>128</v>
      </c>
      <c r="F104" s="72"/>
      <c r="G104" s="17" t="s">
        <v>1096</v>
      </c>
      <c r="H104" s="18"/>
      <c r="I104" s="17"/>
      <c r="J104" s="19" t="s">
        <v>133</v>
      </c>
      <c r="K104" s="19" t="s">
        <v>44</v>
      </c>
      <c r="L104" s="19" t="s">
        <v>67</v>
      </c>
    </row>
    <row r="105" spans="1:12" s="1" customFormat="1">
      <c r="A105" s="15"/>
      <c r="B105" s="11" t="s">
        <v>623</v>
      </c>
      <c r="C105" s="11" t="s">
        <v>280</v>
      </c>
      <c r="D105" s="9" t="s">
        <v>836</v>
      </c>
      <c r="E105" s="16" t="s">
        <v>128</v>
      </c>
      <c r="F105" s="72"/>
      <c r="G105" s="17" t="s">
        <v>1099</v>
      </c>
      <c r="H105" s="18"/>
      <c r="I105" s="17"/>
      <c r="J105" s="19" t="s">
        <v>133</v>
      </c>
      <c r="K105" s="19" t="s">
        <v>202</v>
      </c>
      <c r="L105" s="19" t="s">
        <v>67</v>
      </c>
    </row>
    <row r="106" spans="1:12" s="1" customFormat="1">
      <c r="A106" s="15"/>
      <c r="B106" s="11" t="s">
        <v>831</v>
      </c>
      <c r="C106" s="11" t="s">
        <v>45</v>
      </c>
      <c r="D106" s="9" t="s">
        <v>825</v>
      </c>
      <c r="E106" s="16" t="s">
        <v>128</v>
      </c>
      <c r="F106" s="72"/>
      <c r="G106" s="17" t="s">
        <v>2701</v>
      </c>
      <c r="H106" s="18"/>
      <c r="I106" s="17"/>
      <c r="J106" s="19" t="s">
        <v>133</v>
      </c>
      <c r="K106" s="19" t="s">
        <v>903</v>
      </c>
      <c r="L106" s="19" t="s">
        <v>67</v>
      </c>
    </row>
    <row r="107" spans="1:12" s="1" customFormat="1">
      <c r="A107" s="15"/>
      <c r="B107" s="11" t="s">
        <v>1098</v>
      </c>
      <c r="C107" s="11" t="s">
        <v>280</v>
      </c>
      <c r="D107" s="9" t="s">
        <v>826</v>
      </c>
      <c r="E107" s="16" t="s">
        <v>128</v>
      </c>
      <c r="F107" s="72"/>
      <c r="G107" s="17" t="s">
        <v>1101</v>
      </c>
      <c r="H107" s="18"/>
      <c r="I107" s="17"/>
      <c r="J107" s="19" t="s">
        <v>133</v>
      </c>
      <c r="K107" s="19" t="s">
        <v>202</v>
      </c>
      <c r="L107" s="19" t="s">
        <v>67</v>
      </c>
    </row>
    <row r="108" spans="1:12" s="1" customFormat="1">
      <c r="A108" s="15"/>
      <c r="B108" s="11" t="s">
        <v>535</v>
      </c>
      <c r="C108" s="11" t="s">
        <v>280</v>
      </c>
      <c r="D108" s="9" t="s">
        <v>534</v>
      </c>
      <c r="E108" s="16" t="s">
        <v>128</v>
      </c>
      <c r="F108" s="72"/>
      <c r="G108" s="17" t="s">
        <v>1103</v>
      </c>
      <c r="H108" s="18"/>
      <c r="I108" s="17"/>
      <c r="J108" s="19" t="s">
        <v>133</v>
      </c>
      <c r="K108" s="19" t="s">
        <v>202</v>
      </c>
      <c r="L108" s="19" t="s">
        <v>67</v>
      </c>
    </row>
    <row r="109" spans="1:12" s="1" customFormat="1">
      <c r="A109" s="15"/>
      <c r="B109" s="11" t="s">
        <v>848</v>
      </c>
      <c r="C109" s="11" t="s">
        <v>45</v>
      </c>
      <c r="D109" s="9" t="s">
        <v>850</v>
      </c>
      <c r="E109" s="16" t="s">
        <v>128</v>
      </c>
      <c r="F109" s="72"/>
      <c r="G109" s="17" t="s">
        <v>2702</v>
      </c>
      <c r="H109" s="18"/>
      <c r="I109" s="17"/>
      <c r="J109" s="19" t="s">
        <v>133</v>
      </c>
      <c r="K109" s="19" t="s">
        <v>903</v>
      </c>
      <c r="L109" s="19" t="s">
        <v>67</v>
      </c>
    </row>
    <row r="110" spans="1:12" s="1" customFormat="1">
      <c r="A110" s="15"/>
      <c r="B110" s="11" t="s">
        <v>849</v>
      </c>
      <c r="C110" s="11" t="s">
        <v>45</v>
      </c>
      <c r="D110" s="9" t="s">
        <v>116</v>
      </c>
      <c r="E110" s="16" t="s">
        <v>128</v>
      </c>
      <c r="F110" s="72"/>
      <c r="G110" s="17" t="s">
        <v>2703</v>
      </c>
      <c r="H110" s="18"/>
      <c r="I110" s="17"/>
      <c r="J110" s="19" t="s">
        <v>133</v>
      </c>
      <c r="K110" s="19" t="s">
        <v>903</v>
      </c>
      <c r="L110" s="19" t="s">
        <v>67</v>
      </c>
    </row>
    <row r="111" spans="1:12" s="1" customFormat="1">
      <c r="A111" s="15"/>
      <c r="B111" s="11" t="s">
        <v>855</v>
      </c>
      <c r="C111" s="11" t="s">
        <v>280</v>
      </c>
      <c r="D111" s="9" t="s">
        <v>502</v>
      </c>
      <c r="E111" s="16" t="s">
        <v>128</v>
      </c>
      <c r="F111" s="72"/>
      <c r="G111" s="17" t="s">
        <v>1107</v>
      </c>
      <c r="H111" s="18"/>
      <c r="I111" s="17"/>
      <c r="J111" s="19" t="s">
        <v>133</v>
      </c>
      <c r="K111" s="19" t="s">
        <v>202</v>
      </c>
      <c r="L111" s="19" t="s">
        <v>67</v>
      </c>
    </row>
    <row r="112" spans="1:12" s="1" customFormat="1">
      <c r="A112" s="15"/>
      <c r="B112" s="11" t="s">
        <v>856</v>
      </c>
      <c r="C112" s="11" t="s">
        <v>45</v>
      </c>
      <c r="D112" s="9" t="s">
        <v>857</v>
      </c>
      <c r="E112" s="16" t="s">
        <v>128</v>
      </c>
      <c r="F112" s="72"/>
      <c r="G112" s="17" t="s">
        <v>2704</v>
      </c>
      <c r="H112" s="18"/>
      <c r="I112" s="17"/>
      <c r="J112" s="19" t="s">
        <v>133</v>
      </c>
      <c r="K112" s="19" t="s">
        <v>903</v>
      </c>
      <c r="L112" s="19" t="s">
        <v>67</v>
      </c>
    </row>
    <row r="113" spans="1:17" s="1" customFormat="1">
      <c r="A113" s="15"/>
      <c r="B113" s="11" t="s">
        <v>315</v>
      </c>
      <c r="C113" s="11" t="s">
        <v>45</v>
      </c>
      <c r="D113" s="9" t="s">
        <v>112</v>
      </c>
      <c r="E113" s="16" t="s">
        <v>128</v>
      </c>
      <c r="F113" s="72"/>
      <c r="G113" s="17" t="s">
        <v>1145</v>
      </c>
      <c r="H113" s="18"/>
      <c r="I113" s="17"/>
      <c r="J113" s="19" t="s">
        <v>133</v>
      </c>
      <c r="K113" s="19" t="s">
        <v>44</v>
      </c>
      <c r="L113" s="19" t="s">
        <v>67</v>
      </c>
    </row>
    <row r="114" spans="1:17" s="1" customFormat="1">
      <c r="A114" s="15"/>
      <c r="B114" s="11" t="s">
        <v>2257</v>
      </c>
      <c r="C114" s="11" t="s">
        <v>43</v>
      </c>
      <c r="D114" s="9" t="s">
        <v>1281</v>
      </c>
      <c r="E114" s="16" t="s">
        <v>55</v>
      </c>
      <c r="F114" s="13"/>
      <c r="G114" s="13" t="s">
        <v>2258</v>
      </c>
      <c r="H114" s="18"/>
      <c r="I114" s="87">
        <v>20250415101139</v>
      </c>
      <c r="J114" s="19" t="s">
        <v>133</v>
      </c>
      <c r="K114" s="19" t="s">
        <v>44</v>
      </c>
      <c r="L114" s="19" t="s">
        <v>1306</v>
      </c>
    </row>
    <row r="115" spans="1:17" s="1" customFormat="1">
      <c r="A115" s="15"/>
      <c r="B115" s="11" t="s">
        <v>2259</v>
      </c>
      <c r="C115" s="11" t="s">
        <v>43</v>
      </c>
      <c r="D115" s="9" t="s">
        <v>1284</v>
      </c>
      <c r="E115" s="16" t="s">
        <v>55</v>
      </c>
      <c r="F115" s="13"/>
      <c r="G115" s="13" t="s">
        <v>2260</v>
      </c>
      <c r="H115" s="18"/>
      <c r="I115" s="87">
        <v>20250415101024</v>
      </c>
      <c r="J115" s="19" t="s">
        <v>133</v>
      </c>
      <c r="K115" s="19" t="s">
        <v>44</v>
      </c>
      <c r="L115" s="19" t="s">
        <v>1306</v>
      </c>
    </row>
    <row r="116" spans="1:17" s="3" customFormat="1">
      <c r="B116" s="23" t="s">
        <v>47</v>
      </c>
      <c r="C116" s="24" t="s">
        <v>46</v>
      </c>
      <c r="D116" s="21" t="s">
        <v>48</v>
      </c>
      <c r="E116" s="44"/>
      <c r="F116" s="44"/>
      <c r="G116" s="44" t="s">
        <v>282</v>
      </c>
      <c r="H116" s="23" t="s">
        <v>282</v>
      </c>
      <c r="I116" s="23"/>
      <c r="J116" s="23"/>
      <c r="K116" s="23"/>
      <c r="L116" s="23"/>
      <c r="M116" s="23"/>
      <c r="N116" s="23"/>
      <c r="O116" s="23"/>
      <c r="P116" s="23"/>
      <c r="Q116" s="23"/>
    </row>
    <row r="117" spans="1:17" s="3" customFormat="1">
      <c r="B117" s="23" t="s">
        <v>49</v>
      </c>
      <c r="C117" s="24" t="s">
        <v>43</v>
      </c>
      <c r="D117" s="21" t="s">
        <v>50</v>
      </c>
      <c r="E117" s="44"/>
      <c r="F117" s="44"/>
      <c r="G117" s="44" t="s">
        <v>282</v>
      </c>
      <c r="H117" s="23" t="s">
        <v>282</v>
      </c>
      <c r="I117" s="23"/>
      <c r="J117" s="23"/>
      <c r="K117" s="23"/>
      <c r="L117" s="23"/>
      <c r="M117" s="23"/>
      <c r="N117" s="23"/>
      <c r="O117" s="23"/>
      <c r="P117" s="23"/>
      <c r="Q117" s="23"/>
    </row>
    <row r="118" spans="1:17" s="3" customFormat="1">
      <c r="B118" s="23" t="s">
        <v>51</v>
      </c>
      <c r="C118" s="24" t="s">
        <v>46</v>
      </c>
      <c r="D118" s="21" t="s">
        <v>52</v>
      </c>
      <c r="E118" s="44"/>
      <c r="F118" s="44"/>
      <c r="G118" s="44" t="s">
        <v>282</v>
      </c>
      <c r="H118" s="23" t="s">
        <v>282</v>
      </c>
      <c r="I118" s="23"/>
      <c r="J118" s="23"/>
      <c r="K118" s="23"/>
      <c r="L118" s="23"/>
      <c r="M118" s="23"/>
      <c r="N118" s="23"/>
      <c r="O118" s="23"/>
      <c r="P118" s="23"/>
      <c r="Q118" s="23"/>
    </row>
  </sheetData>
  <autoFilter ref="A13:Q118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813E-08CD-4E8E-99AB-2774C3B166EF}">
  <dimension ref="A1:Q101"/>
  <sheetViews>
    <sheetView zoomScale="85" zoomScaleNormal="85" workbookViewId="0">
      <pane ySplit="5" topLeftCell="A6" activePane="bottomLeft" state="frozen"/>
      <selection pane="bottomLeft" activeCell="C9" sqref="C9:D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6.5546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2706</v>
      </c>
      <c r="D5" s="9" t="s">
        <v>2705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2680</v>
      </c>
      <c r="D9" s="10" t="s">
        <v>2681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1321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3" s="1" customFormat="1">
      <c r="A17" s="15"/>
      <c r="B17" s="22" t="s">
        <v>80</v>
      </c>
      <c r="C17" s="22" t="s">
        <v>94</v>
      </c>
      <c r="D17" s="9" t="s">
        <v>99</v>
      </c>
      <c r="E17" s="16" t="s">
        <v>128</v>
      </c>
      <c r="F17" s="17" t="s">
        <v>80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678</v>
      </c>
    </row>
    <row r="18" spans="1:13" s="1" customFormat="1">
      <c r="A18" s="15"/>
      <c r="B18" s="22" t="s">
        <v>318</v>
      </c>
      <c r="C18" s="22" t="s">
        <v>94</v>
      </c>
      <c r="D18" s="9" t="s">
        <v>137</v>
      </c>
      <c r="E18" s="16" t="s">
        <v>128</v>
      </c>
      <c r="F18" s="17" t="s">
        <v>138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22" t="s">
        <v>273</v>
      </c>
      <c r="C19" s="22" t="s">
        <v>94</v>
      </c>
      <c r="D19" s="9" t="s">
        <v>100</v>
      </c>
      <c r="E19" s="16" t="s">
        <v>128</v>
      </c>
      <c r="F19" s="9" t="s">
        <v>123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124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679</v>
      </c>
    </row>
    <row r="21" spans="1:13" s="1" customFormat="1">
      <c r="A21" s="15"/>
      <c r="B21" s="11" t="s">
        <v>95</v>
      </c>
      <c r="C21" s="11" t="s">
        <v>93</v>
      </c>
      <c r="D21" s="9" t="s">
        <v>114</v>
      </c>
      <c r="E21" s="16" t="s">
        <v>128</v>
      </c>
      <c r="F21" s="9" t="s">
        <v>95</v>
      </c>
      <c r="G21" s="17" t="s">
        <v>129</v>
      </c>
      <c r="H21" s="18"/>
      <c r="I21" s="35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78</v>
      </c>
      <c r="C22" s="11" t="s">
        <v>93</v>
      </c>
      <c r="D22" s="9" t="s">
        <v>103</v>
      </c>
      <c r="E22" s="16" t="s">
        <v>128</v>
      </c>
      <c r="F22" s="17" t="s">
        <v>78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1179</v>
      </c>
      <c r="C23" s="11" t="s">
        <v>43</v>
      </c>
      <c r="D23" s="9" t="s">
        <v>57</v>
      </c>
      <c r="E23" s="16" t="s">
        <v>128</v>
      </c>
      <c r="F23" s="17" t="s">
        <v>81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58</v>
      </c>
      <c r="C24" s="11" t="s">
        <v>43</v>
      </c>
      <c r="D24" s="9" t="s">
        <v>59</v>
      </c>
      <c r="E24" s="16" t="s">
        <v>128</v>
      </c>
      <c r="F24" s="9" t="s">
        <v>58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82</v>
      </c>
      <c r="C25" s="11" t="s">
        <v>43</v>
      </c>
      <c r="D25" s="9" t="s">
        <v>105</v>
      </c>
      <c r="E25" s="16" t="s">
        <v>128</v>
      </c>
      <c r="F25" s="17" t="s">
        <v>82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A26" s="15"/>
      <c r="B26" s="11" t="s">
        <v>83</v>
      </c>
      <c r="C26" s="11" t="s">
        <v>43</v>
      </c>
      <c r="D26" s="9" t="s">
        <v>135</v>
      </c>
      <c r="E26" s="16" t="s">
        <v>128</v>
      </c>
      <c r="F26" s="17" t="s">
        <v>83</v>
      </c>
      <c r="G26" s="17" t="s">
        <v>129</v>
      </c>
      <c r="H26" s="18"/>
      <c r="I26" s="20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22" t="s">
        <v>195</v>
      </c>
      <c r="C27" s="11" t="s">
        <v>43</v>
      </c>
      <c r="D27" s="9" t="s">
        <v>106</v>
      </c>
      <c r="E27" s="16" t="s">
        <v>128</v>
      </c>
      <c r="F27" s="17" t="s">
        <v>84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B28" s="22" t="s">
        <v>85</v>
      </c>
      <c r="C28" s="11" t="s">
        <v>43</v>
      </c>
      <c r="D28" s="9" t="s">
        <v>107</v>
      </c>
      <c r="E28" s="16" t="s">
        <v>128</v>
      </c>
      <c r="F28" s="17" t="s">
        <v>85</v>
      </c>
      <c r="G28" s="17" t="s">
        <v>129</v>
      </c>
      <c r="H28" s="18"/>
      <c r="I28" s="19"/>
      <c r="J28" s="19" t="s">
        <v>131</v>
      </c>
      <c r="K28" s="19" t="s">
        <v>132</v>
      </c>
      <c r="L28" s="19" t="s">
        <v>44</v>
      </c>
    </row>
    <row r="29" spans="1:13" s="1" customFormat="1">
      <c r="B29" s="22" t="s">
        <v>86</v>
      </c>
      <c r="C29" s="11" t="s">
        <v>43</v>
      </c>
      <c r="D29" s="9" t="s">
        <v>108</v>
      </c>
      <c r="E29" s="16" t="s">
        <v>128</v>
      </c>
      <c r="F29" s="17" t="s">
        <v>86</v>
      </c>
      <c r="G29" s="17" t="s">
        <v>129</v>
      </c>
      <c r="H29" s="18"/>
      <c r="I29" s="19"/>
      <c r="J29" s="19" t="s">
        <v>131</v>
      </c>
      <c r="K29" s="19" t="s">
        <v>132</v>
      </c>
      <c r="L29" s="19" t="s">
        <v>44</v>
      </c>
    </row>
    <row r="30" spans="1:13" s="15" customFormat="1">
      <c r="B30" s="22" t="s">
        <v>87</v>
      </c>
      <c r="C30" s="11" t="s">
        <v>43</v>
      </c>
      <c r="D30" s="9" t="s">
        <v>109</v>
      </c>
      <c r="E30" s="16" t="s">
        <v>128</v>
      </c>
      <c r="F30" s="17" t="s">
        <v>87</v>
      </c>
      <c r="G30" s="17" t="s">
        <v>129</v>
      </c>
      <c r="H30" s="18"/>
      <c r="I30" s="20"/>
      <c r="J30" s="19" t="s">
        <v>131</v>
      </c>
      <c r="K30" s="19" t="s">
        <v>132</v>
      </c>
      <c r="L30" s="19" t="s">
        <v>679</v>
      </c>
      <c r="M30" s="1"/>
    </row>
    <row r="31" spans="1:13" s="15" customFormat="1">
      <c r="B31" s="22" t="s">
        <v>88</v>
      </c>
      <c r="C31" s="11" t="s">
        <v>43</v>
      </c>
      <c r="D31" s="9" t="s">
        <v>110</v>
      </c>
      <c r="E31" s="16" t="s">
        <v>128</v>
      </c>
      <c r="F31" s="17" t="s">
        <v>88</v>
      </c>
      <c r="G31" s="17" t="s">
        <v>129</v>
      </c>
      <c r="H31" s="18"/>
      <c r="I31" s="20"/>
      <c r="J31" s="19" t="s">
        <v>131</v>
      </c>
      <c r="K31" s="19" t="s">
        <v>132</v>
      </c>
      <c r="L31" s="19" t="s">
        <v>44</v>
      </c>
      <c r="M31" s="1"/>
    </row>
    <row r="32" spans="1:13" s="68" customFormat="1">
      <c r="A32" s="65"/>
      <c r="B32" s="66" t="s">
        <v>89</v>
      </c>
      <c r="C32" s="11" t="s">
        <v>43</v>
      </c>
      <c r="D32" s="9" t="s">
        <v>111</v>
      </c>
      <c r="E32" s="16" t="s">
        <v>128</v>
      </c>
      <c r="F32" s="17" t="s">
        <v>89</v>
      </c>
      <c r="G32" s="17" t="s">
        <v>129</v>
      </c>
      <c r="H32" s="18"/>
      <c r="I32" s="67"/>
      <c r="J32" s="19" t="s">
        <v>131</v>
      </c>
      <c r="K32" s="19" t="s">
        <v>132</v>
      </c>
      <c r="L32" s="19" t="s">
        <v>44</v>
      </c>
      <c r="M32" s="1"/>
    </row>
    <row r="33" spans="1:12" s="1" customFormat="1">
      <c r="A33" s="15"/>
      <c r="B33" s="11" t="s">
        <v>139</v>
      </c>
      <c r="C33" s="11" t="s">
        <v>43</v>
      </c>
      <c r="D33" s="9" t="s">
        <v>115</v>
      </c>
      <c r="E33" s="16" t="s">
        <v>128</v>
      </c>
      <c r="F33" s="17" t="s">
        <v>139</v>
      </c>
      <c r="G33" s="17" t="s">
        <v>129</v>
      </c>
      <c r="H33" s="18"/>
      <c r="I33" s="17"/>
      <c r="J33" s="19" t="s">
        <v>131</v>
      </c>
      <c r="K33" s="19" t="s">
        <v>132</v>
      </c>
      <c r="L33" s="19" t="s">
        <v>44</v>
      </c>
    </row>
    <row r="34" spans="1:12" s="1" customFormat="1">
      <c r="A34" s="15"/>
      <c r="B34" s="11" t="s">
        <v>2707</v>
      </c>
      <c r="C34" s="11" t="s">
        <v>45</v>
      </c>
      <c r="D34" s="9" t="s">
        <v>190</v>
      </c>
      <c r="E34" s="16" t="s">
        <v>128</v>
      </c>
      <c r="F34" s="17"/>
      <c r="G34" s="17" t="s">
        <v>2698</v>
      </c>
      <c r="H34" s="18"/>
      <c r="I34" s="17"/>
      <c r="J34" s="19" t="s">
        <v>133</v>
      </c>
      <c r="K34" s="19" t="s">
        <v>132</v>
      </c>
      <c r="L34" s="19" t="s">
        <v>134</v>
      </c>
    </row>
    <row r="35" spans="1:12" s="1" customFormat="1">
      <c r="A35" s="15"/>
      <c r="B35" s="22" t="s">
        <v>1475</v>
      </c>
      <c r="C35" s="22" t="s">
        <v>45</v>
      </c>
      <c r="D35" s="9" t="s">
        <v>348</v>
      </c>
      <c r="E35" s="16" t="s">
        <v>128</v>
      </c>
      <c r="F35" s="17"/>
      <c r="G35" s="17" t="s">
        <v>1667</v>
      </c>
      <c r="H35" s="18"/>
      <c r="I35" s="17"/>
      <c r="J35" s="19" t="s">
        <v>133</v>
      </c>
      <c r="K35" s="19" t="s">
        <v>203</v>
      </c>
      <c r="L35" s="19" t="s">
        <v>134</v>
      </c>
    </row>
    <row r="36" spans="1:12" s="1" customFormat="1">
      <c r="A36" s="15"/>
      <c r="B36" s="11" t="s">
        <v>1476</v>
      </c>
      <c r="C36" s="11" t="s">
        <v>45</v>
      </c>
      <c r="D36" s="9" t="s">
        <v>759</v>
      </c>
      <c r="E36" s="16" t="s">
        <v>128</v>
      </c>
      <c r="F36" s="72"/>
      <c r="G36" s="17" t="s">
        <v>1200</v>
      </c>
      <c r="H36" s="18"/>
      <c r="I36" s="17"/>
      <c r="J36" s="19" t="s">
        <v>133</v>
      </c>
      <c r="K36" s="19" t="s">
        <v>204</v>
      </c>
      <c r="L36" s="19" t="s">
        <v>134</v>
      </c>
    </row>
    <row r="37" spans="1:12" s="1" customFormat="1">
      <c r="A37" s="15"/>
      <c r="B37" s="11" t="s">
        <v>1477</v>
      </c>
      <c r="C37" s="11" t="s">
        <v>45</v>
      </c>
      <c r="D37" s="9" t="s">
        <v>160</v>
      </c>
      <c r="E37" s="16" t="s">
        <v>128</v>
      </c>
      <c r="F37" s="72"/>
      <c r="G37" s="17" t="s">
        <v>1201</v>
      </c>
      <c r="H37" s="18"/>
      <c r="I37" s="17"/>
      <c r="J37" s="19" t="s">
        <v>133</v>
      </c>
      <c r="K37" s="19" t="s">
        <v>204</v>
      </c>
      <c r="L37" s="19" t="s">
        <v>134</v>
      </c>
    </row>
    <row r="38" spans="1:12" s="1" customFormat="1">
      <c r="A38" s="15"/>
      <c r="B38" s="11" t="s">
        <v>3241</v>
      </c>
      <c r="C38" s="11" t="s">
        <v>45</v>
      </c>
      <c r="D38" s="9" t="s">
        <v>181</v>
      </c>
      <c r="E38" s="16" t="s">
        <v>128</v>
      </c>
      <c r="F38" s="72"/>
      <c r="G38" s="17" t="s">
        <v>1075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3242</v>
      </c>
      <c r="C39" s="11" t="s">
        <v>45</v>
      </c>
      <c r="D39" s="9" t="s">
        <v>183</v>
      </c>
      <c r="E39" s="16" t="s">
        <v>128</v>
      </c>
      <c r="F39" s="72"/>
      <c r="G39" s="17" t="s">
        <v>1077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3243</v>
      </c>
      <c r="C40" s="11" t="s">
        <v>45</v>
      </c>
      <c r="D40" s="9" t="s">
        <v>182</v>
      </c>
      <c r="E40" s="16" t="s">
        <v>128</v>
      </c>
      <c r="F40" s="72"/>
      <c r="G40" s="17" t="s">
        <v>1079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3244</v>
      </c>
      <c r="C41" s="11" t="s">
        <v>45</v>
      </c>
      <c r="D41" s="9" t="s">
        <v>184</v>
      </c>
      <c r="E41" s="16" t="s">
        <v>128</v>
      </c>
      <c r="F41" s="72"/>
      <c r="G41" s="17" t="s">
        <v>1110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3245</v>
      </c>
      <c r="C42" s="11" t="s">
        <v>45</v>
      </c>
      <c r="D42" s="9" t="s">
        <v>186</v>
      </c>
      <c r="E42" s="16" t="s">
        <v>128</v>
      </c>
      <c r="F42" s="72"/>
      <c r="G42" s="17" t="s">
        <v>1111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3246</v>
      </c>
      <c r="C43" s="11" t="s">
        <v>45</v>
      </c>
      <c r="D43" s="9" t="s">
        <v>185</v>
      </c>
      <c r="E43" s="16" t="s">
        <v>128</v>
      </c>
      <c r="F43" s="72"/>
      <c r="G43" s="17" t="s">
        <v>1112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3247</v>
      </c>
      <c r="C44" s="11" t="s">
        <v>45</v>
      </c>
      <c r="D44" s="9" t="s">
        <v>187</v>
      </c>
      <c r="E44" s="16" t="s">
        <v>128</v>
      </c>
      <c r="F44" s="72"/>
      <c r="G44" s="17" t="s">
        <v>1113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1462</v>
      </c>
      <c r="C45" s="11" t="s">
        <v>45</v>
      </c>
      <c r="D45" s="9" t="s">
        <v>1056</v>
      </c>
      <c r="E45" s="16" t="s">
        <v>128</v>
      </c>
      <c r="F45" s="72"/>
      <c r="G45" s="17" t="s">
        <v>224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1463</v>
      </c>
      <c r="C46" s="11" t="s">
        <v>45</v>
      </c>
      <c r="D46" s="9" t="s">
        <v>1055</v>
      </c>
      <c r="E46" s="16" t="s">
        <v>128</v>
      </c>
      <c r="F46" s="72"/>
      <c r="G46" s="17" t="s">
        <v>223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3233</v>
      </c>
      <c r="C47" s="11" t="s">
        <v>45</v>
      </c>
      <c r="D47" s="9" t="s">
        <v>163</v>
      </c>
      <c r="E47" s="16" t="s">
        <v>128</v>
      </c>
      <c r="F47" s="72"/>
      <c r="G47" s="17" t="s">
        <v>225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3234</v>
      </c>
      <c r="C48" s="11" t="s">
        <v>45</v>
      </c>
      <c r="D48" s="9" t="s">
        <v>164</v>
      </c>
      <c r="E48" s="16" t="s">
        <v>128</v>
      </c>
      <c r="F48" s="72"/>
      <c r="G48" s="17" t="s">
        <v>226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3235</v>
      </c>
      <c r="C49" s="11" t="s">
        <v>45</v>
      </c>
      <c r="D49" s="9" t="s">
        <v>165</v>
      </c>
      <c r="E49" s="16" t="s">
        <v>128</v>
      </c>
      <c r="F49" s="72"/>
      <c r="G49" s="17" t="s">
        <v>1114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3236</v>
      </c>
      <c r="C50" s="11" t="s">
        <v>45</v>
      </c>
      <c r="D50" s="9" t="s">
        <v>166</v>
      </c>
      <c r="E50" s="16" t="s">
        <v>128</v>
      </c>
      <c r="F50" s="72"/>
      <c r="G50" s="17" t="s">
        <v>1115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307</v>
      </c>
      <c r="C51" s="11" t="s">
        <v>45</v>
      </c>
      <c r="D51" s="9" t="s">
        <v>171</v>
      </c>
      <c r="E51" s="16" t="s">
        <v>128</v>
      </c>
      <c r="F51" s="72"/>
      <c r="G51" s="17" t="s">
        <v>1116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308</v>
      </c>
      <c r="C52" s="11" t="s">
        <v>45</v>
      </c>
      <c r="D52" s="9" t="s">
        <v>172</v>
      </c>
      <c r="E52" s="16" t="s">
        <v>128</v>
      </c>
      <c r="F52" s="72"/>
      <c r="G52" s="17" t="s">
        <v>1117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309</v>
      </c>
      <c r="C53" s="11" t="s">
        <v>45</v>
      </c>
      <c r="D53" s="9" t="s">
        <v>173</v>
      </c>
      <c r="E53" s="16" t="s">
        <v>128</v>
      </c>
      <c r="F53" s="72"/>
      <c r="G53" s="17" t="s">
        <v>1118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310</v>
      </c>
      <c r="C54" s="11" t="s">
        <v>45</v>
      </c>
      <c r="D54" s="9" t="s">
        <v>174</v>
      </c>
      <c r="E54" s="16" t="s">
        <v>128</v>
      </c>
      <c r="F54" s="72"/>
      <c r="G54" s="17" t="s">
        <v>1119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304</v>
      </c>
      <c r="C55" s="11" t="s">
        <v>45</v>
      </c>
      <c r="D55" s="9" t="s">
        <v>1260</v>
      </c>
      <c r="E55" s="16" t="s">
        <v>128</v>
      </c>
      <c r="F55" s="72"/>
      <c r="G55" s="17" t="s">
        <v>227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305</v>
      </c>
      <c r="C56" s="11" t="s">
        <v>45</v>
      </c>
      <c r="D56" s="9" t="s">
        <v>1261</v>
      </c>
      <c r="E56" s="16" t="s">
        <v>128</v>
      </c>
      <c r="F56" s="72"/>
      <c r="G56" s="17" t="s">
        <v>228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306</v>
      </c>
      <c r="C57" s="11" t="s">
        <v>45</v>
      </c>
      <c r="D57" s="9" t="s">
        <v>167</v>
      </c>
      <c r="E57" s="16" t="s">
        <v>128</v>
      </c>
      <c r="F57" s="72"/>
      <c r="G57" s="17" t="s">
        <v>772</v>
      </c>
      <c r="H57" s="18"/>
      <c r="I57" s="17"/>
      <c r="J57" s="19" t="s">
        <v>133</v>
      </c>
      <c r="K57" s="19" t="s">
        <v>202</v>
      </c>
      <c r="L57" s="19" t="s">
        <v>67</v>
      </c>
    </row>
    <row r="58" spans="1:12" s="1" customFormat="1">
      <c r="A58" s="15"/>
      <c r="B58" s="11" t="s">
        <v>2711</v>
      </c>
      <c r="C58" s="11" t="s">
        <v>45</v>
      </c>
      <c r="D58" s="9" t="s">
        <v>175</v>
      </c>
      <c r="E58" s="16" t="s">
        <v>128</v>
      </c>
      <c r="F58" s="72"/>
      <c r="G58" s="17" t="s">
        <v>1120</v>
      </c>
      <c r="H58" s="18"/>
      <c r="I58" s="17"/>
      <c r="J58" s="19" t="s">
        <v>133</v>
      </c>
      <c r="K58" s="19" t="s">
        <v>44</v>
      </c>
      <c r="L58" s="19" t="s">
        <v>67</v>
      </c>
    </row>
    <row r="59" spans="1:12" s="1" customFormat="1">
      <c r="A59" s="15"/>
      <c r="B59" s="11" t="s">
        <v>2708</v>
      </c>
      <c r="C59" s="11" t="s">
        <v>45</v>
      </c>
      <c r="D59" s="9" t="s">
        <v>168</v>
      </c>
      <c r="E59" s="16" t="s">
        <v>128</v>
      </c>
      <c r="F59" s="72"/>
      <c r="G59" s="17" t="s">
        <v>778</v>
      </c>
      <c r="H59" s="18"/>
      <c r="I59" s="17"/>
      <c r="J59" s="19" t="s">
        <v>133</v>
      </c>
      <c r="K59" s="19" t="s">
        <v>202</v>
      </c>
      <c r="L59" s="19" t="s">
        <v>67</v>
      </c>
    </row>
    <row r="60" spans="1:12" s="1" customFormat="1">
      <c r="A60" s="15"/>
      <c r="B60" s="11" t="s">
        <v>2712</v>
      </c>
      <c r="C60" s="11" t="s">
        <v>45</v>
      </c>
      <c r="D60" s="9" t="s">
        <v>176</v>
      </c>
      <c r="E60" s="16" t="s">
        <v>128</v>
      </c>
      <c r="F60" s="72"/>
      <c r="G60" s="17" t="s">
        <v>1121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3237</v>
      </c>
      <c r="C61" s="11" t="s">
        <v>45</v>
      </c>
      <c r="D61" s="9" t="s">
        <v>178</v>
      </c>
      <c r="E61" s="16" t="s">
        <v>128</v>
      </c>
      <c r="F61" s="72"/>
      <c r="G61" s="17" t="s">
        <v>2266</v>
      </c>
      <c r="H61" s="18"/>
      <c r="I61" s="17"/>
      <c r="J61" s="19" t="s">
        <v>133</v>
      </c>
      <c r="K61" s="19" t="s">
        <v>202</v>
      </c>
      <c r="L61" s="19" t="s">
        <v>67</v>
      </c>
    </row>
    <row r="62" spans="1:12" s="1" customFormat="1">
      <c r="A62" s="15"/>
      <c r="B62" s="11" t="s">
        <v>3238</v>
      </c>
      <c r="C62" s="11" t="s">
        <v>45</v>
      </c>
      <c r="D62" s="9" t="s">
        <v>177</v>
      </c>
      <c r="E62" s="16" t="s">
        <v>128</v>
      </c>
      <c r="F62" s="72"/>
      <c r="G62" s="17" t="s">
        <v>1122</v>
      </c>
      <c r="H62" s="18"/>
      <c r="I62" s="17"/>
      <c r="J62" s="19" t="s">
        <v>133</v>
      </c>
      <c r="K62" s="19" t="s">
        <v>204</v>
      </c>
      <c r="L62" s="19" t="s">
        <v>67</v>
      </c>
    </row>
    <row r="63" spans="1:12" s="1" customFormat="1">
      <c r="A63" s="15"/>
      <c r="B63" s="11" t="s">
        <v>3239</v>
      </c>
      <c r="C63" s="11" t="s">
        <v>45</v>
      </c>
      <c r="D63" s="9" t="s">
        <v>180</v>
      </c>
      <c r="E63" s="16" t="s">
        <v>128</v>
      </c>
      <c r="F63" s="72"/>
      <c r="G63" s="17" t="s">
        <v>2267</v>
      </c>
      <c r="H63" s="18"/>
      <c r="I63" s="17"/>
      <c r="J63" s="19" t="s">
        <v>133</v>
      </c>
      <c r="K63" s="19" t="s">
        <v>202</v>
      </c>
      <c r="L63" s="19" t="s">
        <v>67</v>
      </c>
    </row>
    <row r="64" spans="1:12" s="1" customFormat="1">
      <c r="A64" s="15"/>
      <c r="B64" s="11" t="s">
        <v>3240</v>
      </c>
      <c r="C64" s="11" t="s">
        <v>45</v>
      </c>
      <c r="D64" s="9" t="s">
        <v>179</v>
      </c>
      <c r="E64" s="16" t="s">
        <v>128</v>
      </c>
      <c r="F64" s="72"/>
      <c r="G64" s="17" t="s">
        <v>1123</v>
      </c>
      <c r="H64" s="18"/>
      <c r="I64" s="17"/>
      <c r="J64" s="19" t="s">
        <v>133</v>
      </c>
      <c r="K64" s="19" t="s">
        <v>204</v>
      </c>
      <c r="L64" s="19" t="s">
        <v>67</v>
      </c>
    </row>
    <row r="65" spans="1:12" s="1" customFormat="1">
      <c r="A65" s="15"/>
      <c r="B65" s="11" t="s">
        <v>2686</v>
      </c>
      <c r="C65" s="11" t="s">
        <v>45</v>
      </c>
      <c r="D65" s="9" t="s">
        <v>147</v>
      </c>
      <c r="E65" s="16" t="s">
        <v>128</v>
      </c>
      <c r="F65" s="72"/>
      <c r="G65" s="17" t="s">
        <v>1126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1651</v>
      </c>
      <c r="C66" s="11" t="s">
        <v>280</v>
      </c>
      <c r="D66" s="9" t="s">
        <v>820</v>
      </c>
      <c r="E66" s="16" t="s">
        <v>128</v>
      </c>
      <c r="F66" s="72"/>
      <c r="G66" s="17" t="s">
        <v>1081</v>
      </c>
      <c r="H66" s="18"/>
      <c r="I66" s="17"/>
      <c r="J66" s="19" t="s">
        <v>133</v>
      </c>
      <c r="K66" s="19" t="s">
        <v>202</v>
      </c>
      <c r="L66" s="19" t="s">
        <v>67</v>
      </c>
    </row>
    <row r="67" spans="1:12" s="1" customFormat="1">
      <c r="A67" s="15"/>
      <c r="B67" s="11" t="s">
        <v>2715</v>
      </c>
      <c r="C67" s="11" t="s">
        <v>45</v>
      </c>
      <c r="D67" s="9" t="s">
        <v>1771</v>
      </c>
      <c r="E67" s="16" t="s">
        <v>128</v>
      </c>
      <c r="F67" s="72"/>
      <c r="G67" s="17" t="s">
        <v>1211</v>
      </c>
      <c r="H67" s="18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" t="s">
        <v>3249</v>
      </c>
      <c r="C68" s="11" t="s">
        <v>45</v>
      </c>
      <c r="D68" s="9" t="s">
        <v>1018</v>
      </c>
      <c r="E68" s="16" t="s">
        <v>128</v>
      </c>
      <c r="F68" s="72"/>
      <c r="G68" s="17" t="s">
        <v>1127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287</v>
      </c>
      <c r="C69" s="11" t="s">
        <v>45</v>
      </c>
      <c r="D69" s="9" t="s">
        <v>1019</v>
      </c>
      <c r="E69" s="16" t="s">
        <v>128</v>
      </c>
      <c r="F69" s="72"/>
      <c r="G69" s="17" t="s">
        <v>1128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288</v>
      </c>
      <c r="C70" s="11" t="s">
        <v>45</v>
      </c>
      <c r="D70" s="9" t="s">
        <v>1020</v>
      </c>
      <c r="E70" s="16" t="s">
        <v>128</v>
      </c>
      <c r="F70" s="72"/>
      <c r="G70" s="17" t="s">
        <v>1129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289</v>
      </c>
      <c r="C71" s="11" t="s">
        <v>45</v>
      </c>
      <c r="D71" s="9" t="s">
        <v>1021</v>
      </c>
      <c r="E71" s="16" t="s">
        <v>128</v>
      </c>
      <c r="F71" s="72"/>
      <c r="G71" s="17" t="s">
        <v>1130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290</v>
      </c>
      <c r="C72" s="11" t="s">
        <v>45</v>
      </c>
      <c r="D72" s="9" t="s">
        <v>1042</v>
      </c>
      <c r="E72" s="16" t="s">
        <v>128</v>
      </c>
      <c r="F72" s="72"/>
      <c r="G72" s="17" t="s">
        <v>1131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2687</v>
      </c>
      <c r="C73" s="11" t="s">
        <v>45</v>
      </c>
      <c r="D73" s="9" t="s">
        <v>153</v>
      </c>
      <c r="E73" s="16" t="s">
        <v>128</v>
      </c>
      <c r="F73" s="72"/>
      <c r="G73" s="17" t="s">
        <v>1132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823</v>
      </c>
      <c r="C74" s="11" t="s">
        <v>280</v>
      </c>
      <c r="D74" s="9" t="s">
        <v>1474</v>
      </c>
      <c r="E74" s="16" t="s">
        <v>128</v>
      </c>
      <c r="F74" s="72"/>
      <c r="G74" s="17" t="s">
        <v>1082</v>
      </c>
      <c r="H74" s="18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1793</v>
      </c>
      <c r="C75" s="11" t="s">
        <v>45</v>
      </c>
      <c r="D75" s="9" t="s">
        <v>1772</v>
      </c>
      <c r="E75" s="16" t="s">
        <v>128</v>
      </c>
      <c r="F75" s="72"/>
      <c r="G75" s="17" t="s">
        <v>1626</v>
      </c>
      <c r="H75" s="18"/>
      <c r="I75" s="17"/>
      <c r="J75" s="19" t="s">
        <v>133</v>
      </c>
      <c r="K75" s="19" t="s">
        <v>202</v>
      </c>
      <c r="L75" s="19" t="s">
        <v>67</v>
      </c>
    </row>
    <row r="76" spans="1:12" s="1" customFormat="1">
      <c r="A76" s="15"/>
      <c r="B76" s="11" t="s">
        <v>3250</v>
      </c>
      <c r="C76" s="11" t="s">
        <v>45</v>
      </c>
      <c r="D76" s="9" t="s">
        <v>1026</v>
      </c>
      <c r="E76" s="16" t="s">
        <v>128</v>
      </c>
      <c r="F76" s="72"/>
      <c r="G76" s="17" t="s">
        <v>1133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292</v>
      </c>
      <c r="C77" s="11" t="s">
        <v>45</v>
      </c>
      <c r="D77" s="9" t="s">
        <v>1027</v>
      </c>
      <c r="E77" s="16" t="s">
        <v>128</v>
      </c>
      <c r="F77" s="72"/>
      <c r="G77" s="17" t="s">
        <v>1134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293</v>
      </c>
      <c r="C78" s="11" t="s">
        <v>45</v>
      </c>
      <c r="D78" s="9" t="s">
        <v>1028</v>
      </c>
      <c r="E78" s="16" t="s">
        <v>128</v>
      </c>
      <c r="F78" s="72"/>
      <c r="G78" s="17" t="s">
        <v>1135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294</v>
      </c>
      <c r="C79" s="11" t="s">
        <v>45</v>
      </c>
      <c r="D79" s="9" t="s">
        <v>1029</v>
      </c>
      <c r="E79" s="16" t="s">
        <v>128</v>
      </c>
      <c r="F79" s="72"/>
      <c r="G79" s="17" t="s">
        <v>1136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295</v>
      </c>
      <c r="C80" s="11" t="s">
        <v>45</v>
      </c>
      <c r="D80" s="9" t="s">
        <v>1043</v>
      </c>
      <c r="E80" s="16" t="s">
        <v>128</v>
      </c>
      <c r="F80" s="72"/>
      <c r="G80" s="17" t="s">
        <v>1137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1083</v>
      </c>
      <c r="C81" s="11" t="s">
        <v>280</v>
      </c>
      <c r="D81" s="9" t="s">
        <v>2716</v>
      </c>
      <c r="E81" s="16" t="s">
        <v>128</v>
      </c>
      <c r="F81" s="72"/>
      <c r="G81" s="17" t="s">
        <v>1866</v>
      </c>
      <c r="H81" s="18"/>
      <c r="I81" s="17"/>
      <c r="J81" s="19" t="s">
        <v>133</v>
      </c>
      <c r="K81" s="19" t="s">
        <v>202</v>
      </c>
      <c r="L81" s="19" t="s">
        <v>67</v>
      </c>
    </row>
    <row r="82" spans="1:12" s="1" customFormat="1">
      <c r="A82" s="15"/>
      <c r="B82" s="11" t="s">
        <v>1794</v>
      </c>
      <c r="C82" s="11" t="s">
        <v>280</v>
      </c>
      <c r="D82" s="9" t="s">
        <v>2717</v>
      </c>
      <c r="E82" s="16" t="s">
        <v>128</v>
      </c>
      <c r="F82" s="72"/>
      <c r="G82" s="17" t="s">
        <v>1867</v>
      </c>
      <c r="H82" s="18"/>
      <c r="I82" s="17"/>
      <c r="J82" s="19" t="s">
        <v>133</v>
      </c>
      <c r="K82" s="19" t="s">
        <v>202</v>
      </c>
      <c r="L82" s="19" t="s">
        <v>67</v>
      </c>
    </row>
    <row r="83" spans="1:12" s="1" customFormat="1">
      <c r="A83" s="15"/>
      <c r="B83" s="11" t="s">
        <v>2709</v>
      </c>
      <c r="C83" s="11" t="s">
        <v>280</v>
      </c>
      <c r="D83" s="9" t="s">
        <v>2720</v>
      </c>
      <c r="E83" s="16" t="s">
        <v>128</v>
      </c>
      <c r="F83" s="72"/>
      <c r="G83" s="17" t="s">
        <v>1088</v>
      </c>
      <c r="H83" s="18"/>
      <c r="I83" s="17"/>
      <c r="J83" s="19" t="s">
        <v>133</v>
      </c>
      <c r="K83" s="19" t="s">
        <v>202</v>
      </c>
      <c r="L83" s="19" t="s">
        <v>67</v>
      </c>
    </row>
    <row r="84" spans="1:12" s="1" customFormat="1">
      <c r="A84" s="15"/>
      <c r="B84" s="11" t="s">
        <v>2718</v>
      </c>
      <c r="C84" s="11" t="s">
        <v>2396</v>
      </c>
      <c r="D84" s="9" t="s">
        <v>2719</v>
      </c>
      <c r="E84" s="16" t="s">
        <v>128</v>
      </c>
      <c r="F84" s="72"/>
      <c r="G84" s="17" t="s">
        <v>2425</v>
      </c>
      <c r="H84" s="18"/>
      <c r="I84" s="17"/>
      <c r="J84" s="19" t="s">
        <v>133</v>
      </c>
      <c r="K84" s="19" t="s">
        <v>202</v>
      </c>
      <c r="L84" s="19" t="s">
        <v>67</v>
      </c>
    </row>
    <row r="85" spans="1:12" s="1" customFormat="1">
      <c r="A85" s="15"/>
      <c r="B85" s="11" t="s">
        <v>3248</v>
      </c>
      <c r="C85" s="11" t="s">
        <v>45</v>
      </c>
      <c r="D85" s="9" t="s">
        <v>658</v>
      </c>
      <c r="E85" s="16" t="s">
        <v>128</v>
      </c>
      <c r="F85" s="72"/>
      <c r="G85" s="17" t="s">
        <v>1089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2710</v>
      </c>
      <c r="C86" s="11" t="s">
        <v>280</v>
      </c>
      <c r="D86" s="9" t="s">
        <v>2723</v>
      </c>
      <c r="E86" s="16" t="s">
        <v>128</v>
      </c>
      <c r="F86" s="72"/>
      <c r="G86" s="17" t="s">
        <v>1091</v>
      </c>
      <c r="H86" s="18"/>
      <c r="I86" s="17"/>
      <c r="J86" s="19" t="s">
        <v>133</v>
      </c>
      <c r="K86" s="19" t="s">
        <v>202</v>
      </c>
      <c r="L86" s="19" t="s">
        <v>67</v>
      </c>
    </row>
    <row r="87" spans="1:12" s="1" customFormat="1">
      <c r="A87" s="15"/>
      <c r="B87" s="11" t="s">
        <v>2721</v>
      </c>
      <c r="C87" s="11" t="s">
        <v>2396</v>
      </c>
      <c r="D87" s="9" t="s">
        <v>2722</v>
      </c>
      <c r="E87" s="16" t="s">
        <v>128</v>
      </c>
      <c r="F87" s="72"/>
      <c r="G87" s="17" t="s">
        <v>2426</v>
      </c>
      <c r="H87" s="18"/>
      <c r="I87" s="17"/>
      <c r="J87" s="19" t="s">
        <v>133</v>
      </c>
      <c r="K87" s="19" t="s">
        <v>202</v>
      </c>
      <c r="L87" s="19" t="s">
        <v>67</v>
      </c>
    </row>
    <row r="88" spans="1:12" s="1" customFormat="1">
      <c r="A88" s="15"/>
      <c r="B88" s="11" t="s">
        <v>2713</v>
      </c>
      <c r="C88" s="11" t="s">
        <v>45</v>
      </c>
      <c r="D88" s="9" t="s">
        <v>660</v>
      </c>
      <c r="E88" s="16" t="s">
        <v>128</v>
      </c>
      <c r="F88" s="72"/>
      <c r="G88" s="17" t="s">
        <v>1092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1662</v>
      </c>
      <c r="C89" s="11" t="s">
        <v>280</v>
      </c>
      <c r="D89" s="9" t="s">
        <v>517</v>
      </c>
      <c r="E89" s="16" t="s">
        <v>128</v>
      </c>
      <c r="F89" s="72"/>
      <c r="G89" s="17" t="s">
        <v>2696</v>
      </c>
      <c r="H89" s="18"/>
      <c r="I89" s="17"/>
      <c r="J89" s="19" t="s">
        <v>133</v>
      </c>
      <c r="K89" s="19" t="s">
        <v>203</v>
      </c>
      <c r="L89" s="19" t="s">
        <v>67</v>
      </c>
    </row>
    <row r="90" spans="1:12" s="1" customFormat="1">
      <c r="A90" s="15"/>
      <c r="B90" s="11" t="s">
        <v>1663</v>
      </c>
      <c r="C90" s="11" t="s">
        <v>280</v>
      </c>
      <c r="D90" s="9" t="s">
        <v>2691</v>
      </c>
      <c r="E90" s="16" t="s">
        <v>128</v>
      </c>
      <c r="F90" s="72"/>
      <c r="G90" s="17" t="s">
        <v>2697</v>
      </c>
      <c r="H90" s="18"/>
      <c r="I90" s="17"/>
      <c r="J90" s="19" t="s">
        <v>133</v>
      </c>
      <c r="K90" s="19" t="s">
        <v>203</v>
      </c>
      <c r="L90" s="19" t="s">
        <v>67</v>
      </c>
    </row>
    <row r="91" spans="1:12" s="1" customFormat="1">
      <c r="A91" s="15"/>
      <c r="B91" s="11" t="s">
        <v>2714</v>
      </c>
      <c r="C91" s="11" t="s">
        <v>45</v>
      </c>
      <c r="D91" s="9" t="s">
        <v>837</v>
      </c>
      <c r="E91" s="16" t="s">
        <v>128</v>
      </c>
      <c r="F91" s="72"/>
      <c r="G91" s="17" t="s">
        <v>1096</v>
      </c>
      <c r="H91" s="18"/>
      <c r="I91" s="17"/>
      <c r="J91" s="19" t="s">
        <v>133</v>
      </c>
      <c r="K91" s="19" t="s">
        <v>44</v>
      </c>
      <c r="L91" s="19" t="s">
        <v>67</v>
      </c>
    </row>
    <row r="92" spans="1:12" s="1" customFormat="1">
      <c r="A92" s="15"/>
      <c r="B92" s="11" t="s">
        <v>1665</v>
      </c>
      <c r="C92" s="11" t="s">
        <v>280</v>
      </c>
      <c r="D92" s="9" t="s">
        <v>836</v>
      </c>
      <c r="E92" s="16" t="s">
        <v>128</v>
      </c>
      <c r="F92" s="72"/>
      <c r="G92" s="17" t="s">
        <v>1099</v>
      </c>
      <c r="H92" s="18"/>
      <c r="I92" s="17"/>
      <c r="J92" s="19" t="s">
        <v>133</v>
      </c>
      <c r="K92" s="19" t="s">
        <v>202</v>
      </c>
      <c r="L92" s="19" t="s">
        <v>67</v>
      </c>
    </row>
    <row r="93" spans="1:12" s="1" customFormat="1">
      <c r="A93" s="15"/>
      <c r="B93" s="11" t="s">
        <v>2724</v>
      </c>
      <c r="C93" s="11" t="s">
        <v>2396</v>
      </c>
      <c r="D93" s="9" t="s">
        <v>2725</v>
      </c>
      <c r="E93" s="16" t="s">
        <v>128</v>
      </c>
      <c r="F93" s="72"/>
      <c r="G93" s="17" t="s">
        <v>1784</v>
      </c>
      <c r="H93" s="18"/>
      <c r="I93" s="17"/>
      <c r="J93" s="19" t="s">
        <v>133</v>
      </c>
      <c r="K93" s="19" t="s">
        <v>202</v>
      </c>
      <c r="L93" s="19" t="s">
        <v>67</v>
      </c>
    </row>
    <row r="94" spans="1:12" s="1" customFormat="1">
      <c r="A94" s="15"/>
      <c r="B94" s="11" t="s">
        <v>1420</v>
      </c>
      <c r="C94" s="11" t="s">
        <v>280</v>
      </c>
      <c r="D94" s="9" t="s">
        <v>534</v>
      </c>
      <c r="E94" s="16" t="s">
        <v>128</v>
      </c>
      <c r="F94" s="72"/>
      <c r="G94" s="17" t="s">
        <v>1103</v>
      </c>
      <c r="H94" s="18"/>
      <c r="I94" s="17"/>
      <c r="J94" s="19" t="s">
        <v>133</v>
      </c>
      <c r="K94" s="19" t="s">
        <v>202</v>
      </c>
      <c r="L94" s="19" t="s">
        <v>67</v>
      </c>
    </row>
    <row r="95" spans="1:12" s="1" customFormat="1">
      <c r="A95" s="15"/>
      <c r="B95" s="11" t="s">
        <v>1644</v>
      </c>
      <c r="C95" s="11" t="s">
        <v>45</v>
      </c>
      <c r="D95" s="9" t="s">
        <v>850</v>
      </c>
      <c r="E95" s="16" t="s">
        <v>128</v>
      </c>
      <c r="F95" s="72"/>
      <c r="G95" s="17" t="s">
        <v>2702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1643</v>
      </c>
      <c r="C96" s="11" t="s">
        <v>45</v>
      </c>
      <c r="D96" s="9" t="s">
        <v>116</v>
      </c>
      <c r="E96" s="16" t="s">
        <v>128</v>
      </c>
      <c r="F96" s="72"/>
      <c r="G96" s="17" t="s">
        <v>2703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7" s="1" customFormat="1">
      <c r="A97" s="15"/>
      <c r="B97" s="11" t="s">
        <v>1423</v>
      </c>
      <c r="C97" s="11" t="s">
        <v>280</v>
      </c>
      <c r="D97" s="9" t="s">
        <v>502</v>
      </c>
      <c r="E97" s="16" t="s">
        <v>128</v>
      </c>
      <c r="F97" s="72"/>
      <c r="G97" s="17" t="s">
        <v>1107</v>
      </c>
      <c r="H97" s="18"/>
      <c r="I97" s="17"/>
      <c r="J97" s="19" t="s">
        <v>133</v>
      </c>
      <c r="K97" s="19" t="s">
        <v>202</v>
      </c>
      <c r="L97" s="19" t="s">
        <v>67</v>
      </c>
    </row>
    <row r="98" spans="1:17" s="1" customFormat="1">
      <c r="A98" s="15"/>
      <c r="B98" s="11" t="s">
        <v>3251</v>
      </c>
      <c r="C98" s="11" t="s">
        <v>45</v>
      </c>
      <c r="D98" s="9" t="s">
        <v>112</v>
      </c>
      <c r="E98" s="16" t="s">
        <v>128</v>
      </c>
      <c r="F98" s="72"/>
      <c r="G98" s="17" t="s">
        <v>1145</v>
      </c>
      <c r="H98" s="18"/>
      <c r="I98" s="17"/>
      <c r="J98" s="19" t="s">
        <v>133</v>
      </c>
      <c r="K98" s="19" t="s">
        <v>44</v>
      </c>
      <c r="L98" s="19" t="s">
        <v>67</v>
      </c>
    </row>
    <row r="99" spans="1:17" s="3" customFormat="1">
      <c r="B99" s="23" t="s">
        <v>47</v>
      </c>
      <c r="C99" s="24" t="s">
        <v>46</v>
      </c>
      <c r="D99" s="21" t="s">
        <v>48</v>
      </c>
      <c r="E99" s="44"/>
      <c r="F99" s="44"/>
      <c r="G99" s="44" t="s">
        <v>282</v>
      </c>
      <c r="H99" s="23"/>
      <c r="I99" s="23"/>
      <c r="J99" s="23"/>
      <c r="K99" s="23"/>
      <c r="L99" s="23"/>
      <c r="M99" s="23"/>
      <c r="N99" s="23"/>
      <c r="O99" s="23"/>
      <c r="P99" s="23"/>
      <c r="Q99" s="23"/>
    </row>
    <row r="100" spans="1:17" s="3" customFormat="1">
      <c r="B100" s="23" t="s">
        <v>49</v>
      </c>
      <c r="C100" s="24" t="s">
        <v>43</v>
      </c>
      <c r="D100" s="21" t="s">
        <v>50</v>
      </c>
      <c r="E100" s="44"/>
      <c r="F100" s="44"/>
      <c r="G100" s="44" t="s">
        <v>282</v>
      </c>
      <c r="H100" s="23"/>
      <c r="I100" s="23"/>
      <c r="J100" s="23"/>
      <c r="K100" s="23"/>
      <c r="L100" s="23"/>
      <c r="M100" s="23"/>
      <c r="N100" s="23"/>
      <c r="O100" s="23"/>
      <c r="P100" s="23"/>
      <c r="Q100" s="23"/>
    </row>
    <row r="101" spans="1:17" s="3" customFormat="1">
      <c r="B101" s="23" t="s">
        <v>51</v>
      </c>
      <c r="C101" s="24" t="s">
        <v>46</v>
      </c>
      <c r="D101" s="21" t="s">
        <v>52</v>
      </c>
      <c r="E101" s="44"/>
      <c r="F101" s="44"/>
      <c r="G101" s="44" t="s">
        <v>282</v>
      </c>
      <c r="H101" s="23"/>
      <c r="I101" s="23"/>
      <c r="J101" s="23"/>
      <c r="K101" s="23"/>
      <c r="L101" s="23"/>
      <c r="M101" s="23"/>
      <c r="N101" s="23"/>
      <c r="O101" s="23"/>
      <c r="P101" s="23"/>
      <c r="Q101" s="23"/>
    </row>
  </sheetData>
  <autoFilter ref="A13:Q101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C637-8442-45C2-A38C-5D2F095C80DD}">
  <dimension ref="A1:Q109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8.2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2734</v>
      </c>
      <c r="D5" s="10" t="s">
        <v>2736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2684</v>
      </c>
      <c r="D9" s="10" t="s">
        <v>2685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3" s="1" customFormat="1">
      <c r="A17" s="15"/>
      <c r="B17" s="22" t="s">
        <v>80</v>
      </c>
      <c r="C17" s="22" t="s">
        <v>94</v>
      </c>
      <c r="D17" s="9" t="s">
        <v>99</v>
      </c>
      <c r="E17" s="16" t="s">
        <v>128</v>
      </c>
      <c r="F17" s="17" t="s">
        <v>80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678</v>
      </c>
    </row>
    <row r="18" spans="1:13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138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123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124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679</v>
      </c>
    </row>
    <row r="21" spans="1:13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318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273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272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95</v>
      </c>
      <c r="G24" s="17" t="s">
        <v>129</v>
      </c>
      <c r="H24" s="18"/>
      <c r="I24" s="35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B26" s="22" t="s">
        <v>86</v>
      </c>
      <c r="C26" s="11" t="s">
        <v>43</v>
      </c>
      <c r="D26" s="9" t="s">
        <v>108</v>
      </c>
      <c r="E26" s="16" t="s">
        <v>128</v>
      </c>
      <c r="F26" s="17" t="s">
        <v>86</v>
      </c>
      <c r="G26" s="17" t="s">
        <v>129</v>
      </c>
      <c r="H26" s="18"/>
      <c r="I26" s="19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81</v>
      </c>
      <c r="C27" s="11" t="s">
        <v>43</v>
      </c>
      <c r="D27" s="9" t="s">
        <v>57</v>
      </c>
      <c r="E27" s="16" t="s">
        <v>128</v>
      </c>
      <c r="F27" s="17" t="s">
        <v>81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A28" s="15"/>
      <c r="B28" s="11" t="s">
        <v>58</v>
      </c>
      <c r="C28" s="11" t="s">
        <v>43</v>
      </c>
      <c r="D28" s="9" t="s">
        <v>59</v>
      </c>
      <c r="E28" s="16" t="s">
        <v>128</v>
      </c>
      <c r="F28" s="9" t="s">
        <v>58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3" s="1" customFormat="1">
      <c r="A29" s="15"/>
      <c r="B29" s="11" t="s">
        <v>82</v>
      </c>
      <c r="C29" s="11" t="s">
        <v>43</v>
      </c>
      <c r="D29" s="9" t="s">
        <v>105</v>
      </c>
      <c r="E29" s="16" t="s">
        <v>128</v>
      </c>
      <c r="F29" s="17" t="s">
        <v>82</v>
      </c>
      <c r="G29" s="17" t="s">
        <v>129</v>
      </c>
      <c r="H29" s="18"/>
      <c r="I29" s="20"/>
      <c r="J29" s="19" t="s">
        <v>131</v>
      </c>
      <c r="K29" s="19" t="s">
        <v>132</v>
      </c>
      <c r="L29" s="19" t="s">
        <v>44</v>
      </c>
    </row>
    <row r="30" spans="1:13" s="1" customFormat="1">
      <c r="B30" s="22" t="s">
        <v>85</v>
      </c>
      <c r="C30" s="11" t="s">
        <v>43</v>
      </c>
      <c r="D30" s="9" t="s">
        <v>107</v>
      </c>
      <c r="E30" s="16" t="s">
        <v>128</v>
      </c>
      <c r="F30" s="17" t="s">
        <v>85</v>
      </c>
      <c r="G30" s="17" t="s">
        <v>129</v>
      </c>
      <c r="H30" s="18"/>
      <c r="I30" s="19"/>
      <c r="J30" s="19" t="s">
        <v>131</v>
      </c>
      <c r="K30" s="19" t="s">
        <v>132</v>
      </c>
      <c r="L30" s="19" t="s">
        <v>44</v>
      </c>
    </row>
    <row r="31" spans="1:13" s="1" customFormat="1">
      <c r="B31" s="22" t="s">
        <v>507</v>
      </c>
      <c r="C31" s="62" t="s">
        <v>43</v>
      </c>
      <c r="D31" s="9" t="s">
        <v>626</v>
      </c>
      <c r="E31" s="16" t="s">
        <v>128</v>
      </c>
      <c r="F31" s="9" t="s">
        <v>507</v>
      </c>
      <c r="G31" s="17" t="s">
        <v>129</v>
      </c>
      <c r="H31" s="18"/>
      <c r="I31" s="19"/>
      <c r="J31" s="19" t="s">
        <v>131</v>
      </c>
      <c r="K31" s="19" t="s">
        <v>132</v>
      </c>
      <c r="L31" s="19" t="s">
        <v>632</v>
      </c>
    </row>
    <row r="32" spans="1:13" s="15" customFormat="1">
      <c r="B32" s="22" t="s">
        <v>87</v>
      </c>
      <c r="C32" s="11" t="s">
        <v>43</v>
      </c>
      <c r="D32" s="9" t="s">
        <v>109</v>
      </c>
      <c r="E32" s="16" t="s">
        <v>128</v>
      </c>
      <c r="F32" s="17" t="s">
        <v>87</v>
      </c>
      <c r="G32" s="17" t="s">
        <v>129</v>
      </c>
      <c r="H32" s="18"/>
      <c r="I32" s="20"/>
      <c r="J32" s="19" t="s">
        <v>131</v>
      </c>
      <c r="K32" s="19" t="s">
        <v>132</v>
      </c>
      <c r="L32" s="19" t="s">
        <v>679</v>
      </c>
      <c r="M32" s="1"/>
    </row>
    <row r="33" spans="1:12" s="1" customFormat="1">
      <c r="A33" s="15"/>
      <c r="B33" s="11" t="s">
        <v>1072</v>
      </c>
      <c r="C33" s="11" t="s">
        <v>45</v>
      </c>
      <c r="D33" s="9" t="s">
        <v>146</v>
      </c>
      <c r="E33" s="16" t="s">
        <v>128</v>
      </c>
      <c r="F33" s="17"/>
      <c r="G33" s="17" t="s">
        <v>1289</v>
      </c>
      <c r="H33" s="18"/>
      <c r="I33" s="17"/>
      <c r="J33" s="19" t="s">
        <v>133</v>
      </c>
      <c r="K33" s="19" t="s">
        <v>132</v>
      </c>
      <c r="L33" s="19" t="s">
        <v>134</v>
      </c>
    </row>
    <row r="34" spans="1:12" s="1" customFormat="1">
      <c r="A34" s="15"/>
      <c r="B34" s="11" t="s">
        <v>189</v>
      </c>
      <c r="C34" s="11" t="s">
        <v>45</v>
      </c>
      <c r="D34" s="9" t="s">
        <v>190</v>
      </c>
      <c r="E34" s="16" t="s">
        <v>128</v>
      </c>
      <c r="F34" s="17"/>
      <c r="G34" s="17" t="s">
        <v>2698</v>
      </c>
      <c r="H34" s="18"/>
      <c r="I34" s="17"/>
      <c r="J34" s="19" t="s">
        <v>133</v>
      </c>
      <c r="K34" s="19" t="s">
        <v>132</v>
      </c>
      <c r="L34" s="19" t="s">
        <v>134</v>
      </c>
    </row>
    <row r="35" spans="1:12" s="1" customFormat="1">
      <c r="A35" s="15"/>
      <c r="B35" s="11" t="s">
        <v>192</v>
      </c>
      <c r="C35" s="11" t="s">
        <v>45</v>
      </c>
      <c r="D35" s="9" t="s">
        <v>193</v>
      </c>
      <c r="E35" s="16" t="s">
        <v>128</v>
      </c>
      <c r="F35" s="17"/>
      <c r="G35" s="17" t="s">
        <v>2265</v>
      </c>
      <c r="H35" s="18"/>
      <c r="I35" s="17"/>
      <c r="J35" s="19" t="s">
        <v>133</v>
      </c>
      <c r="K35" s="19" t="s">
        <v>132</v>
      </c>
      <c r="L35" s="19" t="s">
        <v>134</v>
      </c>
    </row>
    <row r="36" spans="1:12" s="1" customFormat="1">
      <c r="A36" s="15"/>
      <c r="B36" s="22" t="s">
        <v>255</v>
      </c>
      <c r="C36" s="22" t="s">
        <v>45</v>
      </c>
      <c r="D36" s="9" t="s">
        <v>348</v>
      </c>
      <c r="E36" s="16" t="s">
        <v>128</v>
      </c>
      <c r="F36" s="17"/>
      <c r="G36" s="17" t="s">
        <v>1667</v>
      </c>
      <c r="H36" s="18"/>
      <c r="I36" s="17"/>
      <c r="J36" s="19" t="s">
        <v>133</v>
      </c>
      <c r="K36" s="19" t="s">
        <v>203</v>
      </c>
      <c r="L36" s="19" t="s">
        <v>134</v>
      </c>
    </row>
    <row r="37" spans="1:12" s="1" customFormat="1">
      <c r="A37" s="15"/>
      <c r="B37" s="11" t="s">
        <v>207</v>
      </c>
      <c r="C37" s="11" t="s">
        <v>45</v>
      </c>
      <c r="D37" s="9" t="s">
        <v>759</v>
      </c>
      <c r="E37" s="16" t="s">
        <v>128</v>
      </c>
      <c r="F37" s="72"/>
      <c r="G37" s="17" t="s">
        <v>1200</v>
      </c>
      <c r="H37" s="18"/>
      <c r="I37" s="17"/>
      <c r="J37" s="19" t="s">
        <v>133</v>
      </c>
      <c r="K37" s="19" t="s">
        <v>204</v>
      </c>
      <c r="L37" s="19" t="s">
        <v>134</v>
      </c>
    </row>
    <row r="38" spans="1:12" s="1" customFormat="1">
      <c r="A38" s="15"/>
      <c r="B38" s="11" t="s">
        <v>208</v>
      </c>
      <c r="C38" s="11" t="s">
        <v>45</v>
      </c>
      <c r="D38" s="9" t="s">
        <v>160</v>
      </c>
      <c r="E38" s="16" t="s">
        <v>128</v>
      </c>
      <c r="F38" s="72"/>
      <c r="G38" s="17" t="s">
        <v>1201</v>
      </c>
      <c r="H38" s="18"/>
      <c r="I38" s="17"/>
      <c r="J38" s="19" t="s">
        <v>133</v>
      </c>
      <c r="K38" s="19" t="s">
        <v>204</v>
      </c>
      <c r="L38" s="19" t="s">
        <v>134</v>
      </c>
    </row>
    <row r="39" spans="1:12" s="1" customFormat="1">
      <c r="A39" s="15"/>
      <c r="B39" s="11" t="s">
        <v>763</v>
      </c>
      <c r="C39" s="11" t="s">
        <v>45</v>
      </c>
      <c r="D39" s="9" t="s">
        <v>181</v>
      </c>
      <c r="E39" s="16" t="s">
        <v>128</v>
      </c>
      <c r="F39" s="72"/>
      <c r="G39" s="17" t="s">
        <v>1075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803</v>
      </c>
      <c r="C40" s="11" t="s">
        <v>45</v>
      </c>
      <c r="D40" s="9" t="s">
        <v>183</v>
      </c>
      <c r="E40" s="16" t="s">
        <v>128</v>
      </c>
      <c r="F40" s="72"/>
      <c r="G40" s="17" t="s">
        <v>1077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804</v>
      </c>
      <c r="C41" s="11" t="s">
        <v>45</v>
      </c>
      <c r="D41" s="9" t="s">
        <v>182</v>
      </c>
      <c r="E41" s="16" t="s">
        <v>128</v>
      </c>
      <c r="F41" s="72"/>
      <c r="G41" s="17" t="s">
        <v>1079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805</v>
      </c>
      <c r="C42" s="11" t="s">
        <v>45</v>
      </c>
      <c r="D42" s="9" t="s">
        <v>184</v>
      </c>
      <c r="E42" s="16" t="s">
        <v>128</v>
      </c>
      <c r="F42" s="72"/>
      <c r="G42" s="17" t="s">
        <v>1110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806</v>
      </c>
      <c r="C43" s="11" t="s">
        <v>45</v>
      </c>
      <c r="D43" s="9" t="s">
        <v>186</v>
      </c>
      <c r="E43" s="16" t="s">
        <v>128</v>
      </c>
      <c r="F43" s="72"/>
      <c r="G43" s="17" t="s">
        <v>1111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807</v>
      </c>
      <c r="C44" s="11" t="s">
        <v>45</v>
      </c>
      <c r="D44" s="9" t="s">
        <v>185</v>
      </c>
      <c r="E44" s="16" t="s">
        <v>128</v>
      </c>
      <c r="F44" s="72"/>
      <c r="G44" s="17" t="s">
        <v>1112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808</v>
      </c>
      <c r="C45" s="11" t="s">
        <v>45</v>
      </c>
      <c r="D45" s="9" t="s">
        <v>187</v>
      </c>
      <c r="E45" s="16" t="s">
        <v>128</v>
      </c>
      <c r="F45" s="72"/>
      <c r="G45" s="17" t="s">
        <v>1113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210</v>
      </c>
      <c r="C46" s="11" t="s">
        <v>45</v>
      </c>
      <c r="D46" s="9" t="s">
        <v>1056</v>
      </c>
      <c r="E46" s="16" t="s">
        <v>128</v>
      </c>
      <c r="F46" s="72"/>
      <c r="G46" s="17" t="s">
        <v>224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209</v>
      </c>
      <c r="C47" s="11" t="s">
        <v>45</v>
      </c>
      <c r="D47" s="9" t="s">
        <v>1055</v>
      </c>
      <c r="E47" s="16" t="s">
        <v>128</v>
      </c>
      <c r="F47" s="72"/>
      <c r="G47" s="17" t="s">
        <v>223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211</v>
      </c>
      <c r="C48" s="11" t="s">
        <v>45</v>
      </c>
      <c r="D48" s="9" t="s">
        <v>163</v>
      </c>
      <c r="E48" s="16" t="s">
        <v>128</v>
      </c>
      <c r="F48" s="72"/>
      <c r="G48" s="17" t="s">
        <v>225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212</v>
      </c>
      <c r="C49" s="11" t="s">
        <v>45</v>
      </c>
      <c r="D49" s="9" t="s">
        <v>164</v>
      </c>
      <c r="E49" s="16" t="s">
        <v>128</v>
      </c>
      <c r="F49" s="72"/>
      <c r="G49" s="17" t="s">
        <v>226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213</v>
      </c>
      <c r="C50" s="11" t="s">
        <v>45</v>
      </c>
      <c r="D50" s="9" t="s">
        <v>165</v>
      </c>
      <c r="E50" s="16" t="s">
        <v>128</v>
      </c>
      <c r="F50" s="72"/>
      <c r="G50" s="17" t="s">
        <v>1114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214</v>
      </c>
      <c r="C51" s="11" t="s">
        <v>45</v>
      </c>
      <c r="D51" s="9" t="s">
        <v>166</v>
      </c>
      <c r="E51" s="16" t="s">
        <v>128</v>
      </c>
      <c r="F51" s="72"/>
      <c r="G51" s="17" t="s">
        <v>1115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217</v>
      </c>
      <c r="C52" s="11" t="s">
        <v>45</v>
      </c>
      <c r="D52" s="9" t="s">
        <v>171</v>
      </c>
      <c r="E52" s="16" t="s">
        <v>128</v>
      </c>
      <c r="F52" s="72"/>
      <c r="G52" s="17" t="s">
        <v>1116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218</v>
      </c>
      <c r="C53" s="11" t="s">
        <v>45</v>
      </c>
      <c r="D53" s="9" t="s">
        <v>172</v>
      </c>
      <c r="E53" s="16" t="s">
        <v>128</v>
      </c>
      <c r="F53" s="72"/>
      <c r="G53" s="17" t="s">
        <v>1117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219</v>
      </c>
      <c r="C54" s="11" t="s">
        <v>45</v>
      </c>
      <c r="D54" s="9" t="s">
        <v>173</v>
      </c>
      <c r="E54" s="16" t="s">
        <v>128</v>
      </c>
      <c r="F54" s="72"/>
      <c r="G54" s="17" t="s">
        <v>1118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220</v>
      </c>
      <c r="C55" s="11" t="s">
        <v>45</v>
      </c>
      <c r="D55" s="9" t="s">
        <v>174</v>
      </c>
      <c r="E55" s="16" t="s">
        <v>128</v>
      </c>
      <c r="F55" s="72"/>
      <c r="G55" s="17" t="s">
        <v>1119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215</v>
      </c>
      <c r="C56" s="11" t="s">
        <v>45</v>
      </c>
      <c r="D56" s="9" t="s">
        <v>1260</v>
      </c>
      <c r="E56" s="16" t="s">
        <v>128</v>
      </c>
      <c r="F56" s="72"/>
      <c r="G56" s="17" t="s">
        <v>227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216</v>
      </c>
      <c r="C57" s="11" t="s">
        <v>45</v>
      </c>
      <c r="D57" s="9" t="s">
        <v>1261</v>
      </c>
      <c r="E57" s="16" t="s">
        <v>128</v>
      </c>
      <c r="F57" s="72"/>
      <c r="G57" s="17" t="s">
        <v>228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316</v>
      </c>
      <c r="C58" s="11" t="s">
        <v>45</v>
      </c>
      <c r="D58" s="9" t="s">
        <v>167</v>
      </c>
      <c r="E58" s="16" t="s">
        <v>128</v>
      </c>
      <c r="F58" s="72"/>
      <c r="G58" s="17" t="s">
        <v>772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809</v>
      </c>
      <c r="C59" s="11" t="s">
        <v>45</v>
      </c>
      <c r="D59" s="9" t="s">
        <v>175</v>
      </c>
      <c r="E59" s="16" t="s">
        <v>128</v>
      </c>
      <c r="F59" s="72"/>
      <c r="G59" s="17" t="s">
        <v>1120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317</v>
      </c>
      <c r="C60" s="11" t="s">
        <v>45</v>
      </c>
      <c r="D60" s="9" t="s">
        <v>168</v>
      </c>
      <c r="E60" s="16" t="s">
        <v>128</v>
      </c>
      <c r="F60" s="72"/>
      <c r="G60" s="17" t="s">
        <v>778</v>
      </c>
      <c r="H60" s="18"/>
      <c r="I60" s="17"/>
      <c r="J60" s="19" t="s">
        <v>133</v>
      </c>
      <c r="K60" s="19" t="s">
        <v>202</v>
      </c>
      <c r="L60" s="19" t="s">
        <v>67</v>
      </c>
    </row>
    <row r="61" spans="1:12" s="1" customFormat="1">
      <c r="A61" s="15"/>
      <c r="B61" s="11" t="s">
        <v>810</v>
      </c>
      <c r="C61" s="11" t="s">
        <v>45</v>
      </c>
      <c r="D61" s="9" t="s">
        <v>176</v>
      </c>
      <c r="E61" s="16" t="s">
        <v>128</v>
      </c>
      <c r="F61" s="72"/>
      <c r="G61" s="17" t="s">
        <v>1121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1213</v>
      </c>
      <c r="C62" s="11" t="s">
        <v>45</v>
      </c>
      <c r="D62" s="9" t="s">
        <v>178</v>
      </c>
      <c r="E62" s="16" t="s">
        <v>128</v>
      </c>
      <c r="F62" s="72"/>
      <c r="G62" s="17" t="s">
        <v>2266</v>
      </c>
      <c r="H62" s="18"/>
      <c r="I62" s="17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11" t="s">
        <v>221</v>
      </c>
      <c r="C63" s="11" t="s">
        <v>45</v>
      </c>
      <c r="D63" s="9" t="s">
        <v>177</v>
      </c>
      <c r="E63" s="16" t="s">
        <v>128</v>
      </c>
      <c r="F63" s="72"/>
      <c r="G63" s="17" t="s">
        <v>1122</v>
      </c>
      <c r="H63" s="18"/>
      <c r="I63" s="17"/>
      <c r="J63" s="19" t="s">
        <v>133</v>
      </c>
      <c r="K63" s="19" t="s">
        <v>204</v>
      </c>
      <c r="L63" s="19" t="s">
        <v>67</v>
      </c>
    </row>
    <row r="64" spans="1:12" s="1" customFormat="1">
      <c r="A64" s="15"/>
      <c r="B64" s="11" t="s">
        <v>1212</v>
      </c>
      <c r="C64" s="11" t="s">
        <v>45</v>
      </c>
      <c r="D64" s="9" t="s">
        <v>180</v>
      </c>
      <c r="E64" s="16" t="s">
        <v>128</v>
      </c>
      <c r="F64" s="72"/>
      <c r="G64" s="17" t="s">
        <v>2267</v>
      </c>
      <c r="H64" s="18"/>
      <c r="I64" s="17"/>
      <c r="J64" s="19" t="s">
        <v>133</v>
      </c>
      <c r="K64" s="19" t="s">
        <v>202</v>
      </c>
      <c r="L64" s="19" t="s">
        <v>67</v>
      </c>
    </row>
    <row r="65" spans="1:12" s="1" customFormat="1">
      <c r="A65" s="15"/>
      <c r="B65" s="11" t="s">
        <v>222</v>
      </c>
      <c r="C65" s="11" t="s">
        <v>45</v>
      </c>
      <c r="D65" s="9" t="s">
        <v>179</v>
      </c>
      <c r="E65" s="16" t="s">
        <v>128</v>
      </c>
      <c r="F65" s="72"/>
      <c r="G65" s="17" t="s">
        <v>1123</v>
      </c>
      <c r="H65" s="18"/>
      <c r="I65" s="17"/>
      <c r="J65" s="19" t="s">
        <v>133</v>
      </c>
      <c r="K65" s="19" t="s">
        <v>204</v>
      </c>
      <c r="L65" s="19" t="s">
        <v>67</v>
      </c>
    </row>
    <row r="66" spans="1:12" s="1" customFormat="1">
      <c r="A66" s="15"/>
      <c r="B66" s="11" t="s">
        <v>205</v>
      </c>
      <c r="C66" s="11" t="s">
        <v>45</v>
      </c>
      <c r="D66" s="9" t="s">
        <v>147</v>
      </c>
      <c r="E66" s="16" t="s">
        <v>128</v>
      </c>
      <c r="F66" s="72"/>
      <c r="G66" s="17" t="s">
        <v>1126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206</v>
      </c>
      <c r="C67" s="11" t="s">
        <v>280</v>
      </c>
      <c r="D67" s="9" t="s">
        <v>820</v>
      </c>
      <c r="E67" s="16" t="s">
        <v>128</v>
      </c>
      <c r="F67" s="72"/>
      <c r="G67" s="17" t="s">
        <v>1081</v>
      </c>
      <c r="H67" s="18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" t="s">
        <v>1022</v>
      </c>
      <c r="C68" s="11" t="s">
        <v>45</v>
      </c>
      <c r="D68" s="9" t="s">
        <v>1018</v>
      </c>
      <c r="E68" s="16" t="s">
        <v>128</v>
      </c>
      <c r="F68" s="72"/>
      <c r="G68" s="17" t="s">
        <v>1127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1014</v>
      </c>
      <c r="C69" s="11" t="s">
        <v>45</v>
      </c>
      <c r="D69" s="9" t="s">
        <v>1019</v>
      </c>
      <c r="E69" s="16" t="s">
        <v>128</v>
      </c>
      <c r="F69" s="72"/>
      <c r="G69" s="17" t="s">
        <v>1128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1015</v>
      </c>
      <c r="C70" s="11" t="s">
        <v>45</v>
      </c>
      <c r="D70" s="9" t="s">
        <v>1020</v>
      </c>
      <c r="E70" s="16" t="s">
        <v>128</v>
      </c>
      <c r="F70" s="72"/>
      <c r="G70" s="17" t="s">
        <v>1129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1016</v>
      </c>
      <c r="C71" s="11" t="s">
        <v>45</v>
      </c>
      <c r="D71" s="9" t="s">
        <v>1021</v>
      </c>
      <c r="E71" s="16" t="s">
        <v>128</v>
      </c>
      <c r="F71" s="72"/>
      <c r="G71" s="17" t="s">
        <v>1130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1017</v>
      </c>
      <c r="C72" s="11" t="s">
        <v>45</v>
      </c>
      <c r="D72" s="9" t="s">
        <v>1042</v>
      </c>
      <c r="E72" s="16" t="s">
        <v>128</v>
      </c>
      <c r="F72" s="72"/>
      <c r="G72" s="17" t="s">
        <v>1131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1049</v>
      </c>
      <c r="C73" s="11" t="s">
        <v>45</v>
      </c>
      <c r="D73" s="9" t="s">
        <v>153</v>
      </c>
      <c r="E73" s="16" t="s">
        <v>128</v>
      </c>
      <c r="F73" s="72"/>
      <c r="G73" s="17" t="s">
        <v>1132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823</v>
      </c>
      <c r="C74" s="11" t="s">
        <v>280</v>
      </c>
      <c r="D74" s="9" t="s">
        <v>1474</v>
      </c>
      <c r="E74" s="16" t="s">
        <v>128</v>
      </c>
      <c r="F74" s="72"/>
      <c r="G74" s="17" t="s">
        <v>1082</v>
      </c>
      <c r="H74" s="18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1030</v>
      </c>
      <c r="C75" s="11" t="s">
        <v>45</v>
      </c>
      <c r="D75" s="9" t="s">
        <v>1026</v>
      </c>
      <c r="E75" s="16" t="s">
        <v>128</v>
      </c>
      <c r="F75" s="72"/>
      <c r="G75" s="17" t="s">
        <v>1133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1023</v>
      </c>
      <c r="C76" s="11" t="s">
        <v>45</v>
      </c>
      <c r="D76" s="9" t="s">
        <v>1027</v>
      </c>
      <c r="E76" s="16" t="s">
        <v>128</v>
      </c>
      <c r="F76" s="72"/>
      <c r="G76" s="17" t="s">
        <v>1134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1024</v>
      </c>
      <c r="C77" s="11" t="s">
        <v>45</v>
      </c>
      <c r="D77" s="9" t="s">
        <v>1028</v>
      </c>
      <c r="E77" s="16" t="s">
        <v>128</v>
      </c>
      <c r="F77" s="72"/>
      <c r="G77" s="17" t="s">
        <v>1135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1032</v>
      </c>
      <c r="C78" s="11" t="s">
        <v>45</v>
      </c>
      <c r="D78" s="9" t="s">
        <v>1029</v>
      </c>
      <c r="E78" s="16" t="s">
        <v>128</v>
      </c>
      <c r="F78" s="72"/>
      <c r="G78" s="17" t="s">
        <v>1136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1025</v>
      </c>
      <c r="C79" s="11" t="s">
        <v>45</v>
      </c>
      <c r="D79" s="9" t="s">
        <v>1043</v>
      </c>
      <c r="E79" s="16" t="s">
        <v>128</v>
      </c>
      <c r="F79" s="72"/>
      <c r="G79" s="17" t="s">
        <v>1137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1084</v>
      </c>
      <c r="C80" s="11" t="s">
        <v>280</v>
      </c>
      <c r="D80" s="9" t="s">
        <v>1086</v>
      </c>
      <c r="E80" s="16" t="s">
        <v>128</v>
      </c>
      <c r="F80" s="72"/>
      <c r="G80" s="17" t="s">
        <v>2248</v>
      </c>
      <c r="H80" s="18"/>
      <c r="I80" s="17"/>
      <c r="J80" s="19" t="s">
        <v>133</v>
      </c>
      <c r="K80" s="19" t="s">
        <v>202</v>
      </c>
      <c r="L80" s="19" t="s">
        <v>67</v>
      </c>
    </row>
    <row r="81" spans="1:12" s="1" customFormat="1">
      <c r="A81" s="15"/>
      <c r="B81" s="11" t="s">
        <v>1083</v>
      </c>
      <c r="C81" s="11" t="s">
        <v>280</v>
      </c>
      <c r="D81" s="9" t="s">
        <v>841</v>
      </c>
      <c r="E81" s="16" t="s">
        <v>128</v>
      </c>
      <c r="F81" s="72"/>
      <c r="G81" s="17" t="s">
        <v>1866</v>
      </c>
      <c r="H81" s="18"/>
      <c r="I81" s="17"/>
      <c r="J81" s="19" t="s">
        <v>133</v>
      </c>
      <c r="K81" s="19" t="s">
        <v>202</v>
      </c>
      <c r="L81" s="19" t="s">
        <v>67</v>
      </c>
    </row>
    <row r="82" spans="1:12" s="1" customFormat="1">
      <c r="A82" s="15"/>
      <c r="B82" s="11" t="s">
        <v>1033</v>
      </c>
      <c r="C82" s="11" t="s">
        <v>45</v>
      </c>
      <c r="D82" s="9" t="s">
        <v>1038</v>
      </c>
      <c r="E82" s="16" t="s">
        <v>128</v>
      </c>
      <c r="F82" s="72"/>
      <c r="G82" s="17" t="s">
        <v>1138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1034</v>
      </c>
      <c r="C83" s="11" t="s">
        <v>45</v>
      </c>
      <c r="D83" s="9" t="s">
        <v>1039</v>
      </c>
      <c r="E83" s="16" t="s">
        <v>128</v>
      </c>
      <c r="F83" s="72"/>
      <c r="G83" s="17" t="s">
        <v>1139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1035</v>
      </c>
      <c r="C84" s="11" t="s">
        <v>45</v>
      </c>
      <c r="D84" s="9" t="s">
        <v>1040</v>
      </c>
      <c r="E84" s="16" t="s">
        <v>128</v>
      </c>
      <c r="F84" s="72"/>
      <c r="G84" s="17" t="s">
        <v>1140</v>
      </c>
      <c r="H84" s="18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1036</v>
      </c>
      <c r="C85" s="11" t="s">
        <v>45</v>
      </c>
      <c r="D85" s="9" t="s">
        <v>1041</v>
      </c>
      <c r="E85" s="16" t="s">
        <v>128</v>
      </c>
      <c r="F85" s="72"/>
      <c r="G85" s="17" t="s">
        <v>1141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1037</v>
      </c>
      <c r="C86" s="11" t="s">
        <v>45</v>
      </c>
      <c r="D86" s="9" t="s">
        <v>1044</v>
      </c>
      <c r="E86" s="16" t="s">
        <v>128</v>
      </c>
      <c r="F86" s="72"/>
      <c r="G86" s="17" t="s">
        <v>1142</v>
      </c>
      <c r="H86" s="18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816</v>
      </c>
      <c r="C87" s="11" t="s">
        <v>280</v>
      </c>
      <c r="D87" s="9" t="s">
        <v>839</v>
      </c>
      <c r="E87" s="16" t="s">
        <v>128</v>
      </c>
      <c r="F87" s="72"/>
      <c r="G87" s="17" t="s">
        <v>1088</v>
      </c>
      <c r="H87" s="18"/>
      <c r="I87" s="17"/>
      <c r="J87" s="19" t="s">
        <v>133</v>
      </c>
      <c r="K87" s="19" t="s">
        <v>202</v>
      </c>
      <c r="L87" s="19" t="s">
        <v>67</v>
      </c>
    </row>
    <row r="88" spans="1:12" s="1" customFormat="1">
      <c r="A88" s="15"/>
      <c r="B88" s="11" t="s">
        <v>817</v>
      </c>
      <c r="C88" s="11" t="s">
        <v>45</v>
      </c>
      <c r="D88" s="9" t="s">
        <v>658</v>
      </c>
      <c r="E88" s="16" t="s">
        <v>128</v>
      </c>
      <c r="F88" s="72"/>
      <c r="G88" s="17" t="s">
        <v>1089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818</v>
      </c>
      <c r="C89" s="11" t="s">
        <v>280</v>
      </c>
      <c r="D89" s="9" t="s">
        <v>842</v>
      </c>
      <c r="E89" s="16" t="s">
        <v>128</v>
      </c>
      <c r="F89" s="72"/>
      <c r="G89" s="17" t="s">
        <v>1091</v>
      </c>
      <c r="H89" s="18"/>
      <c r="I89" s="17"/>
      <c r="J89" s="19" t="s">
        <v>133</v>
      </c>
      <c r="K89" s="19" t="s">
        <v>202</v>
      </c>
      <c r="L89" s="19" t="s">
        <v>67</v>
      </c>
    </row>
    <row r="90" spans="1:12" s="1" customFormat="1">
      <c r="A90" s="15"/>
      <c r="B90" s="11" t="s">
        <v>819</v>
      </c>
      <c r="C90" s="11" t="s">
        <v>45</v>
      </c>
      <c r="D90" s="9" t="s">
        <v>660</v>
      </c>
      <c r="E90" s="16" t="s">
        <v>128</v>
      </c>
      <c r="F90" s="72"/>
      <c r="G90" s="17" t="s">
        <v>1092</v>
      </c>
      <c r="H90" s="18"/>
      <c r="I90" s="17"/>
      <c r="J90" s="19" t="s">
        <v>133</v>
      </c>
      <c r="K90" s="19" t="s">
        <v>44</v>
      </c>
      <c r="L90" s="19" t="s">
        <v>67</v>
      </c>
    </row>
    <row r="91" spans="1:12" s="1" customFormat="1">
      <c r="A91" s="15"/>
      <c r="B91" s="11" t="s">
        <v>2688</v>
      </c>
      <c r="C91" s="11" t="s">
        <v>2396</v>
      </c>
      <c r="D91" s="9" t="s">
        <v>2690</v>
      </c>
      <c r="E91" s="16" t="s">
        <v>128</v>
      </c>
      <c r="F91" s="72"/>
      <c r="G91" s="17" t="s">
        <v>2699</v>
      </c>
      <c r="H91" s="18"/>
      <c r="I91" s="17"/>
      <c r="J91" s="19" t="s">
        <v>133</v>
      </c>
      <c r="K91" s="19" t="s">
        <v>903</v>
      </c>
      <c r="L91" s="19" t="s">
        <v>134</v>
      </c>
    </row>
    <row r="92" spans="1:12" s="1" customFormat="1">
      <c r="A92" s="15"/>
      <c r="B92" s="11" t="s">
        <v>829</v>
      </c>
      <c r="C92" s="11" t="s">
        <v>280</v>
      </c>
      <c r="D92" s="9" t="s">
        <v>517</v>
      </c>
      <c r="E92" s="16" t="s">
        <v>128</v>
      </c>
      <c r="F92" s="72"/>
      <c r="G92" s="17" t="s">
        <v>2696</v>
      </c>
      <c r="H92" s="18"/>
      <c r="I92" s="17"/>
      <c r="J92" s="19" t="s">
        <v>133</v>
      </c>
      <c r="K92" s="19" t="s">
        <v>203</v>
      </c>
      <c r="L92" s="19" t="s">
        <v>67</v>
      </c>
    </row>
    <row r="93" spans="1:12" s="1" customFormat="1">
      <c r="A93" s="15"/>
      <c r="B93" s="11" t="s">
        <v>2689</v>
      </c>
      <c r="C93" s="11" t="s">
        <v>2396</v>
      </c>
      <c r="D93" s="9" t="s">
        <v>2692</v>
      </c>
      <c r="E93" s="16" t="s">
        <v>128</v>
      </c>
      <c r="F93" s="72"/>
      <c r="G93" s="17" t="s">
        <v>2700</v>
      </c>
      <c r="H93" s="18"/>
      <c r="I93" s="17"/>
      <c r="J93" s="19" t="s">
        <v>133</v>
      </c>
      <c r="K93" s="19" t="s">
        <v>903</v>
      </c>
      <c r="L93" s="19" t="s">
        <v>134</v>
      </c>
    </row>
    <row r="94" spans="1:12" s="1" customFormat="1">
      <c r="A94" s="15"/>
      <c r="B94" s="11" t="s">
        <v>799</v>
      </c>
      <c r="C94" s="11" t="s">
        <v>280</v>
      </c>
      <c r="D94" s="9" t="s">
        <v>2691</v>
      </c>
      <c r="E94" s="16" t="s">
        <v>128</v>
      </c>
      <c r="F94" s="72"/>
      <c r="G94" s="17" t="s">
        <v>2697</v>
      </c>
      <c r="H94" s="18"/>
      <c r="I94" s="17"/>
      <c r="J94" s="19" t="s">
        <v>133</v>
      </c>
      <c r="K94" s="19" t="s">
        <v>203</v>
      </c>
      <c r="L94" s="19" t="s">
        <v>67</v>
      </c>
    </row>
    <row r="95" spans="1:12" s="1" customFormat="1">
      <c r="A95" s="15"/>
      <c r="B95" s="11" t="s">
        <v>830</v>
      </c>
      <c r="C95" s="11" t="s">
        <v>45</v>
      </c>
      <c r="D95" s="9" t="s">
        <v>837</v>
      </c>
      <c r="E95" s="16" t="s">
        <v>128</v>
      </c>
      <c r="F95" s="72"/>
      <c r="G95" s="17" t="s">
        <v>1096</v>
      </c>
      <c r="H95" s="18"/>
      <c r="I95" s="17"/>
      <c r="J95" s="19" t="s">
        <v>133</v>
      </c>
      <c r="K95" s="19" t="s">
        <v>44</v>
      </c>
      <c r="L95" s="19" t="s">
        <v>67</v>
      </c>
    </row>
    <row r="96" spans="1:12" s="1" customFormat="1">
      <c r="A96" s="15"/>
      <c r="B96" s="11" t="s">
        <v>623</v>
      </c>
      <c r="C96" s="11" t="s">
        <v>280</v>
      </c>
      <c r="D96" s="9" t="s">
        <v>836</v>
      </c>
      <c r="E96" s="16" t="s">
        <v>128</v>
      </c>
      <c r="F96" s="72"/>
      <c r="G96" s="17" t="s">
        <v>1099</v>
      </c>
      <c r="H96" s="18"/>
      <c r="I96" s="17"/>
      <c r="J96" s="19" t="s">
        <v>133</v>
      </c>
      <c r="K96" s="19" t="s">
        <v>202</v>
      </c>
      <c r="L96" s="19" t="s">
        <v>67</v>
      </c>
    </row>
    <row r="97" spans="1:17" s="1" customFormat="1">
      <c r="A97" s="15"/>
      <c r="B97" s="11" t="s">
        <v>831</v>
      </c>
      <c r="C97" s="11" t="s">
        <v>45</v>
      </c>
      <c r="D97" s="9" t="s">
        <v>825</v>
      </c>
      <c r="E97" s="16" t="s">
        <v>128</v>
      </c>
      <c r="F97" s="72"/>
      <c r="G97" s="17" t="s">
        <v>2701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7" s="1" customFormat="1">
      <c r="A98" s="15"/>
      <c r="B98" s="11" t="s">
        <v>1098</v>
      </c>
      <c r="C98" s="11" t="s">
        <v>280</v>
      </c>
      <c r="D98" s="9" t="s">
        <v>826</v>
      </c>
      <c r="E98" s="16" t="s">
        <v>128</v>
      </c>
      <c r="F98" s="72"/>
      <c r="G98" s="17" t="s">
        <v>1101</v>
      </c>
      <c r="H98" s="18"/>
      <c r="I98" s="17"/>
      <c r="J98" s="19" t="s">
        <v>133</v>
      </c>
      <c r="K98" s="19" t="s">
        <v>202</v>
      </c>
      <c r="L98" s="19" t="s">
        <v>67</v>
      </c>
    </row>
    <row r="99" spans="1:17" s="1" customFormat="1">
      <c r="A99" s="15"/>
      <c r="B99" s="11" t="s">
        <v>535</v>
      </c>
      <c r="C99" s="11" t="s">
        <v>280</v>
      </c>
      <c r="D99" s="9" t="s">
        <v>534</v>
      </c>
      <c r="E99" s="16" t="s">
        <v>128</v>
      </c>
      <c r="F99" s="72"/>
      <c r="G99" s="17" t="s">
        <v>1103</v>
      </c>
      <c r="H99" s="18"/>
      <c r="I99" s="17"/>
      <c r="J99" s="19" t="s">
        <v>133</v>
      </c>
      <c r="K99" s="19" t="s">
        <v>202</v>
      </c>
      <c r="L99" s="19" t="s">
        <v>67</v>
      </c>
    </row>
    <row r="100" spans="1:17" s="1" customFormat="1">
      <c r="A100" s="15"/>
      <c r="B100" s="11" t="s">
        <v>848</v>
      </c>
      <c r="C100" s="11" t="s">
        <v>45</v>
      </c>
      <c r="D100" s="9" t="s">
        <v>850</v>
      </c>
      <c r="E100" s="16" t="s">
        <v>128</v>
      </c>
      <c r="F100" s="72"/>
      <c r="G100" s="17" t="s">
        <v>2702</v>
      </c>
      <c r="H100" s="18"/>
      <c r="I100" s="17"/>
      <c r="J100" s="19" t="s">
        <v>133</v>
      </c>
      <c r="K100" s="19" t="s">
        <v>903</v>
      </c>
      <c r="L100" s="19" t="s">
        <v>67</v>
      </c>
    </row>
    <row r="101" spans="1:17" s="1" customFormat="1">
      <c r="A101" s="15"/>
      <c r="B101" s="11" t="s">
        <v>849</v>
      </c>
      <c r="C101" s="11" t="s">
        <v>45</v>
      </c>
      <c r="D101" s="9" t="s">
        <v>116</v>
      </c>
      <c r="E101" s="16" t="s">
        <v>128</v>
      </c>
      <c r="F101" s="72"/>
      <c r="G101" s="17" t="s">
        <v>2703</v>
      </c>
      <c r="H101" s="18"/>
      <c r="I101" s="17"/>
      <c r="J101" s="19" t="s">
        <v>133</v>
      </c>
      <c r="K101" s="19" t="s">
        <v>903</v>
      </c>
      <c r="L101" s="19" t="s">
        <v>67</v>
      </c>
    </row>
    <row r="102" spans="1:17" s="1" customFormat="1">
      <c r="A102" s="15"/>
      <c r="B102" s="11" t="s">
        <v>855</v>
      </c>
      <c r="C102" s="11" t="s">
        <v>280</v>
      </c>
      <c r="D102" s="9" t="s">
        <v>502</v>
      </c>
      <c r="E102" s="16" t="s">
        <v>128</v>
      </c>
      <c r="F102" s="72"/>
      <c r="G102" s="17" t="s">
        <v>1107</v>
      </c>
      <c r="H102" s="18"/>
      <c r="I102" s="17"/>
      <c r="J102" s="19" t="s">
        <v>133</v>
      </c>
      <c r="K102" s="19" t="s">
        <v>202</v>
      </c>
      <c r="L102" s="19" t="s">
        <v>67</v>
      </c>
    </row>
    <row r="103" spans="1:17" s="1" customFormat="1">
      <c r="A103" s="15"/>
      <c r="B103" s="11" t="s">
        <v>856</v>
      </c>
      <c r="C103" s="11" t="s">
        <v>45</v>
      </c>
      <c r="D103" s="9" t="s">
        <v>857</v>
      </c>
      <c r="E103" s="16" t="s">
        <v>128</v>
      </c>
      <c r="F103" s="72"/>
      <c r="G103" s="17" t="s">
        <v>2704</v>
      </c>
      <c r="H103" s="18"/>
      <c r="I103" s="17"/>
      <c r="J103" s="19" t="s">
        <v>133</v>
      </c>
      <c r="K103" s="19" t="s">
        <v>903</v>
      </c>
      <c r="L103" s="19" t="s">
        <v>67</v>
      </c>
    </row>
    <row r="104" spans="1:17" s="1" customFormat="1">
      <c r="A104" s="15"/>
      <c r="B104" s="11" t="s">
        <v>315</v>
      </c>
      <c r="C104" s="11" t="s">
        <v>45</v>
      </c>
      <c r="D104" s="9" t="s">
        <v>112</v>
      </c>
      <c r="E104" s="16" t="s">
        <v>128</v>
      </c>
      <c r="F104" s="72"/>
      <c r="G104" s="17" t="s">
        <v>1145</v>
      </c>
      <c r="H104" s="18"/>
      <c r="I104" s="17"/>
      <c r="J104" s="19" t="s">
        <v>133</v>
      </c>
      <c r="K104" s="19" t="s">
        <v>44</v>
      </c>
      <c r="L104" s="19" t="s">
        <v>67</v>
      </c>
    </row>
    <row r="105" spans="1:17" s="1" customFormat="1">
      <c r="A105" s="15"/>
      <c r="B105" s="11" t="s">
        <v>2257</v>
      </c>
      <c r="C105" s="11" t="s">
        <v>43</v>
      </c>
      <c r="D105" s="9" t="s">
        <v>1281</v>
      </c>
      <c r="E105" s="16" t="s">
        <v>55</v>
      </c>
      <c r="F105" s="13"/>
      <c r="G105" s="13" t="s">
        <v>2258</v>
      </c>
      <c r="H105" s="18"/>
      <c r="I105" s="87">
        <v>20250415101139</v>
      </c>
      <c r="J105" s="19" t="s">
        <v>133</v>
      </c>
      <c r="K105" s="19" t="s">
        <v>44</v>
      </c>
      <c r="L105" s="19" t="s">
        <v>1306</v>
      </c>
    </row>
    <row r="106" spans="1:17" s="1" customFormat="1">
      <c r="A106" s="15"/>
      <c r="B106" s="11" t="s">
        <v>2259</v>
      </c>
      <c r="C106" s="11" t="s">
        <v>43</v>
      </c>
      <c r="D106" s="9" t="s">
        <v>1284</v>
      </c>
      <c r="E106" s="16" t="s">
        <v>55</v>
      </c>
      <c r="F106" s="13"/>
      <c r="G106" s="13" t="s">
        <v>2260</v>
      </c>
      <c r="H106" s="18"/>
      <c r="I106" s="87">
        <v>20250415101024</v>
      </c>
      <c r="J106" s="19" t="s">
        <v>133</v>
      </c>
      <c r="K106" s="19" t="s">
        <v>44</v>
      </c>
      <c r="L106" s="19" t="s">
        <v>1306</v>
      </c>
    </row>
    <row r="107" spans="1:17" s="3" customFormat="1">
      <c r="B107" s="23" t="s">
        <v>47</v>
      </c>
      <c r="C107" s="24" t="s">
        <v>46</v>
      </c>
      <c r="D107" s="21" t="s">
        <v>48</v>
      </c>
      <c r="E107" s="44"/>
      <c r="F107" s="44"/>
      <c r="G107" s="44" t="s">
        <v>282</v>
      </c>
      <c r="H107" s="23" t="s">
        <v>282</v>
      </c>
      <c r="I107" s="23"/>
      <c r="J107" s="23"/>
      <c r="K107" s="23"/>
      <c r="L107" s="23"/>
      <c r="M107" s="23"/>
      <c r="N107" s="23"/>
      <c r="O107" s="23"/>
      <c r="P107" s="23"/>
      <c r="Q107" s="23"/>
    </row>
    <row r="108" spans="1:17" s="3" customFormat="1">
      <c r="B108" s="23" t="s">
        <v>49</v>
      </c>
      <c r="C108" s="24" t="s">
        <v>43</v>
      </c>
      <c r="D108" s="21" t="s">
        <v>50</v>
      </c>
      <c r="E108" s="44"/>
      <c r="F108" s="44"/>
      <c r="G108" s="44" t="s">
        <v>282</v>
      </c>
      <c r="H108" s="23" t="s">
        <v>282</v>
      </c>
      <c r="I108" s="23"/>
      <c r="J108" s="23"/>
      <c r="K108" s="23"/>
      <c r="L108" s="23"/>
      <c r="M108" s="23"/>
      <c r="N108" s="23"/>
      <c r="O108" s="23"/>
      <c r="P108" s="23"/>
      <c r="Q108" s="23"/>
    </row>
    <row r="109" spans="1:17" s="3" customFormat="1">
      <c r="B109" s="23" t="s">
        <v>51</v>
      </c>
      <c r="C109" s="24" t="s">
        <v>46</v>
      </c>
      <c r="D109" s="21" t="s">
        <v>52</v>
      </c>
      <c r="E109" s="44"/>
      <c r="F109" s="44"/>
      <c r="G109" s="44" t="s">
        <v>282</v>
      </c>
      <c r="H109" s="23" t="s">
        <v>282</v>
      </c>
      <c r="I109" s="23"/>
      <c r="J109" s="23"/>
      <c r="K109" s="23"/>
      <c r="L109" s="23"/>
      <c r="M109" s="23"/>
      <c r="N109" s="23"/>
      <c r="O109" s="23"/>
      <c r="P109" s="23"/>
      <c r="Q109" s="23"/>
    </row>
  </sheetData>
  <autoFilter ref="A13:Q109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5244-9BCD-40F6-95E4-BE01B0F102A1}">
  <dimension ref="A1:Q38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6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69</v>
      </c>
      <c r="C5" s="9" t="s">
        <v>2737</v>
      </c>
      <c r="D5" s="10" t="s">
        <v>2738</v>
      </c>
      <c r="E5" s="11" t="s">
        <v>91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26" t="s">
        <v>2734</v>
      </c>
      <c r="D9" s="9" t="s">
        <v>2736</v>
      </c>
      <c r="E9" s="11" t="s">
        <v>55</v>
      </c>
      <c r="F9" s="17"/>
      <c r="G9" s="17"/>
      <c r="H9" s="14" t="s">
        <v>17</v>
      </c>
    </row>
    <row r="10" spans="2:14">
      <c r="B10" s="11"/>
      <c r="C10" s="9" t="s">
        <v>1310</v>
      </c>
      <c r="D10" s="9" t="s">
        <v>1296</v>
      </c>
      <c r="E10" s="11" t="s">
        <v>256</v>
      </c>
      <c r="F10" s="129" t="s">
        <v>1297</v>
      </c>
      <c r="G10" s="129"/>
      <c r="H10" s="14"/>
    </row>
    <row r="11" spans="2:14">
      <c r="B11" s="11"/>
      <c r="C11" s="9" t="s">
        <v>1311</v>
      </c>
      <c r="D11" s="9" t="s">
        <v>1298</v>
      </c>
      <c r="E11" s="11" t="s">
        <v>993</v>
      </c>
      <c r="F11" s="129" t="s">
        <v>1299</v>
      </c>
      <c r="G11" s="129"/>
      <c r="H11" s="11"/>
    </row>
    <row r="13" spans="2:14">
      <c r="B13" s="4" t="s">
        <v>32</v>
      </c>
    </row>
    <row r="14" spans="2:14">
      <c r="B14" s="124" t="s">
        <v>32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5" spans="2:14">
      <c r="B15" s="7" t="s">
        <v>33</v>
      </c>
      <c r="C15" s="7" t="s">
        <v>34</v>
      </c>
      <c r="D15" s="7" t="s">
        <v>35</v>
      </c>
      <c r="E15" s="7" t="s">
        <v>36</v>
      </c>
      <c r="F15" s="12" t="s">
        <v>37</v>
      </c>
      <c r="G15" s="12" t="s">
        <v>38</v>
      </c>
      <c r="H15" s="7" t="s">
        <v>39</v>
      </c>
      <c r="I15" s="7" t="s">
        <v>14</v>
      </c>
      <c r="J15" s="7" t="s">
        <v>40</v>
      </c>
      <c r="K15" s="7" t="s">
        <v>41</v>
      </c>
      <c r="L15" s="7" t="s">
        <v>42</v>
      </c>
    </row>
    <row r="16" spans="2:14" s="1" customFormat="1">
      <c r="B16" s="22" t="s">
        <v>1168</v>
      </c>
      <c r="C16" s="22" t="s">
        <v>43</v>
      </c>
      <c r="D16" s="9" t="s">
        <v>1265</v>
      </c>
      <c r="E16" s="16" t="s">
        <v>55</v>
      </c>
      <c r="F16" s="17" t="s">
        <v>49</v>
      </c>
      <c r="G16" s="17" t="s">
        <v>994</v>
      </c>
      <c r="H16" s="16"/>
      <c r="I16" s="19"/>
      <c r="J16" s="19" t="s">
        <v>60</v>
      </c>
      <c r="K16" s="19" t="s">
        <v>44</v>
      </c>
      <c r="L16" s="19" t="s">
        <v>674</v>
      </c>
    </row>
    <row r="17" spans="1:13" s="1" customFormat="1">
      <c r="B17" s="22" t="s">
        <v>1067</v>
      </c>
      <c r="C17" s="22" t="s">
        <v>46</v>
      </c>
      <c r="D17" s="9" t="s">
        <v>1160</v>
      </c>
      <c r="E17" s="16" t="s">
        <v>55</v>
      </c>
      <c r="F17" s="17" t="s">
        <v>51</v>
      </c>
      <c r="G17" s="17" t="s">
        <v>994</v>
      </c>
      <c r="H17" s="16"/>
      <c r="I17" s="19"/>
      <c r="J17" s="19" t="s">
        <v>60</v>
      </c>
      <c r="K17" s="19" t="s">
        <v>44</v>
      </c>
      <c r="L17" s="19" t="s">
        <v>675</v>
      </c>
    </row>
    <row r="18" spans="1:13" s="1" customFormat="1">
      <c r="A18" s="15"/>
      <c r="B18" s="22" t="s">
        <v>77</v>
      </c>
      <c r="C18" s="22" t="s">
        <v>46</v>
      </c>
      <c r="D18" s="9" t="s">
        <v>1266</v>
      </c>
      <c r="E18" s="16" t="s">
        <v>55</v>
      </c>
      <c r="F18" s="17" t="s">
        <v>77</v>
      </c>
      <c r="G18" s="17" t="s">
        <v>994</v>
      </c>
      <c r="H18" s="16"/>
      <c r="I18" s="19"/>
      <c r="J18" s="19" t="s">
        <v>60</v>
      </c>
      <c r="K18" s="19" t="s">
        <v>44</v>
      </c>
      <c r="L18" s="19" t="s">
        <v>677</v>
      </c>
    </row>
    <row r="19" spans="1:13" s="1" customFormat="1">
      <c r="A19" s="15"/>
      <c r="B19" s="22" t="s">
        <v>1068</v>
      </c>
      <c r="C19" s="22" t="s">
        <v>46</v>
      </c>
      <c r="D19" s="9" t="s">
        <v>1267</v>
      </c>
      <c r="E19" s="16" t="s">
        <v>55</v>
      </c>
      <c r="F19" s="17" t="s">
        <v>47</v>
      </c>
      <c r="G19" s="17" t="s">
        <v>994</v>
      </c>
      <c r="H19" s="16"/>
      <c r="I19" s="19"/>
      <c r="J19" s="19" t="s">
        <v>60</v>
      </c>
      <c r="K19" s="19" t="s">
        <v>44</v>
      </c>
      <c r="L19" s="19" t="s">
        <v>679</v>
      </c>
    </row>
    <row r="20" spans="1:13" s="1" customFormat="1">
      <c r="A20" s="15"/>
      <c r="B20" s="22" t="s">
        <v>61</v>
      </c>
      <c r="C20" s="22" t="s">
        <v>46</v>
      </c>
      <c r="D20" s="9" t="s">
        <v>100</v>
      </c>
      <c r="E20" s="16" t="s">
        <v>55</v>
      </c>
      <c r="F20" s="17" t="s">
        <v>65</v>
      </c>
      <c r="G20" s="17" t="s">
        <v>994</v>
      </c>
      <c r="H20" s="16"/>
      <c r="I20" s="19"/>
      <c r="J20" s="19" t="s">
        <v>60</v>
      </c>
      <c r="K20" s="19" t="s">
        <v>44</v>
      </c>
      <c r="L20" s="19" t="s">
        <v>679</v>
      </c>
    </row>
    <row r="21" spans="1:13" s="1" customFormat="1">
      <c r="A21" s="15"/>
      <c r="B21" s="22" t="s">
        <v>62</v>
      </c>
      <c r="C21" s="22" t="s">
        <v>46</v>
      </c>
      <c r="D21" s="9" t="s">
        <v>1268</v>
      </c>
      <c r="E21" s="16" t="s">
        <v>55</v>
      </c>
      <c r="F21" s="17" t="s">
        <v>62</v>
      </c>
      <c r="G21" s="17" t="s">
        <v>994</v>
      </c>
      <c r="H21" s="16"/>
      <c r="I21" s="19"/>
      <c r="J21" s="19" t="s">
        <v>60</v>
      </c>
      <c r="K21" s="19" t="s">
        <v>44</v>
      </c>
      <c r="L21" s="19" t="s">
        <v>679</v>
      </c>
    </row>
    <row r="22" spans="1:13" s="1" customFormat="1">
      <c r="A22" s="15"/>
      <c r="B22" s="11" t="s">
        <v>1069</v>
      </c>
      <c r="C22" s="22" t="s">
        <v>43</v>
      </c>
      <c r="D22" s="9" t="s">
        <v>1269</v>
      </c>
      <c r="E22" s="16" t="s">
        <v>55</v>
      </c>
      <c r="F22" s="17" t="s">
        <v>1069</v>
      </c>
      <c r="G22" s="17" t="s">
        <v>994</v>
      </c>
      <c r="H22" s="16"/>
      <c r="I22" s="19"/>
      <c r="J22" s="19" t="s">
        <v>60</v>
      </c>
      <c r="K22" s="19" t="s">
        <v>44</v>
      </c>
      <c r="L22" s="19" t="s">
        <v>44</v>
      </c>
    </row>
    <row r="23" spans="1:13" s="1" customFormat="1">
      <c r="A23" s="15"/>
      <c r="B23" s="11" t="s">
        <v>1270</v>
      </c>
      <c r="C23" s="22" t="s">
        <v>43</v>
      </c>
      <c r="D23" s="9" t="s">
        <v>1271</v>
      </c>
      <c r="E23" s="16" t="s">
        <v>55</v>
      </c>
      <c r="F23" s="17" t="s">
        <v>81</v>
      </c>
      <c r="G23" s="17" t="s">
        <v>994</v>
      </c>
      <c r="H23" s="16"/>
      <c r="I23" s="19"/>
      <c r="J23" s="19" t="s">
        <v>60</v>
      </c>
      <c r="K23" s="19" t="s">
        <v>44</v>
      </c>
      <c r="L23" s="19" t="s">
        <v>44</v>
      </c>
    </row>
    <row r="24" spans="1:13" s="1" customFormat="1">
      <c r="A24" s="15"/>
      <c r="B24" s="11" t="s">
        <v>58</v>
      </c>
      <c r="C24" s="22" t="s">
        <v>43</v>
      </c>
      <c r="D24" s="9" t="s">
        <v>59</v>
      </c>
      <c r="E24" s="16" t="s">
        <v>55</v>
      </c>
      <c r="F24" s="17" t="s">
        <v>58</v>
      </c>
      <c r="G24" s="17" t="s">
        <v>994</v>
      </c>
      <c r="H24" s="16"/>
      <c r="I24" s="19"/>
      <c r="J24" s="19" t="s">
        <v>60</v>
      </c>
      <c r="K24" s="19" t="s">
        <v>44</v>
      </c>
      <c r="L24" s="19" t="s">
        <v>44</v>
      </c>
    </row>
    <row r="25" spans="1:13" s="1" customFormat="1">
      <c r="A25" s="15"/>
      <c r="B25" s="11" t="s">
        <v>1272</v>
      </c>
      <c r="C25" s="22" t="s">
        <v>43</v>
      </c>
      <c r="D25" s="9" t="s">
        <v>1273</v>
      </c>
      <c r="E25" s="16" t="s">
        <v>55</v>
      </c>
      <c r="F25" s="17" t="s">
        <v>82</v>
      </c>
      <c r="G25" s="17" t="s">
        <v>994</v>
      </c>
      <c r="H25" s="16"/>
      <c r="I25" s="19"/>
      <c r="J25" s="19" t="s">
        <v>60</v>
      </c>
      <c r="K25" s="19" t="s">
        <v>44</v>
      </c>
      <c r="L25" s="19" t="s">
        <v>44</v>
      </c>
    </row>
    <row r="26" spans="1:13" s="1" customFormat="1">
      <c r="A26" s="15"/>
      <c r="B26" s="11" t="s">
        <v>85</v>
      </c>
      <c r="C26" s="11" t="s">
        <v>43</v>
      </c>
      <c r="D26" s="9" t="s">
        <v>1274</v>
      </c>
      <c r="E26" s="16" t="s">
        <v>55</v>
      </c>
      <c r="F26" s="17" t="s">
        <v>85</v>
      </c>
      <c r="G26" s="17" t="s">
        <v>994</v>
      </c>
      <c r="H26" s="16"/>
      <c r="I26" s="19"/>
      <c r="J26" s="19" t="s">
        <v>60</v>
      </c>
      <c r="K26" s="19" t="s">
        <v>44</v>
      </c>
      <c r="L26" s="19" t="s">
        <v>44</v>
      </c>
    </row>
    <row r="27" spans="1:13" s="1" customFormat="1">
      <c r="A27" s="15"/>
      <c r="B27" s="11" t="s">
        <v>1275</v>
      </c>
      <c r="C27" s="11" t="s">
        <v>43</v>
      </c>
      <c r="D27" s="9" t="s">
        <v>1276</v>
      </c>
      <c r="E27" s="16" t="s">
        <v>55</v>
      </c>
      <c r="F27" s="17"/>
      <c r="G27" s="17" t="s">
        <v>1301</v>
      </c>
      <c r="H27" s="16"/>
      <c r="I27" s="19"/>
      <c r="J27" s="19" t="s">
        <v>60</v>
      </c>
      <c r="K27" s="19" t="s">
        <v>44</v>
      </c>
      <c r="L27" s="19" t="s">
        <v>44</v>
      </c>
    </row>
    <row r="28" spans="1:13" s="1" customFormat="1">
      <c r="A28" s="15"/>
      <c r="B28" s="11" t="s">
        <v>1277</v>
      </c>
      <c r="C28" s="11" t="s">
        <v>43</v>
      </c>
      <c r="D28" s="9" t="s">
        <v>1278</v>
      </c>
      <c r="E28" s="16" t="s">
        <v>256</v>
      </c>
      <c r="F28" s="17" t="s">
        <v>1279</v>
      </c>
      <c r="G28" s="17" t="s">
        <v>994</v>
      </c>
      <c r="H28" s="16"/>
      <c r="I28" s="19"/>
      <c r="J28" s="19" t="s">
        <v>60</v>
      </c>
      <c r="K28" s="19" t="s">
        <v>44</v>
      </c>
      <c r="L28" s="19" t="s">
        <v>44</v>
      </c>
    </row>
    <row r="29" spans="1:13" s="1" customFormat="1">
      <c r="A29" s="15"/>
      <c r="B29" s="11" t="s">
        <v>1280</v>
      </c>
      <c r="C29" s="11" t="s">
        <v>43</v>
      </c>
      <c r="D29" s="9" t="s">
        <v>1281</v>
      </c>
      <c r="E29" s="16" t="s">
        <v>55</v>
      </c>
      <c r="F29" s="17"/>
      <c r="G29" s="17" t="s">
        <v>1282</v>
      </c>
      <c r="H29" s="16"/>
      <c r="I29" s="19"/>
      <c r="J29" s="19" t="s">
        <v>1186</v>
      </c>
      <c r="K29" s="19" t="s">
        <v>44</v>
      </c>
      <c r="L29" s="19" t="s">
        <v>44</v>
      </c>
    </row>
    <row r="30" spans="1:13" s="1" customFormat="1">
      <c r="A30" s="15"/>
      <c r="B30" s="11" t="s">
        <v>1283</v>
      </c>
      <c r="C30" s="11" t="s">
        <v>43</v>
      </c>
      <c r="D30" s="9" t="s">
        <v>1284</v>
      </c>
      <c r="E30" s="16" t="s">
        <v>55</v>
      </c>
      <c r="F30" s="17"/>
      <c r="G30" s="17" t="s">
        <v>1285</v>
      </c>
      <c r="H30" s="16"/>
      <c r="I30" s="19"/>
      <c r="J30" s="19" t="s">
        <v>1186</v>
      </c>
      <c r="K30" s="19" t="s">
        <v>44</v>
      </c>
      <c r="L30" s="19" t="s">
        <v>44</v>
      </c>
    </row>
    <row r="31" spans="1:13" s="1" customFormat="1">
      <c r="B31" s="22" t="s">
        <v>1286</v>
      </c>
      <c r="C31" s="11" t="s">
        <v>45</v>
      </c>
      <c r="D31" s="9" t="s">
        <v>1287</v>
      </c>
      <c r="E31" s="16" t="s">
        <v>55</v>
      </c>
      <c r="F31" s="17"/>
      <c r="G31" s="17" t="s">
        <v>1307</v>
      </c>
      <c r="H31" s="16"/>
      <c r="I31" s="19"/>
      <c r="J31" s="19" t="s">
        <v>1186</v>
      </c>
      <c r="K31" s="19" t="s">
        <v>44</v>
      </c>
      <c r="L31" s="19" t="s">
        <v>67</v>
      </c>
    </row>
    <row r="32" spans="1:13" s="15" customFormat="1">
      <c r="B32" s="22" t="s">
        <v>145</v>
      </c>
      <c r="C32" s="11" t="s">
        <v>45</v>
      </c>
      <c r="D32" s="9" t="s">
        <v>1288</v>
      </c>
      <c r="E32" s="16" t="s">
        <v>55</v>
      </c>
      <c r="F32" s="17"/>
      <c r="G32" s="17" t="s">
        <v>2732</v>
      </c>
      <c r="H32" s="16"/>
      <c r="I32" s="19"/>
      <c r="J32" s="19" t="s">
        <v>1186</v>
      </c>
      <c r="K32" s="19" t="s">
        <v>44</v>
      </c>
      <c r="L32" s="19" t="s">
        <v>67</v>
      </c>
      <c r="M32" s="1"/>
    </row>
    <row r="33" spans="1:17" s="1" customFormat="1">
      <c r="A33" s="15"/>
      <c r="B33" s="11" t="s">
        <v>1290</v>
      </c>
      <c r="C33" s="11" t="s">
        <v>56</v>
      </c>
      <c r="D33" s="9" t="s">
        <v>1291</v>
      </c>
      <c r="E33" s="16" t="s">
        <v>55</v>
      </c>
      <c r="F33" s="17"/>
      <c r="G33" s="17" t="s">
        <v>1308</v>
      </c>
      <c r="H33" s="16"/>
      <c r="I33" s="19"/>
      <c r="J33" s="19" t="s">
        <v>1186</v>
      </c>
      <c r="K33" s="19" t="s">
        <v>44</v>
      </c>
      <c r="L33" s="19" t="s">
        <v>1292</v>
      </c>
    </row>
    <row r="34" spans="1:17" s="1" customFormat="1">
      <c r="A34" s="15"/>
      <c r="B34" s="11" t="s">
        <v>254</v>
      </c>
      <c r="C34" s="69" t="s">
        <v>45</v>
      </c>
      <c r="D34" s="9" t="s">
        <v>1293</v>
      </c>
      <c r="E34" s="16" t="s">
        <v>55</v>
      </c>
      <c r="F34" s="17"/>
      <c r="G34" s="17" t="s">
        <v>1667</v>
      </c>
      <c r="H34" s="16"/>
      <c r="I34" s="19"/>
      <c r="J34" s="19" t="s">
        <v>1186</v>
      </c>
      <c r="K34" s="19" t="s">
        <v>202</v>
      </c>
      <c r="L34" s="19" t="s">
        <v>67</v>
      </c>
    </row>
    <row r="35" spans="1:17" s="1" customFormat="1">
      <c r="A35" s="15"/>
      <c r="B35" s="11" t="s">
        <v>1294</v>
      </c>
      <c r="C35" s="69" t="s">
        <v>45</v>
      </c>
      <c r="D35" s="9" t="s">
        <v>1295</v>
      </c>
      <c r="E35" s="16" t="s">
        <v>55</v>
      </c>
      <c r="F35" s="17"/>
      <c r="G35" s="17" t="s">
        <v>1309</v>
      </c>
      <c r="H35" s="16"/>
      <c r="I35" s="19"/>
      <c r="J35" s="19" t="s">
        <v>1186</v>
      </c>
      <c r="K35" s="19" t="s">
        <v>204</v>
      </c>
      <c r="L35" s="19" t="s">
        <v>67</v>
      </c>
    </row>
    <row r="36" spans="1:17" s="3" customFormat="1">
      <c r="B36" s="23" t="s">
        <v>47</v>
      </c>
      <c r="C36" s="24" t="s">
        <v>46</v>
      </c>
      <c r="D36" s="21" t="s">
        <v>48</v>
      </c>
      <c r="E36" s="44"/>
      <c r="F36" s="44"/>
      <c r="G36" s="44" t="s">
        <v>282</v>
      </c>
      <c r="H36" s="23" t="s">
        <v>282</v>
      </c>
      <c r="I36" s="23"/>
      <c r="J36" s="23"/>
      <c r="K36" s="23"/>
      <c r="L36" s="23"/>
      <c r="M36" s="23"/>
      <c r="N36" s="23"/>
      <c r="O36" s="23"/>
      <c r="P36" s="23"/>
      <c r="Q36" s="23"/>
    </row>
    <row r="37" spans="1:17" s="3" customFormat="1">
      <c r="B37" s="23" t="s">
        <v>49</v>
      </c>
      <c r="C37" s="24" t="s">
        <v>43</v>
      </c>
      <c r="D37" s="21" t="s">
        <v>50</v>
      </c>
      <c r="E37" s="44"/>
      <c r="F37" s="44"/>
      <c r="G37" s="44" t="s">
        <v>282</v>
      </c>
      <c r="H37" s="23" t="s">
        <v>282</v>
      </c>
      <c r="I37" s="23"/>
      <c r="J37" s="23"/>
      <c r="K37" s="23"/>
      <c r="L37" s="23"/>
      <c r="M37" s="23"/>
      <c r="N37" s="23"/>
      <c r="O37" s="23"/>
      <c r="P37" s="23"/>
      <c r="Q37" s="23"/>
    </row>
    <row r="38" spans="1:17" s="3" customFormat="1">
      <c r="B38" s="23" t="s">
        <v>51</v>
      </c>
      <c r="C38" s="24" t="s">
        <v>46</v>
      </c>
      <c r="D38" s="21" t="s">
        <v>52</v>
      </c>
      <c r="E38" s="44"/>
      <c r="F38" s="44"/>
      <c r="G38" s="44" t="s">
        <v>282</v>
      </c>
      <c r="H38" s="23" t="s">
        <v>282</v>
      </c>
      <c r="I38" s="23"/>
      <c r="J38" s="23"/>
      <c r="K38" s="23"/>
      <c r="L38" s="23"/>
      <c r="M38" s="23"/>
      <c r="N38" s="23"/>
      <c r="O38" s="23"/>
      <c r="P38" s="23"/>
      <c r="Q38" s="23"/>
    </row>
  </sheetData>
  <autoFilter ref="A15:Q38" xr:uid="{E16EFA29-E820-4A10-98BC-CF6E577605DD}"/>
  <mergeCells count="6">
    <mergeCell ref="B14:L14"/>
    <mergeCell ref="B2:H2"/>
    <mergeCell ref="B3:H3"/>
    <mergeCell ref="B7:H7"/>
    <mergeCell ref="F10:G10"/>
    <mergeCell ref="F11:G11"/>
  </mergeCells>
  <phoneticPr fontId="16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F2A1-26FE-43CE-9332-97B43ADA3908}">
  <dimension ref="A1:Q107"/>
  <sheetViews>
    <sheetView zoomScale="85" zoomScaleNormal="85" workbookViewId="0">
      <pane ySplit="5" topLeftCell="A6" activePane="bottomLeft" state="frozen"/>
      <selection activeCell="H43" sqref="H43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8.2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9" t="s">
        <v>2869</v>
      </c>
      <c r="D5" s="10" t="s">
        <v>2870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2734</v>
      </c>
      <c r="D9" s="10" t="s">
        <v>2736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3" s="1" customFormat="1">
      <c r="A17" s="15"/>
      <c r="B17" s="22" t="s">
        <v>80</v>
      </c>
      <c r="C17" s="22" t="s">
        <v>94</v>
      </c>
      <c r="D17" s="9" t="s">
        <v>99</v>
      </c>
      <c r="E17" s="16" t="s">
        <v>128</v>
      </c>
      <c r="F17" s="17" t="s">
        <v>80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678</v>
      </c>
    </row>
    <row r="18" spans="1:13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138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3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123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3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124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679</v>
      </c>
    </row>
    <row r="21" spans="1:13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318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3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273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3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272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3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95</v>
      </c>
      <c r="G24" s="17" t="s">
        <v>129</v>
      </c>
      <c r="H24" s="18"/>
      <c r="I24" s="35"/>
      <c r="J24" s="19" t="s">
        <v>131</v>
      </c>
      <c r="K24" s="19" t="s">
        <v>132</v>
      </c>
      <c r="L24" s="19" t="s">
        <v>44</v>
      </c>
    </row>
    <row r="25" spans="1:13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3" s="1" customFormat="1">
      <c r="B26" s="22" t="s">
        <v>2893</v>
      </c>
      <c r="C26" s="11" t="s">
        <v>43</v>
      </c>
      <c r="D26" s="9" t="s">
        <v>108</v>
      </c>
      <c r="E26" s="16" t="s">
        <v>128</v>
      </c>
      <c r="F26" s="17" t="s">
        <v>86</v>
      </c>
      <c r="G26" s="17" t="s">
        <v>129</v>
      </c>
      <c r="H26" s="18"/>
      <c r="I26" s="19"/>
      <c r="J26" s="19" t="s">
        <v>131</v>
      </c>
      <c r="K26" s="19" t="s">
        <v>132</v>
      </c>
      <c r="L26" s="19" t="s">
        <v>44</v>
      </c>
    </row>
    <row r="27" spans="1:13" s="1" customFormat="1">
      <c r="A27" s="15"/>
      <c r="B27" s="11" t="s">
        <v>81</v>
      </c>
      <c r="C27" s="11" t="s">
        <v>43</v>
      </c>
      <c r="D27" s="9" t="s">
        <v>57</v>
      </c>
      <c r="E27" s="16" t="s">
        <v>128</v>
      </c>
      <c r="F27" s="17" t="s">
        <v>81</v>
      </c>
      <c r="G27" s="17" t="s">
        <v>129</v>
      </c>
      <c r="H27" s="18"/>
      <c r="I27" s="20"/>
      <c r="J27" s="19" t="s">
        <v>131</v>
      </c>
      <c r="K27" s="19" t="s">
        <v>132</v>
      </c>
      <c r="L27" s="19" t="s">
        <v>44</v>
      </c>
    </row>
    <row r="28" spans="1:13" s="1" customFormat="1">
      <c r="A28" s="15"/>
      <c r="B28" s="11" t="s">
        <v>58</v>
      </c>
      <c r="C28" s="11" t="s">
        <v>43</v>
      </c>
      <c r="D28" s="9" t="s">
        <v>59</v>
      </c>
      <c r="E28" s="16" t="s">
        <v>128</v>
      </c>
      <c r="F28" s="9" t="s">
        <v>58</v>
      </c>
      <c r="G28" s="17" t="s">
        <v>129</v>
      </c>
      <c r="H28" s="18"/>
      <c r="I28" s="20"/>
      <c r="J28" s="19" t="s">
        <v>131</v>
      </c>
      <c r="K28" s="19" t="s">
        <v>132</v>
      </c>
      <c r="L28" s="19" t="s">
        <v>44</v>
      </c>
    </row>
    <row r="29" spans="1:13" s="1" customFormat="1">
      <c r="A29" s="15"/>
      <c r="B29" s="11" t="s">
        <v>82</v>
      </c>
      <c r="C29" s="11" t="s">
        <v>43</v>
      </c>
      <c r="D29" s="9" t="s">
        <v>105</v>
      </c>
      <c r="E29" s="16" t="s">
        <v>128</v>
      </c>
      <c r="F29" s="17" t="s">
        <v>82</v>
      </c>
      <c r="G29" s="17" t="s">
        <v>129</v>
      </c>
      <c r="H29" s="18"/>
      <c r="I29" s="20"/>
      <c r="J29" s="19" t="s">
        <v>131</v>
      </c>
      <c r="K29" s="19" t="s">
        <v>132</v>
      </c>
      <c r="L29" s="19" t="s">
        <v>44</v>
      </c>
    </row>
    <row r="30" spans="1:13" s="15" customFormat="1">
      <c r="B30" s="22" t="s">
        <v>87</v>
      </c>
      <c r="C30" s="11" t="s">
        <v>43</v>
      </c>
      <c r="D30" s="9" t="s">
        <v>109</v>
      </c>
      <c r="E30" s="16" t="s">
        <v>128</v>
      </c>
      <c r="F30" s="17" t="s">
        <v>87</v>
      </c>
      <c r="G30" s="17" t="s">
        <v>129</v>
      </c>
      <c r="H30" s="18"/>
      <c r="I30" s="20"/>
      <c r="J30" s="19" t="s">
        <v>131</v>
      </c>
      <c r="K30" s="19" t="s">
        <v>132</v>
      </c>
      <c r="L30" s="19" t="s">
        <v>679</v>
      </c>
      <c r="M30" s="1"/>
    </row>
    <row r="31" spans="1:13" s="1" customFormat="1">
      <c r="A31" s="15"/>
      <c r="B31" s="11" t="s">
        <v>1072</v>
      </c>
      <c r="C31" s="11" t="s">
        <v>45</v>
      </c>
      <c r="D31" s="9" t="s">
        <v>146</v>
      </c>
      <c r="E31" s="16" t="s">
        <v>128</v>
      </c>
      <c r="F31" s="17"/>
      <c r="G31" s="17" t="s">
        <v>1289</v>
      </c>
      <c r="H31" s="18"/>
      <c r="I31" s="17"/>
      <c r="J31" s="19" t="s">
        <v>133</v>
      </c>
      <c r="K31" s="19" t="s">
        <v>132</v>
      </c>
      <c r="L31" s="19" t="s">
        <v>134</v>
      </c>
    </row>
    <row r="32" spans="1:13" s="1" customFormat="1">
      <c r="A32" s="15"/>
      <c r="B32" s="11" t="s">
        <v>189</v>
      </c>
      <c r="C32" s="11" t="s">
        <v>45</v>
      </c>
      <c r="D32" s="9" t="s">
        <v>190</v>
      </c>
      <c r="E32" s="16" t="s">
        <v>128</v>
      </c>
      <c r="F32" s="17"/>
      <c r="G32" s="17" t="s">
        <v>2698</v>
      </c>
      <c r="H32" s="18"/>
      <c r="I32" s="17"/>
      <c r="J32" s="19" t="s">
        <v>133</v>
      </c>
      <c r="K32" s="19" t="s">
        <v>132</v>
      </c>
      <c r="L32" s="19" t="s">
        <v>134</v>
      </c>
    </row>
    <row r="33" spans="1:12" s="1" customFormat="1">
      <c r="A33" s="15"/>
      <c r="B33" s="11" t="s">
        <v>192</v>
      </c>
      <c r="C33" s="11" t="s">
        <v>45</v>
      </c>
      <c r="D33" s="9" t="s">
        <v>193</v>
      </c>
      <c r="E33" s="16" t="s">
        <v>128</v>
      </c>
      <c r="F33" s="17"/>
      <c r="G33" s="17" t="s">
        <v>2265</v>
      </c>
      <c r="H33" s="18"/>
      <c r="I33" s="17"/>
      <c r="J33" s="19" t="s">
        <v>133</v>
      </c>
      <c r="K33" s="19" t="s">
        <v>132</v>
      </c>
      <c r="L33" s="19" t="s">
        <v>134</v>
      </c>
    </row>
    <row r="34" spans="1:12" s="1" customFormat="1">
      <c r="A34" s="15"/>
      <c r="B34" s="22" t="s">
        <v>255</v>
      </c>
      <c r="C34" s="22" t="s">
        <v>45</v>
      </c>
      <c r="D34" s="9" t="s">
        <v>348</v>
      </c>
      <c r="E34" s="16" t="s">
        <v>128</v>
      </c>
      <c r="F34" s="17"/>
      <c r="G34" s="17" t="s">
        <v>1667</v>
      </c>
      <c r="H34" s="18"/>
      <c r="I34" s="17"/>
      <c r="J34" s="19" t="s">
        <v>133</v>
      </c>
      <c r="K34" s="19" t="s">
        <v>203</v>
      </c>
      <c r="L34" s="19" t="s">
        <v>134</v>
      </c>
    </row>
    <row r="35" spans="1:12" s="1" customFormat="1">
      <c r="A35" s="15"/>
      <c r="B35" s="11" t="s">
        <v>207</v>
      </c>
      <c r="C35" s="11" t="s">
        <v>45</v>
      </c>
      <c r="D35" s="9" t="s">
        <v>759</v>
      </c>
      <c r="E35" s="16" t="s">
        <v>128</v>
      </c>
      <c r="F35" s="72"/>
      <c r="G35" s="17" t="s">
        <v>1200</v>
      </c>
      <c r="H35" s="18"/>
      <c r="I35" s="17"/>
      <c r="J35" s="19" t="s">
        <v>133</v>
      </c>
      <c r="K35" s="19" t="s">
        <v>204</v>
      </c>
      <c r="L35" s="19" t="s">
        <v>134</v>
      </c>
    </row>
    <row r="36" spans="1:12" s="1" customFormat="1">
      <c r="A36" s="15"/>
      <c r="B36" s="11" t="s">
        <v>208</v>
      </c>
      <c r="C36" s="11" t="s">
        <v>45</v>
      </c>
      <c r="D36" s="9" t="s">
        <v>160</v>
      </c>
      <c r="E36" s="16" t="s">
        <v>128</v>
      </c>
      <c r="F36" s="72"/>
      <c r="G36" s="17" t="s">
        <v>1201</v>
      </c>
      <c r="H36" s="18"/>
      <c r="I36" s="17"/>
      <c r="J36" s="19" t="s">
        <v>133</v>
      </c>
      <c r="K36" s="19" t="s">
        <v>204</v>
      </c>
      <c r="L36" s="19" t="s">
        <v>134</v>
      </c>
    </row>
    <row r="37" spans="1:12" s="1" customFormat="1">
      <c r="A37" s="15"/>
      <c r="B37" s="11" t="s">
        <v>763</v>
      </c>
      <c r="C37" s="11" t="s">
        <v>45</v>
      </c>
      <c r="D37" s="9" t="s">
        <v>181</v>
      </c>
      <c r="E37" s="16" t="s">
        <v>128</v>
      </c>
      <c r="F37" s="72"/>
      <c r="G37" s="17" t="s">
        <v>1075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803</v>
      </c>
      <c r="C38" s="11" t="s">
        <v>45</v>
      </c>
      <c r="D38" s="9" t="s">
        <v>183</v>
      </c>
      <c r="E38" s="16" t="s">
        <v>128</v>
      </c>
      <c r="F38" s="72"/>
      <c r="G38" s="17" t="s">
        <v>1077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804</v>
      </c>
      <c r="C39" s="11" t="s">
        <v>45</v>
      </c>
      <c r="D39" s="9" t="s">
        <v>182</v>
      </c>
      <c r="E39" s="16" t="s">
        <v>128</v>
      </c>
      <c r="F39" s="72"/>
      <c r="G39" s="17" t="s">
        <v>1079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805</v>
      </c>
      <c r="C40" s="11" t="s">
        <v>45</v>
      </c>
      <c r="D40" s="9" t="s">
        <v>184</v>
      </c>
      <c r="E40" s="16" t="s">
        <v>128</v>
      </c>
      <c r="F40" s="72"/>
      <c r="G40" s="17" t="s">
        <v>1110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806</v>
      </c>
      <c r="C41" s="11" t="s">
        <v>45</v>
      </c>
      <c r="D41" s="9" t="s">
        <v>186</v>
      </c>
      <c r="E41" s="16" t="s">
        <v>128</v>
      </c>
      <c r="F41" s="72"/>
      <c r="G41" s="17" t="s">
        <v>1111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807</v>
      </c>
      <c r="C42" s="11" t="s">
        <v>45</v>
      </c>
      <c r="D42" s="9" t="s">
        <v>185</v>
      </c>
      <c r="E42" s="16" t="s">
        <v>128</v>
      </c>
      <c r="F42" s="72"/>
      <c r="G42" s="17" t="s">
        <v>1112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808</v>
      </c>
      <c r="C43" s="11" t="s">
        <v>45</v>
      </c>
      <c r="D43" s="9" t="s">
        <v>187</v>
      </c>
      <c r="E43" s="16" t="s">
        <v>128</v>
      </c>
      <c r="F43" s="72"/>
      <c r="G43" s="17" t="s">
        <v>1113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210</v>
      </c>
      <c r="C44" s="11" t="s">
        <v>45</v>
      </c>
      <c r="D44" s="9" t="s">
        <v>1056</v>
      </c>
      <c r="E44" s="16" t="s">
        <v>128</v>
      </c>
      <c r="F44" s="72"/>
      <c r="G44" s="17" t="s">
        <v>224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209</v>
      </c>
      <c r="C45" s="11" t="s">
        <v>45</v>
      </c>
      <c r="D45" s="9" t="s">
        <v>1055</v>
      </c>
      <c r="E45" s="16" t="s">
        <v>128</v>
      </c>
      <c r="F45" s="72"/>
      <c r="G45" s="17" t="s">
        <v>223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211</v>
      </c>
      <c r="C46" s="11" t="s">
        <v>45</v>
      </c>
      <c r="D46" s="9" t="s">
        <v>163</v>
      </c>
      <c r="E46" s="16" t="s">
        <v>128</v>
      </c>
      <c r="F46" s="72"/>
      <c r="G46" s="17" t="s">
        <v>225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212</v>
      </c>
      <c r="C47" s="11" t="s">
        <v>45</v>
      </c>
      <c r="D47" s="9" t="s">
        <v>164</v>
      </c>
      <c r="E47" s="16" t="s">
        <v>128</v>
      </c>
      <c r="F47" s="72"/>
      <c r="G47" s="17" t="s">
        <v>226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213</v>
      </c>
      <c r="C48" s="11" t="s">
        <v>45</v>
      </c>
      <c r="D48" s="9" t="s">
        <v>165</v>
      </c>
      <c r="E48" s="16" t="s">
        <v>128</v>
      </c>
      <c r="F48" s="72"/>
      <c r="G48" s="17" t="s">
        <v>1114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214</v>
      </c>
      <c r="C49" s="11" t="s">
        <v>45</v>
      </c>
      <c r="D49" s="9" t="s">
        <v>166</v>
      </c>
      <c r="E49" s="16" t="s">
        <v>128</v>
      </c>
      <c r="F49" s="72"/>
      <c r="G49" s="17" t="s">
        <v>1115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217</v>
      </c>
      <c r="C50" s="11" t="s">
        <v>45</v>
      </c>
      <c r="D50" s="9" t="s">
        <v>171</v>
      </c>
      <c r="E50" s="16" t="s">
        <v>128</v>
      </c>
      <c r="F50" s="72"/>
      <c r="G50" s="17" t="s">
        <v>1116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218</v>
      </c>
      <c r="C51" s="11" t="s">
        <v>45</v>
      </c>
      <c r="D51" s="9" t="s">
        <v>172</v>
      </c>
      <c r="E51" s="16" t="s">
        <v>128</v>
      </c>
      <c r="F51" s="72"/>
      <c r="G51" s="17" t="s">
        <v>1117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219</v>
      </c>
      <c r="C52" s="11" t="s">
        <v>45</v>
      </c>
      <c r="D52" s="9" t="s">
        <v>173</v>
      </c>
      <c r="E52" s="16" t="s">
        <v>128</v>
      </c>
      <c r="F52" s="72"/>
      <c r="G52" s="17" t="s">
        <v>1118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220</v>
      </c>
      <c r="C53" s="11" t="s">
        <v>45</v>
      </c>
      <c r="D53" s="9" t="s">
        <v>174</v>
      </c>
      <c r="E53" s="16" t="s">
        <v>128</v>
      </c>
      <c r="F53" s="72"/>
      <c r="G53" s="17" t="s">
        <v>1119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215</v>
      </c>
      <c r="C54" s="11" t="s">
        <v>45</v>
      </c>
      <c r="D54" s="9" t="s">
        <v>1260</v>
      </c>
      <c r="E54" s="16" t="s">
        <v>128</v>
      </c>
      <c r="F54" s="72"/>
      <c r="G54" s="17" t="s">
        <v>227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216</v>
      </c>
      <c r="C55" s="11" t="s">
        <v>45</v>
      </c>
      <c r="D55" s="9" t="s">
        <v>1261</v>
      </c>
      <c r="E55" s="16" t="s">
        <v>128</v>
      </c>
      <c r="F55" s="72"/>
      <c r="G55" s="17" t="s">
        <v>228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316</v>
      </c>
      <c r="C56" s="11" t="s">
        <v>45</v>
      </c>
      <c r="D56" s="9" t="s">
        <v>167</v>
      </c>
      <c r="E56" s="16" t="s">
        <v>128</v>
      </c>
      <c r="F56" s="72"/>
      <c r="G56" s="17" t="s">
        <v>772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809</v>
      </c>
      <c r="C57" s="11" t="s">
        <v>45</v>
      </c>
      <c r="D57" s="9" t="s">
        <v>175</v>
      </c>
      <c r="E57" s="16" t="s">
        <v>128</v>
      </c>
      <c r="F57" s="72"/>
      <c r="G57" s="17" t="s">
        <v>1120</v>
      </c>
      <c r="H57" s="18"/>
      <c r="I57" s="17"/>
      <c r="J57" s="19" t="s">
        <v>133</v>
      </c>
      <c r="K57" s="19" t="s">
        <v>44</v>
      </c>
      <c r="L57" s="19" t="s">
        <v>67</v>
      </c>
    </row>
    <row r="58" spans="1:12" s="1" customFormat="1">
      <c r="A58" s="15"/>
      <c r="B58" s="11" t="s">
        <v>317</v>
      </c>
      <c r="C58" s="11" t="s">
        <v>45</v>
      </c>
      <c r="D58" s="9" t="s">
        <v>168</v>
      </c>
      <c r="E58" s="16" t="s">
        <v>128</v>
      </c>
      <c r="F58" s="72"/>
      <c r="G58" s="17" t="s">
        <v>778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810</v>
      </c>
      <c r="C59" s="11" t="s">
        <v>45</v>
      </c>
      <c r="D59" s="9" t="s">
        <v>176</v>
      </c>
      <c r="E59" s="16" t="s">
        <v>128</v>
      </c>
      <c r="F59" s="72"/>
      <c r="G59" s="17" t="s">
        <v>1121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1213</v>
      </c>
      <c r="C60" s="11" t="s">
        <v>45</v>
      </c>
      <c r="D60" s="9" t="s">
        <v>178</v>
      </c>
      <c r="E60" s="16" t="s">
        <v>128</v>
      </c>
      <c r="F60" s="72"/>
      <c r="G60" s="17" t="s">
        <v>2266</v>
      </c>
      <c r="H60" s="18"/>
      <c r="I60" s="17"/>
      <c r="J60" s="19" t="s">
        <v>133</v>
      </c>
      <c r="K60" s="19" t="s">
        <v>202</v>
      </c>
      <c r="L60" s="19" t="s">
        <v>67</v>
      </c>
    </row>
    <row r="61" spans="1:12" s="1" customFormat="1">
      <c r="A61" s="15"/>
      <c r="B61" s="11" t="s">
        <v>221</v>
      </c>
      <c r="C61" s="11" t="s">
        <v>45</v>
      </c>
      <c r="D61" s="9" t="s">
        <v>177</v>
      </c>
      <c r="E61" s="16" t="s">
        <v>128</v>
      </c>
      <c r="F61" s="72"/>
      <c r="G61" s="17" t="s">
        <v>1122</v>
      </c>
      <c r="H61" s="18"/>
      <c r="I61" s="17"/>
      <c r="J61" s="19" t="s">
        <v>133</v>
      </c>
      <c r="K61" s="19" t="s">
        <v>204</v>
      </c>
      <c r="L61" s="19" t="s">
        <v>67</v>
      </c>
    </row>
    <row r="62" spans="1:12" s="1" customFormat="1">
      <c r="A62" s="15"/>
      <c r="B62" s="11" t="s">
        <v>1212</v>
      </c>
      <c r="C62" s="11" t="s">
        <v>45</v>
      </c>
      <c r="D62" s="9" t="s">
        <v>180</v>
      </c>
      <c r="E62" s="16" t="s">
        <v>128</v>
      </c>
      <c r="F62" s="72"/>
      <c r="G62" s="17" t="s">
        <v>2267</v>
      </c>
      <c r="H62" s="18"/>
      <c r="I62" s="17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11" t="s">
        <v>222</v>
      </c>
      <c r="C63" s="11" t="s">
        <v>45</v>
      </c>
      <c r="D63" s="9" t="s">
        <v>179</v>
      </c>
      <c r="E63" s="16" t="s">
        <v>128</v>
      </c>
      <c r="F63" s="72"/>
      <c r="G63" s="17" t="s">
        <v>1123</v>
      </c>
      <c r="H63" s="18"/>
      <c r="I63" s="17"/>
      <c r="J63" s="19" t="s">
        <v>133</v>
      </c>
      <c r="K63" s="19" t="s">
        <v>204</v>
      </c>
      <c r="L63" s="19" t="s">
        <v>67</v>
      </c>
    </row>
    <row r="64" spans="1:12" s="1" customFormat="1">
      <c r="A64" s="15"/>
      <c r="B64" s="11" t="s">
        <v>205</v>
      </c>
      <c r="C64" s="11" t="s">
        <v>45</v>
      </c>
      <c r="D64" s="9" t="s">
        <v>147</v>
      </c>
      <c r="E64" s="16" t="s">
        <v>128</v>
      </c>
      <c r="F64" s="72"/>
      <c r="G64" s="17" t="s">
        <v>1126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206</v>
      </c>
      <c r="C65" s="11" t="s">
        <v>280</v>
      </c>
      <c r="D65" s="9" t="s">
        <v>820</v>
      </c>
      <c r="E65" s="16" t="s">
        <v>128</v>
      </c>
      <c r="F65" s="72"/>
      <c r="G65" s="17" t="s">
        <v>1081</v>
      </c>
      <c r="H65" s="18"/>
      <c r="I65" s="17"/>
      <c r="J65" s="19" t="s">
        <v>133</v>
      </c>
      <c r="K65" s="19" t="s">
        <v>202</v>
      </c>
      <c r="L65" s="19" t="s">
        <v>67</v>
      </c>
    </row>
    <row r="66" spans="1:12" s="1" customFormat="1">
      <c r="A66" s="15"/>
      <c r="B66" s="11" t="s">
        <v>1022</v>
      </c>
      <c r="C66" s="11" t="s">
        <v>45</v>
      </c>
      <c r="D66" s="9" t="s">
        <v>1018</v>
      </c>
      <c r="E66" s="16" t="s">
        <v>128</v>
      </c>
      <c r="F66" s="72"/>
      <c r="G66" s="17" t="s">
        <v>1127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1014</v>
      </c>
      <c r="C67" s="11" t="s">
        <v>45</v>
      </c>
      <c r="D67" s="9" t="s">
        <v>1019</v>
      </c>
      <c r="E67" s="16" t="s">
        <v>128</v>
      </c>
      <c r="F67" s="72"/>
      <c r="G67" s="17" t="s">
        <v>1128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1015</v>
      </c>
      <c r="C68" s="11" t="s">
        <v>45</v>
      </c>
      <c r="D68" s="9" t="s">
        <v>1020</v>
      </c>
      <c r="E68" s="16" t="s">
        <v>128</v>
      </c>
      <c r="F68" s="72"/>
      <c r="G68" s="17" t="s">
        <v>1129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1016</v>
      </c>
      <c r="C69" s="11" t="s">
        <v>45</v>
      </c>
      <c r="D69" s="9" t="s">
        <v>1021</v>
      </c>
      <c r="E69" s="16" t="s">
        <v>128</v>
      </c>
      <c r="F69" s="72"/>
      <c r="G69" s="17" t="s">
        <v>1130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1017</v>
      </c>
      <c r="C70" s="11" t="s">
        <v>45</v>
      </c>
      <c r="D70" s="9" t="s">
        <v>1042</v>
      </c>
      <c r="E70" s="16" t="s">
        <v>128</v>
      </c>
      <c r="F70" s="72"/>
      <c r="G70" s="17" t="s">
        <v>1131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1049</v>
      </c>
      <c r="C71" s="11" t="s">
        <v>45</v>
      </c>
      <c r="D71" s="9" t="s">
        <v>153</v>
      </c>
      <c r="E71" s="16" t="s">
        <v>128</v>
      </c>
      <c r="F71" s="72"/>
      <c r="G71" s="17" t="s">
        <v>1132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823</v>
      </c>
      <c r="C72" s="11" t="s">
        <v>280</v>
      </c>
      <c r="D72" s="9" t="s">
        <v>1474</v>
      </c>
      <c r="E72" s="16" t="s">
        <v>128</v>
      </c>
      <c r="F72" s="72"/>
      <c r="G72" s="17" t="s">
        <v>1082</v>
      </c>
      <c r="H72" s="18"/>
      <c r="I72" s="17"/>
      <c r="J72" s="19" t="s">
        <v>133</v>
      </c>
      <c r="K72" s="19" t="s">
        <v>202</v>
      </c>
      <c r="L72" s="19" t="s">
        <v>67</v>
      </c>
    </row>
    <row r="73" spans="1:12" s="1" customFormat="1">
      <c r="A73" s="15"/>
      <c r="B73" s="11" t="s">
        <v>1030</v>
      </c>
      <c r="C73" s="11" t="s">
        <v>45</v>
      </c>
      <c r="D73" s="9" t="s">
        <v>1026</v>
      </c>
      <c r="E73" s="16" t="s">
        <v>128</v>
      </c>
      <c r="F73" s="72"/>
      <c r="G73" s="17" t="s">
        <v>1133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1023</v>
      </c>
      <c r="C74" s="11" t="s">
        <v>45</v>
      </c>
      <c r="D74" s="9" t="s">
        <v>1027</v>
      </c>
      <c r="E74" s="16" t="s">
        <v>128</v>
      </c>
      <c r="F74" s="72"/>
      <c r="G74" s="17" t="s">
        <v>1134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1024</v>
      </c>
      <c r="C75" s="11" t="s">
        <v>45</v>
      </c>
      <c r="D75" s="9" t="s">
        <v>1028</v>
      </c>
      <c r="E75" s="16" t="s">
        <v>128</v>
      </c>
      <c r="F75" s="72"/>
      <c r="G75" s="17" t="s">
        <v>1135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1032</v>
      </c>
      <c r="C76" s="11" t="s">
        <v>45</v>
      </c>
      <c r="D76" s="9" t="s">
        <v>1029</v>
      </c>
      <c r="E76" s="16" t="s">
        <v>128</v>
      </c>
      <c r="F76" s="72"/>
      <c r="G76" s="17" t="s">
        <v>1136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1025</v>
      </c>
      <c r="C77" s="11" t="s">
        <v>45</v>
      </c>
      <c r="D77" s="9" t="s">
        <v>1043</v>
      </c>
      <c r="E77" s="16" t="s">
        <v>128</v>
      </c>
      <c r="F77" s="72"/>
      <c r="G77" s="17" t="s">
        <v>1137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1084</v>
      </c>
      <c r="C78" s="11" t="s">
        <v>280</v>
      </c>
      <c r="D78" s="9" t="s">
        <v>1086</v>
      </c>
      <c r="E78" s="16" t="s">
        <v>128</v>
      </c>
      <c r="F78" s="72"/>
      <c r="G78" s="17" t="s">
        <v>2248</v>
      </c>
      <c r="H78" s="18"/>
      <c r="I78" s="17"/>
      <c r="J78" s="19" t="s">
        <v>133</v>
      </c>
      <c r="K78" s="19" t="s">
        <v>202</v>
      </c>
      <c r="L78" s="19" t="s">
        <v>67</v>
      </c>
    </row>
    <row r="79" spans="1:12" s="1" customFormat="1">
      <c r="A79" s="15"/>
      <c r="B79" s="11" t="s">
        <v>1083</v>
      </c>
      <c r="C79" s="11" t="s">
        <v>280</v>
      </c>
      <c r="D79" s="9" t="s">
        <v>841</v>
      </c>
      <c r="E79" s="16" t="s">
        <v>128</v>
      </c>
      <c r="F79" s="72"/>
      <c r="G79" s="17" t="s">
        <v>1866</v>
      </c>
      <c r="H79" s="18"/>
      <c r="I79" s="17"/>
      <c r="J79" s="19" t="s">
        <v>133</v>
      </c>
      <c r="K79" s="19" t="s">
        <v>202</v>
      </c>
      <c r="L79" s="19" t="s">
        <v>67</v>
      </c>
    </row>
    <row r="80" spans="1:12" s="1" customFormat="1">
      <c r="A80" s="15"/>
      <c r="B80" s="11" t="s">
        <v>1033</v>
      </c>
      <c r="C80" s="11" t="s">
        <v>45</v>
      </c>
      <c r="D80" s="9" t="s">
        <v>1038</v>
      </c>
      <c r="E80" s="16" t="s">
        <v>128</v>
      </c>
      <c r="F80" s="72"/>
      <c r="G80" s="17" t="s">
        <v>1138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1034</v>
      </c>
      <c r="C81" s="11" t="s">
        <v>45</v>
      </c>
      <c r="D81" s="9" t="s">
        <v>1039</v>
      </c>
      <c r="E81" s="16" t="s">
        <v>128</v>
      </c>
      <c r="F81" s="72"/>
      <c r="G81" s="17" t="s">
        <v>1139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1035</v>
      </c>
      <c r="C82" s="11" t="s">
        <v>45</v>
      </c>
      <c r="D82" s="9" t="s">
        <v>1040</v>
      </c>
      <c r="E82" s="16" t="s">
        <v>128</v>
      </c>
      <c r="F82" s="72"/>
      <c r="G82" s="17" t="s">
        <v>1140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1036</v>
      </c>
      <c r="C83" s="11" t="s">
        <v>45</v>
      </c>
      <c r="D83" s="9" t="s">
        <v>1041</v>
      </c>
      <c r="E83" s="16" t="s">
        <v>128</v>
      </c>
      <c r="F83" s="72"/>
      <c r="G83" s="17" t="s">
        <v>1141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1037</v>
      </c>
      <c r="C84" s="11" t="s">
        <v>45</v>
      </c>
      <c r="D84" s="9" t="s">
        <v>1044</v>
      </c>
      <c r="E84" s="16" t="s">
        <v>128</v>
      </c>
      <c r="F84" s="72"/>
      <c r="G84" s="17" t="s">
        <v>1142</v>
      </c>
      <c r="H84" s="18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816</v>
      </c>
      <c r="C85" s="11" t="s">
        <v>280</v>
      </c>
      <c r="D85" s="9" t="s">
        <v>839</v>
      </c>
      <c r="E85" s="16" t="s">
        <v>128</v>
      </c>
      <c r="F85" s="72"/>
      <c r="G85" s="17" t="s">
        <v>1088</v>
      </c>
      <c r="H85" s="18"/>
      <c r="I85" s="17"/>
      <c r="J85" s="19" t="s">
        <v>133</v>
      </c>
      <c r="K85" s="19" t="s">
        <v>202</v>
      </c>
      <c r="L85" s="19" t="s">
        <v>67</v>
      </c>
    </row>
    <row r="86" spans="1:12" s="1" customFormat="1">
      <c r="A86" s="15"/>
      <c r="B86" s="11" t="s">
        <v>817</v>
      </c>
      <c r="C86" s="11" t="s">
        <v>45</v>
      </c>
      <c r="D86" s="9" t="s">
        <v>658</v>
      </c>
      <c r="E86" s="16" t="s">
        <v>128</v>
      </c>
      <c r="F86" s="72"/>
      <c r="G86" s="17" t="s">
        <v>1089</v>
      </c>
      <c r="H86" s="18"/>
      <c r="I86" s="17"/>
      <c r="J86" s="19" t="s">
        <v>133</v>
      </c>
      <c r="K86" s="19" t="s">
        <v>44</v>
      </c>
      <c r="L86" s="19" t="s">
        <v>67</v>
      </c>
    </row>
    <row r="87" spans="1:12" s="1" customFormat="1">
      <c r="A87" s="15"/>
      <c r="B87" s="11" t="s">
        <v>818</v>
      </c>
      <c r="C87" s="11" t="s">
        <v>280</v>
      </c>
      <c r="D87" s="9" t="s">
        <v>842</v>
      </c>
      <c r="E87" s="16" t="s">
        <v>128</v>
      </c>
      <c r="F87" s="72"/>
      <c r="G87" s="17" t="s">
        <v>1091</v>
      </c>
      <c r="H87" s="18"/>
      <c r="I87" s="17"/>
      <c r="J87" s="19" t="s">
        <v>133</v>
      </c>
      <c r="K87" s="19" t="s">
        <v>202</v>
      </c>
      <c r="L87" s="19" t="s">
        <v>67</v>
      </c>
    </row>
    <row r="88" spans="1:12" s="1" customFormat="1">
      <c r="A88" s="15"/>
      <c r="B88" s="11" t="s">
        <v>819</v>
      </c>
      <c r="C88" s="11" t="s">
        <v>45</v>
      </c>
      <c r="D88" s="9" t="s">
        <v>660</v>
      </c>
      <c r="E88" s="16" t="s">
        <v>128</v>
      </c>
      <c r="F88" s="72"/>
      <c r="G88" s="17" t="s">
        <v>1092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2688</v>
      </c>
      <c r="C89" s="11" t="s">
        <v>2396</v>
      </c>
      <c r="D89" s="9" t="s">
        <v>2690</v>
      </c>
      <c r="E89" s="16" t="s">
        <v>128</v>
      </c>
      <c r="F89" s="72"/>
      <c r="G89" s="17" t="s">
        <v>2699</v>
      </c>
      <c r="H89" s="18"/>
      <c r="I89" s="17"/>
      <c r="J89" s="19" t="s">
        <v>133</v>
      </c>
      <c r="K89" s="19" t="s">
        <v>903</v>
      </c>
      <c r="L89" s="19" t="s">
        <v>134</v>
      </c>
    </row>
    <row r="90" spans="1:12" s="1" customFormat="1">
      <c r="A90" s="15"/>
      <c r="B90" s="11" t="s">
        <v>829</v>
      </c>
      <c r="C90" s="11" t="s">
        <v>280</v>
      </c>
      <c r="D90" s="9" t="s">
        <v>517</v>
      </c>
      <c r="E90" s="16" t="s">
        <v>128</v>
      </c>
      <c r="F90" s="72"/>
      <c r="G90" s="17" t="s">
        <v>2696</v>
      </c>
      <c r="H90" s="18"/>
      <c r="I90" s="17"/>
      <c r="J90" s="19" t="s">
        <v>133</v>
      </c>
      <c r="K90" s="19" t="s">
        <v>203</v>
      </c>
      <c r="L90" s="19" t="s">
        <v>67</v>
      </c>
    </row>
    <row r="91" spans="1:12" s="1" customFormat="1">
      <c r="A91" s="15"/>
      <c r="B91" s="11" t="s">
        <v>2689</v>
      </c>
      <c r="C91" s="11" t="s">
        <v>2396</v>
      </c>
      <c r="D91" s="9" t="s">
        <v>2692</v>
      </c>
      <c r="E91" s="16" t="s">
        <v>128</v>
      </c>
      <c r="F91" s="72"/>
      <c r="G91" s="17" t="s">
        <v>2700</v>
      </c>
      <c r="H91" s="18"/>
      <c r="I91" s="17"/>
      <c r="J91" s="19" t="s">
        <v>133</v>
      </c>
      <c r="K91" s="19" t="s">
        <v>903</v>
      </c>
      <c r="L91" s="19" t="s">
        <v>134</v>
      </c>
    </row>
    <row r="92" spans="1:12" s="1" customFormat="1">
      <c r="A92" s="15"/>
      <c r="B92" s="11" t="s">
        <v>799</v>
      </c>
      <c r="C92" s="11" t="s">
        <v>280</v>
      </c>
      <c r="D92" s="9" t="s">
        <v>2691</v>
      </c>
      <c r="E92" s="16" t="s">
        <v>128</v>
      </c>
      <c r="F92" s="72"/>
      <c r="G92" s="17" t="s">
        <v>2697</v>
      </c>
      <c r="H92" s="18"/>
      <c r="I92" s="17"/>
      <c r="J92" s="19" t="s">
        <v>133</v>
      </c>
      <c r="K92" s="19" t="s">
        <v>203</v>
      </c>
      <c r="L92" s="19" t="s">
        <v>67</v>
      </c>
    </row>
    <row r="93" spans="1:12" s="1" customFormat="1">
      <c r="A93" s="15"/>
      <c r="B93" s="11" t="s">
        <v>830</v>
      </c>
      <c r="C93" s="11" t="s">
        <v>45</v>
      </c>
      <c r="D93" s="9" t="s">
        <v>837</v>
      </c>
      <c r="E93" s="16" t="s">
        <v>128</v>
      </c>
      <c r="F93" s="72"/>
      <c r="G93" s="17" t="s">
        <v>1096</v>
      </c>
      <c r="H93" s="18"/>
      <c r="I93" s="17"/>
      <c r="J93" s="19" t="s">
        <v>133</v>
      </c>
      <c r="K93" s="19" t="s">
        <v>44</v>
      </c>
      <c r="L93" s="19" t="s">
        <v>67</v>
      </c>
    </row>
    <row r="94" spans="1:12" s="1" customFormat="1">
      <c r="A94" s="15"/>
      <c r="B94" s="11" t="s">
        <v>623</v>
      </c>
      <c r="C94" s="11" t="s">
        <v>280</v>
      </c>
      <c r="D94" s="9" t="s">
        <v>836</v>
      </c>
      <c r="E94" s="16" t="s">
        <v>128</v>
      </c>
      <c r="F94" s="72"/>
      <c r="G94" s="17" t="s">
        <v>1099</v>
      </c>
      <c r="H94" s="18"/>
      <c r="I94" s="17"/>
      <c r="J94" s="19" t="s">
        <v>133</v>
      </c>
      <c r="K94" s="19" t="s">
        <v>202</v>
      </c>
      <c r="L94" s="19" t="s">
        <v>67</v>
      </c>
    </row>
    <row r="95" spans="1:12" s="1" customFormat="1">
      <c r="A95" s="15"/>
      <c r="B95" s="11" t="s">
        <v>831</v>
      </c>
      <c r="C95" s="11" t="s">
        <v>45</v>
      </c>
      <c r="D95" s="9" t="s">
        <v>825</v>
      </c>
      <c r="E95" s="16" t="s">
        <v>128</v>
      </c>
      <c r="F95" s="72"/>
      <c r="G95" s="17" t="s">
        <v>2701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1098</v>
      </c>
      <c r="C96" s="11" t="s">
        <v>280</v>
      </c>
      <c r="D96" s="9" t="s">
        <v>826</v>
      </c>
      <c r="E96" s="16" t="s">
        <v>128</v>
      </c>
      <c r="F96" s="72"/>
      <c r="G96" s="17" t="s">
        <v>1101</v>
      </c>
      <c r="H96" s="18"/>
      <c r="I96" s="17"/>
      <c r="J96" s="19" t="s">
        <v>133</v>
      </c>
      <c r="K96" s="19" t="s">
        <v>202</v>
      </c>
      <c r="L96" s="19" t="s">
        <v>67</v>
      </c>
    </row>
    <row r="97" spans="1:17" s="1" customFormat="1">
      <c r="A97" s="15"/>
      <c r="B97" s="11" t="s">
        <v>535</v>
      </c>
      <c r="C97" s="11" t="s">
        <v>280</v>
      </c>
      <c r="D97" s="9" t="s">
        <v>534</v>
      </c>
      <c r="E97" s="16" t="s">
        <v>128</v>
      </c>
      <c r="F97" s="72"/>
      <c r="G97" s="17" t="s">
        <v>1103</v>
      </c>
      <c r="H97" s="18"/>
      <c r="I97" s="17"/>
      <c r="J97" s="19" t="s">
        <v>133</v>
      </c>
      <c r="K97" s="19" t="s">
        <v>202</v>
      </c>
      <c r="L97" s="19" t="s">
        <v>67</v>
      </c>
    </row>
    <row r="98" spans="1:17" s="1" customFormat="1">
      <c r="A98" s="15"/>
      <c r="B98" s="11" t="s">
        <v>848</v>
      </c>
      <c r="C98" s="11" t="s">
        <v>45</v>
      </c>
      <c r="D98" s="9" t="s">
        <v>850</v>
      </c>
      <c r="E98" s="16" t="s">
        <v>128</v>
      </c>
      <c r="F98" s="72"/>
      <c r="G98" s="17" t="s">
        <v>2702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7" s="1" customFormat="1">
      <c r="A99" s="15"/>
      <c r="B99" s="11" t="s">
        <v>849</v>
      </c>
      <c r="C99" s="11" t="s">
        <v>45</v>
      </c>
      <c r="D99" s="9" t="s">
        <v>116</v>
      </c>
      <c r="E99" s="16" t="s">
        <v>128</v>
      </c>
      <c r="F99" s="72"/>
      <c r="G99" s="17" t="s">
        <v>2703</v>
      </c>
      <c r="H99" s="18"/>
      <c r="I99" s="17"/>
      <c r="J99" s="19" t="s">
        <v>133</v>
      </c>
      <c r="K99" s="19" t="s">
        <v>903</v>
      </c>
      <c r="L99" s="19" t="s">
        <v>67</v>
      </c>
    </row>
    <row r="100" spans="1:17" s="1" customFormat="1">
      <c r="A100" s="15"/>
      <c r="B100" s="11" t="s">
        <v>855</v>
      </c>
      <c r="C100" s="11" t="s">
        <v>280</v>
      </c>
      <c r="D100" s="9" t="s">
        <v>502</v>
      </c>
      <c r="E100" s="16" t="s">
        <v>128</v>
      </c>
      <c r="F100" s="72"/>
      <c r="G100" s="17" t="s">
        <v>1107</v>
      </c>
      <c r="H100" s="18"/>
      <c r="I100" s="17"/>
      <c r="J100" s="19" t="s">
        <v>133</v>
      </c>
      <c r="K100" s="19" t="s">
        <v>202</v>
      </c>
      <c r="L100" s="19" t="s">
        <v>67</v>
      </c>
    </row>
    <row r="101" spans="1:17" s="1" customFormat="1">
      <c r="A101" s="15"/>
      <c r="B101" s="11" t="s">
        <v>856</v>
      </c>
      <c r="C101" s="11" t="s">
        <v>45</v>
      </c>
      <c r="D101" s="9" t="s">
        <v>857</v>
      </c>
      <c r="E101" s="16" t="s">
        <v>128</v>
      </c>
      <c r="F101" s="72"/>
      <c r="G101" s="17" t="s">
        <v>2704</v>
      </c>
      <c r="H101" s="18"/>
      <c r="I101" s="17"/>
      <c r="J101" s="19" t="s">
        <v>133</v>
      </c>
      <c r="K101" s="19" t="s">
        <v>903</v>
      </c>
      <c r="L101" s="19" t="s">
        <v>67</v>
      </c>
    </row>
    <row r="102" spans="1:17" s="1" customFormat="1">
      <c r="A102" s="15"/>
      <c r="B102" s="11" t="s">
        <v>315</v>
      </c>
      <c r="C102" s="11" t="s">
        <v>45</v>
      </c>
      <c r="D102" s="9" t="s">
        <v>112</v>
      </c>
      <c r="E102" s="16" t="s">
        <v>128</v>
      </c>
      <c r="F102" s="72"/>
      <c r="G102" s="17" t="s">
        <v>1145</v>
      </c>
      <c r="H102" s="18"/>
      <c r="I102" s="17"/>
      <c r="J102" s="19" t="s">
        <v>133</v>
      </c>
      <c r="K102" s="19" t="s">
        <v>44</v>
      </c>
      <c r="L102" s="19" t="s">
        <v>67</v>
      </c>
    </row>
    <row r="103" spans="1:17" s="1" customFormat="1">
      <c r="A103" s="15"/>
      <c r="B103" s="11" t="s">
        <v>2257</v>
      </c>
      <c r="C103" s="11" t="s">
        <v>43</v>
      </c>
      <c r="D103" s="9" t="s">
        <v>1281</v>
      </c>
      <c r="E103" s="16" t="s">
        <v>55</v>
      </c>
      <c r="F103" s="13"/>
      <c r="G103" s="13" t="s">
        <v>2258</v>
      </c>
      <c r="H103" s="18"/>
      <c r="I103" s="87">
        <v>20250415101139</v>
      </c>
      <c r="J103" s="19" t="s">
        <v>133</v>
      </c>
      <c r="K103" s="19" t="s">
        <v>44</v>
      </c>
      <c r="L103" s="19" t="s">
        <v>1306</v>
      </c>
    </row>
    <row r="104" spans="1:17" s="1" customFormat="1">
      <c r="A104" s="15"/>
      <c r="B104" s="11" t="s">
        <v>2259</v>
      </c>
      <c r="C104" s="11" t="s">
        <v>43</v>
      </c>
      <c r="D104" s="9" t="s">
        <v>1284</v>
      </c>
      <c r="E104" s="16" t="s">
        <v>55</v>
      </c>
      <c r="F104" s="13"/>
      <c r="G104" s="13" t="s">
        <v>2260</v>
      </c>
      <c r="H104" s="18"/>
      <c r="I104" s="87">
        <v>20250415101024</v>
      </c>
      <c r="J104" s="19" t="s">
        <v>133</v>
      </c>
      <c r="K104" s="19" t="s">
        <v>44</v>
      </c>
      <c r="L104" s="19" t="s">
        <v>1306</v>
      </c>
    </row>
    <row r="105" spans="1:17" s="3" customFormat="1">
      <c r="B105" s="23" t="s">
        <v>47</v>
      </c>
      <c r="C105" s="24" t="s">
        <v>46</v>
      </c>
      <c r="D105" s="21" t="s">
        <v>48</v>
      </c>
      <c r="E105" s="44"/>
      <c r="F105" s="44"/>
      <c r="G105" s="44" t="s">
        <v>282</v>
      </c>
      <c r="H105" s="23" t="s">
        <v>282</v>
      </c>
      <c r="I105" s="23"/>
      <c r="J105" s="23"/>
      <c r="K105" s="23"/>
      <c r="L105" s="23"/>
      <c r="M105" s="23"/>
      <c r="N105" s="23"/>
      <c r="O105" s="23"/>
      <c r="P105" s="23"/>
      <c r="Q105" s="23"/>
    </row>
    <row r="106" spans="1:17" s="3" customFormat="1">
      <c r="B106" s="23" t="s">
        <v>49</v>
      </c>
      <c r="C106" s="24" t="s">
        <v>43</v>
      </c>
      <c r="D106" s="21" t="s">
        <v>50</v>
      </c>
      <c r="E106" s="44"/>
      <c r="F106" s="44"/>
      <c r="G106" s="44" t="s">
        <v>282</v>
      </c>
      <c r="H106" s="23" t="s">
        <v>282</v>
      </c>
      <c r="I106" s="23"/>
      <c r="J106" s="23"/>
      <c r="K106" s="23"/>
      <c r="L106" s="23"/>
      <c r="M106" s="23"/>
      <c r="N106" s="23"/>
      <c r="O106" s="23"/>
      <c r="P106" s="23"/>
      <c r="Q106" s="23"/>
    </row>
    <row r="107" spans="1:17" s="3" customFormat="1">
      <c r="B107" s="23" t="s">
        <v>51</v>
      </c>
      <c r="C107" s="24" t="s">
        <v>46</v>
      </c>
      <c r="D107" s="21" t="s">
        <v>52</v>
      </c>
      <c r="E107" s="44"/>
      <c r="F107" s="44"/>
      <c r="G107" s="44" t="s">
        <v>282</v>
      </c>
      <c r="H107" s="23" t="s">
        <v>282</v>
      </c>
      <c r="I107" s="23"/>
      <c r="J107" s="23"/>
      <c r="K107" s="23"/>
      <c r="L107" s="23"/>
      <c r="M107" s="23"/>
      <c r="N107" s="23"/>
      <c r="O107" s="23"/>
      <c r="P107" s="23"/>
      <c r="Q107" s="23"/>
    </row>
  </sheetData>
  <autoFilter ref="A13:Q107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B3C9-0298-484D-B9FF-D6479C2A1464}">
  <dimension ref="A1:Q104"/>
  <sheetViews>
    <sheetView zoomScale="85" zoomScaleNormal="85" workbookViewId="0">
      <pane ySplit="5" topLeftCell="A6" activePane="bottomLeft" state="frozen"/>
      <selection activeCell="H43" sqref="H43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8.2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2898</v>
      </c>
      <c r="D5" s="9" t="s">
        <v>2899</v>
      </c>
      <c r="E5" s="11" t="s">
        <v>91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9" t="s">
        <v>2734</v>
      </c>
      <c r="D9" s="10" t="s">
        <v>2736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B15" s="22" t="s">
        <v>91</v>
      </c>
      <c r="C15" s="22" t="s">
        <v>94</v>
      </c>
      <c r="D15" s="9" t="s">
        <v>97</v>
      </c>
      <c r="E15" s="16" t="s">
        <v>128</v>
      </c>
      <c r="F15" s="17" t="s">
        <v>119</v>
      </c>
      <c r="G15" s="17" t="s">
        <v>129</v>
      </c>
      <c r="H15" s="18"/>
      <c r="I15" s="19"/>
      <c r="J15" s="19" t="s">
        <v>131</v>
      </c>
      <c r="K15" s="19" t="s">
        <v>132</v>
      </c>
      <c r="L15" s="19" t="s">
        <v>675</v>
      </c>
    </row>
    <row r="16" spans="1:14" s="1" customFormat="1">
      <c r="A16" s="15"/>
      <c r="B16" s="22" t="s">
        <v>77</v>
      </c>
      <c r="C16" s="22" t="s">
        <v>94</v>
      </c>
      <c r="D16" s="9" t="s">
        <v>113</v>
      </c>
      <c r="E16" s="16" t="s">
        <v>128</v>
      </c>
      <c r="F16" s="17" t="s">
        <v>77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677</v>
      </c>
    </row>
    <row r="17" spans="1:12" s="1" customFormat="1">
      <c r="A17" s="15"/>
      <c r="B17" s="22" t="s">
        <v>80</v>
      </c>
      <c r="C17" s="22" t="s">
        <v>94</v>
      </c>
      <c r="D17" s="9" t="s">
        <v>99</v>
      </c>
      <c r="E17" s="16" t="s">
        <v>128</v>
      </c>
      <c r="F17" s="17" t="s">
        <v>80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678</v>
      </c>
    </row>
    <row r="18" spans="1:12" s="1" customFormat="1">
      <c r="A18" s="15"/>
      <c r="B18" s="22" t="s">
        <v>136</v>
      </c>
      <c r="C18" s="22" t="s">
        <v>94</v>
      </c>
      <c r="D18" s="9" t="s">
        <v>137</v>
      </c>
      <c r="E18" s="16" t="s">
        <v>128</v>
      </c>
      <c r="F18" s="17" t="s">
        <v>138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22" t="s">
        <v>61</v>
      </c>
      <c r="C19" s="22" t="s">
        <v>94</v>
      </c>
      <c r="D19" s="9" t="s">
        <v>100</v>
      </c>
      <c r="E19" s="16" t="s">
        <v>128</v>
      </c>
      <c r="F19" s="9" t="s">
        <v>123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62</v>
      </c>
      <c r="C20" s="22" t="s">
        <v>94</v>
      </c>
      <c r="D20" s="9" t="s">
        <v>101</v>
      </c>
      <c r="E20" s="16" t="s">
        <v>128</v>
      </c>
      <c r="F20" s="9" t="s">
        <v>124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679</v>
      </c>
    </row>
    <row r="21" spans="1:12" s="1" customFormat="1">
      <c r="A21" s="15"/>
      <c r="B21" s="11" t="s">
        <v>64</v>
      </c>
      <c r="C21" s="22" t="s">
        <v>93</v>
      </c>
      <c r="D21" s="9" t="s">
        <v>63</v>
      </c>
      <c r="E21" s="16" t="s">
        <v>128</v>
      </c>
      <c r="F21" s="9" t="s">
        <v>318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65</v>
      </c>
      <c r="C22" s="22" t="s">
        <v>93</v>
      </c>
      <c r="D22" s="9" t="s">
        <v>102</v>
      </c>
      <c r="E22" s="16" t="s">
        <v>128</v>
      </c>
      <c r="F22" s="9" t="s">
        <v>273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66</v>
      </c>
      <c r="C23" s="22" t="s">
        <v>93</v>
      </c>
      <c r="D23" s="9" t="s">
        <v>68</v>
      </c>
      <c r="E23" s="16" t="s">
        <v>128</v>
      </c>
      <c r="F23" s="9" t="s">
        <v>272</v>
      </c>
      <c r="G23" s="17" t="s">
        <v>129</v>
      </c>
      <c r="H23" s="18"/>
      <c r="I23" s="20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95</v>
      </c>
      <c r="C24" s="11" t="s">
        <v>93</v>
      </c>
      <c r="D24" s="9" t="s">
        <v>114</v>
      </c>
      <c r="E24" s="16" t="s">
        <v>128</v>
      </c>
      <c r="F24" s="9" t="s">
        <v>95</v>
      </c>
      <c r="G24" s="17" t="s">
        <v>129</v>
      </c>
      <c r="H24" s="18"/>
      <c r="I24" s="35"/>
      <c r="J24" s="19" t="s">
        <v>131</v>
      </c>
      <c r="K24" s="19" t="s">
        <v>132</v>
      </c>
      <c r="L24" s="19" t="s">
        <v>44</v>
      </c>
    </row>
    <row r="25" spans="1:12" s="1" customFormat="1">
      <c r="A25" s="15"/>
      <c r="B25" s="11" t="s">
        <v>78</v>
      </c>
      <c r="C25" s="11" t="s">
        <v>93</v>
      </c>
      <c r="D25" s="9" t="s">
        <v>103</v>
      </c>
      <c r="E25" s="16" t="s">
        <v>128</v>
      </c>
      <c r="F25" s="17" t="s">
        <v>78</v>
      </c>
      <c r="G25" s="17" t="s">
        <v>129</v>
      </c>
      <c r="H25" s="18"/>
      <c r="I25" s="20"/>
      <c r="J25" s="19" t="s">
        <v>131</v>
      </c>
      <c r="K25" s="19" t="s">
        <v>132</v>
      </c>
      <c r="L25" s="19" t="s">
        <v>44</v>
      </c>
    </row>
    <row r="26" spans="1:12" s="1" customFormat="1">
      <c r="B26" s="22" t="s">
        <v>2893</v>
      </c>
      <c r="C26" s="11" t="s">
        <v>43</v>
      </c>
      <c r="D26" s="9" t="s">
        <v>108</v>
      </c>
      <c r="E26" s="16" t="s">
        <v>128</v>
      </c>
      <c r="F26" s="17" t="s">
        <v>86</v>
      </c>
      <c r="G26" s="17" t="s">
        <v>129</v>
      </c>
      <c r="H26" s="18"/>
      <c r="I26" s="19"/>
      <c r="J26" s="19" t="s">
        <v>131</v>
      </c>
      <c r="K26" s="19" t="s">
        <v>132</v>
      </c>
      <c r="L26" s="19" t="s">
        <v>44</v>
      </c>
    </row>
    <row r="27" spans="1:12" s="1" customFormat="1">
      <c r="B27" s="22" t="s">
        <v>85</v>
      </c>
      <c r="C27" s="11" t="s">
        <v>43</v>
      </c>
      <c r="D27" s="9" t="s">
        <v>107</v>
      </c>
      <c r="E27" s="16" t="s">
        <v>128</v>
      </c>
      <c r="F27" s="17" t="s">
        <v>85</v>
      </c>
      <c r="G27" s="17" t="s">
        <v>129</v>
      </c>
      <c r="H27" s="18"/>
      <c r="I27" s="19"/>
      <c r="J27" s="19" t="s">
        <v>131</v>
      </c>
      <c r="K27" s="19" t="s">
        <v>132</v>
      </c>
      <c r="L27" s="19" t="s">
        <v>44</v>
      </c>
    </row>
    <row r="28" spans="1:12" s="1" customFormat="1">
      <c r="A28" s="15"/>
      <c r="B28" s="11" t="s">
        <v>1072</v>
      </c>
      <c r="C28" s="11" t="s">
        <v>45</v>
      </c>
      <c r="D28" s="9" t="s">
        <v>146</v>
      </c>
      <c r="E28" s="16" t="s">
        <v>128</v>
      </c>
      <c r="F28" s="17"/>
      <c r="G28" s="17" t="s">
        <v>1289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2" s="1" customFormat="1">
      <c r="A29" s="15"/>
      <c r="B29" s="11" t="s">
        <v>189</v>
      </c>
      <c r="C29" s="11" t="s">
        <v>45</v>
      </c>
      <c r="D29" s="9" t="s">
        <v>190</v>
      </c>
      <c r="E29" s="16" t="s">
        <v>128</v>
      </c>
      <c r="F29" s="17"/>
      <c r="G29" s="17" t="s">
        <v>2698</v>
      </c>
      <c r="H29" s="18"/>
      <c r="I29" s="17"/>
      <c r="J29" s="19" t="s">
        <v>133</v>
      </c>
      <c r="K29" s="19" t="s">
        <v>132</v>
      </c>
      <c r="L29" s="19" t="s">
        <v>134</v>
      </c>
    </row>
    <row r="30" spans="1:12" s="1" customFormat="1">
      <c r="A30" s="15"/>
      <c r="B30" s="11" t="s">
        <v>192</v>
      </c>
      <c r="C30" s="11" t="s">
        <v>45</v>
      </c>
      <c r="D30" s="9" t="s">
        <v>193</v>
      </c>
      <c r="E30" s="16" t="s">
        <v>128</v>
      </c>
      <c r="F30" s="17"/>
      <c r="G30" s="17" t="s">
        <v>2265</v>
      </c>
      <c r="H30" s="18"/>
      <c r="I30" s="17"/>
      <c r="J30" s="19" t="s">
        <v>133</v>
      </c>
      <c r="K30" s="19" t="s">
        <v>132</v>
      </c>
      <c r="L30" s="19" t="s">
        <v>134</v>
      </c>
    </row>
    <row r="31" spans="1:12" s="1" customFormat="1">
      <c r="A31" s="15"/>
      <c r="B31" s="22" t="s">
        <v>255</v>
      </c>
      <c r="C31" s="22" t="s">
        <v>45</v>
      </c>
      <c r="D31" s="9" t="s">
        <v>348</v>
      </c>
      <c r="E31" s="16" t="s">
        <v>128</v>
      </c>
      <c r="F31" s="17"/>
      <c r="G31" s="17" t="s">
        <v>1667</v>
      </c>
      <c r="H31" s="18"/>
      <c r="I31" s="17"/>
      <c r="J31" s="19" t="s">
        <v>133</v>
      </c>
      <c r="K31" s="19" t="s">
        <v>203</v>
      </c>
      <c r="L31" s="19" t="s">
        <v>134</v>
      </c>
    </row>
    <row r="32" spans="1:12" s="1" customFormat="1">
      <c r="A32" s="15"/>
      <c r="B32" s="11" t="s">
        <v>207</v>
      </c>
      <c r="C32" s="11" t="s">
        <v>45</v>
      </c>
      <c r="D32" s="9" t="s">
        <v>759</v>
      </c>
      <c r="E32" s="16" t="s">
        <v>128</v>
      </c>
      <c r="F32" s="72"/>
      <c r="G32" s="17" t="s">
        <v>1200</v>
      </c>
      <c r="H32" s="18"/>
      <c r="I32" s="17"/>
      <c r="J32" s="19" t="s">
        <v>133</v>
      </c>
      <c r="K32" s="19" t="s">
        <v>204</v>
      </c>
      <c r="L32" s="19" t="s">
        <v>134</v>
      </c>
    </row>
    <row r="33" spans="1:12" s="1" customFormat="1">
      <c r="A33" s="15"/>
      <c r="B33" s="11" t="s">
        <v>208</v>
      </c>
      <c r="C33" s="11" t="s">
        <v>45</v>
      </c>
      <c r="D33" s="9" t="s">
        <v>160</v>
      </c>
      <c r="E33" s="16" t="s">
        <v>128</v>
      </c>
      <c r="F33" s="72"/>
      <c r="G33" s="17" t="s">
        <v>1201</v>
      </c>
      <c r="H33" s="18"/>
      <c r="I33" s="17"/>
      <c r="J33" s="19" t="s">
        <v>133</v>
      </c>
      <c r="K33" s="19" t="s">
        <v>204</v>
      </c>
      <c r="L33" s="19" t="s">
        <v>134</v>
      </c>
    </row>
    <row r="34" spans="1:12" s="1" customFormat="1">
      <c r="A34" s="15"/>
      <c r="B34" s="11" t="s">
        <v>763</v>
      </c>
      <c r="C34" s="11" t="s">
        <v>45</v>
      </c>
      <c r="D34" s="9" t="s">
        <v>181</v>
      </c>
      <c r="E34" s="16" t="s">
        <v>128</v>
      </c>
      <c r="F34" s="72"/>
      <c r="G34" s="17" t="s">
        <v>1075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803</v>
      </c>
      <c r="C35" s="11" t="s">
        <v>45</v>
      </c>
      <c r="D35" s="9" t="s">
        <v>183</v>
      </c>
      <c r="E35" s="16" t="s">
        <v>128</v>
      </c>
      <c r="F35" s="72"/>
      <c r="G35" s="17" t="s">
        <v>1077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804</v>
      </c>
      <c r="C36" s="11" t="s">
        <v>45</v>
      </c>
      <c r="D36" s="9" t="s">
        <v>182</v>
      </c>
      <c r="E36" s="16" t="s">
        <v>128</v>
      </c>
      <c r="F36" s="72"/>
      <c r="G36" s="17" t="s">
        <v>1079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805</v>
      </c>
      <c r="C37" s="11" t="s">
        <v>45</v>
      </c>
      <c r="D37" s="9" t="s">
        <v>184</v>
      </c>
      <c r="E37" s="16" t="s">
        <v>128</v>
      </c>
      <c r="F37" s="72"/>
      <c r="G37" s="17" t="s">
        <v>1110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806</v>
      </c>
      <c r="C38" s="11" t="s">
        <v>45</v>
      </c>
      <c r="D38" s="9" t="s">
        <v>186</v>
      </c>
      <c r="E38" s="16" t="s">
        <v>128</v>
      </c>
      <c r="F38" s="72"/>
      <c r="G38" s="17" t="s">
        <v>1111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807</v>
      </c>
      <c r="C39" s="11" t="s">
        <v>45</v>
      </c>
      <c r="D39" s="9" t="s">
        <v>185</v>
      </c>
      <c r="E39" s="16" t="s">
        <v>128</v>
      </c>
      <c r="F39" s="72"/>
      <c r="G39" s="17" t="s">
        <v>1112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808</v>
      </c>
      <c r="C40" s="11" t="s">
        <v>45</v>
      </c>
      <c r="D40" s="9" t="s">
        <v>187</v>
      </c>
      <c r="E40" s="16" t="s">
        <v>128</v>
      </c>
      <c r="F40" s="72"/>
      <c r="G40" s="17" t="s">
        <v>1113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210</v>
      </c>
      <c r="C41" s="11" t="s">
        <v>45</v>
      </c>
      <c r="D41" s="9" t="s">
        <v>1056</v>
      </c>
      <c r="E41" s="16" t="s">
        <v>128</v>
      </c>
      <c r="F41" s="72"/>
      <c r="G41" s="17" t="s">
        <v>224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209</v>
      </c>
      <c r="C42" s="11" t="s">
        <v>45</v>
      </c>
      <c r="D42" s="9" t="s">
        <v>1055</v>
      </c>
      <c r="E42" s="16" t="s">
        <v>128</v>
      </c>
      <c r="F42" s="72"/>
      <c r="G42" s="17" t="s">
        <v>223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211</v>
      </c>
      <c r="C43" s="11" t="s">
        <v>45</v>
      </c>
      <c r="D43" s="9" t="s">
        <v>163</v>
      </c>
      <c r="E43" s="16" t="s">
        <v>128</v>
      </c>
      <c r="F43" s="72"/>
      <c r="G43" s="17" t="s">
        <v>225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212</v>
      </c>
      <c r="C44" s="11" t="s">
        <v>45</v>
      </c>
      <c r="D44" s="9" t="s">
        <v>164</v>
      </c>
      <c r="E44" s="16" t="s">
        <v>128</v>
      </c>
      <c r="F44" s="72"/>
      <c r="G44" s="17" t="s">
        <v>226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213</v>
      </c>
      <c r="C45" s="11" t="s">
        <v>45</v>
      </c>
      <c r="D45" s="9" t="s">
        <v>165</v>
      </c>
      <c r="E45" s="16" t="s">
        <v>128</v>
      </c>
      <c r="F45" s="72"/>
      <c r="G45" s="17" t="s">
        <v>1114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214</v>
      </c>
      <c r="C46" s="11" t="s">
        <v>45</v>
      </c>
      <c r="D46" s="9" t="s">
        <v>166</v>
      </c>
      <c r="E46" s="16" t="s">
        <v>128</v>
      </c>
      <c r="F46" s="72"/>
      <c r="G46" s="17" t="s">
        <v>1115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217</v>
      </c>
      <c r="C47" s="11" t="s">
        <v>45</v>
      </c>
      <c r="D47" s="9" t="s">
        <v>171</v>
      </c>
      <c r="E47" s="16" t="s">
        <v>128</v>
      </c>
      <c r="F47" s="72"/>
      <c r="G47" s="17" t="s">
        <v>1116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218</v>
      </c>
      <c r="C48" s="11" t="s">
        <v>45</v>
      </c>
      <c r="D48" s="9" t="s">
        <v>172</v>
      </c>
      <c r="E48" s="16" t="s">
        <v>128</v>
      </c>
      <c r="F48" s="72"/>
      <c r="G48" s="17" t="s">
        <v>1117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219</v>
      </c>
      <c r="C49" s="11" t="s">
        <v>45</v>
      </c>
      <c r="D49" s="9" t="s">
        <v>173</v>
      </c>
      <c r="E49" s="16" t="s">
        <v>128</v>
      </c>
      <c r="F49" s="72"/>
      <c r="G49" s="17" t="s">
        <v>1118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220</v>
      </c>
      <c r="C50" s="11" t="s">
        <v>45</v>
      </c>
      <c r="D50" s="9" t="s">
        <v>174</v>
      </c>
      <c r="E50" s="16" t="s">
        <v>128</v>
      </c>
      <c r="F50" s="72"/>
      <c r="G50" s="17" t="s">
        <v>1119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215</v>
      </c>
      <c r="C51" s="11" t="s">
        <v>45</v>
      </c>
      <c r="D51" s="9" t="s">
        <v>1260</v>
      </c>
      <c r="E51" s="16" t="s">
        <v>128</v>
      </c>
      <c r="F51" s="72"/>
      <c r="G51" s="17" t="s">
        <v>227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216</v>
      </c>
      <c r="C52" s="11" t="s">
        <v>45</v>
      </c>
      <c r="D52" s="9" t="s">
        <v>1261</v>
      </c>
      <c r="E52" s="16" t="s">
        <v>128</v>
      </c>
      <c r="F52" s="72"/>
      <c r="G52" s="17" t="s">
        <v>228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316</v>
      </c>
      <c r="C53" s="11" t="s">
        <v>45</v>
      </c>
      <c r="D53" s="9" t="s">
        <v>167</v>
      </c>
      <c r="E53" s="16" t="s">
        <v>128</v>
      </c>
      <c r="F53" s="72"/>
      <c r="G53" s="17" t="s">
        <v>772</v>
      </c>
      <c r="H53" s="18"/>
      <c r="I53" s="17"/>
      <c r="J53" s="19" t="s">
        <v>133</v>
      </c>
      <c r="K53" s="19" t="s">
        <v>202</v>
      </c>
      <c r="L53" s="19" t="s">
        <v>67</v>
      </c>
    </row>
    <row r="54" spans="1:12" s="1" customFormat="1">
      <c r="A54" s="15"/>
      <c r="B54" s="11" t="s">
        <v>809</v>
      </c>
      <c r="C54" s="11" t="s">
        <v>45</v>
      </c>
      <c r="D54" s="9" t="s">
        <v>175</v>
      </c>
      <c r="E54" s="16" t="s">
        <v>128</v>
      </c>
      <c r="F54" s="72"/>
      <c r="G54" s="17" t="s">
        <v>1120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317</v>
      </c>
      <c r="C55" s="11" t="s">
        <v>45</v>
      </c>
      <c r="D55" s="9" t="s">
        <v>168</v>
      </c>
      <c r="E55" s="16" t="s">
        <v>128</v>
      </c>
      <c r="F55" s="72"/>
      <c r="G55" s="17" t="s">
        <v>778</v>
      </c>
      <c r="H55" s="18"/>
      <c r="I55" s="17"/>
      <c r="J55" s="19" t="s">
        <v>133</v>
      </c>
      <c r="K55" s="19" t="s">
        <v>202</v>
      </c>
      <c r="L55" s="19" t="s">
        <v>67</v>
      </c>
    </row>
    <row r="56" spans="1:12" s="1" customFormat="1">
      <c r="A56" s="15"/>
      <c r="B56" s="11" t="s">
        <v>810</v>
      </c>
      <c r="C56" s="11" t="s">
        <v>45</v>
      </c>
      <c r="D56" s="9" t="s">
        <v>176</v>
      </c>
      <c r="E56" s="16" t="s">
        <v>128</v>
      </c>
      <c r="F56" s="72"/>
      <c r="G56" s="17" t="s">
        <v>1121</v>
      </c>
      <c r="H56" s="18"/>
      <c r="I56" s="17"/>
      <c r="J56" s="19" t="s">
        <v>133</v>
      </c>
      <c r="K56" s="19" t="s">
        <v>44</v>
      </c>
      <c r="L56" s="19" t="s">
        <v>67</v>
      </c>
    </row>
    <row r="57" spans="1:12" s="1" customFormat="1">
      <c r="A57" s="15"/>
      <c r="B57" s="11" t="s">
        <v>1213</v>
      </c>
      <c r="C57" s="11" t="s">
        <v>45</v>
      </c>
      <c r="D57" s="9" t="s">
        <v>178</v>
      </c>
      <c r="E57" s="16" t="s">
        <v>128</v>
      </c>
      <c r="F57" s="72"/>
      <c r="G57" s="17" t="s">
        <v>2266</v>
      </c>
      <c r="H57" s="18"/>
      <c r="I57" s="17"/>
      <c r="J57" s="19" t="s">
        <v>133</v>
      </c>
      <c r="K57" s="19" t="s">
        <v>202</v>
      </c>
      <c r="L57" s="19" t="s">
        <v>67</v>
      </c>
    </row>
    <row r="58" spans="1:12" s="1" customFormat="1">
      <c r="A58" s="15"/>
      <c r="B58" s="11" t="s">
        <v>221</v>
      </c>
      <c r="C58" s="11" t="s">
        <v>45</v>
      </c>
      <c r="D58" s="9" t="s">
        <v>177</v>
      </c>
      <c r="E58" s="16" t="s">
        <v>128</v>
      </c>
      <c r="F58" s="72"/>
      <c r="G58" s="17" t="s">
        <v>1122</v>
      </c>
      <c r="H58" s="18"/>
      <c r="I58" s="17"/>
      <c r="J58" s="19" t="s">
        <v>133</v>
      </c>
      <c r="K58" s="19" t="s">
        <v>204</v>
      </c>
      <c r="L58" s="19" t="s">
        <v>67</v>
      </c>
    </row>
    <row r="59" spans="1:12" s="1" customFormat="1">
      <c r="A59" s="15"/>
      <c r="B59" s="11" t="s">
        <v>1212</v>
      </c>
      <c r="C59" s="11" t="s">
        <v>45</v>
      </c>
      <c r="D59" s="9" t="s">
        <v>180</v>
      </c>
      <c r="E59" s="16" t="s">
        <v>128</v>
      </c>
      <c r="F59" s="72"/>
      <c r="G59" s="17" t="s">
        <v>2267</v>
      </c>
      <c r="H59" s="18"/>
      <c r="I59" s="17"/>
      <c r="J59" s="19" t="s">
        <v>133</v>
      </c>
      <c r="K59" s="19" t="s">
        <v>202</v>
      </c>
      <c r="L59" s="19" t="s">
        <v>67</v>
      </c>
    </row>
    <row r="60" spans="1:12" s="1" customFormat="1">
      <c r="A60" s="15"/>
      <c r="B60" s="11" t="s">
        <v>222</v>
      </c>
      <c r="C60" s="11" t="s">
        <v>45</v>
      </c>
      <c r="D60" s="9" t="s">
        <v>179</v>
      </c>
      <c r="E60" s="16" t="s">
        <v>128</v>
      </c>
      <c r="F60" s="72"/>
      <c r="G60" s="17" t="s">
        <v>1123</v>
      </c>
      <c r="H60" s="18"/>
      <c r="I60" s="17"/>
      <c r="J60" s="19" t="s">
        <v>133</v>
      </c>
      <c r="K60" s="19" t="s">
        <v>204</v>
      </c>
      <c r="L60" s="19" t="s">
        <v>67</v>
      </c>
    </row>
    <row r="61" spans="1:12" s="1" customFormat="1">
      <c r="A61" s="15"/>
      <c r="B61" s="11" t="s">
        <v>205</v>
      </c>
      <c r="C61" s="11" t="s">
        <v>45</v>
      </c>
      <c r="D61" s="9" t="s">
        <v>147</v>
      </c>
      <c r="E61" s="16" t="s">
        <v>128</v>
      </c>
      <c r="F61" s="72"/>
      <c r="G61" s="17" t="s">
        <v>1126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206</v>
      </c>
      <c r="C62" s="11" t="s">
        <v>280</v>
      </c>
      <c r="D62" s="9" t="s">
        <v>820</v>
      </c>
      <c r="E62" s="16" t="s">
        <v>128</v>
      </c>
      <c r="F62" s="72"/>
      <c r="G62" s="17" t="s">
        <v>1081</v>
      </c>
      <c r="H62" s="18"/>
      <c r="I62" s="17"/>
      <c r="J62" s="19" t="s">
        <v>133</v>
      </c>
      <c r="K62" s="19" t="s">
        <v>202</v>
      </c>
      <c r="L62" s="19" t="s">
        <v>67</v>
      </c>
    </row>
    <row r="63" spans="1:12" s="1" customFormat="1">
      <c r="A63" s="15"/>
      <c r="B63" s="11" t="s">
        <v>1022</v>
      </c>
      <c r="C63" s="11" t="s">
        <v>45</v>
      </c>
      <c r="D63" s="9" t="s">
        <v>1018</v>
      </c>
      <c r="E63" s="16" t="s">
        <v>128</v>
      </c>
      <c r="F63" s="72"/>
      <c r="G63" s="17" t="s">
        <v>1127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1014</v>
      </c>
      <c r="C64" s="11" t="s">
        <v>45</v>
      </c>
      <c r="D64" s="9" t="s">
        <v>1019</v>
      </c>
      <c r="E64" s="16" t="s">
        <v>128</v>
      </c>
      <c r="F64" s="72"/>
      <c r="G64" s="17" t="s">
        <v>1128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1015</v>
      </c>
      <c r="C65" s="11" t="s">
        <v>45</v>
      </c>
      <c r="D65" s="9" t="s">
        <v>1020</v>
      </c>
      <c r="E65" s="16" t="s">
        <v>128</v>
      </c>
      <c r="F65" s="72"/>
      <c r="G65" s="17" t="s">
        <v>1129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1016</v>
      </c>
      <c r="C66" s="11" t="s">
        <v>45</v>
      </c>
      <c r="D66" s="9" t="s">
        <v>1021</v>
      </c>
      <c r="E66" s="16" t="s">
        <v>128</v>
      </c>
      <c r="F66" s="72"/>
      <c r="G66" s="17" t="s">
        <v>1130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1017</v>
      </c>
      <c r="C67" s="11" t="s">
        <v>45</v>
      </c>
      <c r="D67" s="9" t="s">
        <v>1042</v>
      </c>
      <c r="E67" s="16" t="s">
        <v>128</v>
      </c>
      <c r="F67" s="72"/>
      <c r="G67" s="17" t="s">
        <v>1131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1049</v>
      </c>
      <c r="C68" s="11" t="s">
        <v>45</v>
      </c>
      <c r="D68" s="9" t="s">
        <v>153</v>
      </c>
      <c r="E68" s="16" t="s">
        <v>128</v>
      </c>
      <c r="F68" s="72"/>
      <c r="G68" s="17" t="s">
        <v>1132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823</v>
      </c>
      <c r="C69" s="11" t="s">
        <v>280</v>
      </c>
      <c r="D69" s="9" t="s">
        <v>1474</v>
      </c>
      <c r="E69" s="16" t="s">
        <v>128</v>
      </c>
      <c r="F69" s="72"/>
      <c r="G69" s="17" t="s">
        <v>1082</v>
      </c>
      <c r="H69" s="18"/>
      <c r="I69" s="17"/>
      <c r="J69" s="19" t="s">
        <v>133</v>
      </c>
      <c r="K69" s="19" t="s">
        <v>202</v>
      </c>
      <c r="L69" s="19" t="s">
        <v>67</v>
      </c>
    </row>
    <row r="70" spans="1:12" s="1" customFormat="1">
      <c r="A70" s="15"/>
      <c r="B70" s="11" t="s">
        <v>1030</v>
      </c>
      <c r="C70" s="11" t="s">
        <v>45</v>
      </c>
      <c r="D70" s="9" t="s">
        <v>1026</v>
      </c>
      <c r="E70" s="16" t="s">
        <v>128</v>
      </c>
      <c r="F70" s="72"/>
      <c r="G70" s="17" t="s">
        <v>1133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1023</v>
      </c>
      <c r="C71" s="11" t="s">
        <v>45</v>
      </c>
      <c r="D71" s="9" t="s">
        <v>1027</v>
      </c>
      <c r="E71" s="16" t="s">
        <v>128</v>
      </c>
      <c r="F71" s="72"/>
      <c r="G71" s="17" t="s">
        <v>1134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1024</v>
      </c>
      <c r="C72" s="11" t="s">
        <v>45</v>
      </c>
      <c r="D72" s="9" t="s">
        <v>1028</v>
      </c>
      <c r="E72" s="16" t="s">
        <v>128</v>
      </c>
      <c r="F72" s="72"/>
      <c r="G72" s="17" t="s">
        <v>1135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1032</v>
      </c>
      <c r="C73" s="11" t="s">
        <v>45</v>
      </c>
      <c r="D73" s="9" t="s">
        <v>1029</v>
      </c>
      <c r="E73" s="16" t="s">
        <v>128</v>
      </c>
      <c r="F73" s="72"/>
      <c r="G73" s="17" t="s">
        <v>1136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1025</v>
      </c>
      <c r="C74" s="11" t="s">
        <v>45</v>
      </c>
      <c r="D74" s="9" t="s">
        <v>1043</v>
      </c>
      <c r="E74" s="16" t="s">
        <v>128</v>
      </c>
      <c r="F74" s="72"/>
      <c r="G74" s="17" t="s">
        <v>1137</v>
      </c>
      <c r="H74" s="18"/>
      <c r="I74" s="17"/>
      <c r="J74" s="19" t="s">
        <v>133</v>
      </c>
      <c r="K74" s="19" t="s">
        <v>44</v>
      </c>
      <c r="L74" s="19" t="s">
        <v>67</v>
      </c>
    </row>
    <row r="75" spans="1:12" s="1" customFormat="1">
      <c r="A75" s="15"/>
      <c r="B75" s="11" t="s">
        <v>1084</v>
      </c>
      <c r="C75" s="11" t="s">
        <v>280</v>
      </c>
      <c r="D75" s="9" t="s">
        <v>1086</v>
      </c>
      <c r="E75" s="16" t="s">
        <v>128</v>
      </c>
      <c r="F75" s="72"/>
      <c r="G75" s="17" t="s">
        <v>2248</v>
      </c>
      <c r="H75" s="18"/>
      <c r="I75" s="17"/>
      <c r="J75" s="19" t="s">
        <v>133</v>
      </c>
      <c r="K75" s="19" t="s">
        <v>202</v>
      </c>
      <c r="L75" s="19" t="s">
        <v>67</v>
      </c>
    </row>
    <row r="76" spans="1:12" s="1" customFormat="1">
      <c r="A76" s="15"/>
      <c r="B76" s="11" t="s">
        <v>1083</v>
      </c>
      <c r="C76" s="11" t="s">
        <v>280</v>
      </c>
      <c r="D76" s="9" t="s">
        <v>841</v>
      </c>
      <c r="E76" s="16" t="s">
        <v>128</v>
      </c>
      <c r="F76" s="72"/>
      <c r="G76" s="17" t="s">
        <v>1866</v>
      </c>
      <c r="H76" s="18"/>
      <c r="I76" s="17"/>
      <c r="J76" s="19" t="s">
        <v>133</v>
      </c>
      <c r="K76" s="19" t="s">
        <v>202</v>
      </c>
      <c r="L76" s="19" t="s">
        <v>67</v>
      </c>
    </row>
    <row r="77" spans="1:12" s="1" customFormat="1">
      <c r="A77" s="15"/>
      <c r="B77" s="11" t="s">
        <v>1033</v>
      </c>
      <c r="C77" s="11" t="s">
        <v>45</v>
      </c>
      <c r="D77" s="9" t="s">
        <v>1038</v>
      </c>
      <c r="E77" s="16" t="s">
        <v>128</v>
      </c>
      <c r="F77" s="72"/>
      <c r="G77" s="17" t="s">
        <v>1138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1034</v>
      </c>
      <c r="C78" s="11" t="s">
        <v>45</v>
      </c>
      <c r="D78" s="9" t="s">
        <v>1039</v>
      </c>
      <c r="E78" s="16" t="s">
        <v>128</v>
      </c>
      <c r="F78" s="72"/>
      <c r="G78" s="17" t="s">
        <v>1139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1035</v>
      </c>
      <c r="C79" s="11" t="s">
        <v>45</v>
      </c>
      <c r="D79" s="9" t="s">
        <v>1040</v>
      </c>
      <c r="E79" s="16" t="s">
        <v>128</v>
      </c>
      <c r="F79" s="72"/>
      <c r="G79" s="17" t="s">
        <v>1140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1036</v>
      </c>
      <c r="C80" s="11" t="s">
        <v>45</v>
      </c>
      <c r="D80" s="9" t="s">
        <v>1041</v>
      </c>
      <c r="E80" s="16" t="s">
        <v>128</v>
      </c>
      <c r="F80" s="72"/>
      <c r="G80" s="17" t="s">
        <v>1141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1037</v>
      </c>
      <c r="C81" s="11" t="s">
        <v>45</v>
      </c>
      <c r="D81" s="9" t="s">
        <v>1044</v>
      </c>
      <c r="E81" s="16" t="s">
        <v>128</v>
      </c>
      <c r="F81" s="72"/>
      <c r="G81" s="17" t="s">
        <v>1142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816</v>
      </c>
      <c r="C82" s="11" t="s">
        <v>280</v>
      </c>
      <c r="D82" s="9" t="s">
        <v>839</v>
      </c>
      <c r="E82" s="16" t="s">
        <v>128</v>
      </c>
      <c r="F82" s="72"/>
      <c r="G82" s="17" t="s">
        <v>1088</v>
      </c>
      <c r="H82" s="18"/>
      <c r="I82" s="17"/>
      <c r="J82" s="19" t="s">
        <v>133</v>
      </c>
      <c r="K82" s="19" t="s">
        <v>202</v>
      </c>
      <c r="L82" s="19" t="s">
        <v>67</v>
      </c>
    </row>
    <row r="83" spans="1:12" s="1" customFormat="1">
      <c r="A83" s="15"/>
      <c r="B83" s="11" t="s">
        <v>817</v>
      </c>
      <c r="C83" s="11" t="s">
        <v>45</v>
      </c>
      <c r="D83" s="9" t="s">
        <v>658</v>
      </c>
      <c r="E83" s="16" t="s">
        <v>128</v>
      </c>
      <c r="F83" s="72"/>
      <c r="G83" s="17" t="s">
        <v>1089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818</v>
      </c>
      <c r="C84" s="11" t="s">
        <v>280</v>
      </c>
      <c r="D84" s="9" t="s">
        <v>842</v>
      </c>
      <c r="E84" s="16" t="s">
        <v>128</v>
      </c>
      <c r="F84" s="72"/>
      <c r="G84" s="17" t="s">
        <v>1091</v>
      </c>
      <c r="H84" s="18"/>
      <c r="I84" s="17"/>
      <c r="J84" s="19" t="s">
        <v>133</v>
      </c>
      <c r="K84" s="19" t="s">
        <v>202</v>
      </c>
      <c r="L84" s="19" t="s">
        <v>67</v>
      </c>
    </row>
    <row r="85" spans="1:12" s="1" customFormat="1">
      <c r="A85" s="15"/>
      <c r="B85" s="11" t="s">
        <v>819</v>
      </c>
      <c r="C85" s="11" t="s">
        <v>45</v>
      </c>
      <c r="D85" s="9" t="s">
        <v>660</v>
      </c>
      <c r="E85" s="16" t="s">
        <v>128</v>
      </c>
      <c r="F85" s="72"/>
      <c r="G85" s="17" t="s">
        <v>1092</v>
      </c>
      <c r="H85" s="18"/>
      <c r="I85" s="17"/>
      <c r="J85" s="19" t="s">
        <v>133</v>
      </c>
      <c r="K85" s="19" t="s">
        <v>44</v>
      </c>
      <c r="L85" s="19" t="s">
        <v>67</v>
      </c>
    </row>
    <row r="86" spans="1:12" s="1" customFormat="1">
      <c r="A86" s="15"/>
      <c r="B86" s="11" t="s">
        <v>2688</v>
      </c>
      <c r="C86" s="11" t="s">
        <v>2396</v>
      </c>
      <c r="D86" s="9" t="s">
        <v>2690</v>
      </c>
      <c r="E86" s="16" t="s">
        <v>128</v>
      </c>
      <c r="F86" s="72"/>
      <c r="G86" s="17" t="s">
        <v>2699</v>
      </c>
      <c r="H86" s="18"/>
      <c r="I86" s="17"/>
      <c r="J86" s="19" t="s">
        <v>133</v>
      </c>
      <c r="K86" s="19" t="s">
        <v>903</v>
      </c>
      <c r="L86" s="19" t="s">
        <v>134</v>
      </c>
    </row>
    <row r="87" spans="1:12" s="1" customFormat="1">
      <c r="A87" s="15"/>
      <c r="B87" s="11" t="s">
        <v>829</v>
      </c>
      <c r="C87" s="11" t="s">
        <v>280</v>
      </c>
      <c r="D87" s="9" t="s">
        <v>517</v>
      </c>
      <c r="E87" s="16" t="s">
        <v>128</v>
      </c>
      <c r="F87" s="72"/>
      <c r="G87" s="17" t="s">
        <v>2696</v>
      </c>
      <c r="H87" s="18"/>
      <c r="I87" s="17"/>
      <c r="J87" s="19" t="s">
        <v>133</v>
      </c>
      <c r="K87" s="19" t="s">
        <v>203</v>
      </c>
      <c r="L87" s="19" t="s">
        <v>67</v>
      </c>
    </row>
    <row r="88" spans="1:12" s="1" customFormat="1">
      <c r="A88" s="15"/>
      <c r="B88" s="11" t="s">
        <v>2689</v>
      </c>
      <c r="C88" s="11" t="s">
        <v>2396</v>
      </c>
      <c r="D88" s="9" t="s">
        <v>2692</v>
      </c>
      <c r="E88" s="16" t="s">
        <v>128</v>
      </c>
      <c r="F88" s="72"/>
      <c r="G88" s="17" t="s">
        <v>2700</v>
      </c>
      <c r="H88" s="18"/>
      <c r="I88" s="17"/>
      <c r="J88" s="19" t="s">
        <v>133</v>
      </c>
      <c r="K88" s="19" t="s">
        <v>903</v>
      </c>
      <c r="L88" s="19" t="s">
        <v>134</v>
      </c>
    </row>
    <row r="89" spans="1:12" s="1" customFormat="1">
      <c r="A89" s="15"/>
      <c r="B89" s="11" t="s">
        <v>799</v>
      </c>
      <c r="C89" s="11" t="s">
        <v>280</v>
      </c>
      <c r="D89" s="9" t="s">
        <v>2691</v>
      </c>
      <c r="E89" s="16" t="s">
        <v>128</v>
      </c>
      <c r="F89" s="72"/>
      <c r="G89" s="17" t="s">
        <v>2697</v>
      </c>
      <c r="H89" s="18"/>
      <c r="I89" s="17"/>
      <c r="J89" s="19" t="s">
        <v>133</v>
      </c>
      <c r="K89" s="19" t="s">
        <v>203</v>
      </c>
      <c r="L89" s="19" t="s">
        <v>67</v>
      </c>
    </row>
    <row r="90" spans="1:12" s="1" customFormat="1">
      <c r="A90" s="15"/>
      <c r="B90" s="11" t="s">
        <v>830</v>
      </c>
      <c r="C90" s="11" t="s">
        <v>45</v>
      </c>
      <c r="D90" s="9" t="s">
        <v>837</v>
      </c>
      <c r="E90" s="16" t="s">
        <v>128</v>
      </c>
      <c r="F90" s="72"/>
      <c r="G90" s="17" t="s">
        <v>1096</v>
      </c>
      <c r="H90" s="18"/>
      <c r="I90" s="17"/>
      <c r="J90" s="19" t="s">
        <v>133</v>
      </c>
      <c r="K90" s="19" t="s">
        <v>44</v>
      </c>
      <c r="L90" s="19" t="s">
        <v>67</v>
      </c>
    </row>
    <row r="91" spans="1:12" s="1" customFormat="1">
      <c r="A91" s="15"/>
      <c r="B91" s="11" t="s">
        <v>623</v>
      </c>
      <c r="C91" s="11" t="s">
        <v>280</v>
      </c>
      <c r="D91" s="9" t="s">
        <v>836</v>
      </c>
      <c r="E91" s="16" t="s">
        <v>128</v>
      </c>
      <c r="F91" s="72"/>
      <c r="G91" s="17" t="s">
        <v>1099</v>
      </c>
      <c r="H91" s="18"/>
      <c r="I91" s="17"/>
      <c r="J91" s="19" t="s">
        <v>133</v>
      </c>
      <c r="K91" s="19" t="s">
        <v>202</v>
      </c>
      <c r="L91" s="19" t="s">
        <v>67</v>
      </c>
    </row>
    <row r="92" spans="1:12" s="1" customFormat="1">
      <c r="A92" s="15"/>
      <c r="B92" s="11" t="s">
        <v>831</v>
      </c>
      <c r="C92" s="11" t="s">
        <v>45</v>
      </c>
      <c r="D92" s="9" t="s">
        <v>825</v>
      </c>
      <c r="E92" s="16" t="s">
        <v>128</v>
      </c>
      <c r="F92" s="72"/>
      <c r="G92" s="17" t="s">
        <v>2701</v>
      </c>
      <c r="H92" s="18"/>
      <c r="I92" s="17"/>
      <c r="J92" s="19" t="s">
        <v>133</v>
      </c>
      <c r="K92" s="19" t="s">
        <v>903</v>
      </c>
      <c r="L92" s="19" t="s">
        <v>67</v>
      </c>
    </row>
    <row r="93" spans="1:12" s="1" customFormat="1">
      <c r="A93" s="15"/>
      <c r="B93" s="11" t="s">
        <v>1098</v>
      </c>
      <c r="C93" s="11" t="s">
        <v>280</v>
      </c>
      <c r="D93" s="9" t="s">
        <v>826</v>
      </c>
      <c r="E93" s="16" t="s">
        <v>128</v>
      </c>
      <c r="F93" s="72"/>
      <c r="G93" s="17" t="s">
        <v>1101</v>
      </c>
      <c r="H93" s="18"/>
      <c r="I93" s="17"/>
      <c r="J93" s="19" t="s">
        <v>133</v>
      </c>
      <c r="K93" s="19" t="s">
        <v>202</v>
      </c>
      <c r="L93" s="19" t="s">
        <v>67</v>
      </c>
    </row>
    <row r="94" spans="1:12" s="1" customFormat="1">
      <c r="A94" s="15"/>
      <c r="B94" s="11" t="s">
        <v>535</v>
      </c>
      <c r="C94" s="11" t="s">
        <v>280</v>
      </c>
      <c r="D94" s="9" t="s">
        <v>534</v>
      </c>
      <c r="E94" s="16" t="s">
        <v>128</v>
      </c>
      <c r="F94" s="72"/>
      <c r="G94" s="17" t="s">
        <v>1103</v>
      </c>
      <c r="H94" s="18"/>
      <c r="I94" s="17"/>
      <c r="J94" s="19" t="s">
        <v>133</v>
      </c>
      <c r="K94" s="19" t="s">
        <v>202</v>
      </c>
      <c r="L94" s="19" t="s">
        <v>67</v>
      </c>
    </row>
    <row r="95" spans="1:12" s="1" customFormat="1">
      <c r="A95" s="15"/>
      <c r="B95" s="11" t="s">
        <v>848</v>
      </c>
      <c r="C95" s="11" t="s">
        <v>45</v>
      </c>
      <c r="D95" s="9" t="s">
        <v>850</v>
      </c>
      <c r="E95" s="16" t="s">
        <v>128</v>
      </c>
      <c r="F95" s="72"/>
      <c r="G95" s="17" t="s">
        <v>2702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849</v>
      </c>
      <c r="C96" s="11" t="s">
        <v>45</v>
      </c>
      <c r="D96" s="9" t="s">
        <v>116</v>
      </c>
      <c r="E96" s="16" t="s">
        <v>128</v>
      </c>
      <c r="F96" s="72"/>
      <c r="G96" s="17" t="s">
        <v>2703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7" s="1" customFormat="1">
      <c r="A97" s="15"/>
      <c r="B97" s="11" t="s">
        <v>855</v>
      </c>
      <c r="C97" s="11" t="s">
        <v>280</v>
      </c>
      <c r="D97" s="9" t="s">
        <v>502</v>
      </c>
      <c r="E97" s="16" t="s">
        <v>128</v>
      </c>
      <c r="F97" s="72"/>
      <c r="G97" s="17" t="s">
        <v>1107</v>
      </c>
      <c r="H97" s="18"/>
      <c r="I97" s="17"/>
      <c r="J97" s="19" t="s">
        <v>133</v>
      </c>
      <c r="K97" s="19" t="s">
        <v>202</v>
      </c>
      <c r="L97" s="19" t="s">
        <v>67</v>
      </c>
    </row>
    <row r="98" spans="1:17" s="1" customFormat="1">
      <c r="A98" s="15"/>
      <c r="B98" s="11" t="s">
        <v>856</v>
      </c>
      <c r="C98" s="11" t="s">
        <v>45</v>
      </c>
      <c r="D98" s="9" t="s">
        <v>857</v>
      </c>
      <c r="E98" s="16" t="s">
        <v>128</v>
      </c>
      <c r="F98" s="72"/>
      <c r="G98" s="17" t="s">
        <v>2704</v>
      </c>
      <c r="H98" s="18"/>
      <c r="I98" s="17"/>
      <c r="J98" s="19" t="s">
        <v>133</v>
      </c>
      <c r="K98" s="19" t="s">
        <v>903</v>
      </c>
      <c r="L98" s="19" t="s">
        <v>67</v>
      </c>
    </row>
    <row r="99" spans="1:17" s="1" customFormat="1">
      <c r="A99" s="15"/>
      <c r="B99" s="11" t="s">
        <v>315</v>
      </c>
      <c r="C99" s="11" t="s">
        <v>45</v>
      </c>
      <c r="D99" s="9" t="s">
        <v>112</v>
      </c>
      <c r="E99" s="16" t="s">
        <v>128</v>
      </c>
      <c r="F99" s="72"/>
      <c r="G99" s="17" t="s">
        <v>1145</v>
      </c>
      <c r="H99" s="18"/>
      <c r="I99" s="17"/>
      <c r="J99" s="19" t="s">
        <v>133</v>
      </c>
      <c r="K99" s="19" t="s">
        <v>44</v>
      </c>
      <c r="L99" s="19" t="s">
        <v>67</v>
      </c>
    </row>
    <row r="100" spans="1:17" s="1" customFormat="1">
      <c r="A100" s="15"/>
      <c r="B100" s="11" t="s">
        <v>2257</v>
      </c>
      <c r="C100" s="11" t="s">
        <v>43</v>
      </c>
      <c r="D100" s="9" t="s">
        <v>1281</v>
      </c>
      <c r="E100" s="16" t="s">
        <v>55</v>
      </c>
      <c r="F100" s="13"/>
      <c r="G100" s="13" t="s">
        <v>2258</v>
      </c>
      <c r="H100" s="18"/>
      <c r="I100" s="87">
        <v>20250415101139</v>
      </c>
      <c r="J100" s="19" t="s">
        <v>133</v>
      </c>
      <c r="K100" s="19" t="s">
        <v>44</v>
      </c>
      <c r="L100" s="19" t="s">
        <v>1306</v>
      </c>
    </row>
    <row r="101" spans="1:17" s="1" customFormat="1">
      <c r="A101" s="15"/>
      <c r="B101" s="11" t="s">
        <v>2259</v>
      </c>
      <c r="C101" s="11" t="s">
        <v>43</v>
      </c>
      <c r="D101" s="9" t="s">
        <v>1284</v>
      </c>
      <c r="E101" s="16" t="s">
        <v>55</v>
      </c>
      <c r="F101" s="13"/>
      <c r="G101" s="13" t="s">
        <v>2260</v>
      </c>
      <c r="H101" s="18"/>
      <c r="I101" s="87">
        <v>20250415101024</v>
      </c>
      <c r="J101" s="19" t="s">
        <v>133</v>
      </c>
      <c r="K101" s="19" t="s">
        <v>44</v>
      </c>
      <c r="L101" s="19" t="s">
        <v>1306</v>
      </c>
    </row>
    <row r="102" spans="1:17" s="3" customFormat="1">
      <c r="B102" s="23" t="s">
        <v>47</v>
      </c>
      <c r="C102" s="24" t="s">
        <v>46</v>
      </c>
      <c r="D102" s="21" t="s">
        <v>48</v>
      </c>
      <c r="E102" s="44"/>
      <c r="F102" s="44"/>
      <c r="G102" s="44" t="s">
        <v>282</v>
      </c>
      <c r="H102" s="23" t="s">
        <v>282</v>
      </c>
      <c r="I102" s="23"/>
      <c r="J102" s="23"/>
      <c r="K102" s="23"/>
      <c r="L102" s="23"/>
      <c r="M102" s="23"/>
      <c r="N102" s="23"/>
      <c r="O102" s="23"/>
      <c r="P102" s="23"/>
      <c r="Q102" s="23"/>
    </row>
    <row r="103" spans="1:17" s="3" customFormat="1">
      <c r="B103" s="23" t="s">
        <v>49</v>
      </c>
      <c r="C103" s="24" t="s">
        <v>43</v>
      </c>
      <c r="D103" s="21" t="s">
        <v>50</v>
      </c>
      <c r="E103" s="44"/>
      <c r="F103" s="44"/>
      <c r="G103" s="44" t="s">
        <v>282</v>
      </c>
      <c r="H103" s="23" t="s">
        <v>282</v>
      </c>
      <c r="I103" s="23"/>
      <c r="J103" s="23"/>
      <c r="K103" s="23"/>
      <c r="L103" s="23"/>
      <c r="M103" s="23"/>
      <c r="N103" s="23"/>
      <c r="O103" s="23"/>
      <c r="P103" s="23"/>
      <c r="Q103" s="23"/>
    </row>
    <row r="104" spans="1:17" s="3" customFormat="1">
      <c r="B104" s="23" t="s">
        <v>51</v>
      </c>
      <c r="C104" s="24" t="s">
        <v>46</v>
      </c>
      <c r="D104" s="21" t="s">
        <v>52</v>
      </c>
      <c r="E104" s="44"/>
      <c r="F104" s="44"/>
      <c r="G104" s="44" t="s">
        <v>282</v>
      </c>
      <c r="H104" s="23" t="s">
        <v>282</v>
      </c>
      <c r="I104" s="23"/>
      <c r="J104" s="23"/>
      <c r="K104" s="23"/>
      <c r="L104" s="23"/>
      <c r="M104" s="23"/>
      <c r="N104" s="23"/>
      <c r="O104" s="23"/>
      <c r="P104" s="23"/>
      <c r="Q104" s="23"/>
    </row>
  </sheetData>
  <autoFilter ref="A13:Q104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AE63-AFBD-460A-A88F-75647E5FE6F9}">
  <dimension ref="A1:Q100"/>
  <sheetViews>
    <sheetView zoomScale="85" zoomScaleNormal="85" workbookViewId="0">
      <pane ySplit="5" topLeftCell="A6" activePane="bottomLeft" state="frozen"/>
      <selection activeCell="H43" sqref="H43"/>
      <selection pane="bottomLeft" activeCell="C5" sqref="C5:C6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2900</v>
      </c>
      <c r="D5" s="9" t="s">
        <v>2901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2898</v>
      </c>
      <c r="D9" s="9" t="s">
        <v>2899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80</v>
      </c>
      <c r="C16" s="22" t="s">
        <v>94</v>
      </c>
      <c r="D16" s="9" t="s">
        <v>99</v>
      </c>
      <c r="E16" s="16" t="s">
        <v>128</v>
      </c>
      <c r="F16" s="17" t="s">
        <v>80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678</v>
      </c>
    </row>
    <row r="17" spans="1:12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138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123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124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318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273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272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95</v>
      </c>
      <c r="C23" s="11" t="s">
        <v>93</v>
      </c>
      <c r="D23" s="9" t="s">
        <v>114</v>
      </c>
      <c r="E23" s="16" t="s">
        <v>128</v>
      </c>
      <c r="F23" s="9" t="s">
        <v>95</v>
      </c>
      <c r="G23" s="17" t="s">
        <v>129</v>
      </c>
      <c r="H23" s="18"/>
      <c r="I23" s="35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78</v>
      </c>
      <c r="C24" s="11" t="s">
        <v>93</v>
      </c>
      <c r="D24" s="9" t="s">
        <v>103</v>
      </c>
      <c r="E24" s="16" t="s">
        <v>128</v>
      </c>
      <c r="F24" s="17" t="s">
        <v>78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2" s="1" customFormat="1">
      <c r="B25" s="22" t="s">
        <v>2893</v>
      </c>
      <c r="C25" s="11" t="s">
        <v>43</v>
      </c>
      <c r="D25" s="9" t="s">
        <v>108</v>
      </c>
      <c r="E25" s="16" t="s">
        <v>128</v>
      </c>
      <c r="F25" s="17" t="s">
        <v>86</v>
      </c>
      <c r="G25" s="17" t="s">
        <v>129</v>
      </c>
      <c r="H25" s="18"/>
      <c r="I25" s="19"/>
      <c r="J25" s="19" t="s">
        <v>131</v>
      </c>
      <c r="K25" s="19" t="s">
        <v>132</v>
      </c>
      <c r="L25" s="19" t="s">
        <v>44</v>
      </c>
    </row>
    <row r="26" spans="1:12" s="1" customFormat="1">
      <c r="B26" s="22" t="s">
        <v>85</v>
      </c>
      <c r="C26" s="11" t="s">
        <v>43</v>
      </c>
      <c r="D26" s="9" t="s">
        <v>107</v>
      </c>
      <c r="E26" s="16" t="s">
        <v>128</v>
      </c>
      <c r="F26" s="17" t="s">
        <v>85</v>
      </c>
      <c r="G26" s="17" t="s">
        <v>129</v>
      </c>
      <c r="H26" s="18"/>
      <c r="I26" s="19"/>
      <c r="J26" s="19" t="s">
        <v>131</v>
      </c>
      <c r="K26" s="19" t="s">
        <v>132</v>
      </c>
      <c r="L26" s="19" t="s">
        <v>44</v>
      </c>
    </row>
    <row r="27" spans="1:12" s="1" customFormat="1">
      <c r="A27" s="15"/>
      <c r="B27" s="11" t="s">
        <v>1072</v>
      </c>
      <c r="C27" s="11" t="s">
        <v>45</v>
      </c>
      <c r="D27" s="9" t="s">
        <v>146</v>
      </c>
      <c r="E27" s="16" t="s">
        <v>128</v>
      </c>
      <c r="F27" s="17"/>
      <c r="G27" s="17" t="s">
        <v>1289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2" s="1" customFormat="1">
      <c r="A28" s="15"/>
      <c r="B28" s="11" t="s">
        <v>189</v>
      </c>
      <c r="C28" s="11" t="s">
        <v>45</v>
      </c>
      <c r="D28" s="9" t="s">
        <v>190</v>
      </c>
      <c r="E28" s="16" t="s">
        <v>128</v>
      </c>
      <c r="F28" s="17"/>
      <c r="G28" s="17" t="s">
        <v>2698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2" s="1" customFormat="1">
      <c r="A29" s="15"/>
      <c r="B29" s="11" t="s">
        <v>192</v>
      </c>
      <c r="C29" s="11" t="s">
        <v>45</v>
      </c>
      <c r="D29" s="9" t="s">
        <v>193</v>
      </c>
      <c r="E29" s="16" t="s">
        <v>128</v>
      </c>
      <c r="F29" s="17"/>
      <c r="G29" s="17" t="s">
        <v>2265</v>
      </c>
      <c r="H29" s="18"/>
      <c r="I29" s="17"/>
      <c r="J29" s="19" t="s">
        <v>133</v>
      </c>
      <c r="K29" s="19" t="s">
        <v>132</v>
      </c>
      <c r="L29" s="19" t="s">
        <v>134</v>
      </c>
    </row>
    <row r="30" spans="1:12" s="1" customFormat="1">
      <c r="A30" s="15"/>
      <c r="B30" s="22" t="s">
        <v>255</v>
      </c>
      <c r="C30" s="22" t="s">
        <v>45</v>
      </c>
      <c r="D30" s="9" t="s">
        <v>348</v>
      </c>
      <c r="E30" s="16" t="s">
        <v>128</v>
      </c>
      <c r="F30" s="17"/>
      <c r="G30" s="17" t="s">
        <v>1667</v>
      </c>
      <c r="H30" s="18"/>
      <c r="I30" s="17"/>
      <c r="J30" s="19" t="s">
        <v>133</v>
      </c>
      <c r="K30" s="19" t="s">
        <v>203</v>
      </c>
      <c r="L30" s="19" t="s">
        <v>134</v>
      </c>
    </row>
    <row r="31" spans="1:12" s="1" customFormat="1">
      <c r="A31" s="15"/>
      <c r="B31" s="11" t="s">
        <v>207</v>
      </c>
      <c r="C31" s="11" t="s">
        <v>45</v>
      </c>
      <c r="D31" s="9" t="s">
        <v>759</v>
      </c>
      <c r="E31" s="16" t="s">
        <v>128</v>
      </c>
      <c r="F31" s="72"/>
      <c r="G31" s="17" t="s">
        <v>1200</v>
      </c>
      <c r="H31" s="18"/>
      <c r="I31" s="17"/>
      <c r="J31" s="19" t="s">
        <v>133</v>
      </c>
      <c r="K31" s="19" t="s">
        <v>204</v>
      </c>
      <c r="L31" s="19" t="s">
        <v>134</v>
      </c>
    </row>
    <row r="32" spans="1:12" s="1" customFormat="1">
      <c r="A32" s="15"/>
      <c r="B32" s="11" t="s">
        <v>208</v>
      </c>
      <c r="C32" s="11" t="s">
        <v>45</v>
      </c>
      <c r="D32" s="9" t="s">
        <v>160</v>
      </c>
      <c r="E32" s="16" t="s">
        <v>128</v>
      </c>
      <c r="F32" s="72"/>
      <c r="G32" s="17" t="s">
        <v>1201</v>
      </c>
      <c r="H32" s="18"/>
      <c r="I32" s="17"/>
      <c r="J32" s="19" t="s">
        <v>133</v>
      </c>
      <c r="K32" s="19" t="s">
        <v>204</v>
      </c>
      <c r="L32" s="19" t="s">
        <v>134</v>
      </c>
    </row>
    <row r="33" spans="1:12" s="1" customFormat="1">
      <c r="A33" s="15"/>
      <c r="B33" s="11" t="s">
        <v>763</v>
      </c>
      <c r="C33" s="11" t="s">
        <v>45</v>
      </c>
      <c r="D33" s="9" t="s">
        <v>181</v>
      </c>
      <c r="E33" s="16" t="s">
        <v>128</v>
      </c>
      <c r="F33" s="72"/>
      <c r="G33" s="17" t="s">
        <v>1075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803</v>
      </c>
      <c r="C34" s="11" t="s">
        <v>45</v>
      </c>
      <c r="D34" s="9" t="s">
        <v>183</v>
      </c>
      <c r="E34" s="16" t="s">
        <v>128</v>
      </c>
      <c r="F34" s="72"/>
      <c r="G34" s="17" t="s">
        <v>1077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804</v>
      </c>
      <c r="C35" s="11" t="s">
        <v>45</v>
      </c>
      <c r="D35" s="9" t="s">
        <v>182</v>
      </c>
      <c r="E35" s="16" t="s">
        <v>128</v>
      </c>
      <c r="F35" s="72"/>
      <c r="G35" s="17" t="s">
        <v>1079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805</v>
      </c>
      <c r="C36" s="11" t="s">
        <v>45</v>
      </c>
      <c r="D36" s="9" t="s">
        <v>184</v>
      </c>
      <c r="E36" s="16" t="s">
        <v>128</v>
      </c>
      <c r="F36" s="72"/>
      <c r="G36" s="17" t="s">
        <v>1110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806</v>
      </c>
      <c r="C37" s="11" t="s">
        <v>45</v>
      </c>
      <c r="D37" s="9" t="s">
        <v>186</v>
      </c>
      <c r="E37" s="16" t="s">
        <v>128</v>
      </c>
      <c r="F37" s="72"/>
      <c r="G37" s="17" t="s">
        <v>1111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807</v>
      </c>
      <c r="C38" s="11" t="s">
        <v>45</v>
      </c>
      <c r="D38" s="9" t="s">
        <v>185</v>
      </c>
      <c r="E38" s="16" t="s">
        <v>128</v>
      </c>
      <c r="F38" s="72"/>
      <c r="G38" s="17" t="s">
        <v>1112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808</v>
      </c>
      <c r="C39" s="11" t="s">
        <v>45</v>
      </c>
      <c r="D39" s="9" t="s">
        <v>187</v>
      </c>
      <c r="E39" s="16" t="s">
        <v>128</v>
      </c>
      <c r="F39" s="72"/>
      <c r="G39" s="17" t="s">
        <v>1113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210</v>
      </c>
      <c r="C40" s="11" t="s">
        <v>45</v>
      </c>
      <c r="D40" s="9" t="s">
        <v>1056</v>
      </c>
      <c r="E40" s="16" t="s">
        <v>128</v>
      </c>
      <c r="F40" s="72"/>
      <c r="G40" s="17" t="s">
        <v>224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209</v>
      </c>
      <c r="C41" s="11" t="s">
        <v>45</v>
      </c>
      <c r="D41" s="9" t="s">
        <v>1055</v>
      </c>
      <c r="E41" s="16" t="s">
        <v>128</v>
      </c>
      <c r="F41" s="72"/>
      <c r="G41" s="17" t="s">
        <v>223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211</v>
      </c>
      <c r="C42" s="11" t="s">
        <v>45</v>
      </c>
      <c r="D42" s="9" t="s">
        <v>163</v>
      </c>
      <c r="E42" s="16" t="s">
        <v>128</v>
      </c>
      <c r="F42" s="72"/>
      <c r="G42" s="17" t="s">
        <v>225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212</v>
      </c>
      <c r="C43" s="11" t="s">
        <v>45</v>
      </c>
      <c r="D43" s="9" t="s">
        <v>164</v>
      </c>
      <c r="E43" s="16" t="s">
        <v>128</v>
      </c>
      <c r="F43" s="72"/>
      <c r="G43" s="17" t="s">
        <v>226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213</v>
      </c>
      <c r="C44" s="11" t="s">
        <v>45</v>
      </c>
      <c r="D44" s="9" t="s">
        <v>165</v>
      </c>
      <c r="E44" s="16" t="s">
        <v>128</v>
      </c>
      <c r="F44" s="72"/>
      <c r="G44" s="17" t="s">
        <v>1114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214</v>
      </c>
      <c r="C45" s="11" t="s">
        <v>45</v>
      </c>
      <c r="D45" s="9" t="s">
        <v>166</v>
      </c>
      <c r="E45" s="16" t="s">
        <v>128</v>
      </c>
      <c r="F45" s="72"/>
      <c r="G45" s="17" t="s">
        <v>1115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217</v>
      </c>
      <c r="C46" s="11" t="s">
        <v>45</v>
      </c>
      <c r="D46" s="9" t="s">
        <v>171</v>
      </c>
      <c r="E46" s="16" t="s">
        <v>128</v>
      </c>
      <c r="F46" s="72"/>
      <c r="G46" s="17" t="s">
        <v>1116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218</v>
      </c>
      <c r="C47" s="11" t="s">
        <v>45</v>
      </c>
      <c r="D47" s="9" t="s">
        <v>172</v>
      </c>
      <c r="E47" s="16" t="s">
        <v>128</v>
      </c>
      <c r="F47" s="72"/>
      <c r="G47" s="17" t="s">
        <v>1117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219</v>
      </c>
      <c r="C48" s="11" t="s">
        <v>45</v>
      </c>
      <c r="D48" s="9" t="s">
        <v>173</v>
      </c>
      <c r="E48" s="16" t="s">
        <v>128</v>
      </c>
      <c r="F48" s="72"/>
      <c r="G48" s="17" t="s">
        <v>1118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220</v>
      </c>
      <c r="C49" s="11" t="s">
        <v>45</v>
      </c>
      <c r="D49" s="9" t="s">
        <v>174</v>
      </c>
      <c r="E49" s="16" t="s">
        <v>128</v>
      </c>
      <c r="F49" s="72"/>
      <c r="G49" s="17" t="s">
        <v>1119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215</v>
      </c>
      <c r="C50" s="11" t="s">
        <v>45</v>
      </c>
      <c r="D50" s="9" t="s">
        <v>1260</v>
      </c>
      <c r="E50" s="16" t="s">
        <v>128</v>
      </c>
      <c r="F50" s="72"/>
      <c r="G50" s="17" t="s">
        <v>227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216</v>
      </c>
      <c r="C51" s="11" t="s">
        <v>45</v>
      </c>
      <c r="D51" s="9" t="s">
        <v>1261</v>
      </c>
      <c r="E51" s="16" t="s">
        <v>128</v>
      </c>
      <c r="F51" s="72"/>
      <c r="G51" s="17" t="s">
        <v>228</v>
      </c>
      <c r="H51" s="18"/>
      <c r="I51" s="17"/>
      <c r="J51" s="19" t="s">
        <v>133</v>
      </c>
      <c r="K51" s="19" t="s">
        <v>44</v>
      </c>
      <c r="L51" s="19" t="s">
        <v>67</v>
      </c>
    </row>
    <row r="52" spans="1:12" s="1" customFormat="1">
      <c r="A52" s="15"/>
      <c r="B52" s="11" t="s">
        <v>316</v>
      </c>
      <c r="C52" s="11" t="s">
        <v>45</v>
      </c>
      <c r="D52" s="9" t="s">
        <v>167</v>
      </c>
      <c r="E52" s="16" t="s">
        <v>128</v>
      </c>
      <c r="F52" s="72"/>
      <c r="G52" s="17" t="s">
        <v>772</v>
      </c>
      <c r="H52" s="18"/>
      <c r="I52" s="17"/>
      <c r="J52" s="19" t="s">
        <v>133</v>
      </c>
      <c r="K52" s="19" t="s">
        <v>202</v>
      </c>
      <c r="L52" s="19" t="s">
        <v>67</v>
      </c>
    </row>
    <row r="53" spans="1:12" s="1" customFormat="1">
      <c r="A53" s="15"/>
      <c r="B53" s="11" t="s">
        <v>809</v>
      </c>
      <c r="C53" s="11" t="s">
        <v>45</v>
      </c>
      <c r="D53" s="9" t="s">
        <v>175</v>
      </c>
      <c r="E53" s="16" t="s">
        <v>128</v>
      </c>
      <c r="F53" s="72"/>
      <c r="G53" s="17" t="s">
        <v>1120</v>
      </c>
      <c r="H53" s="18"/>
      <c r="I53" s="17"/>
      <c r="J53" s="19" t="s">
        <v>133</v>
      </c>
      <c r="K53" s="19" t="s">
        <v>44</v>
      </c>
      <c r="L53" s="19" t="s">
        <v>67</v>
      </c>
    </row>
    <row r="54" spans="1:12" s="1" customFormat="1">
      <c r="A54" s="15"/>
      <c r="B54" s="11" t="s">
        <v>317</v>
      </c>
      <c r="C54" s="11" t="s">
        <v>45</v>
      </c>
      <c r="D54" s="9" t="s">
        <v>168</v>
      </c>
      <c r="E54" s="16" t="s">
        <v>128</v>
      </c>
      <c r="F54" s="72"/>
      <c r="G54" s="17" t="s">
        <v>778</v>
      </c>
      <c r="H54" s="18"/>
      <c r="I54" s="17"/>
      <c r="J54" s="19" t="s">
        <v>133</v>
      </c>
      <c r="K54" s="19" t="s">
        <v>202</v>
      </c>
      <c r="L54" s="19" t="s">
        <v>67</v>
      </c>
    </row>
    <row r="55" spans="1:12" s="1" customFormat="1">
      <c r="A55" s="15"/>
      <c r="B55" s="11" t="s">
        <v>810</v>
      </c>
      <c r="C55" s="11" t="s">
        <v>45</v>
      </c>
      <c r="D55" s="9" t="s">
        <v>176</v>
      </c>
      <c r="E55" s="16" t="s">
        <v>128</v>
      </c>
      <c r="F55" s="72"/>
      <c r="G55" s="17" t="s">
        <v>1121</v>
      </c>
      <c r="H55" s="18"/>
      <c r="I55" s="17"/>
      <c r="J55" s="19" t="s">
        <v>133</v>
      </c>
      <c r="K55" s="19" t="s">
        <v>44</v>
      </c>
      <c r="L55" s="19" t="s">
        <v>67</v>
      </c>
    </row>
    <row r="56" spans="1:12" s="1" customFormat="1">
      <c r="A56" s="15"/>
      <c r="B56" s="11" t="s">
        <v>1213</v>
      </c>
      <c r="C56" s="11" t="s">
        <v>45</v>
      </c>
      <c r="D56" s="9" t="s">
        <v>178</v>
      </c>
      <c r="E56" s="16" t="s">
        <v>128</v>
      </c>
      <c r="F56" s="72"/>
      <c r="G56" s="17" t="s">
        <v>2266</v>
      </c>
      <c r="H56" s="18"/>
      <c r="I56" s="17"/>
      <c r="J56" s="19" t="s">
        <v>133</v>
      </c>
      <c r="K56" s="19" t="s">
        <v>202</v>
      </c>
      <c r="L56" s="19" t="s">
        <v>67</v>
      </c>
    </row>
    <row r="57" spans="1:12" s="1" customFormat="1">
      <c r="A57" s="15"/>
      <c r="B57" s="11" t="s">
        <v>221</v>
      </c>
      <c r="C57" s="11" t="s">
        <v>45</v>
      </c>
      <c r="D57" s="9" t="s">
        <v>177</v>
      </c>
      <c r="E57" s="16" t="s">
        <v>128</v>
      </c>
      <c r="F57" s="72"/>
      <c r="G57" s="17" t="s">
        <v>1122</v>
      </c>
      <c r="H57" s="18"/>
      <c r="I57" s="17"/>
      <c r="J57" s="19" t="s">
        <v>133</v>
      </c>
      <c r="K57" s="19" t="s">
        <v>204</v>
      </c>
      <c r="L57" s="19" t="s">
        <v>67</v>
      </c>
    </row>
    <row r="58" spans="1:12" s="1" customFormat="1">
      <c r="A58" s="15"/>
      <c r="B58" s="11" t="s">
        <v>1212</v>
      </c>
      <c r="C58" s="11" t="s">
        <v>45</v>
      </c>
      <c r="D58" s="9" t="s">
        <v>180</v>
      </c>
      <c r="E58" s="16" t="s">
        <v>128</v>
      </c>
      <c r="F58" s="72"/>
      <c r="G58" s="17" t="s">
        <v>2267</v>
      </c>
      <c r="H58" s="18"/>
      <c r="I58" s="17"/>
      <c r="J58" s="19" t="s">
        <v>133</v>
      </c>
      <c r="K58" s="19" t="s">
        <v>202</v>
      </c>
      <c r="L58" s="19" t="s">
        <v>67</v>
      </c>
    </row>
    <row r="59" spans="1:12" s="1" customFormat="1">
      <c r="A59" s="15"/>
      <c r="B59" s="11" t="s">
        <v>222</v>
      </c>
      <c r="C59" s="11" t="s">
        <v>45</v>
      </c>
      <c r="D59" s="9" t="s">
        <v>179</v>
      </c>
      <c r="E59" s="16" t="s">
        <v>128</v>
      </c>
      <c r="F59" s="72"/>
      <c r="G59" s="17" t="s">
        <v>1123</v>
      </c>
      <c r="H59" s="18"/>
      <c r="I59" s="17"/>
      <c r="J59" s="19" t="s">
        <v>133</v>
      </c>
      <c r="K59" s="19" t="s">
        <v>204</v>
      </c>
      <c r="L59" s="19" t="s">
        <v>67</v>
      </c>
    </row>
    <row r="60" spans="1:12" s="1" customFormat="1">
      <c r="A60" s="15"/>
      <c r="B60" s="11" t="s">
        <v>205</v>
      </c>
      <c r="C60" s="11" t="s">
        <v>45</v>
      </c>
      <c r="D60" s="9" t="s">
        <v>147</v>
      </c>
      <c r="E60" s="16" t="s">
        <v>128</v>
      </c>
      <c r="F60" s="72"/>
      <c r="G60" s="17" t="s">
        <v>1126</v>
      </c>
      <c r="H60" s="18"/>
      <c r="I60" s="17"/>
      <c r="J60" s="19" t="s">
        <v>133</v>
      </c>
      <c r="K60" s="19" t="s">
        <v>44</v>
      </c>
      <c r="L60" s="19" t="s">
        <v>67</v>
      </c>
    </row>
    <row r="61" spans="1:12" s="1" customFormat="1">
      <c r="A61" s="15"/>
      <c r="B61" s="11" t="s">
        <v>206</v>
      </c>
      <c r="C61" s="11" t="s">
        <v>280</v>
      </c>
      <c r="D61" s="9" t="s">
        <v>820</v>
      </c>
      <c r="E61" s="16" t="s">
        <v>128</v>
      </c>
      <c r="F61" s="72"/>
      <c r="G61" s="17" t="s">
        <v>1081</v>
      </c>
      <c r="H61" s="18"/>
      <c r="I61" s="17"/>
      <c r="J61" s="19" t="s">
        <v>133</v>
      </c>
      <c r="K61" s="19" t="s">
        <v>202</v>
      </c>
      <c r="L61" s="19" t="s">
        <v>67</v>
      </c>
    </row>
    <row r="62" spans="1:12" s="1" customFormat="1">
      <c r="A62" s="15"/>
      <c r="B62" s="11" t="s">
        <v>1022</v>
      </c>
      <c r="C62" s="11" t="s">
        <v>45</v>
      </c>
      <c r="D62" s="9" t="s">
        <v>1018</v>
      </c>
      <c r="E62" s="16" t="s">
        <v>128</v>
      </c>
      <c r="F62" s="72"/>
      <c r="G62" s="17" t="s">
        <v>1127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1014</v>
      </c>
      <c r="C63" s="11" t="s">
        <v>45</v>
      </c>
      <c r="D63" s="9" t="s">
        <v>1019</v>
      </c>
      <c r="E63" s="16" t="s">
        <v>128</v>
      </c>
      <c r="F63" s="72"/>
      <c r="G63" s="17" t="s">
        <v>1128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1015</v>
      </c>
      <c r="C64" s="11" t="s">
        <v>45</v>
      </c>
      <c r="D64" s="9" t="s">
        <v>1020</v>
      </c>
      <c r="E64" s="16" t="s">
        <v>128</v>
      </c>
      <c r="F64" s="72"/>
      <c r="G64" s="17" t="s">
        <v>1129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1016</v>
      </c>
      <c r="C65" s="11" t="s">
        <v>45</v>
      </c>
      <c r="D65" s="9" t="s">
        <v>1021</v>
      </c>
      <c r="E65" s="16" t="s">
        <v>128</v>
      </c>
      <c r="F65" s="72"/>
      <c r="G65" s="17" t="s">
        <v>1130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1017</v>
      </c>
      <c r="C66" s="11" t="s">
        <v>45</v>
      </c>
      <c r="D66" s="9" t="s">
        <v>1042</v>
      </c>
      <c r="E66" s="16" t="s">
        <v>128</v>
      </c>
      <c r="F66" s="72"/>
      <c r="G66" s="17" t="s">
        <v>1131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1049</v>
      </c>
      <c r="C67" s="11" t="s">
        <v>45</v>
      </c>
      <c r="D67" s="9" t="s">
        <v>153</v>
      </c>
      <c r="E67" s="16" t="s">
        <v>128</v>
      </c>
      <c r="F67" s="72"/>
      <c r="G67" s="17" t="s">
        <v>1132</v>
      </c>
      <c r="H67" s="18"/>
      <c r="I67" s="17"/>
      <c r="J67" s="19" t="s">
        <v>133</v>
      </c>
      <c r="K67" s="19" t="s">
        <v>44</v>
      </c>
      <c r="L67" s="19" t="s">
        <v>67</v>
      </c>
    </row>
    <row r="68" spans="1:12" s="1" customFormat="1">
      <c r="A68" s="15"/>
      <c r="B68" s="11" t="s">
        <v>823</v>
      </c>
      <c r="C68" s="11" t="s">
        <v>280</v>
      </c>
      <c r="D68" s="9" t="s">
        <v>1474</v>
      </c>
      <c r="E68" s="16" t="s">
        <v>128</v>
      </c>
      <c r="F68" s="72"/>
      <c r="G68" s="17" t="s">
        <v>1082</v>
      </c>
      <c r="H68" s="18"/>
      <c r="I68" s="17"/>
      <c r="J68" s="19" t="s">
        <v>133</v>
      </c>
      <c r="K68" s="19" t="s">
        <v>202</v>
      </c>
      <c r="L68" s="19" t="s">
        <v>67</v>
      </c>
    </row>
    <row r="69" spans="1:12" s="1" customFormat="1">
      <c r="A69" s="15"/>
      <c r="B69" s="11" t="s">
        <v>1030</v>
      </c>
      <c r="C69" s="11" t="s">
        <v>45</v>
      </c>
      <c r="D69" s="9" t="s">
        <v>1026</v>
      </c>
      <c r="E69" s="16" t="s">
        <v>128</v>
      </c>
      <c r="F69" s="72"/>
      <c r="G69" s="17" t="s">
        <v>1133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1023</v>
      </c>
      <c r="C70" s="11" t="s">
        <v>45</v>
      </c>
      <c r="D70" s="9" t="s">
        <v>1027</v>
      </c>
      <c r="E70" s="16" t="s">
        <v>128</v>
      </c>
      <c r="F70" s="72"/>
      <c r="G70" s="17" t="s">
        <v>1134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1024</v>
      </c>
      <c r="C71" s="11" t="s">
        <v>45</v>
      </c>
      <c r="D71" s="9" t="s">
        <v>1028</v>
      </c>
      <c r="E71" s="16" t="s">
        <v>128</v>
      </c>
      <c r="F71" s="72"/>
      <c r="G71" s="17" t="s">
        <v>1135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1032</v>
      </c>
      <c r="C72" s="11" t="s">
        <v>45</v>
      </c>
      <c r="D72" s="9" t="s">
        <v>1029</v>
      </c>
      <c r="E72" s="16" t="s">
        <v>128</v>
      </c>
      <c r="F72" s="72"/>
      <c r="G72" s="17" t="s">
        <v>1136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1025</v>
      </c>
      <c r="C73" s="11" t="s">
        <v>45</v>
      </c>
      <c r="D73" s="9" t="s">
        <v>1043</v>
      </c>
      <c r="E73" s="16" t="s">
        <v>128</v>
      </c>
      <c r="F73" s="72"/>
      <c r="G73" s="17" t="s">
        <v>1137</v>
      </c>
      <c r="H73" s="18"/>
      <c r="I73" s="17"/>
      <c r="J73" s="19" t="s">
        <v>133</v>
      </c>
      <c r="K73" s="19" t="s">
        <v>44</v>
      </c>
      <c r="L73" s="19" t="s">
        <v>67</v>
      </c>
    </row>
    <row r="74" spans="1:12" s="1" customFormat="1">
      <c r="A74" s="15"/>
      <c r="B74" s="11" t="s">
        <v>1084</v>
      </c>
      <c r="C74" s="11" t="s">
        <v>280</v>
      </c>
      <c r="D74" s="9" t="s">
        <v>1086</v>
      </c>
      <c r="E74" s="16" t="s">
        <v>128</v>
      </c>
      <c r="F74" s="72"/>
      <c r="G74" s="17" t="s">
        <v>2248</v>
      </c>
      <c r="H74" s="18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1083</v>
      </c>
      <c r="C75" s="11" t="s">
        <v>280</v>
      </c>
      <c r="D75" s="9" t="s">
        <v>841</v>
      </c>
      <c r="E75" s="16" t="s">
        <v>128</v>
      </c>
      <c r="F75" s="72"/>
      <c r="G75" s="17" t="s">
        <v>1866</v>
      </c>
      <c r="H75" s="18"/>
      <c r="I75" s="17"/>
      <c r="J75" s="19" t="s">
        <v>133</v>
      </c>
      <c r="K75" s="19" t="s">
        <v>202</v>
      </c>
      <c r="L75" s="19" t="s">
        <v>67</v>
      </c>
    </row>
    <row r="76" spans="1:12" s="1" customFormat="1">
      <c r="A76" s="15"/>
      <c r="B76" s="11" t="s">
        <v>1033</v>
      </c>
      <c r="C76" s="11" t="s">
        <v>45</v>
      </c>
      <c r="D76" s="9" t="s">
        <v>1038</v>
      </c>
      <c r="E76" s="16" t="s">
        <v>128</v>
      </c>
      <c r="F76" s="72"/>
      <c r="G76" s="17" t="s">
        <v>1138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1034</v>
      </c>
      <c r="C77" s="11" t="s">
        <v>45</v>
      </c>
      <c r="D77" s="9" t="s">
        <v>1039</v>
      </c>
      <c r="E77" s="16" t="s">
        <v>128</v>
      </c>
      <c r="F77" s="72"/>
      <c r="G77" s="17" t="s">
        <v>1139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1035</v>
      </c>
      <c r="C78" s="11" t="s">
        <v>45</v>
      </c>
      <c r="D78" s="9" t="s">
        <v>1040</v>
      </c>
      <c r="E78" s="16" t="s">
        <v>128</v>
      </c>
      <c r="F78" s="72"/>
      <c r="G78" s="17" t="s">
        <v>1140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1036</v>
      </c>
      <c r="C79" s="11" t="s">
        <v>45</v>
      </c>
      <c r="D79" s="9" t="s">
        <v>1041</v>
      </c>
      <c r="E79" s="16" t="s">
        <v>128</v>
      </c>
      <c r="F79" s="72"/>
      <c r="G79" s="17" t="s">
        <v>1141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1037</v>
      </c>
      <c r="C80" s="11" t="s">
        <v>45</v>
      </c>
      <c r="D80" s="9" t="s">
        <v>1044</v>
      </c>
      <c r="E80" s="16" t="s">
        <v>128</v>
      </c>
      <c r="F80" s="72"/>
      <c r="G80" s="17" t="s">
        <v>1142</v>
      </c>
      <c r="H80" s="18"/>
      <c r="I80" s="17"/>
      <c r="J80" s="19" t="s">
        <v>133</v>
      </c>
      <c r="K80" s="19" t="s">
        <v>44</v>
      </c>
      <c r="L80" s="19" t="s">
        <v>67</v>
      </c>
    </row>
    <row r="81" spans="1:12" s="1" customFormat="1">
      <c r="A81" s="15"/>
      <c r="B81" s="11" t="s">
        <v>816</v>
      </c>
      <c r="C81" s="11" t="s">
        <v>280</v>
      </c>
      <c r="D81" s="9" t="s">
        <v>839</v>
      </c>
      <c r="E81" s="16" t="s">
        <v>128</v>
      </c>
      <c r="F81" s="72"/>
      <c r="G81" s="17" t="s">
        <v>1088</v>
      </c>
      <c r="H81" s="18"/>
      <c r="I81" s="17"/>
      <c r="J81" s="19" t="s">
        <v>133</v>
      </c>
      <c r="K81" s="19" t="s">
        <v>202</v>
      </c>
      <c r="L81" s="19" t="s">
        <v>67</v>
      </c>
    </row>
    <row r="82" spans="1:12" s="1" customFormat="1">
      <c r="A82" s="15"/>
      <c r="B82" s="11" t="s">
        <v>817</v>
      </c>
      <c r="C82" s="11" t="s">
        <v>45</v>
      </c>
      <c r="D82" s="9" t="s">
        <v>658</v>
      </c>
      <c r="E82" s="16" t="s">
        <v>128</v>
      </c>
      <c r="F82" s="72"/>
      <c r="G82" s="17" t="s">
        <v>1089</v>
      </c>
      <c r="H82" s="18"/>
      <c r="I82" s="17"/>
      <c r="J82" s="19" t="s">
        <v>133</v>
      </c>
      <c r="K82" s="19" t="s">
        <v>44</v>
      </c>
      <c r="L82" s="19" t="s">
        <v>67</v>
      </c>
    </row>
    <row r="83" spans="1:12" s="1" customFormat="1">
      <c r="A83" s="15"/>
      <c r="B83" s="11" t="s">
        <v>818</v>
      </c>
      <c r="C83" s="11" t="s">
        <v>280</v>
      </c>
      <c r="D83" s="9" t="s">
        <v>842</v>
      </c>
      <c r="E83" s="16" t="s">
        <v>128</v>
      </c>
      <c r="F83" s="72"/>
      <c r="G83" s="17" t="s">
        <v>1091</v>
      </c>
      <c r="H83" s="18"/>
      <c r="I83" s="17"/>
      <c r="J83" s="19" t="s">
        <v>133</v>
      </c>
      <c r="K83" s="19" t="s">
        <v>202</v>
      </c>
      <c r="L83" s="19" t="s">
        <v>67</v>
      </c>
    </row>
    <row r="84" spans="1:12" s="1" customFormat="1">
      <c r="A84" s="15"/>
      <c r="B84" s="11" t="s">
        <v>819</v>
      </c>
      <c r="C84" s="11" t="s">
        <v>45</v>
      </c>
      <c r="D84" s="9" t="s">
        <v>660</v>
      </c>
      <c r="E84" s="16" t="s">
        <v>128</v>
      </c>
      <c r="F84" s="72"/>
      <c r="G84" s="17" t="s">
        <v>1092</v>
      </c>
      <c r="H84" s="18"/>
      <c r="I84" s="17"/>
      <c r="J84" s="19" t="s">
        <v>133</v>
      </c>
      <c r="K84" s="19" t="s">
        <v>44</v>
      </c>
      <c r="L84" s="19" t="s">
        <v>67</v>
      </c>
    </row>
    <row r="85" spans="1:12" s="1" customFormat="1">
      <c r="A85" s="15"/>
      <c r="B85" s="11" t="s">
        <v>2688</v>
      </c>
      <c r="C85" s="11" t="s">
        <v>2396</v>
      </c>
      <c r="D85" s="9" t="s">
        <v>2690</v>
      </c>
      <c r="E85" s="16" t="s">
        <v>128</v>
      </c>
      <c r="F85" s="72"/>
      <c r="G85" s="17" t="s">
        <v>2699</v>
      </c>
      <c r="H85" s="18"/>
      <c r="I85" s="17"/>
      <c r="J85" s="19" t="s">
        <v>133</v>
      </c>
      <c r="K85" s="19" t="s">
        <v>903</v>
      </c>
      <c r="L85" s="19" t="s">
        <v>134</v>
      </c>
    </row>
    <row r="86" spans="1:12" s="1" customFormat="1">
      <c r="A86" s="15"/>
      <c r="B86" s="11" t="s">
        <v>829</v>
      </c>
      <c r="C86" s="11" t="s">
        <v>280</v>
      </c>
      <c r="D86" s="9" t="s">
        <v>517</v>
      </c>
      <c r="E86" s="16" t="s">
        <v>128</v>
      </c>
      <c r="F86" s="72"/>
      <c r="G86" s="17" t="s">
        <v>2696</v>
      </c>
      <c r="H86" s="18"/>
      <c r="I86" s="17"/>
      <c r="J86" s="19" t="s">
        <v>133</v>
      </c>
      <c r="K86" s="19" t="s">
        <v>203</v>
      </c>
      <c r="L86" s="19" t="s">
        <v>67</v>
      </c>
    </row>
    <row r="87" spans="1:12" s="1" customFormat="1">
      <c r="A87" s="15"/>
      <c r="B87" s="11" t="s">
        <v>2689</v>
      </c>
      <c r="C87" s="11" t="s">
        <v>2396</v>
      </c>
      <c r="D87" s="9" t="s">
        <v>2692</v>
      </c>
      <c r="E87" s="16" t="s">
        <v>128</v>
      </c>
      <c r="F87" s="72"/>
      <c r="G87" s="17" t="s">
        <v>2700</v>
      </c>
      <c r="H87" s="18"/>
      <c r="I87" s="17"/>
      <c r="J87" s="19" t="s">
        <v>133</v>
      </c>
      <c r="K87" s="19" t="s">
        <v>903</v>
      </c>
      <c r="L87" s="19" t="s">
        <v>134</v>
      </c>
    </row>
    <row r="88" spans="1:12" s="1" customFormat="1">
      <c r="A88" s="15"/>
      <c r="B88" s="11" t="s">
        <v>799</v>
      </c>
      <c r="C88" s="11" t="s">
        <v>280</v>
      </c>
      <c r="D88" s="9" t="s">
        <v>2691</v>
      </c>
      <c r="E88" s="16" t="s">
        <v>128</v>
      </c>
      <c r="F88" s="72"/>
      <c r="G88" s="17" t="s">
        <v>2697</v>
      </c>
      <c r="H88" s="18"/>
      <c r="I88" s="17"/>
      <c r="J88" s="19" t="s">
        <v>133</v>
      </c>
      <c r="K88" s="19" t="s">
        <v>203</v>
      </c>
      <c r="L88" s="19" t="s">
        <v>67</v>
      </c>
    </row>
    <row r="89" spans="1:12" s="1" customFormat="1">
      <c r="A89" s="15"/>
      <c r="B89" s="11" t="s">
        <v>830</v>
      </c>
      <c r="C89" s="11" t="s">
        <v>45</v>
      </c>
      <c r="D89" s="9" t="s">
        <v>837</v>
      </c>
      <c r="E89" s="16" t="s">
        <v>128</v>
      </c>
      <c r="F89" s="72"/>
      <c r="G89" s="17" t="s">
        <v>1096</v>
      </c>
      <c r="H89" s="18"/>
      <c r="I89" s="17"/>
      <c r="J89" s="19" t="s">
        <v>133</v>
      </c>
      <c r="K89" s="19" t="s">
        <v>44</v>
      </c>
      <c r="L89" s="19" t="s">
        <v>67</v>
      </c>
    </row>
    <row r="90" spans="1:12" s="1" customFormat="1">
      <c r="A90" s="15"/>
      <c r="B90" s="11" t="s">
        <v>623</v>
      </c>
      <c r="C90" s="11" t="s">
        <v>280</v>
      </c>
      <c r="D90" s="9" t="s">
        <v>836</v>
      </c>
      <c r="E90" s="16" t="s">
        <v>128</v>
      </c>
      <c r="F90" s="72"/>
      <c r="G90" s="17" t="s">
        <v>1099</v>
      </c>
      <c r="H90" s="18"/>
      <c r="I90" s="17"/>
      <c r="J90" s="19" t="s">
        <v>133</v>
      </c>
      <c r="K90" s="19" t="s">
        <v>202</v>
      </c>
      <c r="L90" s="19" t="s">
        <v>67</v>
      </c>
    </row>
    <row r="91" spans="1:12" s="1" customFormat="1">
      <c r="A91" s="15"/>
      <c r="B91" s="11" t="s">
        <v>831</v>
      </c>
      <c r="C91" s="11" t="s">
        <v>45</v>
      </c>
      <c r="D91" s="9" t="s">
        <v>825</v>
      </c>
      <c r="E91" s="16" t="s">
        <v>128</v>
      </c>
      <c r="F91" s="72"/>
      <c r="G91" s="17" t="s">
        <v>2701</v>
      </c>
      <c r="H91" s="18"/>
      <c r="I91" s="17"/>
      <c r="J91" s="19" t="s">
        <v>133</v>
      </c>
      <c r="K91" s="19" t="s">
        <v>903</v>
      </c>
      <c r="L91" s="19" t="s">
        <v>67</v>
      </c>
    </row>
    <row r="92" spans="1:12" s="1" customFormat="1">
      <c r="A92" s="15"/>
      <c r="B92" s="11" t="s">
        <v>1098</v>
      </c>
      <c r="C92" s="11" t="s">
        <v>280</v>
      </c>
      <c r="D92" s="9" t="s">
        <v>826</v>
      </c>
      <c r="E92" s="16" t="s">
        <v>128</v>
      </c>
      <c r="F92" s="72"/>
      <c r="G92" s="17" t="s">
        <v>1101</v>
      </c>
      <c r="H92" s="18"/>
      <c r="I92" s="17"/>
      <c r="J92" s="19" t="s">
        <v>133</v>
      </c>
      <c r="K92" s="19" t="s">
        <v>202</v>
      </c>
      <c r="L92" s="19" t="s">
        <v>67</v>
      </c>
    </row>
    <row r="93" spans="1:12" s="1" customFormat="1">
      <c r="A93" s="15"/>
      <c r="B93" s="11" t="s">
        <v>535</v>
      </c>
      <c r="C93" s="11" t="s">
        <v>280</v>
      </c>
      <c r="D93" s="9" t="s">
        <v>534</v>
      </c>
      <c r="E93" s="16" t="s">
        <v>128</v>
      </c>
      <c r="F93" s="72"/>
      <c r="G93" s="17" t="s">
        <v>1103</v>
      </c>
      <c r="H93" s="18"/>
      <c r="I93" s="17"/>
      <c r="J93" s="19" t="s">
        <v>133</v>
      </c>
      <c r="K93" s="19" t="s">
        <v>202</v>
      </c>
      <c r="L93" s="19" t="s">
        <v>67</v>
      </c>
    </row>
    <row r="94" spans="1:12" s="1" customFormat="1">
      <c r="A94" s="15"/>
      <c r="B94" s="11" t="s">
        <v>848</v>
      </c>
      <c r="C94" s="11" t="s">
        <v>45</v>
      </c>
      <c r="D94" s="9" t="s">
        <v>850</v>
      </c>
      <c r="E94" s="16" t="s">
        <v>128</v>
      </c>
      <c r="F94" s="72"/>
      <c r="G94" s="17" t="s">
        <v>2702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11" t="s">
        <v>849</v>
      </c>
      <c r="C95" s="11" t="s">
        <v>45</v>
      </c>
      <c r="D95" s="9" t="s">
        <v>116</v>
      </c>
      <c r="E95" s="16" t="s">
        <v>128</v>
      </c>
      <c r="F95" s="72"/>
      <c r="G95" s="17" t="s">
        <v>2703</v>
      </c>
      <c r="H95" s="18"/>
      <c r="I95" s="17"/>
      <c r="J95" s="19" t="s">
        <v>133</v>
      </c>
      <c r="K95" s="19" t="s">
        <v>903</v>
      </c>
      <c r="L95" s="19" t="s">
        <v>67</v>
      </c>
    </row>
    <row r="96" spans="1:12" s="1" customFormat="1">
      <c r="A96" s="15"/>
      <c r="B96" s="11" t="s">
        <v>855</v>
      </c>
      <c r="C96" s="11" t="s">
        <v>280</v>
      </c>
      <c r="D96" s="9" t="s">
        <v>502</v>
      </c>
      <c r="E96" s="16" t="s">
        <v>128</v>
      </c>
      <c r="F96" s="72"/>
      <c r="G96" s="17" t="s">
        <v>1107</v>
      </c>
      <c r="H96" s="18"/>
      <c r="I96" s="17"/>
      <c r="J96" s="19" t="s">
        <v>133</v>
      </c>
      <c r="K96" s="19" t="s">
        <v>202</v>
      </c>
      <c r="L96" s="19" t="s">
        <v>67</v>
      </c>
    </row>
    <row r="97" spans="1:17" s="1" customFormat="1">
      <c r="A97" s="15"/>
      <c r="B97" s="11" t="s">
        <v>856</v>
      </c>
      <c r="C97" s="11" t="s">
        <v>45</v>
      </c>
      <c r="D97" s="9" t="s">
        <v>857</v>
      </c>
      <c r="E97" s="16" t="s">
        <v>128</v>
      </c>
      <c r="F97" s="72"/>
      <c r="G97" s="17" t="s">
        <v>2704</v>
      </c>
      <c r="H97" s="18"/>
      <c r="I97" s="17"/>
      <c r="J97" s="19" t="s">
        <v>133</v>
      </c>
      <c r="K97" s="19" t="s">
        <v>903</v>
      </c>
      <c r="L97" s="19" t="s">
        <v>67</v>
      </c>
    </row>
    <row r="98" spans="1:17" s="1" customFormat="1">
      <c r="A98" s="15"/>
      <c r="B98" s="11" t="s">
        <v>315</v>
      </c>
      <c r="C98" s="11" t="s">
        <v>45</v>
      </c>
      <c r="D98" s="9" t="s">
        <v>112</v>
      </c>
      <c r="E98" s="16" t="s">
        <v>128</v>
      </c>
      <c r="F98" s="72"/>
      <c r="G98" s="17" t="s">
        <v>1145</v>
      </c>
      <c r="H98" s="18"/>
      <c r="I98" s="17"/>
      <c r="J98" s="19" t="s">
        <v>133</v>
      </c>
      <c r="K98" s="19" t="s">
        <v>44</v>
      </c>
      <c r="L98" s="19" t="s">
        <v>67</v>
      </c>
    </row>
    <row r="99" spans="1:17" s="3" customFormat="1">
      <c r="B99" s="23" t="s">
        <v>47</v>
      </c>
      <c r="C99" s="24" t="s">
        <v>46</v>
      </c>
      <c r="D99" s="21" t="s">
        <v>48</v>
      </c>
      <c r="E99" s="44"/>
      <c r="F99" s="44"/>
      <c r="G99" s="44" t="s">
        <v>282</v>
      </c>
      <c r="H99" s="23" t="s">
        <v>282</v>
      </c>
      <c r="I99" s="23"/>
      <c r="J99" s="23"/>
      <c r="K99" s="23"/>
      <c r="L99" s="23"/>
      <c r="M99" s="23"/>
      <c r="N99" s="23"/>
      <c r="O99" s="23"/>
      <c r="P99" s="23"/>
      <c r="Q99" s="23"/>
    </row>
    <row r="100" spans="1:17" s="3" customFormat="1">
      <c r="B100" s="23" t="s">
        <v>49</v>
      </c>
      <c r="C100" s="24" t="s">
        <v>43</v>
      </c>
      <c r="D100" s="21" t="s">
        <v>50</v>
      </c>
      <c r="E100" s="44"/>
      <c r="F100" s="44"/>
      <c r="G100" s="44" t="s">
        <v>282</v>
      </c>
      <c r="H100" s="23" t="s">
        <v>282</v>
      </c>
      <c r="I100" s="23"/>
      <c r="J100" s="23"/>
      <c r="K100" s="23"/>
      <c r="L100" s="23"/>
      <c r="M100" s="23"/>
      <c r="N100" s="23"/>
      <c r="O100" s="23"/>
      <c r="P100" s="23"/>
      <c r="Q100" s="23"/>
    </row>
  </sheetData>
  <autoFilter ref="A13:Q100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43CE-5C3E-4630-82C9-CEAC4CBEE337}">
  <dimension ref="A1:Q99"/>
  <sheetViews>
    <sheetView zoomScale="85" zoomScaleNormal="85" workbookViewId="0">
      <pane ySplit="5" topLeftCell="A6" activePane="bottomLeft" state="frozen"/>
      <selection activeCell="H43" sqref="H43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128"/>
      <c r="C2" s="128"/>
      <c r="D2" s="128"/>
      <c r="E2" s="128"/>
      <c r="F2" s="128"/>
      <c r="G2" s="128"/>
      <c r="H2" s="128"/>
    </row>
    <row r="3" spans="1:14">
      <c r="B3" s="124" t="s">
        <v>18</v>
      </c>
      <c r="C3" s="124"/>
      <c r="D3" s="124"/>
      <c r="E3" s="124"/>
      <c r="F3" s="124"/>
      <c r="G3" s="124"/>
      <c r="H3" s="124"/>
    </row>
    <row r="4" spans="1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1:14">
      <c r="B5" s="8" t="s">
        <v>69</v>
      </c>
      <c r="C5" s="26" t="s">
        <v>2902</v>
      </c>
      <c r="D5" s="9" t="s">
        <v>2903</v>
      </c>
      <c r="E5" s="11" t="s">
        <v>90</v>
      </c>
      <c r="F5" s="42"/>
      <c r="G5" s="11"/>
      <c r="H5" s="11"/>
      <c r="N5" s="4"/>
    </row>
    <row r="6" spans="1:14">
      <c r="B6" s="6"/>
      <c r="C6" s="6"/>
      <c r="D6" s="6"/>
      <c r="E6" s="6"/>
      <c r="F6" s="43"/>
      <c r="G6" s="43"/>
      <c r="H6" s="6"/>
    </row>
    <row r="7" spans="1:14">
      <c r="B7" s="124" t="s">
        <v>25</v>
      </c>
      <c r="C7" s="124"/>
      <c r="D7" s="124"/>
      <c r="E7" s="124"/>
      <c r="F7" s="124"/>
      <c r="G7" s="124"/>
      <c r="H7" s="124"/>
    </row>
    <row r="8" spans="1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1:14">
      <c r="B9" s="11"/>
      <c r="C9" s="26" t="s">
        <v>2900</v>
      </c>
      <c r="D9" s="9" t="s">
        <v>2901</v>
      </c>
      <c r="E9" s="11" t="s">
        <v>55</v>
      </c>
      <c r="F9" s="17"/>
      <c r="G9" s="17"/>
      <c r="H9" s="14" t="s">
        <v>17</v>
      </c>
    </row>
    <row r="11" spans="1:14">
      <c r="B11" s="4" t="s">
        <v>32</v>
      </c>
    </row>
    <row r="12" spans="1:14">
      <c r="B12" s="124" t="s">
        <v>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4">
      <c r="B13" s="7" t="s">
        <v>33</v>
      </c>
      <c r="C13" s="7" t="s">
        <v>34</v>
      </c>
      <c r="D13" s="7" t="s">
        <v>35</v>
      </c>
      <c r="E13" s="7" t="s">
        <v>36</v>
      </c>
      <c r="F13" s="12" t="s">
        <v>37</v>
      </c>
      <c r="G13" s="12" t="s">
        <v>38</v>
      </c>
      <c r="H13" s="7" t="s">
        <v>39</v>
      </c>
      <c r="I13" s="7" t="s">
        <v>14</v>
      </c>
      <c r="J13" s="7" t="s">
        <v>40</v>
      </c>
      <c r="K13" s="7" t="s">
        <v>41</v>
      </c>
      <c r="L13" s="7" t="s">
        <v>42</v>
      </c>
    </row>
    <row r="14" spans="1:14" s="1" customFormat="1">
      <c r="B14" s="22" t="s">
        <v>90</v>
      </c>
      <c r="C14" s="22" t="s">
        <v>93</v>
      </c>
      <c r="D14" s="9" t="s">
        <v>96</v>
      </c>
      <c r="E14" s="16" t="s">
        <v>128</v>
      </c>
      <c r="F14" s="17" t="s">
        <v>118</v>
      </c>
      <c r="G14" s="17" t="s">
        <v>129</v>
      </c>
      <c r="H14" s="18"/>
      <c r="I14" s="19"/>
      <c r="J14" s="19" t="s">
        <v>131</v>
      </c>
      <c r="K14" s="19" t="s">
        <v>132</v>
      </c>
      <c r="L14" s="19" t="s">
        <v>674</v>
      </c>
    </row>
    <row r="15" spans="1:14" s="1" customFormat="1">
      <c r="A15" s="15"/>
      <c r="B15" s="22" t="s">
        <v>77</v>
      </c>
      <c r="C15" s="22" t="s">
        <v>94</v>
      </c>
      <c r="D15" s="9" t="s">
        <v>113</v>
      </c>
      <c r="E15" s="16" t="s">
        <v>128</v>
      </c>
      <c r="F15" s="17" t="s">
        <v>77</v>
      </c>
      <c r="G15" s="17" t="s">
        <v>129</v>
      </c>
      <c r="H15" s="18"/>
      <c r="I15" s="20"/>
      <c r="J15" s="19" t="s">
        <v>131</v>
      </c>
      <c r="K15" s="19" t="s">
        <v>132</v>
      </c>
      <c r="L15" s="19" t="s">
        <v>677</v>
      </c>
    </row>
    <row r="16" spans="1:14" s="1" customFormat="1">
      <c r="A16" s="15"/>
      <c r="B16" s="22" t="s">
        <v>80</v>
      </c>
      <c r="C16" s="22" t="s">
        <v>94</v>
      </c>
      <c r="D16" s="9" t="s">
        <v>99</v>
      </c>
      <c r="E16" s="16" t="s">
        <v>128</v>
      </c>
      <c r="F16" s="17" t="s">
        <v>80</v>
      </c>
      <c r="G16" s="17" t="s">
        <v>129</v>
      </c>
      <c r="H16" s="18"/>
      <c r="I16" s="20"/>
      <c r="J16" s="19" t="s">
        <v>131</v>
      </c>
      <c r="K16" s="19" t="s">
        <v>132</v>
      </c>
      <c r="L16" s="19" t="s">
        <v>678</v>
      </c>
    </row>
    <row r="17" spans="1:12" s="1" customFormat="1">
      <c r="A17" s="15"/>
      <c r="B17" s="22" t="s">
        <v>136</v>
      </c>
      <c r="C17" s="22" t="s">
        <v>94</v>
      </c>
      <c r="D17" s="9" t="s">
        <v>137</v>
      </c>
      <c r="E17" s="16" t="s">
        <v>128</v>
      </c>
      <c r="F17" s="17" t="s">
        <v>138</v>
      </c>
      <c r="G17" s="17" t="s">
        <v>129</v>
      </c>
      <c r="H17" s="18"/>
      <c r="I17" s="20"/>
      <c r="J17" s="19" t="s">
        <v>131</v>
      </c>
      <c r="K17" s="19" t="s">
        <v>132</v>
      </c>
      <c r="L17" s="19" t="s">
        <v>679</v>
      </c>
    </row>
    <row r="18" spans="1:12" s="1" customFormat="1">
      <c r="A18" s="15"/>
      <c r="B18" s="22" t="s">
        <v>61</v>
      </c>
      <c r="C18" s="22" t="s">
        <v>94</v>
      </c>
      <c r="D18" s="9" t="s">
        <v>100</v>
      </c>
      <c r="E18" s="16" t="s">
        <v>128</v>
      </c>
      <c r="F18" s="9" t="s">
        <v>123</v>
      </c>
      <c r="G18" s="17" t="s">
        <v>129</v>
      </c>
      <c r="H18" s="18"/>
      <c r="I18" s="20"/>
      <c r="J18" s="19" t="s">
        <v>131</v>
      </c>
      <c r="K18" s="19" t="s">
        <v>132</v>
      </c>
      <c r="L18" s="19" t="s">
        <v>679</v>
      </c>
    </row>
    <row r="19" spans="1:12" s="1" customFormat="1">
      <c r="A19" s="15"/>
      <c r="B19" s="11" t="s">
        <v>62</v>
      </c>
      <c r="C19" s="22" t="s">
        <v>94</v>
      </c>
      <c r="D19" s="9" t="s">
        <v>101</v>
      </c>
      <c r="E19" s="16" t="s">
        <v>128</v>
      </c>
      <c r="F19" s="9" t="s">
        <v>124</v>
      </c>
      <c r="G19" s="17" t="s">
        <v>129</v>
      </c>
      <c r="H19" s="18"/>
      <c r="I19" s="20"/>
      <c r="J19" s="19" t="s">
        <v>131</v>
      </c>
      <c r="K19" s="19" t="s">
        <v>132</v>
      </c>
      <c r="L19" s="19" t="s">
        <v>679</v>
      </c>
    </row>
    <row r="20" spans="1:12" s="1" customFormat="1">
      <c r="A20" s="15"/>
      <c r="B20" s="11" t="s">
        <v>64</v>
      </c>
      <c r="C20" s="22" t="s">
        <v>93</v>
      </c>
      <c r="D20" s="9" t="s">
        <v>63</v>
      </c>
      <c r="E20" s="16" t="s">
        <v>128</v>
      </c>
      <c r="F20" s="9" t="s">
        <v>318</v>
      </c>
      <c r="G20" s="17" t="s">
        <v>129</v>
      </c>
      <c r="H20" s="18"/>
      <c r="I20" s="20"/>
      <c r="J20" s="19" t="s">
        <v>131</v>
      </c>
      <c r="K20" s="19" t="s">
        <v>132</v>
      </c>
      <c r="L20" s="19" t="s">
        <v>44</v>
      </c>
    </row>
    <row r="21" spans="1:12" s="1" customFormat="1">
      <c r="A21" s="15"/>
      <c r="B21" s="11" t="s">
        <v>65</v>
      </c>
      <c r="C21" s="22" t="s">
        <v>93</v>
      </c>
      <c r="D21" s="9" t="s">
        <v>102</v>
      </c>
      <c r="E21" s="16" t="s">
        <v>128</v>
      </c>
      <c r="F21" s="9" t="s">
        <v>273</v>
      </c>
      <c r="G21" s="17" t="s">
        <v>129</v>
      </c>
      <c r="H21" s="18"/>
      <c r="I21" s="20"/>
      <c r="J21" s="19" t="s">
        <v>131</v>
      </c>
      <c r="K21" s="19" t="s">
        <v>132</v>
      </c>
      <c r="L21" s="19" t="s">
        <v>44</v>
      </c>
    </row>
    <row r="22" spans="1:12" s="1" customFormat="1">
      <c r="A22" s="15"/>
      <c r="B22" s="11" t="s">
        <v>66</v>
      </c>
      <c r="C22" s="22" t="s">
        <v>93</v>
      </c>
      <c r="D22" s="9" t="s">
        <v>68</v>
      </c>
      <c r="E22" s="16" t="s">
        <v>128</v>
      </c>
      <c r="F22" s="9" t="s">
        <v>272</v>
      </c>
      <c r="G22" s="17" t="s">
        <v>129</v>
      </c>
      <c r="H22" s="18"/>
      <c r="I22" s="20"/>
      <c r="J22" s="19" t="s">
        <v>131</v>
      </c>
      <c r="K22" s="19" t="s">
        <v>132</v>
      </c>
      <c r="L22" s="19" t="s">
        <v>44</v>
      </c>
    </row>
    <row r="23" spans="1:12" s="1" customFormat="1">
      <c r="A23" s="15"/>
      <c r="B23" s="11" t="s">
        <v>95</v>
      </c>
      <c r="C23" s="11" t="s">
        <v>93</v>
      </c>
      <c r="D23" s="9" t="s">
        <v>114</v>
      </c>
      <c r="E23" s="16" t="s">
        <v>128</v>
      </c>
      <c r="F23" s="9" t="s">
        <v>95</v>
      </c>
      <c r="G23" s="17" t="s">
        <v>129</v>
      </c>
      <c r="H23" s="18"/>
      <c r="I23" s="35"/>
      <c r="J23" s="19" t="s">
        <v>131</v>
      </c>
      <c r="K23" s="19" t="s">
        <v>132</v>
      </c>
      <c r="L23" s="19" t="s">
        <v>44</v>
      </c>
    </row>
    <row r="24" spans="1:12" s="1" customFormat="1">
      <c r="A24" s="15"/>
      <c r="B24" s="11" t="s">
        <v>78</v>
      </c>
      <c r="C24" s="11" t="s">
        <v>93</v>
      </c>
      <c r="D24" s="9" t="s">
        <v>103</v>
      </c>
      <c r="E24" s="16" t="s">
        <v>128</v>
      </c>
      <c r="F24" s="17" t="s">
        <v>78</v>
      </c>
      <c r="G24" s="17" t="s">
        <v>129</v>
      </c>
      <c r="H24" s="18"/>
      <c r="I24" s="20"/>
      <c r="J24" s="19" t="s">
        <v>131</v>
      </c>
      <c r="K24" s="19" t="s">
        <v>132</v>
      </c>
      <c r="L24" s="19" t="s">
        <v>44</v>
      </c>
    </row>
    <row r="25" spans="1:12" s="1" customFormat="1">
      <c r="B25" s="22" t="s">
        <v>2893</v>
      </c>
      <c r="C25" s="11" t="s">
        <v>43</v>
      </c>
      <c r="D25" s="9" t="s">
        <v>108</v>
      </c>
      <c r="E25" s="16" t="s">
        <v>128</v>
      </c>
      <c r="F25" s="17" t="s">
        <v>86</v>
      </c>
      <c r="G25" s="17" t="s">
        <v>129</v>
      </c>
      <c r="H25" s="18"/>
      <c r="I25" s="19"/>
      <c r="J25" s="19" t="s">
        <v>131</v>
      </c>
      <c r="K25" s="19" t="s">
        <v>132</v>
      </c>
      <c r="L25" s="19" t="s">
        <v>44</v>
      </c>
    </row>
    <row r="26" spans="1:12" s="1" customFormat="1">
      <c r="A26" s="15"/>
      <c r="B26" s="11" t="s">
        <v>1072</v>
      </c>
      <c r="C26" s="11" t="s">
        <v>45</v>
      </c>
      <c r="D26" s="9" t="s">
        <v>146</v>
      </c>
      <c r="E26" s="16" t="s">
        <v>128</v>
      </c>
      <c r="F26" s="17"/>
      <c r="G26" s="17" t="s">
        <v>1289</v>
      </c>
      <c r="H26" s="18"/>
      <c r="I26" s="17"/>
      <c r="J26" s="19" t="s">
        <v>133</v>
      </c>
      <c r="K26" s="19" t="s">
        <v>132</v>
      </c>
      <c r="L26" s="19" t="s">
        <v>134</v>
      </c>
    </row>
    <row r="27" spans="1:12" s="1" customFormat="1">
      <c r="A27" s="15"/>
      <c r="B27" s="11" t="s">
        <v>189</v>
      </c>
      <c r="C27" s="11" t="s">
        <v>45</v>
      </c>
      <c r="D27" s="9" t="s">
        <v>190</v>
      </c>
      <c r="E27" s="16" t="s">
        <v>128</v>
      </c>
      <c r="F27" s="17"/>
      <c r="G27" s="17" t="s">
        <v>2698</v>
      </c>
      <c r="H27" s="18"/>
      <c r="I27" s="17"/>
      <c r="J27" s="19" t="s">
        <v>133</v>
      </c>
      <c r="K27" s="19" t="s">
        <v>132</v>
      </c>
      <c r="L27" s="19" t="s">
        <v>134</v>
      </c>
    </row>
    <row r="28" spans="1:12" s="1" customFormat="1">
      <c r="A28" s="15"/>
      <c r="B28" s="11" t="s">
        <v>192</v>
      </c>
      <c r="C28" s="11" t="s">
        <v>45</v>
      </c>
      <c r="D28" s="9" t="s">
        <v>193</v>
      </c>
      <c r="E28" s="16" t="s">
        <v>128</v>
      </c>
      <c r="F28" s="17"/>
      <c r="G28" s="17" t="s">
        <v>2265</v>
      </c>
      <c r="H28" s="18"/>
      <c r="I28" s="17"/>
      <c r="J28" s="19" t="s">
        <v>133</v>
      </c>
      <c r="K28" s="19" t="s">
        <v>132</v>
      </c>
      <c r="L28" s="19" t="s">
        <v>134</v>
      </c>
    </row>
    <row r="29" spans="1:12" s="1" customFormat="1">
      <c r="A29" s="15"/>
      <c r="B29" s="22" t="s">
        <v>255</v>
      </c>
      <c r="C29" s="22" t="s">
        <v>45</v>
      </c>
      <c r="D29" s="9" t="s">
        <v>348</v>
      </c>
      <c r="E29" s="16" t="s">
        <v>128</v>
      </c>
      <c r="F29" s="17"/>
      <c r="G29" s="17" t="s">
        <v>1667</v>
      </c>
      <c r="H29" s="18"/>
      <c r="I29" s="17"/>
      <c r="J29" s="19" t="s">
        <v>133</v>
      </c>
      <c r="K29" s="19" t="s">
        <v>203</v>
      </c>
      <c r="L29" s="19" t="s">
        <v>134</v>
      </c>
    </row>
    <row r="30" spans="1:12" s="1" customFormat="1">
      <c r="A30" s="15"/>
      <c r="B30" s="11" t="s">
        <v>207</v>
      </c>
      <c r="C30" s="11" t="s">
        <v>45</v>
      </c>
      <c r="D30" s="9" t="s">
        <v>759</v>
      </c>
      <c r="E30" s="16" t="s">
        <v>128</v>
      </c>
      <c r="F30" s="72"/>
      <c r="G30" s="17" t="s">
        <v>1200</v>
      </c>
      <c r="H30" s="18"/>
      <c r="I30" s="17"/>
      <c r="J30" s="19" t="s">
        <v>133</v>
      </c>
      <c r="K30" s="19" t="s">
        <v>204</v>
      </c>
      <c r="L30" s="19" t="s">
        <v>134</v>
      </c>
    </row>
    <row r="31" spans="1:12" s="1" customFormat="1">
      <c r="A31" s="15"/>
      <c r="B31" s="11" t="s">
        <v>208</v>
      </c>
      <c r="C31" s="11" t="s">
        <v>45</v>
      </c>
      <c r="D31" s="9" t="s">
        <v>160</v>
      </c>
      <c r="E31" s="16" t="s">
        <v>128</v>
      </c>
      <c r="F31" s="72"/>
      <c r="G31" s="17" t="s">
        <v>1201</v>
      </c>
      <c r="H31" s="18"/>
      <c r="I31" s="17"/>
      <c r="J31" s="19" t="s">
        <v>133</v>
      </c>
      <c r="K31" s="19" t="s">
        <v>204</v>
      </c>
      <c r="L31" s="19" t="s">
        <v>134</v>
      </c>
    </row>
    <row r="32" spans="1:12" s="1" customFormat="1">
      <c r="A32" s="15"/>
      <c r="B32" s="11" t="s">
        <v>763</v>
      </c>
      <c r="C32" s="11" t="s">
        <v>45</v>
      </c>
      <c r="D32" s="9" t="s">
        <v>181</v>
      </c>
      <c r="E32" s="16" t="s">
        <v>128</v>
      </c>
      <c r="F32" s="72"/>
      <c r="G32" s="17" t="s">
        <v>1075</v>
      </c>
      <c r="H32" s="18"/>
      <c r="I32" s="17"/>
      <c r="J32" s="19" t="s">
        <v>133</v>
      </c>
      <c r="K32" s="19" t="s">
        <v>44</v>
      </c>
      <c r="L32" s="19" t="s">
        <v>67</v>
      </c>
    </row>
    <row r="33" spans="1:12" s="1" customFormat="1">
      <c r="A33" s="15"/>
      <c r="B33" s="11" t="s">
        <v>803</v>
      </c>
      <c r="C33" s="11" t="s">
        <v>45</v>
      </c>
      <c r="D33" s="9" t="s">
        <v>183</v>
      </c>
      <c r="E33" s="16" t="s">
        <v>128</v>
      </c>
      <c r="F33" s="72"/>
      <c r="G33" s="17" t="s">
        <v>1077</v>
      </c>
      <c r="H33" s="18"/>
      <c r="I33" s="17"/>
      <c r="J33" s="19" t="s">
        <v>133</v>
      </c>
      <c r="K33" s="19" t="s">
        <v>44</v>
      </c>
      <c r="L33" s="19" t="s">
        <v>67</v>
      </c>
    </row>
    <row r="34" spans="1:12" s="1" customFormat="1">
      <c r="A34" s="15"/>
      <c r="B34" s="11" t="s">
        <v>804</v>
      </c>
      <c r="C34" s="11" t="s">
        <v>45</v>
      </c>
      <c r="D34" s="9" t="s">
        <v>182</v>
      </c>
      <c r="E34" s="16" t="s">
        <v>128</v>
      </c>
      <c r="F34" s="72"/>
      <c r="G34" s="17" t="s">
        <v>1079</v>
      </c>
      <c r="H34" s="18"/>
      <c r="I34" s="17"/>
      <c r="J34" s="19" t="s">
        <v>133</v>
      </c>
      <c r="K34" s="19" t="s">
        <v>44</v>
      </c>
      <c r="L34" s="19" t="s">
        <v>67</v>
      </c>
    </row>
    <row r="35" spans="1:12" s="1" customFormat="1">
      <c r="A35" s="15"/>
      <c r="B35" s="11" t="s">
        <v>805</v>
      </c>
      <c r="C35" s="11" t="s">
        <v>45</v>
      </c>
      <c r="D35" s="9" t="s">
        <v>184</v>
      </c>
      <c r="E35" s="16" t="s">
        <v>128</v>
      </c>
      <c r="F35" s="72"/>
      <c r="G35" s="17" t="s">
        <v>1110</v>
      </c>
      <c r="H35" s="18"/>
      <c r="I35" s="17"/>
      <c r="J35" s="19" t="s">
        <v>133</v>
      </c>
      <c r="K35" s="19" t="s">
        <v>44</v>
      </c>
      <c r="L35" s="19" t="s">
        <v>67</v>
      </c>
    </row>
    <row r="36" spans="1:12" s="1" customFormat="1">
      <c r="A36" s="15"/>
      <c r="B36" s="11" t="s">
        <v>806</v>
      </c>
      <c r="C36" s="11" t="s">
        <v>45</v>
      </c>
      <c r="D36" s="9" t="s">
        <v>186</v>
      </c>
      <c r="E36" s="16" t="s">
        <v>128</v>
      </c>
      <c r="F36" s="72"/>
      <c r="G36" s="17" t="s">
        <v>1111</v>
      </c>
      <c r="H36" s="18"/>
      <c r="I36" s="17"/>
      <c r="J36" s="19" t="s">
        <v>133</v>
      </c>
      <c r="K36" s="19" t="s">
        <v>44</v>
      </c>
      <c r="L36" s="19" t="s">
        <v>67</v>
      </c>
    </row>
    <row r="37" spans="1:12" s="1" customFormat="1">
      <c r="A37" s="15"/>
      <c r="B37" s="11" t="s">
        <v>807</v>
      </c>
      <c r="C37" s="11" t="s">
        <v>45</v>
      </c>
      <c r="D37" s="9" t="s">
        <v>185</v>
      </c>
      <c r="E37" s="16" t="s">
        <v>128</v>
      </c>
      <c r="F37" s="72"/>
      <c r="G37" s="17" t="s">
        <v>1112</v>
      </c>
      <c r="H37" s="18"/>
      <c r="I37" s="17"/>
      <c r="J37" s="19" t="s">
        <v>133</v>
      </c>
      <c r="K37" s="19" t="s">
        <v>44</v>
      </c>
      <c r="L37" s="19" t="s">
        <v>67</v>
      </c>
    </row>
    <row r="38" spans="1:12" s="1" customFormat="1">
      <c r="A38" s="15"/>
      <c r="B38" s="11" t="s">
        <v>808</v>
      </c>
      <c r="C38" s="11" t="s">
        <v>45</v>
      </c>
      <c r="D38" s="9" t="s">
        <v>187</v>
      </c>
      <c r="E38" s="16" t="s">
        <v>128</v>
      </c>
      <c r="F38" s="72"/>
      <c r="G38" s="17" t="s">
        <v>1113</v>
      </c>
      <c r="H38" s="18"/>
      <c r="I38" s="17"/>
      <c r="J38" s="19" t="s">
        <v>133</v>
      </c>
      <c r="K38" s="19" t="s">
        <v>44</v>
      </c>
      <c r="L38" s="19" t="s">
        <v>67</v>
      </c>
    </row>
    <row r="39" spans="1:12" s="1" customFormat="1">
      <c r="A39" s="15"/>
      <c r="B39" s="11" t="s">
        <v>210</v>
      </c>
      <c r="C39" s="11" t="s">
        <v>45</v>
      </c>
      <c r="D39" s="9" t="s">
        <v>1056</v>
      </c>
      <c r="E39" s="16" t="s">
        <v>128</v>
      </c>
      <c r="F39" s="72"/>
      <c r="G39" s="17" t="s">
        <v>224</v>
      </c>
      <c r="H39" s="18"/>
      <c r="I39" s="17"/>
      <c r="J39" s="19" t="s">
        <v>133</v>
      </c>
      <c r="K39" s="19" t="s">
        <v>44</v>
      </c>
      <c r="L39" s="19" t="s">
        <v>67</v>
      </c>
    </row>
    <row r="40" spans="1:12" s="1" customFormat="1">
      <c r="A40" s="15"/>
      <c r="B40" s="11" t="s">
        <v>209</v>
      </c>
      <c r="C40" s="11" t="s">
        <v>45</v>
      </c>
      <c r="D40" s="9" t="s">
        <v>1055</v>
      </c>
      <c r="E40" s="16" t="s">
        <v>128</v>
      </c>
      <c r="F40" s="72"/>
      <c r="G40" s="17" t="s">
        <v>223</v>
      </c>
      <c r="H40" s="18"/>
      <c r="I40" s="17"/>
      <c r="J40" s="19" t="s">
        <v>133</v>
      </c>
      <c r="K40" s="19" t="s">
        <v>44</v>
      </c>
      <c r="L40" s="19" t="s">
        <v>67</v>
      </c>
    </row>
    <row r="41" spans="1:12" s="1" customFormat="1">
      <c r="A41" s="15"/>
      <c r="B41" s="11" t="s">
        <v>211</v>
      </c>
      <c r="C41" s="11" t="s">
        <v>45</v>
      </c>
      <c r="D41" s="9" t="s">
        <v>163</v>
      </c>
      <c r="E41" s="16" t="s">
        <v>128</v>
      </c>
      <c r="F41" s="72"/>
      <c r="G41" s="17" t="s">
        <v>225</v>
      </c>
      <c r="H41" s="18"/>
      <c r="I41" s="17"/>
      <c r="J41" s="19" t="s">
        <v>133</v>
      </c>
      <c r="K41" s="19" t="s">
        <v>44</v>
      </c>
      <c r="L41" s="19" t="s">
        <v>67</v>
      </c>
    </row>
    <row r="42" spans="1:12" s="1" customFormat="1">
      <c r="A42" s="15"/>
      <c r="B42" s="11" t="s">
        <v>212</v>
      </c>
      <c r="C42" s="11" t="s">
        <v>45</v>
      </c>
      <c r="D42" s="9" t="s">
        <v>164</v>
      </c>
      <c r="E42" s="16" t="s">
        <v>128</v>
      </c>
      <c r="F42" s="72"/>
      <c r="G42" s="17" t="s">
        <v>226</v>
      </c>
      <c r="H42" s="18"/>
      <c r="I42" s="17"/>
      <c r="J42" s="19" t="s">
        <v>133</v>
      </c>
      <c r="K42" s="19" t="s">
        <v>44</v>
      </c>
      <c r="L42" s="19" t="s">
        <v>67</v>
      </c>
    </row>
    <row r="43" spans="1:12" s="1" customFormat="1">
      <c r="A43" s="15"/>
      <c r="B43" s="11" t="s">
        <v>213</v>
      </c>
      <c r="C43" s="11" t="s">
        <v>45</v>
      </c>
      <c r="D43" s="9" t="s">
        <v>165</v>
      </c>
      <c r="E43" s="16" t="s">
        <v>128</v>
      </c>
      <c r="F43" s="72"/>
      <c r="G43" s="17" t="s">
        <v>1114</v>
      </c>
      <c r="H43" s="18"/>
      <c r="I43" s="17"/>
      <c r="J43" s="19" t="s">
        <v>133</v>
      </c>
      <c r="K43" s="19" t="s">
        <v>44</v>
      </c>
      <c r="L43" s="19" t="s">
        <v>67</v>
      </c>
    </row>
    <row r="44" spans="1:12" s="1" customFormat="1">
      <c r="A44" s="15"/>
      <c r="B44" s="11" t="s">
        <v>214</v>
      </c>
      <c r="C44" s="11" t="s">
        <v>45</v>
      </c>
      <c r="D44" s="9" t="s">
        <v>166</v>
      </c>
      <c r="E44" s="16" t="s">
        <v>128</v>
      </c>
      <c r="F44" s="72"/>
      <c r="G44" s="17" t="s">
        <v>1115</v>
      </c>
      <c r="H44" s="18"/>
      <c r="I44" s="17"/>
      <c r="J44" s="19" t="s">
        <v>133</v>
      </c>
      <c r="K44" s="19" t="s">
        <v>44</v>
      </c>
      <c r="L44" s="19" t="s">
        <v>67</v>
      </c>
    </row>
    <row r="45" spans="1:12" s="1" customFormat="1">
      <c r="A45" s="15"/>
      <c r="B45" s="11" t="s">
        <v>217</v>
      </c>
      <c r="C45" s="11" t="s">
        <v>45</v>
      </c>
      <c r="D45" s="9" t="s">
        <v>171</v>
      </c>
      <c r="E45" s="16" t="s">
        <v>128</v>
      </c>
      <c r="F45" s="72"/>
      <c r="G45" s="17" t="s">
        <v>1116</v>
      </c>
      <c r="H45" s="18"/>
      <c r="I45" s="17"/>
      <c r="J45" s="19" t="s">
        <v>133</v>
      </c>
      <c r="K45" s="19" t="s">
        <v>44</v>
      </c>
      <c r="L45" s="19" t="s">
        <v>67</v>
      </c>
    </row>
    <row r="46" spans="1:12" s="1" customFormat="1">
      <c r="A46" s="15"/>
      <c r="B46" s="11" t="s">
        <v>218</v>
      </c>
      <c r="C46" s="11" t="s">
        <v>45</v>
      </c>
      <c r="D46" s="9" t="s">
        <v>172</v>
      </c>
      <c r="E46" s="16" t="s">
        <v>128</v>
      </c>
      <c r="F46" s="72"/>
      <c r="G46" s="17" t="s">
        <v>1117</v>
      </c>
      <c r="H46" s="18"/>
      <c r="I46" s="17"/>
      <c r="J46" s="19" t="s">
        <v>133</v>
      </c>
      <c r="K46" s="19" t="s">
        <v>44</v>
      </c>
      <c r="L46" s="19" t="s">
        <v>67</v>
      </c>
    </row>
    <row r="47" spans="1:12" s="1" customFormat="1">
      <c r="A47" s="15"/>
      <c r="B47" s="11" t="s">
        <v>219</v>
      </c>
      <c r="C47" s="11" t="s">
        <v>45</v>
      </c>
      <c r="D47" s="9" t="s">
        <v>173</v>
      </c>
      <c r="E47" s="16" t="s">
        <v>128</v>
      </c>
      <c r="F47" s="72"/>
      <c r="G47" s="17" t="s">
        <v>1118</v>
      </c>
      <c r="H47" s="18"/>
      <c r="I47" s="17"/>
      <c r="J47" s="19" t="s">
        <v>133</v>
      </c>
      <c r="K47" s="19" t="s">
        <v>44</v>
      </c>
      <c r="L47" s="19" t="s">
        <v>67</v>
      </c>
    </row>
    <row r="48" spans="1:12" s="1" customFormat="1">
      <c r="A48" s="15"/>
      <c r="B48" s="11" t="s">
        <v>220</v>
      </c>
      <c r="C48" s="11" t="s">
        <v>45</v>
      </c>
      <c r="D48" s="9" t="s">
        <v>174</v>
      </c>
      <c r="E48" s="16" t="s">
        <v>128</v>
      </c>
      <c r="F48" s="72"/>
      <c r="G48" s="17" t="s">
        <v>1119</v>
      </c>
      <c r="H48" s="18"/>
      <c r="I48" s="17"/>
      <c r="J48" s="19" t="s">
        <v>133</v>
      </c>
      <c r="K48" s="19" t="s">
        <v>44</v>
      </c>
      <c r="L48" s="19" t="s">
        <v>67</v>
      </c>
    </row>
    <row r="49" spans="1:12" s="1" customFormat="1">
      <c r="A49" s="15"/>
      <c r="B49" s="11" t="s">
        <v>215</v>
      </c>
      <c r="C49" s="11" t="s">
        <v>45</v>
      </c>
      <c r="D49" s="9" t="s">
        <v>1260</v>
      </c>
      <c r="E49" s="16" t="s">
        <v>128</v>
      </c>
      <c r="F49" s="72"/>
      <c r="G49" s="17" t="s">
        <v>227</v>
      </c>
      <c r="H49" s="18"/>
      <c r="I49" s="17"/>
      <c r="J49" s="19" t="s">
        <v>133</v>
      </c>
      <c r="K49" s="19" t="s">
        <v>44</v>
      </c>
      <c r="L49" s="19" t="s">
        <v>67</v>
      </c>
    </row>
    <row r="50" spans="1:12" s="1" customFormat="1">
      <c r="A50" s="15"/>
      <c r="B50" s="11" t="s">
        <v>216</v>
      </c>
      <c r="C50" s="11" t="s">
        <v>45</v>
      </c>
      <c r="D50" s="9" t="s">
        <v>1261</v>
      </c>
      <c r="E50" s="16" t="s">
        <v>128</v>
      </c>
      <c r="F50" s="72"/>
      <c r="G50" s="17" t="s">
        <v>228</v>
      </c>
      <c r="H50" s="18"/>
      <c r="I50" s="17"/>
      <c r="J50" s="19" t="s">
        <v>133</v>
      </c>
      <c r="K50" s="19" t="s">
        <v>44</v>
      </c>
      <c r="L50" s="19" t="s">
        <v>67</v>
      </c>
    </row>
    <row r="51" spans="1:12" s="1" customFormat="1">
      <c r="A51" s="15"/>
      <c r="B51" s="11" t="s">
        <v>316</v>
      </c>
      <c r="C51" s="11" t="s">
        <v>45</v>
      </c>
      <c r="D51" s="9" t="s">
        <v>167</v>
      </c>
      <c r="E51" s="16" t="s">
        <v>128</v>
      </c>
      <c r="F51" s="72"/>
      <c r="G51" s="17" t="s">
        <v>772</v>
      </c>
      <c r="H51" s="18"/>
      <c r="I51" s="17"/>
      <c r="J51" s="19" t="s">
        <v>133</v>
      </c>
      <c r="K51" s="19" t="s">
        <v>202</v>
      </c>
      <c r="L51" s="19" t="s">
        <v>67</v>
      </c>
    </row>
    <row r="52" spans="1:12" s="1" customFormat="1">
      <c r="A52" s="15"/>
      <c r="B52" s="11" t="s">
        <v>809</v>
      </c>
      <c r="C52" s="11" t="s">
        <v>45</v>
      </c>
      <c r="D52" s="9" t="s">
        <v>175</v>
      </c>
      <c r="E52" s="16" t="s">
        <v>128</v>
      </c>
      <c r="F52" s="72"/>
      <c r="G52" s="17" t="s">
        <v>1120</v>
      </c>
      <c r="H52" s="18"/>
      <c r="I52" s="17"/>
      <c r="J52" s="19" t="s">
        <v>133</v>
      </c>
      <c r="K52" s="19" t="s">
        <v>44</v>
      </c>
      <c r="L52" s="19" t="s">
        <v>67</v>
      </c>
    </row>
    <row r="53" spans="1:12" s="1" customFormat="1">
      <c r="A53" s="15"/>
      <c r="B53" s="11" t="s">
        <v>317</v>
      </c>
      <c r="C53" s="11" t="s">
        <v>45</v>
      </c>
      <c r="D53" s="9" t="s">
        <v>168</v>
      </c>
      <c r="E53" s="16" t="s">
        <v>128</v>
      </c>
      <c r="F53" s="72"/>
      <c r="G53" s="17" t="s">
        <v>778</v>
      </c>
      <c r="H53" s="18"/>
      <c r="I53" s="17"/>
      <c r="J53" s="19" t="s">
        <v>133</v>
      </c>
      <c r="K53" s="19" t="s">
        <v>202</v>
      </c>
      <c r="L53" s="19" t="s">
        <v>67</v>
      </c>
    </row>
    <row r="54" spans="1:12" s="1" customFormat="1">
      <c r="A54" s="15"/>
      <c r="B54" s="11" t="s">
        <v>810</v>
      </c>
      <c r="C54" s="11" t="s">
        <v>45</v>
      </c>
      <c r="D54" s="9" t="s">
        <v>176</v>
      </c>
      <c r="E54" s="16" t="s">
        <v>128</v>
      </c>
      <c r="F54" s="72"/>
      <c r="G54" s="17" t="s">
        <v>1121</v>
      </c>
      <c r="H54" s="18"/>
      <c r="I54" s="17"/>
      <c r="J54" s="19" t="s">
        <v>133</v>
      </c>
      <c r="K54" s="19" t="s">
        <v>44</v>
      </c>
      <c r="L54" s="19" t="s">
        <v>67</v>
      </c>
    </row>
    <row r="55" spans="1:12" s="1" customFormat="1">
      <c r="A55" s="15"/>
      <c r="B55" s="11" t="s">
        <v>1213</v>
      </c>
      <c r="C55" s="11" t="s">
        <v>45</v>
      </c>
      <c r="D55" s="9" t="s">
        <v>178</v>
      </c>
      <c r="E55" s="16" t="s">
        <v>128</v>
      </c>
      <c r="F55" s="72"/>
      <c r="G55" s="17" t="s">
        <v>2266</v>
      </c>
      <c r="H55" s="18"/>
      <c r="I55" s="17"/>
      <c r="J55" s="19" t="s">
        <v>133</v>
      </c>
      <c r="K55" s="19" t="s">
        <v>202</v>
      </c>
      <c r="L55" s="19" t="s">
        <v>67</v>
      </c>
    </row>
    <row r="56" spans="1:12" s="1" customFormat="1">
      <c r="A56" s="15"/>
      <c r="B56" s="11" t="s">
        <v>221</v>
      </c>
      <c r="C56" s="11" t="s">
        <v>45</v>
      </c>
      <c r="D56" s="9" t="s">
        <v>177</v>
      </c>
      <c r="E56" s="16" t="s">
        <v>128</v>
      </c>
      <c r="F56" s="72"/>
      <c r="G56" s="17" t="s">
        <v>1122</v>
      </c>
      <c r="H56" s="18"/>
      <c r="I56" s="17"/>
      <c r="J56" s="19" t="s">
        <v>133</v>
      </c>
      <c r="K56" s="19" t="s">
        <v>204</v>
      </c>
      <c r="L56" s="19" t="s">
        <v>67</v>
      </c>
    </row>
    <row r="57" spans="1:12" s="1" customFormat="1">
      <c r="A57" s="15"/>
      <c r="B57" s="11" t="s">
        <v>1212</v>
      </c>
      <c r="C57" s="11" t="s">
        <v>45</v>
      </c>
      <c r="D57" s="9" t="s">
        <v>180</v>
      </c>
      <c r="E57" s="16" t="s">
        <v>128</v>
      </c>
      <c r="F57" s="72"/>
      <c r="G57" s="17" t="s">
        <v>2267</v>
      </c>
      <c r="H57" s="18"/>
      <c r="I57" s="17"/>
      <c r="J57" s="19" t="s">
        <v>133</v>
      </c>
      <c r="K57" s="19" t="s">
        <v>202</v>
      </c>
      <c r="L57" s="19" t="s">
        <v>67</v>
      </c>
    </row>
    <row r="58" spans="1:12" s="1" customFormat="1">
      <c r="A58" s="15"/>
      <c r="B58" s="11" t="s">
        <v>222</v>
      </c>
      <c r="C58" s="11" t="s">
        <v>45</v>
      </c>
      <c r="D58" s="9" t="s">
        <v>179</v>
      </c>
      <c r="E58" s="16" t="s">
        <v>128</v>
      </c>
      <c r="F58" s="72"/>
      <c r="G58" s="17" t="s">
        <v>1123</v>
      </c>
      <c r="H58" s="18"/>
      <c r="I58" s="17"/>
      <c r="J58" s="19" t="s">
        <v>133</v>
      </c>
      <c r="K58" s="19" t="s">
        <v>204</v>
      </c>
      <c r="L58" s="19" t="s">
        <v>67</v>
      </c>
    </row>
    <row r="59" spans="1:12" s="1" customFormat="1">
      <c r="A59" s="15"/>
      <c r="B59" s="11" t="s">
        <v>205</v>
      </c>
      <c r="C59" s="11" t="s">
        <v>45</v>
      </c>
      <c r="D59" s="9" t="s">
        <v>147</v>
      </c>
      <c r="E59" s="16" t="s">
        <v>128</v>
      </c>
      <c r="F59" s="72"/>
      <c r="G59" s="17" t="s">
        <v>1126</v>
      </c>
      <c r="H59" s="18"/>
      <c r="I59" s="17"/>
      <c r="J59" s="19" t="s">
        <v>133</v>
      </c>
      <c r="K59" s="19" t="s">
        <v>44</v>
      </c>
      <c r="L59" s="19" t="s">
        <v>67</v>
      </c>
    </row>
    <row r="60" spans="1:12" s="1" customFormat="1">
      <c r="A60" s="15"/>
      <c r="B60" s="11" t="s">
        <v>206</v>
      </c>
      <c r="C60" s="11" t="s">
        <v>280</v>
      </c>
      <c r="D60" s="9" t="s">
        <v>820</v>
      </c>
      <c r="E60" s="16" t="s">
        <v>128</v>
      </c>
      <c r="F60" s="72"/>
      <c r="G60" s="17" t="s">
        <v>1081</v>
      </c>
      <c r="H60" s="18"/>
      <c r="I60" s="17"/>
      <c r="J60" s="19" t="s">
        <v>133</v>
      </c>
      <c r="K60" s="19" t="s">
        <v>202</v>
      </c>
      <c r="L60" s="19" t="s">
        <v>67</v>
      </c>
    </row>
    <row r="61" spans="1:12" s="1" customFormat="1">
      <c r="A61" s="15"/>
      <c r="B61" s="11" t="s">
        <v>1022</v>
      </c>
      <c r="C61" s="11" t="s">
        <v>45</v>
      </c>
      <c r="D61" s="9" t="s">
        <v>1018</v>
      </c>
      <c r="E61" s="16" t="s">
        <v>128</v>
      </c>
      <c r="F61" s="72"/>
      <c r="G61" s="17" t="s">
        <v>1127</v>
      </c>
      <c r="H61" s="18"/>
      <c r="I61" s="17"/>
      <c r="J61" s="19" t="s">
        <v>133</v>
      </c>
      <c r="K61" s="19" t="s">
        <v>44</v>
      </c>
      <c r="L61" s="19" t="s">
        <v>67</v>
      </c>
    </row>
    <row r="62" spans="1:12" s="1" customFormat="1">
      <c r="A62" s="15"/>
      <c r="B62" s="11" t="s">
        <v>1014</v>
      </c>
      <c r="C62" s="11" t="s">
        <v>45</v>
      </c>
      <c r="D62" s="9" t="s">
        <v>1019</v>
      </c>
      <c r="E62" s="16" t="s">
        <v>128</v>
      </c>
      <c r="F62" s="72"/>
      <c r="G62" s="17" t="s">
        <v>1128</v>
      </c>
      <c r="H62" s="18"/>
      <c r="I62" s="17"/>
      <c r="J62" s="19" t="s">
        <v>133</v>
      </c>
      <c r="K62" s="19" t="s">
        <v>44</v>
      </c>
      <c r="L62" s="19" t="s">
        <v>67</v>
      </c>
    </row>
    <row r="63" spans="1:12" s="1" customFormat="1">
      <c r="A63" s="15"/>
      <c r="B63" s="11" t="s">
        <v>1015</v>
      </c>
      <c r="C63" s="11" t="s">
        <v>45</v>
      </c>
      <c r="D63" s="9" t="s">
        <v>1020</v>
      </c>
      <c r="E63" s="16" t="s">
        <v>128</v>
      </c>
      <c r="F63" s="72"/>
      <c r="G63" s="17" t="s">
        <v>1129</v>
      </c>
      <c r="H63" s="18"/>
      <c r="I63" s="17"/>
      <c r="J63" s="19" t="s">
        <v>133</v>
      </c>
      <c r="K63" s="19" t="s">
        <v>44</v>
      </c>
      <c r="L63" s="19" t="s">
        <v>67</v>
      </c>
    </row>
    <row r="64" spans="1:12" s="1" customFormat="1">
      <c r="A64" s="15"/>
      <c r="B64" s="11" t="s">
        <v>1016</v>
      </c>
      <c r="C64" s="11" t="s">
        <v>45</v>
      </c>
      <c r="D64" s="9" t="s">
        <v>1021</v>
      </c>
      <c r="E64" s="16" t="s">
        <v>128</v>
      </c>
      <c r="F64" s="72"/>
      <c r="G64" s="17" t="s">
        <v>1130</v>
      </c>
      <c r="H64" s="18"/>
      <c r="I64" s="17"/>
      <c r="J64" s="19" t="s">
        <v>133</v>
      </c>
      <c r="K64" s="19" t="s">
        <v>44</v>
      </c>
      <c r="L64" s="19" t="s">
        <v>67</v>
      </c>
    </row>
    <row r="65" spans="1:12" s="1" customFormat="1">
      <c r="A65" s="15"/>
      <c r="B65" s="11" t="s">
        <v>1017</v>
      </c>
      <c r="C65" s="11" t="s">
        <v>45</v>
      </c>
      <c r="D65" s="9" t="s">
        <v>1042</v>
      </c>
      <c r="E65" s="16" t="s">
        <v>128</v>
      </c>
      <c r="F65" s="72"/>
      <c r="G65" s="17" t="s">
        <v>1131</v>
      </c>
      <c r="H65" s="18"/>
      <c r="I65" s="17"/>
      <c r="J65" s="19" t="s">
        <v>133</v>
      </c>
      <c r="K65" s="19" t="s">
        <v>44</v>
      </c>
      <c r="L65" s="19" t="s">
        <v>67</v>
      </c>
    </row>
    <row r="66" spans="1:12" s="1" customFormat="1">
      <c r="A66" s="15"/>
      <c r="B66" s="11" t="s">
        <v>1049</v>
      </c>
      <c r="C66" s="11" t="s">
        <v>45</v>
      </c>
      <c r="D66" s="9" t="s">
        <v>153</v>
      </c>
      <c r="E66" s="16" t="s">
        <v>128</v>
      </c>
      <c r="F66" s="72"/>
      <c r="G66" s="17" t="s">
        <v>1132</v>
      </c>
      <c r="H66" s="18"/>
      <c r="I66" s="17"/>
      <c r="J66" s="19" t="s">
        <v>133</v>
      </c>
      <c r="K66" s="19" t="s">
        <v>44</v>
      </c>
      <c r="L66" s="19" t="s">
        <v>67</v>
      </c>
    </row>
    <row r="67" spans="1:12" s="1" customFormat="1">
      <c r="A67" s="15"/>
      <c r="B67" s="11" t="s">
        <v>823</v>
      </c>
      <c r="C67" s="11" t="s">
        <v>280</v>
      </c>
      <c r="D67" s="9" t="s">
        <v>1474</v>
      </c>
      <c r="E67" s="16" t="s">
        <v>128</v>
      </c>
      <c r="F67" s="72"/>
      <c r="G67" s="17" t="s">
        <v>1082</v>
      </c>
      <c r="H67" s="18"/>
      <c r="I67" s="17"/>
      <c r="J67" s="19" t="s">
        <v>133</v>
      </c>
      <c r="K67" s="19" t="s">
        <v>202</v>
      </c>
      <c r="L67" s="19" t="s">
        <v>67</v>
      </c>
    </row>
    <row r="68" spans="1:12" s="1" customFormat="1">
      <c r="A68" s="15"/>
      <c r="B68" s="11" t="s">
        <v>1030</v>
      </c>
      <c r="C68" s="11" t="s">
        <v>45</v>
      </c>
      <c r="D68" s="9" t="s">
        <v>1026</v>
      </c>
      <c r="E68" s="16" t="s">
        <v>128</v>
      </c>
      <c r="F68" s="72"/>
      <c r="G68" s="17" t="s">
        <v>1133</v>
      </c>
      <c r="H68" s="18"/>
      <c r="I68" s="17"/>
      <c r="J68" s="19" t="s">
        <v>133</v>
      </c>
      <c r="K68" s="19" t="s">
        <v>44</v>
      </c>
      <c r="L68" s="19" t="s">
        <v>67</v>
      </c>
    </row>
    <row r="69" spans="1:12" s="1" customFormat="1">
      <c r="A69" s="15"/>
      <c r="B69" s="11" t="s">
        <v>1023</v>
      </c>
      <c r="C69" s="11" t="s">
        <v>45</v>
      </c>
      <c r="D69" s="9" t="s">
        <v>1027</v>
      </c>
      <c r="E69" s="16" t="s">
        <v>128</v>
      </c>
      <c r="F69" s="72"/>
      <c r="G69" s="17" t="s">
        <v>1134</v>
      </c>
      <c r="H69" s="18"/>
      <c r="I69" s="17"/>
      <c r="J69" s="19" t="s">
        <v>133</v>
      </c>
      <c r="K69" s="19" t="s">
        <v>44</v>
      </c>
      <c r="L69" s="19" t="s">
        <v>67</v>
      </c>
    </row>
    <row r="70" spans="1:12" s="1" customFormat="1">
      <c r="A70" s="15"/>
      <c r="B70" s="11" t="s">
        <v>1024</v>
      </c>
      <c r="C70" s="11" t="s">
        <v>45</v>
      </c>
      <c r="D70" s="9" t="s">
        <v>1028</v>
      </c>
      <c r="E70" s="16" t="s">
        <v>128</v>
      </c>
      <c r="F70" s="72"/>
      <c r="G70" s="17" t="s">
        <v>1135</v>
      </c>
      <c r="H70" s="18"/>
      <c r="I70" s="17"/>
      <c r="J70" s="19" t="s">
        <v>133</v>
      </c>
      <c r="K70" s="19" t="s">
        <v>44</v>
      </c>
      <c r="L70" s="19" t="s">
        <v>67</v>
      </c>
    </row>
    <row r="71" spans="1:12" s="1" customFormat="1">
      <c r="A71" s="15"/>
      <c r="B71" s="11" t="s">
        <v>1032</v>
      </c>
      <c r="C71" s="11" t="s">
        <v>45</v>
      </c>
      <c r="D71" s="9" t="s">
        <v>1029</v>
      </c>
      <c r="E71" s="16" t="s">
        <v>128</v>
      </c>
      <c r="F71" s="72"/>
      <c r="G71" s="17" t="s">
        <v>1136</v>
      </c>
      <c r="H71" s="18"/>
      <c r="I71" s="17"/>
      <c r="J71" s="19" t="s">
        <v>133</v>
      </c>
      <c r="K71" s="19" t="s">
        <v>44</v>
      </c>
      <c r="L71" s="19" t="s">
        <v>67</v>
      </c>
    </row>
    <row r="72" spans="1:12" s="1" customFormat="1">
      <c r="A72" s="15"/>
      <c r="B72" s="11" t="s">
        <v>1025</v>
      </c>
      <c r="C72" s="11" t="s">
        <v>45</v>
      </c>
      <c r="D72" s="9" t="s">
        <v>1043</v>
      </c>
      <c r="E72" s="16" t="s">
        <v>128</v>
      </c>
      <c r="F72" s="72"/>
      <c r="G72" s="17" t="s">
        <v>1137</v>
      </c>
      <c r="H72" s="18"/>
      <c r="I72" s="17"/>
      <c r="J72" s="19" t="s">
        <v>133</v>
      </c>
      <c r="K72" s="19" t="s">
        <v>44</v>
      </c>
      <c r="L72" s="19" t="s">
        <v>67</v>
      </c>
    </row>
    <row r="73" spans="1:12" s="1" customFormat="1">
      <c r="A73" s="15"/>
      <c r="B73" s="11" t="s">
        <v>1084</v>
      </c>
      <c r="C73" s="11" t="s">
        <v>280</v>
      </c>
      <c r="D73" s="9" t="s">
        <v>1086</v>
      </c>
      <c r="E73" s="16" t="s">
        <v>128</v>
      </c>
      <c r="F73" s="72"/>
      <c r="G73" s="17" t="s">
        <v>2248</v>
      </c>
      <c r="H73" s="18"/>
      <c r="I73" s="17"/>
      <c r="J73" s="19" t="s">
        <v>133</v>
      </c>
      <c r="K73" s="19" t="s">
        <v>202</v>
      </c>
      <c r="L73" s="19" t="s">
        <v>67</v>
      </c>
    </row>
    <row r="74" spans="1:12" s="1" customFormat="1">
      <c r="A74" s="15"/>
      <c r="B74" s="11" t="s">
        <v>1083</v>
      </c>
      <c r="C74" s="11" t="s">
        <v>280</v>
      </c>
      <c r="D74" s="9" t="s">
        <v>841</v>
      </c>
      <c r="E74" s="16" t="s">
        <v>128</v>
      </c>
      <c r="F74" s="72"/>
      <c r="G74" s="17" t="s">
        <v>1866</v>
      </c>
      <c r="H74" s="18"/>
      <c r="I74" s="17"/>
      <c r="J74" s="19" t="s">
        <v>133</v>
      </c>
      <c r="K74" s="19" t="s">
        <v>202</v>
      </c>
      <c r="L74" s="19" t="s">
        <v>67</v>
      </c>
    </row>
    <row r="75" spans="1:12" s="1" customFormat="1">
      <c r="A75" s="15"/>
      <c r="B75" s="11" t="s">
        <v>1033</v>
      </c>
      <c r="C75" s="11" t="s">
        <v>45</v>
      </c>
      <c r="D75" s="9" t="s">
        <v>1038</v>
      </c>
      <c r="E75" s="16" t="s">
        <v>128</v>
      </c>
      <c r="F75" s="72"/>
      <c r="G75" s="17" t="s">
        <v>1138</v>
      </c>
      <c r="H75" s="18"/>
      <c r="I75" s="17"/>
      <c r="J75" s="19" t="s">
        <v>133</v>
      </c>
      <c r="K75" s="19" t="s">
        <v>44</v>
      </c>
      <c r="L75" s="19" t="s">
        <v>67</v>
      </c>
    </row>
    <row r="76" spans="1:12" s="1" customFormat="1">
      <c r="A76" s="15"/>
      <c r="B76" s="11" t="s">
        <v>1034</v>
      </c>
      <c r="C76" s="11" t="s">
        <v>45</v>
      </c>
      <c r="D76" s="9" t="s">
        <v>1039</v>
      </c>
      <c r="E76" s="16" t="s">
        <v>128</v>
      </c>
      <c r="F76" s="72"/>
      <c r="G76" s="17" t="s">
        <v>1139</v>
      </c>
      <c r="H76" s="18"/>
      <c r="I76" s="17"/>
      <c r="J76" s="19" t="s">
        <v>133</v>
      </c>
      <c r="K76" s="19" t="s">
        <v>44</v>
      </c>
      <c r="L76" s="19" t="s">
        <v>67</v>
      </c>
    </row>
    <row r="77" spans="1:12" s="1" customFormat="1">
      <c r="A77" s="15"/>
      <c r="B77" s="11" t="s">
        <v>1035</v>
      </c>
      <c r="C77" s="11" t="s">
        <v>45</v>
      </c>
      <c r="D77" s="9" t="s">
        <v>1040</v>
      </c>
      <c r="E77" s="16" t="s">
        <v>128</v>
      </c>
      <c r="F77" s="72"/>
      <c r="G77" s="17" t="s">
        <v>1140</v>
      </c>
      <c r="H77" s="18"/>
      <c r="I77" s="17"/>
      <c r="J77" s="19" t="s">
        <v>133</v>
      </c>
      <c r="K77" s="19" t="s">
        <v>44</v>
      </c>
      <c r="L77" s="19" t="s">
        <v>67</v>
      </c>
    </row>
    <row r="78" spans="1:12" s="1" customFormat="1">
      <c r="A78" s="15"/>
      <c r="B78" s="11" t="s">
        <v>1036</v>
      </c>
      <c r="C78" s="11" t="s">
        <v>45</v>
      </c>
      <c r="D78" s="9" t="s">
        <v>1041</v>
      </c>
      <c r="E78" s="16" t="s">
        <v>128</v>
      </c>
      <c r="F78" s="72"/>
      <c r="G78" s="17" t="s">
        <v>1141</v>
      </c>
      <c r="H78" s="18"/>
      <c r="I78" s="17"/>
      <c r="J78" s="19" t="s">
        <v>133</v>
      </c>
      <c r="K78" s="19" t="s">
        <v>44</v>
      </c>
      <c r="L78" s="19" t="s">
        <v>67</v>
      </c>
    </row>
    <row r="79" spans="1:12" s="1" customFormat="1">
      <c r="A79" s="15"/>
      <c r="B79" s="11" t="s">
        <v>1037</v>
      </c>
      <c r="C79" s="11" t="s">
        <v>45</v>
      </c>
      <c r="D79" s="9" t="s">
        <v>1044</v>
      </c>
      <c r="E79" s="16" t="s">
        <v>128</v>
      </c>
      <c r="F79" s="72"/>
      <c r="G79" s="17" t="s">
        <v>1142</v>
      </c>
      <c r="H79" s="18"/>
      <c r="I79" s="17"/>
      <c r="J79" s="19" t="s">
        <v>133</v>
      </c>
      <c r="K79" s="19" t="s">
        <v>44</v>
      </c>
      <c r="L79" s="19" t="s">
        <v>67</v>
      </c>
    </row>
    <row r="80" spans="1:12" s="1" customFormat="1">
      <c r="A80" s="15"/>
      <c r="B80" s="11" t="s">
        <v>816</v>
      </c>
      <c r="C80" s="11" t="s">
        <v>280</v>
      </c>
      <c r="D80" s="9" t="s">
        <v>839</v>
      </c>
      <c r="E80" s="16" t="s">
        <v>128</v>
      </c>
      <c r="F80" s="72"/>
      <c r="G80" s="17" t="s">
        <v>1088</v>
      </c>
      <c r="H80" s="18"/>
      <c r="I80" s="17"/>
      <c r="J80" s="19" t="s">
        <v>133</v>
      </c>
      <c r="K80" s="19" t="s">
        <v>202</v>
      </c>
      <c r="L80" s="19" t="s">
        <v>67</v>
      </c>
    </row>
    <row r="81" spans="1:12" s="1" customFormat="1">
      <c r="A81" s="15"/>
      <c r="B81" s="11" t="s">
        <v>817</v>
      </c>
      <c r="C81" s="11" t="s">
        <v>45</v>
      </c>
      <c r="D81" s="9" t="s">
        <v>658</v>
      </c>
      <c r="E81" s="16" t="s">
        <v>128</v>
      </c>
      <c r="F81" s="72"/>
      <c r="G81" s="17" t="s">
        <v>1089</v>
      </c>
      <c r="H81" s="18"/>
      <c r="I81" s="17"/>
      <c r="J81" s="19" t="s">
        <v>133</v>
      </c>
      <c r="K81" s="19" t="s">
        <v>44</v>
      </c>
      <c r="L81" s="19" t="s">
        <v>67</v>
      </c>
    </row>
    <row r="82" spans="1:12" s="1" customFormat="1">
      <c r="A82" s="15"/>
      <c r="B82" s="11" t="s">
        <v>818</v>
      </c>
      <c r="C82" s="11" t="s">
        <v>280</v>
      </c>
      <c r="D82" s="9" t="s">
        <v>842</v>
      </c>
      <c r="E82" s="16" t="s">
        <v>128</v>
      </c>
      <c r="F82" s="72"/>
      <c r="G82" s="17" t="s">
        <v>1091</v>
      </c>
      <c r="H82" s="18"/>
      <c r="I82" s="17"/>
      <c r="J82" s="19" t="s">
        <v>133</v>
      </c>
      <c r="K82" s="19" t="s">
        <v>202</v>
      </c>
      <c r="L82" s="19" t="s">
        <v>67</v>
      </c>
    </row>
    <row r="83" spans="1:12" s="1" customFormat="1">
      <c r="A83" s="15"/>
      <c r="B83" s="11" t="s">
        <v>819</v>
      </c>
      <c r="C83" s="11" t="s">
        <v>45</v>
      </c>
      <c r="D83" s="9" t="s">
        <v>660</v>
      </c>
      <c r="E83" s="16" t="s">
        <v>128</v>
      </c>
      <c r="F83" s="72"/>
      <c r="G83" s="17" t="s">
        <v>1092</v>
      </c>
      <c r="H83" s="18"/>
      <c r="I83" s="17"/>
      <c r="J83" s="19" t="s">
        <v>133</v>
      </c>
      <c r="K83" s="19" t="s">
        <v>44</v>
      </c>
      <c r="L83" s="19" t="s">
        <v>67</v>
      </c>
    </row>
    <row r="84" spans="1:12" s="1" customFormat="1">
      <c r="A84" s="15"/>
      <c r="B84" s="11" t="s">
        <v>2688</v>
      </c>
      <c r="C84" s="11" t="s">
        <v>2396</v>
      </c>
      <c r="D84" s="9" t="s">
        <v>2690</v>
      </c>
      <c r="E84" s="16" t="s">
        <v>128</v>
      </c>
      <c r="F84" s="72"/>
      <c r="G84" s="17" t="s">
        <v>2699</v>
      </c>
      <c r="H84" s="18"/>
      <c r="I84" s="17"/>
      <c r="J84" s="19" t="s">
        <v>133</v>
      </c>
      <c r="K84" s="19" t="s">
        <v>903</v>
      </c>
      <c r="L84" s="19" t="s">
        <v>134</v>
      </c>
    </row>
    <row r="85" spans="1:12" s="1" customFormat="1">
      <c r="A85" s="15"/>
      <c r="B85" s="11" t="s">
        <v>829</v>
      </c>
      <c r="C85" s="11" t="s">
        <v>280</v>
      </c>
      <c r="D85" s="9" t="s">
        <v>517</v>
      </c>
      <c r="E85" s="16" t="s">
        <v>128</v>
      </c>
      <c r="F85" s="72"/>
      <c r="G85" s="17" t="s">
        <v>2696</v>
      </c>
      <c r="H85" s="18"/>
      <c r="I85" s="17"/>
      <c r="J85" s="19" t="s">
        <v>133</v>
      </c>
      <c r="K85" s="19" t="s">
        <v>203</v>
      </c>
      <c r="L85" s="19" t="s">
        <v>67</v>
      </c>
    </row>
    <row r="86" spans="1:12" s="1" customFormat="1">
      <c r="A86" s="15"/>
      <c r="B86" s="11" t="s">
        <v>2689</v>
      </c>
      <c r="C86" s="11" t="s">
        <v>2396</v>
      </c>
      <c r="D86" s="9" t="s">
        <v>2692</v>
      </c>
      <c r="E86" s="16" t="s">
        <v>128</v>
      </c>
      <c r="F86" s="72"/>
      <c r="G86" s="17" t="s">
        <v>2700</v>
      </c>
      <c r="H86" s="18"/>
      <c r="I86" s="17"/>
      <c r="J86" s="19" t="s">
        <v>133</v>
      </c>
      <c r="K86" s="19" t="s">
        <v>903</v>
      </c>
      <c r="L86" s="19" t="s">
        <v>134</v>
      </c>
    </row>
    <row r="87" spans="1:12" s="1" customFormat="1">
      <c r="A87" s="15"/>
      <c r="B87" s="11" t="s">
        <v>799</v>
      </c>
      <c r="C87" s="11" t="s">
        <v>280</v>
      </c>
      <c r="D87" s="9" t="s">
        <v>2691</v>
      </c>
      <c r="E87" s="16" t="s">
        <v>128</v>
      </c>
      <c r="F87" s="72"/>
      <c r="G87" s="17" t="s">
        <v>2697</v>
      </c>
      <c r="H87" s="18"/>
      <c r="I87" s="17"/>
      <c r="J87" s="19" t="s">
        <v>133</v>
      </c>
      <c r="K87" s="19" t="s">
        <v>203</v>
      </c>
      <c r="L87" s="19" t="s">
        <v>67</v>
      </c>
    </row>
    <row r="88" spans="1:12" s="1" customFormat="1">
      <c r="A88" s="15"/>
      <c r="B88" s="11" t="s">
        <v>830</v>
      </c>
      <c r="C88" s="11" t="s">
        <v>45</v>
      </c>
      <c r="D88" s="9" t="s">
        <v>837</v>
      </c>
      <c r="E88" s="16" t="s">
        <v>128</v>
      </c>
      <c r="F88" s="72"/>
      <c r="G88" s="17" t="s">
        <v>1096</v>
      </c>
      <c r="H88" s="18"/>
      <c r="I88" s="17"/>
      <c r="J88" s="19" t="s">
        <v>133</v>
      </c>
      <c r="K88" s="19" t="s">
        <v>44</v>
      </c>
      <c r="L88" s="19" t="s">
        <v>67</v>
      </c>
    </row>
    <row r="89" spans="1:12" s="1" customFormat="1">
      <c r="A89" s="15"/>
      <c r="B89" s="11" t="s">
        <v>623</v>
      </c>
      <c r="C89" s="11" t="s">
        <v>280</v>
      </c>
      <c r="D89" s="9" t="s">
        <v>836</v>
      </c>
      <c r="E89" s="16" t="s">
        <v>128</v>
      </c>
      <c r="F89" s="72"/>
      <c r="G89" s="17" t="s">
        <v>1099</v>
      </c>
      <c r="H89" s="18"/>
      <c r="I89" s="17"/>
      <c r="J89" s="19" t="s">
        <v>133</v>
      </c>
      <c r="K89" s="19" t="s">
        <v>202</v>
      </c>
      <c r="L89" s="19" t="s">
        <v>67</v>
      </c>
    </row>
    <row r="90" spans="1:12" s="1" customFormat="1">
      <c r="A90" s="15"/>
      <c r="B90" s="11" t="s">
        <v>831</v>
      </c>
      <c r="C90" s="11" t="s">
        <v>45</v>
      </c>
      <c r="D90" s="9" t="s">
        <v>825</v>
      </c>
      <c r="E90" s="16" t="s">
        <v>128</v>
      </c>
      <c r="F90" s="72"/>
      <c r="G90" s="17" t="s">
        <v>2701</v>
      </c>
      <c r="H90" s="18"/>
      <c r="I90" s="17"/>
      <c r="J90" s="19" t="s">
        <v>133</v>
      </c>
      <c r="K90" s="19" t="s">
        <v>903</v>
      </c>
      <c r="L90" s="19" t="s">
        <v>67</v>
      </c>
    </row>
    <row r="91" spans="1:12" s="1" customFormat="1">
      <c r="A91" s="15"/>
      <c r="B91" s="11" t="s">
        <v>1098</v>
      </c>
      <c r="C91" s="11" t="s">
        <v>280</v>
      </c>
      <c r="D91" s="9" t="s">
        <v>826</v>
      </c>
      <c r="E91" s="16" t="s">
        <v>128</v>
      </c>
      <c r="F91" s="72"/>
      <c r="G91" s="17" t="s">
        <v>1101</v>
      </c>
      <c r="H91" s="18"/>
      <c r="I91" s="17"/>
      <c r="J91" s="19" t="s">
        <v>133</v>
      </c>
      <c r="K91" s="19" t="s">
        <v>202</v>
      </c>
      <c r="L91" s="19" t="s">
        <v>67</v>
      </c>
    </row>
    <row r="92" spans="1:12" s="1" customFormat="1">
      <c r="A92" s="15"/>
      <c r="B92" s="11" t="s">
        <v>535</v>
      </c>
      <c r="C92" s="11" t="s">
        <v>280</v>
      </c>
      <c r="D92" s="9" t="s">
        <v>534</v>
      </c>
      <c r="E92" s="16" t="s">
        <v>128</v>
      </c>
      <c r="F92" s="72"/>
      <c r="G92" s="17" t="s">
        <v>1103</v>
      </c>
      <c r="H92" s="18"/>
      <c r="I92" s="17"/>
      <c r="J92" s="19" t="s">
        <v>133</v>
      </c>
      <c r="K92" s="19" t="s">
        <v>202</v>
      </c>
      <c r="L92" s="19" t="s">
        <v>67</v>
      </c>
    </row>
    <row r="93" spans="1:12" s="1" customFormat="1">
      <c r="A93" s="15"/>
      <c r="B93" s="11" t="s">
        <v>848</v>
      </c>
      <c r="C93" s="11" t="s">
        <v>45</v>
      </c>
      <c r="D93" s="9" t="s">
        <v>850</v>
      </c>
      <c r="E93" s="16" t="s">
        <v>128</v>
      </c>
      <c r="F93" s="72"/>
      <c r="G93" s="17" t="s">
        <v>2702</v>
      </c>
      <c r="H93" s="18"/>
      <c r="I93" s="17"/>
      <c r="J93" s="19" t="s">
        <v>133</v>
      </c>
      <c r="K93" s="19" t="s">
        <v>903</v>
      </c>
      <c r="L93" s="19" t="s">
        <v>67</v>
      </c>
    </row>
    <row r="94" spans="1:12" s="1" customFormat="1">
      <c r="A94" s="15"/>
      <c r="B94" s="11" t="s">
        <v>849</v>
      </c>
      <c r="C94" s="11" t="s">
        <v>45</v>
      </c>
      <c r="D94" s="9" t="s">
        <v>116</v>
      </c>
      <c r="E94" s="16" t="s">
        <v>128</v>
      </c>
      <c r="F94" s="72"/>
      <c r="G94" s="17" t="s">
        <v>2703</v>
      </c>
      <c r="H94" s="18"/>
      <c r="I94" s="17"/>
      <c r="J94" s="19" t="s">
        <v>133</v>
      </c>
      <c r="K94" s="19" t="s">
        <v>903</v>
      </c>
      <c r="L94" s="19" t="s">
        <v>67</v>
      </c>
    </row>
    <row r="95" spans="1:12" s="1" customFormat="1">
      <c r="A95" s="15"/>
      <c r="B95" s="11" t="s">
        <v>855</v>
      </c>
      <c r="C95" s="11" t="s">
        <v>280</v>
      </c>
      <c r="D95" s="9" t="s">
        <v>502</v>
      </c>
      <c r="E95" s="16" t="s">
        <v>128</v>
      </c>
      <c r="F95" s="72"/>
      <c r="G95" s="17" t="s">
        <v>1107</v>
      </c>
      <c r="H95" s="18"/>
      <c r="I95" s="17"/>
      <c r="J95" s="19" t="s">
        <v>133</v>
      </c>
      <c r="K95" s="19" t="s">
        <v>202</v>
      </c>
      <c r="L95" s="19" t="s">
        <v>67</v>
      </c>
    </row>
    <row r="96" spans="1:12" s="1" customFormat="1">
      <c r="A96" s="15"/>
      <c r="B96" s="11" t="s">
        <v>856</v>
      </c>
      <c r="C96" s="11" t="s">
        <v>45</v>
      </c>
      <c r="D96" s="9" t="s">
        <v>857</v>
      </c>
      <c r="E96" s="16" t="s">
        <v>128</v>
      </c>
      <c r="F96" s="72"/>
      <c r="G96" s="17" t="s">
        <v>2704</v>
      </c>
      <c r="H96" s="18"/>
      <c r="I96" s="17"/>
      <c r="J96" s="19" t="s">
        <v>133</v>
      </c>
      <c r="K96" s="19" t="s">
        <v>903</v>
      </c>
      <c r="L96" s="19" t="s">
        <v>67</v>
      </c>
    </row>
    <row r="97" spans="1:17" s="1" customFormat="1">
      <c r="A97" s="15"/>
      <c r="B97" s="11" t="s">
        <v>315</v>
      </c>
      <c r="C97" s="11" t="s">
        <v>45</v>
      </c>
      <c r="D97" s="9" t="s">
        <v>112</v>
      </c>
      <c r="E97" s="16" t="s">
        <v>128</v>
      </c>
      <c r="F97" s="72"/>
      <c r="G97" s="17" t="s">
        <v>1145</v>
      </c>
      <c r="H97" s="18"/>
      <c r="I97" s="17"/>
      <c r="J97" s="19" t="s">
        <v>133</v>
      </c>
      <c r="K97" s="19" t="s">
        <v>44</v>
      </c>
      <c r="L97" s="19" t="s">
        <v>67</v>
      </c>
    </row>
    <row r="98" spans="1:17" s="3" customFormat="1">
      <c r="B98" s="23" t="s">
        <v>47</v>
      </c>
      <c r="C98" s="24" t="s">
        <v>46</v>
      </c>
      <c r="D98" s="21" t="s">
        <v>48</v>
      </c>
      <c r="E98" s="44"/>
      <c r="F98" s="44"/>
      <c r="G98" s="44" t="s">
        <v>282</v>
      </c>
      <c r="H98" s="23" t="s">
        <v>282</v>
      </c>
      <c r="I98" s="23"/>
      <c r="J98" s="23"/>
      <c r="K98" s="23"/>
      <c r="L98" s="23"/>
      <c r="M98" s="23"/>
      <c r="N98" s="23"/>
      <c r="O98" s="23"/>
      <c r="P98" s="23"/>
      <c r="Q98" s="23"/>
    </row>
    <row r="99" spans="1:17" s="3" customFormat="1">
      <c r="B99" s="23" t="s">
        <v>49</v>
      </c>
      <c r="C99" s="24" t="s">
        <v>43</v>
      </c>
      <c r="D99" s="21" t="s">
        <v>50</v>
      </c>
      <c r="E99" s="44"/>
      <c r="F99" s="44"/>
      <c r="G99" s="44" t="s">
        <v>282</v>
      </c>
      <c r="H99" s="23" t="s">
        <v>282</v>
      </c>
      <c r="I99" s="23"/>
      <c r="J99" s="23"/>
      <c r="K99" s="23"/>
      <c r="L99" s="23"/>
      <c r="M99" s="23"/>
      <c r="N99" s="23"/>
      <c r="O99" s="23"/>
      <c r="P99" s="23"/>
      <c r="Q99" s="23"/>
    </row>
  </sheetData>
  <autoFilter ref="A13:Q99" xr:uid="{E16EFA29-E820-4A10-98BC-CF6E577605DD}"/>
  <mergeCells count="4">
    <mergeCell ref="B2:H2"/>
    <mergeCell ref="B3:H3"/>
    <mergeCell ref="B7:H7"/>
    <mergeCell ref="B12:L12"/>
  </mergeCells>
  <phoneticPr fontId="16" type="noConversion"/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6ECA-B991-4A69-8076-9F9FD73C465C}">
  <dimension ref="A1:Q42"/>
  <sheetViews>
    <sheetView zoomScale="85" zoomScaleNormal="85" workbookViewId="0">
      <pane ySplit="5" topLeftCell="A6" activePane="bottomLeft" state="frozen"/>
      <selection activeCell="H43" sqref="H43"/>
      <selection pane="bottomLeft" activeCell="G13" sqref="G13"/>
    </sheetView>
  </sheetViews>
  <sheetFormatPr defaultColWidth="9" defaultRowHeight="13.2"/>
  <cols>
    <col min="1" max="1" width="1.33203125" style="4" customWidth="1"/>
    <col min="2" max="2" width="36.109375" style="4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5">
      <c r="B1" s="5" t="str">
        <f>HYPERLINK("#导航!a2","返回")</f>
        <v>返回</v>
      </c>
    </row>
    <row r="2" spans="2:15">
      <c r="B2" s="128"/>
      <c r="C2" s="128"/>
      <c r="D2" s="128"/>
      <c r="E2" s="128"/>
      <c r="F2" s="128"/>
      <c r="G2" s="128"/>
      <c r="H2" s="128"/>
    </row>
    <row r="3" spans="2:15">
      <c r="B3" s="124" t="s">
        <v>18</v>
      </c>
      <c r="C3" s="124"/>
      <c r="D3" s="124"/>
      <c r="E3" s="124"/>
      <c r="F3" s="124"/>
      <c r="G3" s="124"/>
      <c r="H3" s="124"/>
    </row>
    <row r="4" spans="2:15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5">
      <c r="B5" s="8" t="s">
        <v>2747</v>
      </c>
      <c r="C5" s="9" t="s">
        <v>2862</v>
      </c>
      <c r="D5" s="10" t="s">
        <v>2868</v>
      </c>
      <c r="E5" s="11" t="s">
        <v>91</v>
      </c>
      <c r="F5" s="42"/>
      <c r="G5" s="11"/>
      <c r="H5" s="11"/>
      <c r="N5" s="4"/>
    </row>
    <row r="6" spans="2:15">
      <c r="B6" s="6"/>
      <c r="C6" s="6"/>
      <c r="D6" s="6"/>
      <c r="E6" s="6"/>
      <c r="F6" s="43"/>
      <c r="G6" s="43"/>
      <c r="H6" s="6"/>
    </row>
    <row r="7" spans="2:15">
      <c r="B7" s="124" t="s">
        <v>25</v>
      </c>
      <c r="C7" s="124"/>
      <c r="D7" s="124"/>
      <c r="E7" s="124"/>
      <c r="F7" s="124"/>
      <c r="G7" s="124"/>
      <c r="H7" s="124"/>
    </row>
    <row r="8" spans="2:15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5">
      <c r="B9" s="11"/>
      <c r="C9" s="9" t="s">
        <v>2871</v>
      </c>
      <c r="D9" s="10" t="s">
        <v>2748</v>
      </c>
      <c r="E9" s="11" t="s">
        <v>55</v>
      </c>
      <c r="F9" s="17"/>
      <c r="G9" s="17"/>
      <c r="H9" s="14" t="s">
        <v>17</v>
      </c>
    </row>
    <row r="10" spans="2:15">
      <c r="B10" s="11"/>
      <c r="C10" s="9" t="s">
        <v>2872</v>
      </c>
      <c r="D10" s="10" t="s">
        <v>2749</v>
      </c>
      <c r="E10" s="11" t="s">
        <v>256</v>
      </c>
      <c r="F10" s="17"/>
      <c r="G10" s="17" t="s">
        <v>1817</v>
      </c>
      <c r="H10" s="14"/>
    </row>
    <row r="11" spans="2:15" ht="13.8">
      <c r="B11" s="11"/>
      <c r="C11" s="9" t="s">
        <v>2873</v>
      </c>
      <c r="D11" s="10" t="s">
        <v>2750</v>
      </c>
      <c r="E11" s="11" t="s">
        <v>993</v>
      </c>
      <c r="F11" s="17"/>
      <c r="G11" s="17" t="s">
        <v>1817</v>
      </c>
      <c r="H11" s="14"/>
      <c r="J11" s="2"/>
      <c r="K11" s="116"/>
      <c r="L11" s="116"/>
      <c r="M11" s="116"/>
      <c r="N11" s="116"/>
      <c r="O11" s="116"/>
    </row>
    <row r="12" spans="2:15">
      <c r="B12" s="11"/>
      <c r="C12" s="9" t="s">
        <v>1977</v>
      </c>
      <c r="D12" s="82" t="s">
        <v>1978</v>
      </c>
      <c r="E12" s="11" t="s">
        <v>2751</v>
      </c>
      <c r="F12" s="17"/>
      <c r="G12" s="17" t="s">
        <v>1817</v>
      </c>
      <c r="H12" s="14"/>
    </row>
    <row r="13" spans="2:15">
      <c r="B13" s="11"/>
      <c r="C13" s="9" t="s">
        <v>2869</v>
      </c>
      <c r="D13" s="10" t="s">
        <v>2870</v>
      </c>
      <c r="E13" s="11" t="s">
        <v>2752</v>
      </c>
      <c r="F13" s="17"/>
      <c r="G13" s="17" t="s">
        <v>1817</v>
      </c>
      <c r="H13" s="14"/>
    </row>
    <row r="14" spans="2:15">
      <c r="B14" s="11"/>
      <c r="C14" s="26" t="s">
        <v>2453</v>
      </c>
      <c r="D14" s="9" t="s">
        <v>2454</v>
      </c>
      <c r="E14" s="11" t="s">
        <v>2753</v>
      </c>
      <c r="F14" s="17"/>
      <c r="G14" s="17" t="s">
        <v>1817</v>
      </c>
      <c r="H14" s="14"/>
    </row>
    <row r="15" spans="2:15">
      <c r="B15" s="11"/>
      <c r="C15" s="9"/>
      <c r="D15" s="10"/>
      <c r="E15" s="11"/>
      <c r="F15" s="17"/>
      <c r="G15" s="17"/>
      <c r="H15" s="14"/>
    </row>
    <row r="16" spans="2:15">
      <c r="B16" s="11"/>
      <c r="C16" s="9"/>
      <c r="D16" s="10"/>
      <c r="E16" s="11"/>
      <c r="F16" s="17"/>
      <c r="G16" s="17"/>
      <c r="H16" s="14"/>
    </row>
    <row r="17" spans="2:12">
      <c r="B17" s="11"/>
      <c r="C17" s="9"/>
      <c r="D17" s="10"/>
      <c r="E17" s="11"/>
      <c r="F17" s="17"/>
      <c r="G17" s="17"/>
      <c r="H17" s="14"/>
    </row>
    <row r="18" spans="2:12">
      <c r="B18" s="4" t="s">
        <v>32</v>
      </c>
    </row>
    <row r="19" spans="2:12">
      <c r="B19" s="124" t="s">
        <v>32</v>
      </c>
      <c r="C19" s="124"/>
      <c r="D19" s="124"/>
      <c r="E19" s="124"/>
      <c r="F19" s="124"/>
      <c r="G19" s="124"/>
      <c r="H19" s="124"/>
      <c r="I19" s="124"/>
      <c r="J19" s="124"/>
      <c r="K19" s="124"/>
      <c r="L19" s="124"/>
    </row>
    <row r="20" spans="2:12">
      <c r="B20" s="7" t="s">
        <v>33</v>
      </c>
      <c r="C20" s="7" t="s">
        <v>34</v>
      </c>
      <c r="D20" s="7" t="s">
        <v>35</v>
      </c>
      <c r="E20" s="7" t="s">
        <v>36</v>
      </c>
      <c r="F20" s="12" t="s">
        <v>37</v>
      </c>
      <c r="G20" s="12" t="s">
        <v>38</v>
      </c>
      <c r="H20" s="7" t="s">
        <v>39</v>
      </c>
      <c r="I20" s="7" t="s">
        <v>14</v>
      </c>
      <c r="J20" s="7" t="s">
        <v>40</v>
      </c>
      <c r="K20" s="7" t="s">
        <v>41</v>
      </c>
      <c r="L20" s="7" t="s">
        <v>42</v>
      </c>
    </row>
    <row r="21" spans="2:12" s="1" customFormat="1" ht="79.2">
      <c r="B21" s="22" t="s">
        <v>1300</v>
      </c>
      <c r="C21" s="22" t="s">
        <v>43</v>
      </c>
      <c r="D21" s="9" t="s">
        <v>57</v>
      </c>
      <c r="E21" s="16" t="s">
        <v>2754</v>
      </c>
      <c r="F21" s="17"/>
      <c r="G21" s="84" t="s">
        <v>2876</v>
      </c>
      <c r="H21" s="18" t="str">
        <f>_xlfn.CONCAT(",",F21," as ",B21)</f>
        <v>, as supi</v>
      </c>
      <c r="I21" s="19"/>
      <c r="J21" s="19" t="s">
        <v>60</v>
      </c>
      <c r="K21" s="19" t="s">
        <v>44</v>
      </c>
      <c r="L21" s="19" t="s">
        <v>44</v>
      </c>
    </row>
    <row r="22" spans="2:12" s="1" customFormat="1" ht="79.2">
      <c r="B22" s="22" t="s">
        <v>58</v>
      </c>
      <c r="C22" s="22" t="s">
        <v>43</v>
      </c>
      <c r="D22" s="9" t="s">
        <v>59</v>
      </c>
      <c r="E22" s="16" t="s">
        <v>2754</v>
      </c>
      <c r="F22" s="17"/>
      <c r="G22" s="84" t="s">
        <v>2875</v>
      </c>
      <c r="H22" s="18" t="str">
        <f t="shared" ref="H22:H39" si="0">_xlfn.CONCAT(",",F22," as ",B22)</f>
        <v>, as msisdn</v>
      </c>
      <c r="I22" s="19"/>
      <c r="J22" s="19" t="s">
        <v>60</v>
      </c>
      <c r="K22" s="19" t="s">
        <v>44</v>
      </c>
      <c r="L22" s="19" t="s">
        <v>44</v>
      </c>
    </row>
    <row r="23" spans="2:12" s="1" customFormat="1" ht="79.2">
      <c r="B23" s="22" t="s">
        <v>82</v>
      </c>
      <c r="C23" s="22" t="s">
        <v>43</v>
      </c>
      <c r="D23" s="9" t="s">
        <v>2755</v>
      </c>
      <c r="E23" s="16" t="s">
        <v>2754</v>
      </c>
      <c r="F23" s="17"/>
      <c r="G23" s="84" t="s">
        <v>2874</v>
      </c>
      <c r="H23" s="18" t="str">
        <f t="shared" si="0"/>
        <v>, as pei</v>
      </c>
      <c r="I23" s="19"/>
      <c r="J23" s="19" t="s">
        <v>60</v>
      </c>
      <c r="K23" s="19" t="s">
        <v>44</v>
      </c>
      <c r="L23" s="19" t="s">
        <v>44</v>
      </c>
    </row>
    <row r="24" spans="2:12" s="1" customFormat="1" ht="79.2">
      <c r="B24" s="22" t="s">
        <v>255</v>
      </c>
      <c r="C24" s="22" t="s">
        <v>45</v>
      </c>
      <c r="D24" s="9" t="s">
        <v>2756</v>
      </c>
      <c r="E24" s="16" t="s">
        <v>2754</v>
      </c>
      <c r="F24" s="17"/>
      <c r="G24" s="84" t="s">
        <v>2877</v>
      </c>
      <c r="H24" s="18" t="str">
        <f t="shared" si="0"/>
        <v>, as duration</v>
      </c>
      <c r="I24" s="19"/>
      <c r="J24" s="19" t="s">
        <v>1186</v>
      </c>
      <c r="K24" s="19" t="s">
        <v>202</v>
      </c>
      <c r="L24" s="19" t="s">
        <v>2757</v>
      </c>
    </row>
    <row r="25" spans="2:12" s="1" customFormat="1" ht="79.2">
      <c r="B25" s="22" t="s">
        <v>349</v>
      </c>
      <c r="C25" s="22" t="s">
        <v>45</v>
      </c>
      <c r="D25" s="9" t="s">
        <v>2758</v>
      </c>
      <c r="E25" s="16" t="s">
        <v>2754</v>
      </c>
      <c r="F25" s="17"/>
      <c r="G25" s="84" t="s">
        <v>2878</v>
      </c>
      <c r="H25" s="18" t="str">
        <f t="shared" si="0"/>
        <v>, as inputoctets</v>
      </c>
      <c r="I25" s="19"/>
      <c r="J25" s="19" t="s">
        <v>1186</v>
      </c>
      <c r="K25" s="19" t="s">
        <v>204</v>
      </c>
      <c r="L25" s="19" t="s">
        <v>2757</v>
      </c>
    </row>
    <row r="26" spans="2:12" s="1" customFormat="1" ht="79.2">
      <c r="B26" s="22" t="s">
        <v>351</v>
      </c>
      <c r="C26" s="22" t="s">
        <v>45</v>
      </c>
      <c r="D26" s="9" t="s">
        <v>2759</v>
      </c>
      <c r="E26" s="16" t="s">
        <v>2754</v>
      </c>
      <c r="F26" s="17"/>
      <c r="G26" s="84" t="s">
        <v>2879</v>
      </c>
      <c r="H26" s="18" t="str">
        <f t="shared" si="0"/>
        <v>, as outputoctets</v>
      </c>
      <c r="I26" s="19"/>
      <c r="J26" s="19" t="s">
        <v>1186</v>
      </c>
      <c r="K26" s="19" t="s">
        <v>204</v>
      </c>
      <c r="L26" s="19" t="s">
        <v>2757</v>
      </c>
    </row>
    <row r="27" spans="2:12" s="1" customFormat="1" ht="79.2">
      <c r="B27" s="22" t="s">
        <v>87</v>
      </c>
      <c r="C27" s="22" t="s">
        <v>43</v>
      </c>
      <c r="D27" s="9" t="s">
        <v>2760</v>
      </c>
      <c r="E27" s="16" t="s">
        <v>2754</v>
      </c>
      <c r="F27" s="17"/>
      <c r="G27" s="84" t="s">
        <v>2880</v>
      </c>
      <c r="H27" s="18" t="str">
        <f t="shared" si="0"/>
        <v>, as home_province</v>
      </c>
      <c r="I27" s="19"/>
      <c r="J27" s="19" t="s">
        <v>60</v>
      </c>
      <c r="K27" s="19" t="s">
        <v>44</v>
      </c>
      <c r="L27" s="19" t="s">
        <v>2761</v>
      </c>
    </row>
    <row r="28" spans="2:12" s="1" customFormat="1" ht="79.2">
      <c r="B28" s="22" t="s">
        <v>2762</v>
      </c>
      <c r="C28" s="22" t="s">
        <v>43</v>
      </c>
      <c r="D28" s="9" t="s">
        <v>2763</v>
      </c>
      <c r="E28" s="16" t="s">
        <v>2754</v>
      </c>
      <c r="F28" s="17"/>
      <c r="G28" s="84" t="s">
        <v>2881</v>
      </c>
      <c r="H28" s="18" t="str">
        <f t="shared" si="0"/>
        <v>, as ncgi</v>
      </c>
      <c r="I28" s="19"/>
      <c r="J28" s="19" t="s">
        <v>60</v>
      </c>
      <c r="K28" s="19" t="s">
        <v>44</v>
      </c>
      <c r="L28" s="19" t="s">
        <v>44</v>
      </c>
    </row>
    <row r="29" spans="2:12" s="1" customFormat="1" ht="79.2">
      <c r="B29" s="22" t="s">
        <v>95</v>
      </c>
      <c r="C29" s="22" t="s">
        <v>43</v>
      </c>
      <c r="D29" s="9" t="s">
        <v>1178</v>
      </c>
      <c r="E29" s="16" t="s">
        <v>2754</v>
      </c>
      <c r="F29" s="17"/>
      <c r="G29" s="84" t="s">
        <v>2882</v>
      </c>
      <c r="H29" s="18" t="str">
        <f t="shared" si="0"/>
        <v>, as cellkey</v>
      </c>
      <c r="I29" s="19"/>
      <c r="J29" s="19" t="s">
        <v>60</v>
      </c>
      <c r="K29" s="19" t="s">
        <v>44</v>
      </c>
      <c r="L29" s="19" t="s">
        <v>44</v>
      </c>
    </row>
    <row r="30" spans="2:12" s="1" customFormat="1" ht="79.2">
      <c r="B30" s="22" t="s">
        <v>2764</v>
      </c>
      <c r="C30" s="22" t="s">
        <v>45</v>
      </c>
      <c r="D30" s="9" t="s">
        <v>2765</v>
      </c>
      <c r="E30" s="16" t="s">
        <v>2754</v>
      </c>
      <c r="F30" s="17"/>
      <c r="G30" s="84" t="s">
        <v>2884</v>
      </c>
      <c r="H30" s="18" t="str">
        <f t="shared" si="0"/>
        <v>, as records</v>
      </c>
      <c r="I30" s="19"/>
      <c r="J30" s="19" t="s">
        <v>1186</v>
      </c>
      <c r="K30" s="19" t="s">
        <v>1640</v>
      </c>
      <c r="L30" s="19" t="s">
        <v>67</v>
      </c>
    </row>
    <row r="31" spans="2:12" s="1" customFormat="1" ht="79.2">
      <c r="B31" s="22" t="s">
        <v>1068</v>
      </c>
      <c r="C31" s="22" t="s">
        <v>46</v>
      </c>
      <c r="D31" s="13" t="s">
        <v>1267</v>
      </c>
      <c r="E31" s="16" t="s">
        <v>2754</v>
      </c>
      <c r="F31" s="17"/>
      <c r="G31" s="84" t="s">
        <v>2885</v>
      </c>
      <c r="H31" s="18" t="str">
        <f t="shared" si="0"/>
        <v>, as provincecode</v>
      </c>
      <c r="I31" s="19"/>
      <c r="J31" s="19" t="s">
        <v>60</v>
      </c>
      <c r="K31" s="19" t="s">
        <v>44</v>
      </c>
      <c r="L31" s="19" t="s">
        <v>2761</v>
      </c>
    </row>
    <row r="32" spans="2:12" s="1" customFormat="1" ht="79.2">
      <c r="B32" s="22" t="s">
        <v>64</v>
      </c>
      <c r="C32" s="22" t="s">
        <v>43</v>
      </c>
      <c r="D32" s="9" t="s">
        <v>63</v>
      </c>
      <c r="E32" s="16" t="s">
        <v>2754</v>
      </c>
      <c r="F32" s="17"/>
      <c r="G32" s="84" t="s">
        <v>2886</v>
      </c>
      <c r="H32" s="18" t="str">
        <f t="shared" si="0"/>
        <v>, as province</v>
      </c>
      <c r="I32" s="19"/>
      <c r="J32" s="19" t="s">
        <v>60</v>
      </c>
      <c r="K32" s="19" t="s">
        <v>44</v>
      </c>
      <c r="L32" s="19" t="s">
        <v>44</v>
      </c>
    </row>
    <row r="33" spans="2:17" s="1" customFormat="1" ht="79.2">
      <c r="B33" s="22" t="s">
        <v>61</v>
      </c>
      <c r="C33" s="22" t="s">
        <v>46</v>
      </c>
      <c r="D33" s="9" t="s">
        <v>1796</v>
      </c>
      <c r="E33" s="16" t="s">
        <v>2754</v>
      </c>
      <c r="F33" s="17"/>
      <c r="G33" s="84" t="s">
        <v>2887</v>
      </c>
      <c r="H33" s="18" t="str">
        <f t="shared" si="0"/>
        <v>, as citycode</v>
      </c>
      <c r="I33" s="19"/>
      <c r="J33" s="19" t="s">
        <v>60</v>
      </c>
      <c r="K33" s="19" t="s">
        <v>44</v>
      </c>
      <c r="L33" s="19" t="s">
        <v>2761</v>
      </c>
    </row>
    <row r="34" spans="2:17" s="1" customFormat="1" ht="79.2">
      <c r="B34" s="22" t="s">
        <v>65</v>
      </c>
      <c r="C34" s="22" t="s">
        <v>43</v>
      </c>
      <c r="D34" s="9" t="s">
        <v>1797</v>
      </c>
      <c r="E34" s="16" t="s">
        <v>2754</v>
      </c>
      <c r="F34" s="17"/>
      <c r="G34" s="84" t="s">
        <v>2888</v>
      </c>
      <c r="H34" s="18" t="str">
        <f t="shared" si="0"/>
        <v>, as city</v>
      </c>
      <c r="I34" s="19"/>
      <c r="J34" s="19" t="s">
        <v>60</v>
      </c>
      <c r="K34" s="19" t="s">
        <v>44</v>
      </c>
      <c r="L34" s="19" t="s">
        <v>44</v>
      </c>
    </row>
    <row r="35" spans="2:17" s="1" customFormat="1" ht="79.2">
      <c r="B35" s="22" t="s">
        <v>62</v>
      </c>
      <c r="C35" s="62" t="s">
        <v>46</v>
      </c>
      <c r="D35" s="9" t="s">
        <v>1268</v>
      </c>
      <c r="E35" s="16" t="s">
        <v>2754</v>
      </c>
      <c r="F35" s="17"/>
      <c r="G35" s="84" t="s">
        <v>2890</v>
      </c>
      <c r="H35" s="18" t="str">
        <f t="shared" si="0"/>
        <v>, as districtcode</v>
      </c>
      <c r="I35" s="19"/>
      <c r="J35" s="19" t="s">
        <v>60</v>
      </c>
      <c r="K35" s="19" t="s">
        <v>44</v>
      </c>
      <c r="L35" s="19" t="s">
        <v>2761</v>
      </c>
    </row>
    <row r="36" spans="2:17" s="1" customFormat="1" ht="79.2">
      <c r="B36" s="22" t="s">
        <v>66</v>
      </c>
      <c r="C36" s="62" t="s">
        <v>43</v>
      </c>
      <c r="D36" s="9" t="s">
        <v>68</v>
      </c>
      <c r="E36" s="16" t="s">
        <v>2754</v>
      </c>
      <c r="F36" s="17"/>
      <c r="G36" s="84" t="s">
        <v>2889</v>
      </c>
      <c r="H36" s="18" t="str">
        <f t="shared" si="0"/>
        <v>, as district</v>
      </c>
      <c r="I36" s="19"/>
      <c r="J36" s="19" t="s">
        <v>60</v>
      </c>
      <c r="K36" s="19" t="s">
        <v>44</v>
      </c>
      <c r="L36" s="19" t="s">
        <v>44</v>
      </c>
    </row>
    <row r="37" spans="2:17" s="1" customFormat="1" ht="79.2">
      <c r="B37" s="22" t="s">
        <v>2766</v>
      </c>
      <c r="C37" s="62" t="s">
        <v>43</v>
      </c>
      <c r="D37" s="9" t="s">
        <v>2767</v>
      </c>
      <c r="E37" s="16" t="s">
        <v>2754</v>
      </c>
      <c r="F37" s="17"/>
      <c r="G37" s="84" t="s">
        <v>2891</v>
      </c>
      <c r="H37" s="18" t="str">
        <f t="shared" si="0"/>
        <v>, as data_type</v>
      </c>
      <c r="I37" s="19"/>
      <c r="J37" s="19" t="s">
        <v>60</v>
      </c>
      <c r="K37" s="19" t="s">
        <v>44</v>
      </c>
      <c r="L37" s="19" t="s">
        <v>44</v>
      </c>
    </row>
    <row r="38" spans="2:17" s="1" customFormat="1" ht="79.2">
      <c r="B38" s="22" t="s">
        <v>2768</v>
      </c>
      <c r="C38" s="22" t="s">
        <v>45</v>
      </c>
      <c r="D38" s="9" t="s">
        <v>2769</v>
      </c>
      <c r="E38" s="16" t="s">
        <v>2754</v>
      </c>
      <c r="F38" s="17"/>
      <c r="G38" s="84" t="s">
        <v>2892</v>
      </c>
      <c r="H38" s="18" t="str">
        <f t="shared" si="0"/>
        <v>, as tac</v>
      </c>
      <c r="I38" s="19"/>
      <c r="J38" s="19" t="s">
        <v>60</v>
      </c>
      <c r="K38" s="19" t="s">
        <v>44</v>
      </c>
      <c r="L38" s="19" t="s">
        <v>2237</v>
      </c>
    </row>
    <row r="39" spans="2:17" s="1" customFormat="1" ht="79.2">
      <c r="B39" s="22" t="s">
        <v>2770</v>
      </c>
      <c r="C39" s="62" t="s">
        <v>43</v>
      </c>
      <c r="D39" s="9" t="s">
        <v>2771</v>
      </c>
      <c r="E39" s="16" t="s">
        <v>2754</v>
      </c>
      <c r="F39" s="17"/>
      <c r="G39" s="84" t="s">
        <v>2894</v>
      </c>
      <c r="H39" s="18" t="str">
        <f t="shared" si="0"/>
        <v>, as gnb_ip_add</v>
      </c>
      <c r="I39" s="19"/>
      <c r="J39" s="19" t="s">
        <v>60</v>
      </c>
      <c r="K39" s="19" t="s">
        <v>44</v>
      </c>
      <c r="L39" s="19" t="s">
        <v>44</v>
      </c>
    </row>
    <row r="40" spans="2:17" s="3" customFormat="1">
      <c r="B40" s="23" t="s">
        <v>47</v>
      </c>
      <c r="C40" s="24" t="s">
        <v>46</v>
      </c>
      <c r="D40" s="21" t="s">
        <v>48</v>
      </c>
      <c r="E40" s="44"/>
      <c r="F40" s="44"/>
      <c r="G40" s="44" t="s">
        <v>282</v>
      </c>
      <c r="H40" s="44"/>
      <c r="I40" s="23"/>
      <c r="J40" s="23"/>
      <c r="K40" s="23"/>
      <c r="L40" s="23"/>
      <c r="M40" s="23"/>
      <c r="N40" s="23"/>
      <c r="O40" s="23"/>
      <c r="P40" s="23"/>
      <c r="Q40" s="23"/>
    </row>
    <row r="41" spans="2:17" s="3" customFormat="1">
      <c r="B41" s="23" t="s">
        <v>49</v>
      </c>
      <c r="C41" s="24" t="s">
        <v>43</v>
      </c>
      <c r="D41" s="21" t="s">
        <v>50</v>
      </c>
      <c r="E41" s="44"/>
      <c r="F41" s="44"/>
      <c r="G41" s="44" t="s">
        <v>282</v>
      </c>
      <c r="H41" s="44"/>
      <c r="I41" s="23"/>
      <c r="J41" s="23"/>
      <c r="K41" s="23"/>
      <c r="L41" s="23"/>
      <c r="M41" s="23"/>
      <c r="N41" s="23"/>
      <c r="O41" s="23"/>
      <c r="P41" s="23"/>
      <c r="Q41" s="23"/>
    </row>
    <row r="42" spans="2:17" s="3" customFormat="1">
      <c r="B42" s="23" t="s">
        <v>51</v>
      </c>
      <c r="C42" s="24" t="s">
        <v>46</v>
      </c>
      <c r="D42" s="21" t="s">
        <v>52</v>
      </c>
      <c r="E42" s="44"/>
      <c r="F42" s="44"/>
      <c r="G42" s="44" t="s">
        <v>282</v>
      </c>
      <c r="H42" s="44"/>
      <c r="I42" s="23"/>
      <c r="J42" s="23"/>
      <c r="K42" s="23"/>
      <c r="L42" s="23"/>
      <c r="M42" s="23"/>
      <c r="N42" s="23"/>
      <c r="O42" s="23"/>
      <c r="P42" s="23"/>
      <c r="Q42" s="23"/>
    </row>
  </sheetData>
  <mergeCells count="4">
    <mergeCell ref="B2:H2"/>
    <mergeCell ref="B3:H3"/>
    <mergeCell ref="B7:H7"/>
    <mergeCell ref="B19:L19"/>
  </mergeCells>
  <phoneticPr fontId="16" type="noConversion"/>
  <pageMargins left="0.7" right="0.7" top="0.75" bottom="0.75" header="0.3" footer="0.3"/>
  <pageSetup paperSize="9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5B86-3FFB-4EEE-B291-125D855CC82A}">
  <dimension ref="A1:Q25"/>
  <sheetViews>
    <sheetView zoomScale="85" zoomScaleNormal="85" workbookViewId="0">
      <pane ySplit="5" topLeftCell="A6" activePane="bottomLeft" state="frozen"/>
      <selection activeCell="B29" sqref="B29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2747</v>
      </c>
      <c r="C5" s="9" t="s">
        <v>2741</v>
      </c>
      <c r="D5" s="10" t="s">
        <v>2742</v>
      </c>
      <c r="E5" s="11" t="s">
        <v>1168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2862</v>
      </c>
      <c r="D9" s="10" t="s">
        <v>2740</v>
      </c>
      <c r="E9" s="11" t="s">
        <v>55</v>
      </c>
      <c r="F9" s="17"/>
      <c r="G9" s="17" t="s">
        <v>2772</v>
      </c>
      <c r="H9" s="14" t="s">
        <v>17</v>
      </c>
    </row>
    <row r="10" spans="2:14">
      <c r="B10" s="11"/>
      <c r="C10" s="9"/>
      <c r="D10" s="10"/>
      <c r="E10" s="11"/>
      <c r="F10" s="17"/>
      <c r="G10" s="17"/>
      <c r="H10" s="14"/>
    </row>
    <row r="11" spans="2:14">
      <c r="B11" s="11"/>
      <c r="C11" s="9"/>
      <c r="D11" s="10"/>
      <c r="E11" s="11"/>
      <c r="F11" s="17"/>
      <c r="G11" s="17"/>
      <c r="H11" s="14"/>
    </row>
    <row r="12" spans="2:14">
      <c r="B12" s="11"/>
      <c r="C12" s="9"/>
      <c r="D12" s="10"/>
      <c r="E12" s="11"/>
      <c r="F12" s="17"/>
      <c r="G12" s="17"/>
      <c r="H12" s="14"/>
    </row>
    <row r="13" spans="2:14">
      <c r="B13" s="4" t="s">
        <v>32</v>
      </c>
    </row>
    <row r="14" spans="2:14">
      <c r="B14" s="124" t="s">
        <v>32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5" spans="2:14">
      <c r="B15" s="7" t="s">
        <v>33</v>
      </c>
      <c r="C15" s="7" t="s">
        <v>34</v>
      </c>
      <c r="D15" s="7" t="s">
        <v>35</v>
      </c>
      <c r="E15" s="7" t="s">
        <v>36</v>
      </c>
      <c r="F15" s="12" t="s">
        <v>37</v>
      </c>
      <c r="G15" s="12" t="s">
        <v>38</v>
      </c>
      <c r="H15" s="7" t="s">
        <v>39</v>
      </c>
      <c r="I15" s="7" t="s">
        <v>14</v>
      </c>
      <c r="J15" s="7" t="s">
        <v>40</v>
      </c>
      <c r="K15" s="7" t="s">
        <v>41</v>
      </c>
      <c r="L15" s="7" t="s">
        <v>42</v>
      </c>
    </row>
    <row r="16" spans="2:14" s="1" customFormat="1" ht="39.6">
      <c r="B16" s="22" t="s">
        <v>58</v>
      </c>
      <c r="C16" s="22" t="s">
        <v>43</v>
      </c>
      <c r="D16" s="9" t="str">
        <f>VLOOKUP(B16,'88'!B:L,3,0)</f>
        <v>用户号码</v>
      </c>
      <c r="E16" s="16"/>
      <c r="F16" s="17" t="s">
        <v>58</v>
      </c>
      <c r="G16" s="84" t="s">
        <v>994</v>
      </c>
      <c r="H16" s="18" t="str">
        <f t="shared" ref="H16:H23" si="0">_xlfn.CONCAT(",",B16," ",C16," comment '",D16,"'")</f>
        <v>,msisdn string comment '用户号码'</v>
      </c>
      <c r="I16" s="19"/>
      <c r="J16" s="19" t="s">
        <v>60</v>
      </c>
      <c r="K16" s="19" t="s">
        <v>44</v>
      </c>
      <c r="L16" s="19" t="s">
        <v>44</v>
      </c>
    </row>
    <row r="17" spans="2:17" s="1" customFormat="1" ht="39.6">
      <c r="B17" s="22" t="s">
        <v>81</v>
      </c>
      <c r="C17" s="22" t="s">
        <v>43</v>
      </c>
      <c r="D17" s="9" t="str">
        <f>VLOOKUP(B17,'88'!B:L,3,0)</f>
        <v>用户imsi</v>
      </c>
      <c r="E17" s="16"/>
      <c r="F17" s="17" t="s">
        <v>81</v>
      </c>
      <c r="G17" s="84" t="s">
        <v>994</v>
      </c>
      <c r="H17" s="18" t="str">
        <f t="shared" si="0"/>
        <v>,supi string comment '用户imsi'</v>
      </c>
      <c r="I17" s="19"/>
      <c r="J17" s="19" t="s">
        <v>60</v>
      </c>
      <c r="K17" s="19" t="s">
        <v>44</v>
      </c>
      <c r="L17" s="19" t="s">
        <v>44</v>
      </c>
    </row>
    <row r="18" spans="2:17" s="1" customFormat="1" ht="39.6">
      <c r="B18" s="22" t="s">
        <v>82</v>
      </c>
      <c r="C18" s="22" t="s">
        <v>43</v>
      </c>
      <c r="D18" s="9" t="str">
        <f>VLOOKUP(B18,'88'!B:L,3,0)</f>
        <v>用户imei</v>
      </c>
      <c r="E18" s="16"/>
      <c r="F18" s="17" t="s">
        <v>82</v>
      </c>
      <c r="G18" s="84" t="s">
        <v>994</v>
      </c>
      <c r="H18" s="18" t="str">
        <f t="shared" si="0"/>
        <v>,pei string comment '用户imei'</v>
      </c>
      <c r="I18" s="19"/>
      <c r="J18" s="19" t="s">
        <v>60</v>
      </c>
      <c r="K18" s="19" t="s">
        <v>44</v>
      </c>
      <c r="L18" s="19" t="s">
        <v>44</v>
      </c>
    </row>
    <row r="19" spans="2:17" s="1" customFormat="1" ht="39.6">
      <c r="B19" s="22" t="s">
        <v>254</v>
      </c>
      <c r="C19" s="22" t="s">
        <v>45</v>
      </c>
      <c r="D19" s="9" t="str">
        <f>VLOOKUP(B19,'88'!B:L,3,0)</f>
        <v>业务时长</v>
      </c>
      <c r="E19" s="16"/>
      <c r="F19" s="17"/>
      <c r="G19" s="84" t="s">
        <v>1667</v>
      </c>
      <c r="H19" s="18" t="str">
        <f t="shared" si="0"/>
        <v>,duration bigint comment '业务时长'</v>
      </c>
      <c r="I19" s="19"/>
      <c r="J19" s="19" t="s">
        <v>1186</v>
      </c>
      <c r="K19" s="19" t="s">
        <v>202</v>
      </c>
      <c r="L19" s="19" t="s">
        <v>67</v>
      </c>
    </row>
    <row r="20" spans="2:17" s="1" customFormat="1" ht="39.6">
      <c r="B20" s="22" t="s">
        <v>1294</v>
      </c>
      <c r="C20" s="22" t="s">
        <v>45</v>
      </c>
      <c r="D20" s="9" t="s">
        <v>2773</v>
      </c>
      <c r="E20" s="16"/>
      <c r="F20" s="17"/>
      <c r="G20" s="84" t="s">
        <v>2774</v>
      </c>
      <c r="H20" s="18" t="str">
        <f t="shared" si="0"/>
        <v>,flux bigint comment '业务流量'</v>
      </c>
      <c r="I20" s="19"/>
      <c r="J20" s="19" t="s">
        <v>1186</v>
      </c>
      <c r="K20" s="19" t="s">
        <v>204</v>
      </c>
      <c r="L20" s="19" t="s">
        <v>67</v>
      </c>
    </row>
    <row r="21" spans="2:17" s="1" customFormat="1" ht="39.6">
      <c r="B21" s="22" t="s">
        <v>64</v>
      </c>
      <c r="C21" s="22" t="s">
        <v>43</v>
      </c>
      <c r="D21" s="9" t="s">
        <v>1267</v>
      </c>
      <c r="E21" s="16"/>
      <c r="F21" s="17" t="s">
        <v>47</v>
      </c>
      <c r="G21" s="84" t="s">
        <v>994</v>
      </c>
      <c r="H21" s="18" t="str">
        <f t="shared" si="0"/>
        <v>,province string comment '省编码'</v>
      </c>
      <c r="I21" s="19"/>
      <c r="J21" s="19" t="s">
        <v>60</v>
      </c>
      <c r="K21" s="19" t="s">
        <v>44</v>
      </c>
      <c r="L21" s="19" t="s">
        <v>679</v>
      </c>
    </row>
    <row r="22" spans="2:17" s="1" customFormat="1" ht="39.6">
      <c r="B22" s="22" t="s">
        <v>65</v>
      </c>
      <c r="C22" s="22" t="s">
        <v>43</v>
      </c>
      <c r="D22" s="9" t="s">
        <v>1796</v>
      </c>
      <c r="E22" s="16"/>
      <c r="F22" s="17" t="s">
        <v>61</v>
      </c>
      <c r="G22" s="84" t="s">
        <v>994</v>
      </c>
      <c r="H22" s="18" t="str">
        <f t="shared" si="0"/>
        <v>,city string comment '城市编码'</v>
      </c>
      <c r="I22" s="19"/>
      <c r="J22" s="19" t="s">
        <v>60</v>
      </c>
      <c r="K22" s="19" t="s">
        <v>44</v>
      </c>
      <c r="L22" s="19" t="s">
        <v>679</v>
      </c>
    </row>
    <row r="23" spans="2:17" s="1" customFormat="1" ht="52.8">
      <c r="B23" s="22" t="s">
        <v>2775</v>
      </c>
      <c r="C23" s="22" t="s">
        <v>43</v>
      </c>
      <c r="D23" s="9" t="s">
        <v>2776</v>
      </c>
      <c r="E23" s="16"/>
      <c r="F23" s="17" t="s">
        <v>2775</v>
      </c>
      <c r="G23" s="84" t="s">
        <v>2777</v>
      </c>
      <c r="H23" s="18" t="str">
        <f t="shared" si="0"/>
        <v>,data_type string comment '数据类型(N1N2:1；其他：3)'</v>
      </c>
      <c r="I23" s="19"/>
      <c r="J23" s="19" t="s">
        <v>60</v>
      </c>
      <c r="K23" s="19" t="s">
        <v>44</v>
      </c>
      <c r="L23" s="19" t="s">
        <v>2778</v>
      </c>
    </row>
    <row r="24" spans="2:17" s="3" customFormat="1">
      <c r="B24" s="23" t="s">
        <v>47</v>
      </c>
      <c r="C24" s="24" t="s">
        <v>46</v>
      </c>
      <c r="D24" s="21" t="s">
        <v>48</v>
      </c>
      <c r="E24" s="44"/>
      <c r="F24" s="44"/>
      <c r="G24" s="44" t="s">
        <v>282</v>
      </c>
      <c r="H24" s="44"/>
      <c r="I24" s="23"/>
      <c r="J24" s="23"/>
      <c r="K24" s="23"/>
      <c r="L24" s="23"/>
      <c r="M24" s="23"/>
      <c r="N24" s="23"/>
      <c r="O24" s="23"/>
      <c r="P24" s="23"/>
      <c r="Q24" s="23"/>
    </row>
    <row r="25" spans="2:17" s="3" customFormat="1">
      <c r="B25" s="23" t="s">
        <v>49</v>
      </c>
      <c r="C25" s="24" t="s">
        <v>43</v>
      </c>
      <c r="D25" s="21" t="s">
        <v>50</v>
      </c>
      <c r="E25" s="44"/>
      <c r="F25" s="44"/>
      <c r="G25" s="44" t="s">
        <v>282</v>
      </c>
      <c r="H25" s="44"/>
      <c r="I25" s="23"/>
      <c r="J25" s="23"/>
      <c r="K25" s="23"/>
      <c r="L25" s="23"/>
      <c r="M25" s="23"/>
      <c r="N25" s="23"/>
      <c r="O25" s="23"/>
      <c r="P25" s="23"/>
      <c r="Q25" s="23"/>
    </row>
  </sheetData>
  <mergeCells count="4">
    <mergeCell ref="B2:H2"/>
    <mergeCell ref="B3:H3"/>
    <mergeCell ref="B7:H7"/>
    <mergeCell ref="B14:L14"/>
  </mergeCells>
  <phoneticPr fontId="16" type="noConversion"/>
  <pageMargins left="0.7" right="0.7" top="0.75" bottom="0.75" header="0.3" footer="0.3"/>
  <pageSetup paperSize="9"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1703-36E4-429E-93C8-73B0D1730FB1}">
  <dimension ref="A1:Q41"/>
  <sheetViews>
    <sheetView zoomScale="85" zoomScaleNormal="85" workbookViewId="0">
      <pane ySplit="5" topLeftCell="A6" activePane="bottomLeft" state="frozen"/>
      <selection activeCell="B29" sqref="B29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2747</v>
      </c>
      <c r="C5" s="9" t="s">
        <v>3286</v>
      </c>
      <c r="D5" s="10" t="s">
        <v>2744</v>
      </c>
      <c r="E5" s="11" t="s">
        <v>1168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2862</v>
      </c>
      <c r="D9" s="10" t="s">
        <v>2740</v>
      </c>
      <c r="E9" s="11" t="s">
        <v>55</v>
      </c>
      <c r="F9" s="17"/>
      <c r="G9" s="17" t="s">
        <v>2779</v>
      </c>
      <c r="H9" s="14" t="s">
        <v>17</v>
      </c>
    </row>
    <row r="10" spans="2:14">
      <c r="B10" s="11"/>
      <c r="C10" s="9" t="s">
        <v>2780</v>
      </c>
      <c r="D10" s="10" t="s">
        <v>2781</v>
      </c>
      <c r="E10" s="11" t="s">
        <v>256</v>
      </c>
      <c r="F10" s="17"/>
      <c r="G10" s="17"/>
      <c r="H10" s="14"/>
    </row>
    <row r="11" spans="2:14">
      <c r="B11" s="11"/>
      <c r="C11" s="9" t="s">
        <v>2782</v>
      </c>
      <c r="D11" s="10" t="s">
        <v>2783</v>
      </c>
      <c r="E11" s="11" t="s">
        <v>993</v>
      </c>
      <c r="F11" s="17"/>
      <c r="G11" s="17"/>
      <c r="H11" s="14"/>
    </row>
    <row r="12" spans="2:14">
      <c r="B12" s="11"/>
      <c r="C12" s="9"/>
      <c r="D12" s="10"/>
      <c r="E12" s="11"/>
      <c r="F12" s="17"/>
      <c r="G12" s="17"/>
      <c r="H12" s="14"/>
    </row>
    <row r="13" spans="2:14">
      <c r="B13" s="4" t="s">
        <v>32</v>
      </c>
    </row>
    <row r="14" spans="2:14">
      <c r="B14" s="124" t="s">
        <v>32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5" spans="2:14">
      <c r="B15" s="7" t="s">
        <v>33</v>
      </c>
      <c r="C15" s="7" t="s">
        <v>34</v>
      </c>
      <c r="D15" s="7" t="s">
        <v>35</v>
      </c>
      <c r="E15" s="7" t="s">
        <v>36</v>
      </c>
      <c r="F15" s="12" t="s">
        <v>37</v>
      </c>
      <c r="G15" s="12" t="s">
        <v>38</v>
      </c>
      <c r="H15" s="7" t="s">
        <v>39</v>
      </c>
      <c r="I15" s="7" t="s">
        <v>14</v>
      </c>
      <c r="J15" s="7" t="s">
        <v>40</v>
      </c>
      <c r="K15" s="7" t="s">
        <v>41</v>
      </c>
      <c r="L15" s="7" t="s">
        <v>42</v>
      </c>
    </row>
    <row r="16" spans="2:14" s="1" customFormat="1" ht="26.4">
      <c r="B16" s="22" t="s">
        <v>1168</v>
      </c>
      <c r="C16" s="22" t="s">
        <v>43</v>
      </c>
      <c r="D16" s="9" t="s">
        <v>2784</v>
      </c>
      <c r="E16" s="16"/>
      <c r="F16" s="17" t="s">
        <v>49</v>
      </c>
      <c r="G16" s="84" t="s">
        <v>994</v>
      </c>
      <c r="H16" s="18" t="str">
        <f t="shared" ref="H16:H39" si="0">_xlfn.CONCAT(",",B16," ",C16," comment '",D16,"'")</f>
        <v>,day string comment '账期'</v>
      </c>
      <c r="I16" s="19"/>
      <c r="J16" s="19" t="s">
        <v>60</v>
      </c>
      <c r="K16" s="19" t="s">
        <v>44</v>
      </c>
      <c r="L16" s="19" t="s">
        <v>44</v>
      </c>
    </row>
    <row r="17" spans="2:12" s="1" customFormat="1" ht="39.6">
      <c r="B17" s="22" t="s">
        <v>1068</v>
      </c>
      <c r="C17" s="22" t="s">
        <v>46</v>
      </c>
      <c r="D17" s="9" t="s">
        <v>1267</v>
      </c>
      <c r="E17" s="16"/>
      <c r="F17" s="17" t="s">
        <v>47</v>
      </c>
      <c r="G17" s="84" t="s">
        <v>994</v>
      </c>
      <c r="H17" s="18" t="str">
        <f t="shared" si="0"/>
        <v>,provincecode int comment '省编码'</v>
      </c>
      <c r="I17" s="19"/>
      <c r="J17" s="19" t="s">
        <v>60</v>
      </c>
      <c r="K17" s="19" t="s">
        <v>44</v>
      </c>
      <c r="L17" s="19" t="s">
        <v>44</v>
      </c>
    </row>
    <row r="18" spans="2:12" s="1" customFormat="1" ht="39.6">
      <c r="B18" s="22" t="s">
        <v>2785</v>
      </c>
      <c r="C18" s="22" t="s">
        <v>43</v>
      </c>
      <c r="D18" s="9" t="s">
        <v>63</v>
      </c>
      <c r="E18" s="16"/>
      <c r="F18" s="17" t="s">
        <v>64</v>
      </c>
      <c r="G18" s="84" t="s">
        <v>994</v>
      </c>
      <c r="H18" s="18" t="str">
        <f t="shared" si="0"/>
        <v>,province_name string comment '省名称'</v>
      </c>
      <c r="I18" s="19"/>
      <c r="J18" s="19" t="s">
        <v>60</v>
      </c>
      <c r="K18" s="19" t="s">
        <v>44</v>
      </c>
      <c r="L18" s="19" t="s">
        <v>44</v>
      </c>
    </row>
    <row r="19" spans="2:12" s="1" customFormat="1" ht="39.6">
      <c r="B19" s="22" t="s">
        <v>2786</v>
      </c>
      <c r="C19" s="22" t="s">
        <v>46</v>
      </c>
      <c r="D19" s="9" t="s">
        <v>2787</v>
      </c>
      <c r="E19" s="16" t="s">
        <v>256</v>
      </c>
      <c r="F19" s="17"/>
      <c r="G19" s="84" t="s">
        <v>2788</v>
      </c>
      <c r="H19" s="18" t="str">
        <f t="shared" si="0"/>
        <v>,ct_cell_cnt int comment '电信工参小区数'</v>
      </c>
      <c r="I19" s="19"/>
      <c r="J19" s="19" t="s">
        <v>1186</v>
      </c>
      <c r="K19" s="19" t="s">
        <v>44</v>
      </c>
      <c r="L19" s="19" t="s">
        <v>67</v>
      </c>
    </row>
    <row r="20" spans="2:12" s="1" customFormat="1" ht="39.6">
      <c r="B20" s="22" t="s">
        <v>2789</v>
      </c>
      <c r="C20" s="22" t="s">
        <v>46</v>
      </c>
      <c r="D20" s="9" t="s">
        <v>2790</v>
      </c>
      <c r="E20" s="16" t="s">
        <v>256</v>
      </c>
      <c r="F20" s="17"/>
      <c r="G20" s="84" t="s">
        <v>2791</v>
      </c>
      <c r="H20" s="18" t="str">
        <f t="shared" si="0"/>
        <v>,cu_cell_cnt int comment '联通工参小区数'</v>
      </c>
      <c r="I20" s="19"/>
      <c r="J20" s="19" t="s">
        <v>1186</v>
      </c>
      <c r="K20" s="19" t="s">
        <v>44</v>
      </c>
      <c r="L20" s="19" t="s">
        <v>67</v>
      </c>
    </row>
    <row r="21" spans="2:12" s="1" customFormat="1" ht="52.8">
      <c r="B21" s="22" t="s">
        <v>2792</v>
      </c>
      <c r="C21" s="22" t="s">
        <v>46</v>
      </c>
      <c r="D21" s="9" t="s">
        <v>2793</v>
      </c>
      <c r="E21" s="16" t="s">
        <v>993</v>
      </c>
      <c r="F21" s="17"/>
      <c r="G21" s="84" t="s">
        <v>2794</v>
      </c>
      <c r="H21" s="18" t="str">
        <f t="shared" si="0"/>
        <v>,ct_corrected_cell_cnt int comment '电信纠偏表小区数'</v>
      </c>
      <c r="I21" s="19"/>
      <c r="J21" s="19" t="s">
        <v>1186</v>
      </c>
      <c r="K21" s="19" t="s">
        <v>44</v>
      </c>
      <c r="L21" s="19" t="s">
        <v>67</v>
      </c>
    </row>
    <row r="22" spans="2:12" s="1" customFormat="1" ht="39.6">
      <c r="B22" s="22" t="s">
        <v>2795</v>
      </c>
      <c r="C22" s="22" t="s">
        <v>46</v>
      </c>
      <c r="D22" s="9" t="s">
        <v>2796</v>
      </c>
      <c r="E22" s="16"/>
      <c r="F22" s="17"/>
      <c r="G22" s="84" t="s">
        <v>2797</v>
      </c>
      <c r="H22" s="18" t="str">
        <f t="shared" si="0"/>
        <v>,cell_cnt int comment '电联工参重复小区数'</v>
      </c>
      <c r="I22" s="19"/>
      <c r="J22" s="19" t="s">
        <v>1186</v>
      </c>
      <c r="K22" s="19" t="s">
        <v>44</v>
      </c>
      <c r="L22" s="19">
        <v>0</v>
      </c>
    </row>
    <row r="23" spans="2:12" s="1" customFormat="1" ht="39.6">
      <c r="B23" s="22" t="s">
        <v>2798</v>
      </c>
      <c r="C23" s="22" t="s">
        <v>46</v>
      </c>
      <c r="D23" s="9" t="s">
        <v>2799</v>
      </c>
      <c r="E23" s="16" t="s">
        <v>55</v>
      </c>
      <c r="F23" s="17"/>
      <c r="G23" s="84" t="s">
        <v>2800</v>
      </c>
      <c r="H23" s="18" t="str">
        <f t="shared" si="0"/>
        <v>,n1n2_cell_cnt int comment 'n1n2小区数'</v>
      </c>
      <c r="I23" s="19"/>
      <c r="J23" s="19" t="s">
        <v>1186</v>
      </c>
      <c r="K23" s="19" t="s">
        <v>44</v>
      </c>
      <c r="L23" s="19" t="s">
        <v>67</v>
      </c>
    </row>
    <row r="24" spans="2:12" s="1" customFormat="1" ht="39.6">
      <c r="B24" s="22" t="s">
        <v>2801</v>
      </c>
      <c r="C24" s="22" t="s">
        <v>46</v>
      </c>
      <c r="D24" s="9" t="s">
        <v>2802</v>
      </c>
      <c r="E24" s="16" t="s">
        <v>2803</v>
      </c>
      <c r="F24" s="17"/>
      <c r="G24" s="84" t="s">
        <v>2804</v>
      </c>
      <c r="H24" s="18" t="str">
        <f t="shared" si="0"/>
        <v>,n1n2_ct_cell_cnt int comment '关联电信小区数'</v>
      </c>
      <c r="I24" s="19"/>
      <c r="J24" s="19" t="s">
        <v>1186</v>
      </c>
      <c r="K24" s="19" t="s">
        <v>44</v>
      </c>
      <c r="L24" s="19" t="s">
        <v>67</v>
      </c>
    </row>
    <row r="25" spans="2:12" s="1" customFormat="1" ht="39.6">
      <c r="B25" s="22" t="s">
        <v>2805</v>
      </c>
      <c r="C25" s="22" t="s">
        <v>46</v>
      </c>
      <c r="D25" s="9" t="s">
        <v>2806</v>
      </c>
      <c r="E25" s="16" t="s">
        <v>2803</v>
      </c>
      <c r="F25" s="17"/>
      <c r="G25" s="84" t="s">
        <v>2807</v>
      </c>
      <c r="H25" s="18" t="str">
        <f t="shared" si="0"/>
        <v>,n1n2_cu_cell_cnt int comment '关联联通小区数'</v>
      </c>
      <c r="I25" s="19"/>
      <c r="J25" s="19" t="s">
        <v>1186</v>
      </c>
      <c r="K25" s="19" t="s">
        <v>44</v>
      </c>
      <c r="L25" s="19" t="s">
        <v>67</v>
      </c>
    </row>
    <row r="26" spans="2:12" s="1" customFormat="1" ht="52.8">
      <c r="B26" s="22" t="s">
        <v>2808</v>
      </c>
      <c r="C26" s="22" t="s">
        <v>46</v>
      </c>
      <c r="D26" s="9" t="s">
        <v>2809</v>
      </c>
      <c r="E26" s="16" t="s">
        <v>2810</v>
      </c>
      <c r="F26" s="17"/>
      <c r="G26" s="84" t="s">
        <v>2811</v>
      </c>
      <c r="H26" s="18" t="str">
        <f t="shared" si="0"/>
        <v>,n1n2_ct_corrected_cell_cnt int comment '关联电信纠偏表小区数'</v>
      </c>
      <c r="I26" s="19"/>
      <c r="J26" s="19" t="s">
        <v>1186</v>
      </c>
      <c r="K26" s="19" t="s">
        <v>44</v>
      </c>
      <c r="L26" s="19" t="s">
        <v>67</v>
      </c>
    </row>
    <row r="27" spans="2:12" s="1" customFormat="1" ht="52.8">
      <c r="B27" s="22" t="s">
        <v>2812</v>
      </c>
      <c r="C27" s="22" t="s">
        <v>56</v>
      </c>
      <c r="D27" s="9" t="s">
        <v>2813</v>
      </c>
      <c r="E27" s="16" t="s">
        <v>2814</v>
      </c>
      <c r="F27" s="17"/>
      <c r="G27" s="84" t="s">
        <v>2815</v>
      </c>
      <c r="H27" s="18" t="str">
        <f t="shared" si="0"/>
        <v>,n1n2_ctcu_cell_rel_rate double comment '电联工参关联率'</v>
      </c>
      <c r="I27" s="19"/>
      <c r="J27" s="19" t="s">
        <v>1186</v>
      </c>
      <c r="K27" s="19" t="s">
        <v>44</v>
      </c>
      <c r="L27" s="19" t="s">
        <v>1292</v>
      </c>
    </row>
    <row r="28" spans="2:12" s="1" customFormat="1" ht="52.8">
      <c r="B28" s="22" t="s">
        <v>2816</v>
      </c>
      <c r="C28" s="22" t="s">
        <v>56</v>
      </c>
      <c r="D28" s="9" t="s">
        <v>2817</v>
      </c>
      <c r="E28" s="16" t="s">
        <v>2803</v>
      </c>
      <c r="F28" s="17"/>
      <c r="G28" s="84" t="s">
        <v>2818</v>
      </c>
      <c r="H28" s="18" t="str">
        <f t="shared" si="0"/>
        <v>,n1n2_cuct_cell_rate double comment 'n1n2小区数/电联工参'</v>
      </c>
      <c r="I28" s="19"/>
      <c r="J28" s="19" t="s">
        <v>1186</v>
      </c>
      <c r="K28" s="19" t="s">
        <v>44</v>
      </c>
      <c r="L28" s="19" t="s">
        <v>1292</v>
      </c>
    </row>
    <row r="29" spans="2:12" s="1" customFormat="1" ht="39.6">
      <c r="B29" s="22" t="s">
        <v>2819</v>
      </c>
      <c r="C29" s="22" t="s">
        <v>45</v>
      </c>
      <c r="D29" s="9" t="s">
        <v>2820</v>
      </c>
      <c r="E29" s="16" t="s">
        <v>55</v>
      </c>
      <c r="F29" s="17"/>
      <c r="G29" s="84" t="s">
        <v>2821</v>
      </c>
      <c r="H29" s="18" t="str">
        <f t="shared" si="0"/>
        <v>,total_records bigint comment '总信令记录数'</v>
      </c>
      <c r="I29" s="19"/>
      <c r="J29" s="19" t="s">
        <v>1186</v>
      </c>
      <c r="K29" s="19" t="s">
        <v>44</v>
      </c>
      <c r="L29" s="19" t="s">
        <v>67</v>
      </c>
    </row>
    <row r="30" spans="2:12" s="1" customFormat="1" ht="52.8">
      <c r="B30" s="22" t="s">
        <v>2822</v>
      </c>
      <c r="C30" s="22" t="s">
        <v>45</v>
      </c>
      <c r="D30" s="9" t="s">
        <v>2823</v>
      </c>
      <c r="E30" s="16" t="s">
        <v>55</v>
      </c>
      <c r="F30" s="17"/>
      <c r="G30" s="84" t="s">
        <v>2824</v>
      </c>
      <c r="H30" s="18" t="str">
        <f t="shared" si="0"/>
        <v>,valid_cell_records bigint comment '小区非空信令记录数'</v>
      </c>
      <c r="I30" s="19"/>
      <c r="J30" s="19" t="s">
        <v>1186</v>
      </c>
      <c r="K30" s="19" t="s">
        <v>44</v>
      </c>
      <c r="L30" s="19" t="s">
        <v>67</v>
      </c>
    </row>
    <row r="31" spans="2:12" s="1" customFormat="1" ht="52.8">
      <c r="B31" s="22" t="s">
        <v>2825</v>
      </c>
      <c r="C31" s="22" t="s">
        <v>45</v>
      </c>
      <c r="D31" s="9" t="s">
        <v>2826</v>
      </c>
      <c r="E31" s="16" t="s">
        <v>2803</v>
      </c>
      <c r="F31" s="17"/>
      <c r="G31" s="84" t="s">
        <v>2827</v>
      </c>
      <c r="H31" s="18" t="str">
        <f t="shared" si="0"/>
        <v>,ct_cell_records bigint comment '关联电信小区信令记录数'</v>
      </c>
      <c r="I31" s="19"/>
      <c r="J31" s="19" t="s">
        <v>1186</v>
      </c>
      <c r="K31" s="19" t="s">
        <v>44</v>
      </c>
      <c r="L31" s="19" t="s">
        <v>67</v>
      </c>
    </row>
    <row r="32" spans="2:12" s="1" customFormat="1" ht="52.8">
      <c r="B32" s="22" t="s">
        <v>2828</v>
      </c>
      <c r="C32" s="22" t="s">
        <v>45</v>
      </c>
      <c r="D32" s="9" t="s">
        <v>2829</v>
      </c>
      <c r="E32" s="16" t="s">
        <v>2803</v>
      </c>
      <c r="F32" s="17"/>
      <c r="G32" s="84" t="s">
        <v>2827</v>
      </c>
      <c r="H32" s="18" t="str">
        <f t="shared" si="0"/>
        <v>,cu_cell_records bigint comment '关联联通小区信令记录数'</v>
      </c>
      <c r="I32" s="19"/>
      <c r="J32" s="19" t="s">
        <v>1186</v>
      </c>
      <c r="K32" s="19" t="s">
        <v>44</v>
      </c>
      <c r="L32" s="19" t="s">
        <v>67</v>
      </c>
    </row>
    <row r="33" spans="2:17" s="1" customFormat="1" ht="66">
      <c r="B33" s="22" t="s">
        <v>2830</v>
      </c>
      <c r="C33" s="22" t="s">
        <v>45</v>
      </c>
      <c r="D33" s="9" t="s">
        <v>2831</v>
      </c>
      <c r="E33" s="16" t="s">
        <v>2810</v>
      </c>
      <c r="F33" s="17"/>
      <c r="G33" s="84" t="s">
        <v>2827</v>
      </c>
      <c r="H33" s="18" t="str">
        <f t="shared" si="0"/>
        <v>,ct_corrected_cell_records bigint comment '关联电信纠偏表小区信令记录数'</v>
      </c>
      <c r="I33" s="19"/>
      <c r="J33" s="19" t="s">
        <v>1186</v>
      </c>
      <c r="K33" s="19" t="s">
        <v>44</v>
      </c>
      <c r="L33" s="19" t="s">
        <v>67</v>
      </c>
    </row>
    <row r="34" spans="2:17" s="1" customFormat="1" ht="39.6">
      <c r="B34" s="22" t="s">
        <v>2832</v>
      </c>
      <c r="C34" s="22" t="s">
        <v>46</v>
      </c>
      <c r="D34" s="9" t="s">
        <v>2833</v>
      </c>
      <c r="E34" s="16" t="s">
        <v>55</v>
      </c>
      <c r="F34" s="17"/>
      <c r="G34" s="84" t="s">
        <v>2834</v>
      </c>
      <c r="H34" s="18" t="str">
        <f t="shared" si="0"/>
        <v>,mdn_cnt int comment '用户数'</v>
      </c>
      <c r="I34" s="19"/>
      <c r="J34" s="19" t="s">
        <v>1186</v>
      </c>
      <c r="K34" s="19" t="s">
        <v>44</v>
      </c>
      <c r="L34" s="19" t="s">
        <v>67</v>
      </c>
    </row>
    <row r="35" spans="2:17" s="1" customFormat="1" ht="52.8">
      <c r="B35" s="22" t="s">
        <v>2835</v>
      </c>
      <c r="C35" s="22" t="s">
        <v>46</v>
      </c>
      <c r="D35" s="9" t="s">
        <v>2836</v>
      </c>
      <c r="E35" s="16" t="s">
        <v>55</v>
      </c>
      <c r="F35" s="17"/>
      <c r="G35" s="84" t="s">
        <v>2837</v>
      </c>
      <c r="H35" s="18" t="str">
        <f t="shared" si="0"/>
        <v>,ctcu_cell_mdn_cnt int comment '关联电联小区用户数'</v>
      </c>
      <c r="I35" s="19"/>
      <c r="J35" s="19" t="s">
        <v>1186</v>
      </c>
      <c r="K35" s="19" t="s">
        <v>44</v>
      </c>
      <c r="L35" s="19" t="s">
        <v>67</v>
      </c>
    </row>
    <row r="36" spans="2:17" s="1" customFormat="1" ht="52.8">
      <c r="B36" s="22" t="s">
        <v>2838</v>
      </c>
      <c r="C36" s="22" t="s">
        <v>56</v>
      </c>
      <c r="D36" s="9" t="s">
        <v>2839</v>
      </c>
      <c r="E36" s="16" t="s">
        <v>55</v>
      </c>
      <c r="F36" s="17"/>
      <c r="G36" s="84" t="s">
        <v>2840</v>
      </c>
      <c r="H36" s="18" t="str">
        <f t="shared" si="0"/>
        <v>,cell_fill_rate double comment '小区非空率'</v>
      </c>
      <c r="I36" s="19"/>
      <c r="J36" s="19" t="s">
        <v>1186</v>
      </c>
      <c r="K36" s="19" t="s">
        <v>44</v>
      </c>
      <c r="L36" s="19" t="s">
        <v>1292</v>
      </c>
    </row>
    <row r="37" spans="2:17" s="1" customFormat="1" ht="52.8">
      <c r="B37" s="22" t="s">
        <v>2841</v>
      </c>
      <c r="C37" s="22" t="s">
        <v>56</v>
      </c>
      <c r="D37" s="9" t="s">
        <v>2842</v>
      </c>
      <c r="E37" s="16" t="s">
        <v>2814</v>
      </c>
      <c r="F37" s="17"/>
      <c r="G37" s="84" t="s">
        <v>2843</v>
      </c>
      <c r="H37" s="18" t="str">
        <f t="shared" si="0"/>
        <v>,cell_rel_record_rate double comment '关联工参信令占比'</v>
      </c>
      <c r="I37" s="19"/>
      <c r="J37" s="19" t="s">
        <v>1186</v>
      </c>
      <c r="K37" s="19" t="s">
        <v>44</v>
      </c>
      <c r="L37" s="19" t="s">
        <v>1292</v>
      </c>
    </row>
    <row r="38" spans="2:17" s="1" customFormat="1" ht="66">
      <c r="B38" s="22" t="s">
        <v>2844</v>
      </c>
      <c r="C38" s="62" t="s">
        <v>56</v>
      </c>
      <c r="D38" s="9" t="s">
        <v>2845</v>
      </c>
      <c r="E38" s="16" t="s">
        <v>2814</v>
      </c>
      <c r="F38" s="17"/>
      <c r="G38" s="84" t="s">
        <v>2846</v>
      </c>
      <c r="H38" s="18" t="str">
        <f t="shared" si="0"/>
        <v>,norel_mdn_rate double comment '关联工参丢失用户数占比'</v>
      </c>
      <c r="I38" s="19"/>
      <c r="J38" s="19" t="s">
        <v>1186</v>
      </c>
      <c r="K38" s="19" t="s">
        <v>44</v>
      </c>
      <c r="L38" s="19" t="s">
        <v>1292</v>
      </c>
    </row>
    <row r="39" spans="2:17" s="1" customFormat="1" ht="52.8">
      <c r="B39" s="22" t="s">
        <v>2847</v>
      </c>
      <c r="C39" s="62" t="s">
        <v>46</v>
      </c>
      <c r="D39" s="9" t="s">
        <v>2848</v>
      </c>
      <c r="E39" s="16" t="s">
        <v>2814</v>
      </c>
      <c r="F39" s="17"/>
      <c r="G39" s="84" t="s">
        <v>2849</v>
      </c>
      <c r="H39" s="18" t="str">
        <f t="shared" si="0"/>
        <v>,norel_mdn_cnt int comment '关联工参丢失用户数'</v>
      </c>
      <c r="I39" s="19"/>
      <c r="J39" s="19" t="s">
        <v>1186</v>
      </c>
      <c r="K39" s="19" t="s">
        <v>44</v>
      </c>
      <c r="L39" s="19" t="s">
        <v>67</v>
      </c>
    </row>
    <row r="40" spans="2:17" s="3" customFormat="1">
      <c r="B40" s="23" t="s">
        <v>47</v>
      </c>
      <c r="C40" s="24" t="s">
        <v>46</v>
      </c>
      <c r="D40" s="21" t="s">
        <v>48</v>
      </c>
      <c r="E40" s="44"/>
      <c r="F40" s="44"/>
      <c r="G40" s="44" t="s">
        <v>282</v>
      </c>
      <c r="H40" s="44"/>
      <c r="I40" s="23"/>
      <c r="J40" s="23"/>
      <c r="K40" s="23"/>
      <c r="L40" s="23"/>
      <c r="M40" s="23"/>
      <c r="N40" s="23"/>
      <c r="O40" s="23"/>
      <c r="P40" s="23"/>
      <c r="Q40" s="23"/>
    </row>
    <row r="41" spans="2:17" s="3" customFormat="1">
      <c r="B41" s="23" t="s">
        <v>49</v>
      </c>
      <c r="C41" s="24" t="s">
        <v>43</v>
      </c>
      <c r="D41" s="21" t="s">
        <v>50</v>
      </c>
      <c r="E41" s="44"/>
      <c r="F41" s="44"/>
      <c r="G41" s="44" t="s">
        <v>282</v>
      </c>
      <c r="H41" s="44"/>
      <c r="I41" s="23"/>
      <c r="J41" s="23"/>
      <c r="K41" s="23"/>
      <c r="L41" s="23"/>
      <c r="M41" s="23"/>
      <c r="N41" s="23"/>
      <c r="O41" s="23"/>
      <c r="P41" s="23"/>
      <c r="Q41" s="23"/>
    </row>
  </sheetData>
  <mergeCells count="4">
    <mergeCell ref="B2:H2"/>
    <mergeCell ref="B3:H3"/>
    <mergeCell ref="B7:H7"/>
    <mergeCell ref="B14:L14"/>
  </mergeCells>
  <phoneticPr fontId="16" type="noConversion"/>
  <pageMargins left="0.7" right="0.7" top="0.75" bottom="0.75" header="0.3" footer="0.3"/>
  <pageSetup paperSize="9"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9A45-D398-44CB-8E21-69CB821645AA}">
  <dimension ref="A1:Q25"/>
  <sheetViews>
    <sheetView zoomScale="85" zoomScaleNormal="85" workbookViewId="0">
      <pane ySplit="5" topLeftCell="A6" activePane="bottomLeft" state="frozen"/>
      <selection activeCell="B29" sqref="B29"/>
      <selection pane="bottomLeft" activeCell="C11" sqref="C11"/>
    </sheetView>
  </sheetViews>
  <sheetFormatPr defaultColWidth="9" defaultRowHeight="13.2"/>
  <cols>
    <col min="1" max="1" width="1.33203125" style="4" customWidth="1"/>
    <col min="2" max="2" width="36.109375" style="4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2747</v>
      </c>
      <c r="C5" s="9" t="s">
        <v>2745</v>
      </c>
      <c r="D5" s="10" t="s">
        <v>2746</v>
      </c>
      <c r="E5" s="11" t="s">
        <v>1168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2862</v>
      </c>
      <c r="D9" s="10" t="s">
        <v>2740</v>
      </c>
      <c r="E9" s="11" t="s">
        <v>55</v>
      </c>
      <c r="F9" s="130" t="s">
        <v>2850</v>
      </c>
      <c r="G9" s="17" t="s">
        <v>2779</v>
      </c>
      <c r="H9" s="14" t="s">
        <v>17</v>
      </c>
    </row>
    <row r="10" spans="2:14">
      <c r="B10" s="11"/>
      <c r="C10" s="9" t="s">
        <v>2780</v>
      </c>
      <c r="D10" s="10" t="s">
        <v>2781</v>
      </c>
      <c r="E10" s="11" t="s">
        <v>256</v>
      </c>
      <c r="F10" s="138"/>
      <c r="G10" s="17"/>
      <c r="H10" s="14"/>
    </row>
    <row r="11" spans="2:14">
      <c r="B11" s="11"/>
      <c r="C11" s="9" t="s">
        <v>2782</v>
      </c>
      <c r="D11" s="10" t="s">
        <v>2783</v>
      </c>
      <c r="E11" s="11" t="s">
        <v>993</v>
      </c>
      <c r="F11" s="131"/>
      <c r="G11" s="17"/>
      <c r="H11" s="14"/>
    </row>
    <row r="12" spans="2:14">
      <c r="B12" s="11"/>
      <c r="C12" s="9"/>
      <c r="D12" s="10"/>
      <c r="E12" s="11"/>
      <c r="F12" s="17"/>
      <c r="G12" s="17"/>
      <c r="H12" s="14"/>
    </row>
    <row r="13" spans="2:14">
      <c r="B13" s="4" t="s">
        <v>32</v>
      </c>
    </row>
    <row r="14" spans="2:14">
      <c r="B14" s="124" t="s">
        <v>32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5" spans="2:14">
      <c r="B15" s="7" t="s">
        <v>33</v>
      </c>
      <c r="C15" s="7" t="s">
        <v>34</v>
      </c>
      <c r="D15" s="7" t="s">
        <v>35</v>
      </c>
      <c r="E15" s="7" t="s">
        <v>36</v>
      </c>
      <c r="F15" s="12" t="s">
        <v>37</v>
      </c>
      <c r="G15" s="12" t="s">
        <v>38</v>
      </c>
      <c r="H15" s="7" t="s">
        <v>39</v>
      </c>
      <c r="I15" s="7" t="s">
        <v>14</v>
      </c>
      <c r="J15" s="7" t="s">
        <v>40</v>
      </c>
      <c r="K15" s="7" t="s">
        <v>41</v>
      </c>
      <c r="L15" s="7" t="s">
        <v>42</v>
      </c>
    </row>
    <row r="16" spans="2:14" s="1" customFormat="1" ht="39.6">
      <c r="B16" s="22" t="s">
        <v>2851</v>
      </c>
      <c r="C16" s="22" t="s">
        <v>46</v>
      </c>
      <c r="D16" s="9" t="s">
        <v>2852</v>
      </c>
      <c r="E16" s="16" t="s">
        <v>55</v>
      </c>
      <c r="F16" s="17"/>
      <c r="G16" s="84" t="s">
        <v>2853</v>
      </c>
      <c r="H16" s="18" t="str">
        <f t="shared" ref="H16:H23" si="0">_xlfn.CONCAT(",",B16," ",C16," comment '",D16,"'")</f>
        <v>,gnodebid int comment '基站编码'</v>
      </c>
      <c r="I16" s="19"/>
      <c r="J16" s="19" t="s">
        <v>60</v>
      </c>
      <c r="K16" s="19" t="s">
        <v>44</v>
      </c>
      <c r="L16" s="19" t="s">
        <v>44</v>
      </c>
    </row>
    <row r="17" spans="2:17" s="1" customFormat="1" ht="39.6">
      <c r="B17" s="22" t="s">
        <v>1176</v>
      </c>
      <c r="C17" s="22" t="s">
        <v>46</v>
      </c>
      <c r="D17" s="9" t="s">
        <v>2854</v>
      </c>
      <c r="E17" s="16" t="s">
        <v>55</v>
      </c>
      <c r="F17" s="17"/>
      <c r="G17" s="84" t="s">
        <v>2855</v>
      </c>
      <c r="H17" s="18" t="str">
        <f t="shared" si="0"/>
        <v>,cellid int comment '扇区编码'</v>
      </c>
      <c r="I17" s="19"/>
      <c r="J17" s="19" t="s">
        <v>60</v>
      </c>
      <c r="K17" s="19" t="s">
        <v>44</v>
      </c>
      <c r="L17" s="19" t="s">
        <v>44</v>
      </c>
    </row>
    <row r="18" spans="2:17" s="1" customFormat="1" ht="39.6">
      <c r="B18" s="22" t="s">
        <v>2856</v>
      </c>
      <c r="C18" s="22" t="s">
        <v>45</v>
      </c>
      <c r="D18" s="9" t="s">
        <v>2857</v>
      </c>
      <c r="E18" s="16" t="s">
        <v>55</v>
      </c>
      <c r="F18" s="17" t="s">
        <v>2762</v>
      </c>
      <c r="G18" s="84" t="s">
        <v>994</v>
      </c>
      <c r="H18" s="18" t="str">
        <f t="shared" si="0"/>
        <v>,ci bigint comment '小区CI'</v>
      </c>
      <c r="I18" s="19"/>
      <c r="J18" s="19" t="s">
        <v>60</v>
      </c>
      <c r="K18" s="19" t="s">
        <v>44</v>
      </c>
      <c r="L18" s="19" t="s">
        <v>44</v>
      </c>
    </row>
    <row r="19" spans="2:17" s="1" customFormat="1" ht="39.6">
      <c r="B19" s="22" t="s">
        <v>2768</v>
      </c>
      <c r="C19" s="22" t="s">
        <v>45</v>
      </c>
      <c r="D19" s="9" t="s">
        <v>2858</v>
      </c>
      <c r="E19" s="16" t="s">
        <v>55</v>
      </c>
      <c r="F19" s="17" t="s">
        <v>2768</v>
      </c>
      <c r="G19" s="84" t="s">
        <v>994</v>
      </c>
      <c r="H19" s="18" t="str">
        <f t="shared" si="0"/>
        <v>,tac bigint comment '小区TAC'</v>
      </c>
      <c r="I19" s="19"/>
      <c r="J19" s="19" t="s">
        <v>60</v>
      </c>
      <c r="K19" s="19" t="s">
        <v>44</v>
      </c>
      <c r="L19" s="19" t="s">
        <v>44</v>
      </c>
    </row>
    <row r="20" spans="2:17" s="1" customFormat="1" ht="39.6">
      <c r="B20" s="22" t="s">
        <v>2859</v>
      </c>
      <c r="C20" s="22" t="s">
        <v>43</v>
      </c>
      <c r="D20" s="9" t="s">
        <v>2860</v>
      </c>
      <c r="E20" s="16" t="s">
        <v>55</v>
      </c>
      <c r="F20" s="17" t="s">
        <v>2770</v>
      </c>
      <c r="G20" s="84" t="s">
        <v>994</v>
      </c>
      <c r="H20" s="18" t="str">
        <f t="shared" si="0"/>
        <v>,enodebip string comment '基站IP地址'</v>
      </c>
      <c r="I20" s="19"/>
      <c r="J20" s="19" t="s">
        <v>60</v>
      </c>
      <c r="K20" s="19" t="s">
        <v>44</v>
      </c>
      <c r="L20" s="19" t="s">
        <v>44</v>
      </c>
    </row>
    <row r="21" spans="2:17" s="1" customFormat="1" ht="39.6">
      <c r="B21" s="22" t="s">
        <v>2764</v>
      </c>
      <c r="C21" s="22" t="s">
        <v>45</v>
      </c>
      <c r="D21" s="9" t="s">
        <v>2861</v>
      </c>
      <c r="E21" s="16" t="s">
        <v>55</v>
      </c>
      <c r="F21" s="17"/>
      <c r="G21" s="84" t="s">
        <v>2821</v>
      </c>
      <c r="H21" s="18" t="str">
        <f t="shared" si="0"/>
        <v>,records bigint comment 'MME记录数'</v>
      </c>
      <c r="I21" s="19"/>
      <c r="J21" s="19" t="s">
        <v>1186</v>
      </c>
      <c r="K21" s="19" t="s">
        <v>44</v>
      </c>
      <c r="L21" s="19" t="s">
        <v>67</v>
      </c>
    </row>
    <row r="22" spans="2:17" s="1" customFormat="1" ht="39.6">
      <c r="B22" s="22" t="s">
        <v>1068</v>
      </c>
      <c r="C22" s="22" t="s">
        <v>46</v>
      </c>
      <c r="D22" s="9" t="s">
        <v>1267</v>
      </c>
      <c r="E22" s="16" t="s">
        <v>55</v>
      </c>
      <c r="F22" s="17" t="s">
        <v>47</v>
      </c>
      <c r="G22" s="84" t="s">
        <v>994</v>
      </c>
      <c r="H22" s="18" t="str">
        <f t="shared" si="0"/>
        <v>,provincecode int comment '省编码'</v>
      </c>
      <c r="I22" s="19"/>
      <c r="J22" s="19" t="s">
        <v>60</v>
      </c>
      <c r="K22" s="19" t="s">
        <v>44</v>
      </c>
      <c r="L22" s="19" t="s">
        <v>44</v>
      </c>
    </row>
    <row r="23" spans="2:17" s="1" customFormat="1" ht="26.4">
      <c r="B23" s="22" t="s">
        <v>1168</v>
      </c>
      <c r="C23" s="22" t="s">
        <v>43</v>
      </c>
      <c r="D23" s="9" t="s">
        <v>1265</v>
      </c>
      <c r="E23" s="16" t="s">
        <v>55</v>
      </c>
      <c r="F23" s="17" t="s">
        <v>49</v>
      </c>
      <c r="G23" s="84" t="s">
        <v>994</v>
      </c>
      <c r="H23" s="18" t="str">
        <f t="shared" si="0"/>
        <v>,day string comment '日期'</v>
      </c>
      <c r="I23" s="19"/>
      <c r="J23" s="19" t="s">
        <v>60</v>
      </c>
      <c r="K23" s="19" t="s">
        <v>44</v>
      </c>
      <c r="L23" s="19" t="s">
        <v>44</v>
      </c>
    </row>
    <row r="24" spans="2:17" s="3" customFormat="1">
      <c r="B24" s="23" t="s">
        <v>47</v>
      </c>
      <c r="C24" s="24" t="s">
        <v>46</v>
      </c>
      <c r="D24" s="21" t="s">
        <v>48</v>
      </c>
      <c r="E24" s="44"/>
      <c r="F24" s="44"/>
      <c r="G24" s="44" t="s">
        <v>282</v>
      </c>
      <c r="H24" s="44"/>
      <c r="I24" s="23"/>
      <c r="J24" s="23"/>
      <c r="K24" s="23"/>
      <c r="L24" s="23"/>
      <c r="M24" s="23"/>
      <c r="N24" s="23"/>
      <c r="O24" s="23"/>
      <c r="P24" s="23"/>
      <c r="Q24" s="23"/>
    </row>
    <row r="25" spans="2:17" s="3" customFormat="1">
      <c r="B25" s="23" t="s">
        <v>49</v>
      </c>
      <c r="C25" s="24" t="s">
        <v>43</v>
      </c>
      <c r="D25" s="21" t="s">
        <v>50</v>
      </c>
      <c r="E25" s="44"/>
      <c r="F25" s="44"/>
      <c r="G25" s="44" t="s">
        <v>282</v>
      </c>
      <c r="H25" s="44"/>
      <c r="I25" s="23"/>
      <c r="J25" s="23"/>
      <c r="K25" s="23"/>
      <c r="L25" s="23"/>
      <c r="M25" s="23"/>
      <c r="N25" s="23"/>
      <c r="O25" s="23"/>
      <c r="P25" s="23"/>
      <c r="Q25" s="23"/>
    </row>
  </sheetData>
  <mergeCells count="5">
    <mergeCell ref="B2:H2"/>
    <mergeCell ref="B3:H3"/>
    <mergeCell ref="B7:H7"/>
    <mergeCell ref="F9:F11"/>
    <mergeCell ref="B14:L14"/>
  </mergeCells>
  <phoneticPr fontId="16" type="noConversion"/>
  <pageMargins left="0.7" right="0.7" top="0.75" bottom="0.75" header="0.3" footer="0.3"/>
  <pageSetup paperSize="9"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6145-6B02-40AC-8631-368848274C53}">
  <dimension ref="A1:Q55"/>
  <sheetViews>
    <sheetView zoomScale="85" zoomScaleNormal="85" workbookViewId="0">
      <pane ySplit="5" topLeftCell="A6" activePane="bottomLeft" state="frozen"/>
      <selection activeCell="B29" sqref="B29"/>
      <selection pane="bottomLeft" activeCell="C9" sqref="C9:D16"/>
    </sheetView>
  </sheetViews>
  <sheetFormatPr defaultColWidth="9" defaultRowHeight="13.2"/>
  <cols>
    <col min="1" max="1" width="1.33203125" style="4" customWidth="1"/>
    <col min="2" max="2" width="36.109375" style="4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customWidth="1"/>
    <col min="10" max="10" width="8.109375" style="4" customWidth="1"/>
    <col min="11" max="11" width="8.44140625" style="4" customWidth="1"/>
    <col min="12" max="12" width="13.5546875" style="4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2747</v>
      </c>
      <c r="C5" s="9" t="s">
        <v>2911</v>
      </c>
      <c r="D5" s="10" t="s">
        <v>2912</v>
      </c>
      <c r="E5" s="11" t="s">
        <v>1168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>
      <c r="B9" s="11"/>
      <c r="C9" s="9" t="s">
        <v>2913</v>
      </c>
      <c r="D9" s="10" t="s">
        <v>2904</v>
      </c>
      <c r="E9" s="11" t="s">
        <v>55</v>
      </c>
      <c r="F9" s="84"/>
      <c r="G9" s="132" t="s">
        <v>2980</v>
      </c>
      <c r="H9" s="14" t="s">
        <v>17</v>
      </c>
    </row>
    <row r="10" spans="2:14">
      <c r="B10" s="11"/>
      <c r="C10" s="9" t="s">
        <v>73</v>
      </c>
      <c r="D10" s="10" t="s">
        <v>1616</v>
      </c>
      <c r="E10" s="11" t="s">
        <v>256</v>
      </c>
      <c r="F10" s="84"/>
      <c r="G10" s="133"/>
      <c r="H10" s="14" t="s">
        <v>17</v>
      </c>
    </row>
    <row r="11" spans="2:14">
      <c r="B11" s="11"/>
      <c r="C11" s="9" t="s">
        <v>2905</v>
      </c>
      <c r="D11" s="9" t="s">
        <v>2906</v>
      </c>
      <c r="E11" s="11" t="s">
        <v>271</v>
      </c>
      <c r="F11" s="84"/>
      <c r="G11" s="133"/>
      <c r="H11" s="14"/>
    </row>
    <row r="12" spans="2:14">
      <c r="B12" s="11"/>
      <c r="C12" s="9" t="s">
        <v>2907</v>
      </c>
      <c r="D12" s="10" t="s">
        <v>2908</v>
      </c>
      <c r="E12" s="11" t="s">
        <v>996</v>
      </c>
      <c r="F12" s="84"/>
      <c r="G12" s="133"/>
      <c r="H12" s="10"/>
    </row>
    <row r="13" spans="2:14">
      <c r="B13" s="11"/>
      <c r="C13" s="9" t="s">
        <v>2896</v>
      </c>
      <c r="D13" s="10" t="s">
        <v>1318</v>
      </c>
      <c r="E13" s="11" t="s">
        <v>2914</v>
      </c>
      <c r="F13" s="84"/>
      <c r="G13" s="133"/>
      <c r="H13" s="14"/>
    </row>
    <row r="14" spans="2:14">
      <c r="B14" s="11"/>
      <c r="C14" s="26" t="s">
        <v>2902</v>
      </c>
      <c r="D14" s="9" t="s">
        <v>2903</v>
      </c>
      <c r="E14" s="11" t="s">
        <v>2915</v>
      </c>
      <c r="F14" s="84"/>
      <c r="G14" s="133"/>
      <c r="H14" s="14"/>
    </row>
    <row r="15" spans="2:14">
      <c r="B15" s="11"/>
      <c r="C15" s="26" t="s">
        <v>2438</v>
      </c>
      <c r="D15" s="9" t="s">
        <v>2449</v>
      </c>
      <c r="E15" s="11" t="s">
        <v>2916</v>
      </c>
      <c r="F15" s="84"/>
      <c r="G15" s="133"/>
      <c r="H15" s="14"/>
    </row>
    <row r="16" spans="2:14">
      <c r="B16" s="11"/>
      <c r="C16" s="9" t="s">
        <v>2909</v>
      </c>
      <c r="D16" s="10" t="s">
        <v>2910</v>
      </c>
      <c r="E16" s="11" t="s">
        <v>2917</v>
      </c>
      <c r="F16" s="84"/>
      <c r="G16" s="134"/>
      <c r="H16" s="14"/>
    </row>
    <row r="17" spans="2:12">
      <c r="B17" s="4" t="s">
        <v>32</v>
      </c>
    </row>
    <row r="18" spans="2:12">
      <c r="B18" s="124" t="s">
        <v>32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</row>
    <row r="19" spans="2:12">
      <c r="B19" s="7" t="s">
        <v>33</v>
      </c>
      <c r="C19" s="7" t="s">
        <v>34</v>
      </c>
      <c r="D19" s="7" t="s">
        <v>35</v>
      </c>
      <c r="E19" s="7" t="s">
        <v>36</v>
      </c>
      <c r="F19" s="12" t="s">
        <v>37</v>
      </c>
      <c r="G19" s="12" t="s">
        <v>38</v>
      </c>
      <c r="H19" s="7" t="s">
        <v>39</v>
      </c>
      <c r="I19" s="7" t="s">
        <v>14</v>
      </c>
      <c r="J19" s="7" t="s">
        <v>40</v>
      </c>
      <c r="K19" s="7" t="s">
        <v>41</v>
      </c>
      <c r="L19" s="7" t="s">
        <v>42</v>
      </c>
    </row>
    <row r="20" spans="2:12" s="1" customFormat="1">
      <c r="B20" s="22" t="s">
        <v>2919</v>
      </c>
      <c r="C20" s="22" t="s">
        <v>46</v>
      </c>
      <c r="D20" s="9" t="s">
        <v>137</v>
      </c>
      <c r="E20" s="16"/>
      <c r="F20" s="17" t="s">
        <v>138</v>
      </c>
      <c r="G20" s="84" t="s">
        <v>129</v>
      </c>
      <c r="H20" s="18"/>
      <c r="I20" s="19"/>
      <c r="J20" s="19" t="s">
        <v>131</v>
      </c>
      <c r="K20" s="19" t="s">
        <v>132</v>
      </c>
      <c r="L20" s="20" t="s">
        <v>132</v>
      </c>
    </row>
    <row r="21" spans="2:12" s="1" customFormat="1">
      <c r="B21" s="22" t="s">
        <v>2983</v>
      </c>
      <c r="C21" s="22" t="s">
        <v>43</v>
      </c>
      <c r="D21" s="9" t="s">
        <v>522</v>
      </c>
      <c r="E21" s="16" t="s">
        <v>1617</v>
      </c>
      <c r="F21" s="17" t="s">
        <v>318</v>
      </c>
      <c r="G21" s="84" t="s">
        <v>129</v>
      </c>
      <c r="H21" s="18"/>
      <c r="I21" s="19"/>
      <c r="J21" s="19" t="s">
        <v>131</v>
      </c>
      <c r="K21" s="19" t="s">
        <v>132</v>
      </c>
      <c r="L21" s="20" t="s">
        <v>132</v>
      </c>
    </row>
    <row r="22" spans="2:12" s="1" customFormat="1">
      <c r="B22" s="22" t="s">
        <v>1168</v>
      </c>
      <c r="C22" s="22" t="s">
        <v>43</v>
      </c>
      <c r="D22" s="9" t="s">
        <v>96</v>
      </c>
      <c r="E22" s="16"/>
      <c r="F22" s="17" t="s">
        <v>118</v>
      </c>
      <c r="G22" s="84" t="s">
        <v>129</v>
      </c>
      <c r="H22" s="18"/>
      <c r="I22" s="19"/>
      <c r="J22" s="19" t="s">
        <v>131</v>
      </c>
      <c r="K22" s="19" t="s">
        <v>132</v>
      </c>
      <c r="L22" s="20" t="s">
        <v>132</v>
      </c>
    </row>
    <row r="23" spans="2:12" s="1" customFormat="1" ht="52.8">
      <c r="B23" s="22" t="s">
        <v>2920</v>
      </c>
      <c r="C23" s="22" t="s">
        <v>43</v>
      </c>
      <c r="D23" s="9" t="s">
        <v>2950</v>
      </c>
      <c r="E23" s="16" t="s">
        <v>2981</v>
      </c>
      <c r="F23" s="17"/>
      <c r="G23" s="84" t="s">
        <v>2982</v>
      </c>
      <c r="H23" s="18"/>
      <c r="I23" s="19"/>
      <c r="J23" s="19" t="s">
        <v>131</v>
      </c>
      <c r="K23" s="19" t="s">
        <v>132</v>
      </c>
      <c r="L23" s="20" t="s">
        <v>132</v>
      </c>
    </row>
    <row r="24" spans="2:12" s="1" customFormat="1">
      <c r="B24" s="22" t="s">
        <v>2921</v>
      </c>
      <c r="C24" s="22" t="s">
        <v>43</v>
      </c>
      <c r="D24" s="9" t="s">
        <v>2952</v>
      </c>
      <c r="E24" s="16" t="s">
        <v>1617</v>
      </c>
      <c r="F24" s="17" t="s">
        <v>318</v>
      </c>
      <c r="H24" s="18"/>
      <c r="I24" s="19"/>
      <c r="J24" s="19" t="s">
        <v>131</v>
      </c>
      <c r="K24" s="19" t="s">
        <v>132</v>
      </c>
      <c r="L24" s="20" t="s">
        <v>132</v>
      </c>
    </row>
    <row r="25" spans="2:12" s="1" customFormat="1">
      <c r="B25" s="22" t="s">
        <v>2984</v>
      </c>
      <c r="C25" s="22" t="s">
        <v>46</v>
      </c>
      <c r="D25" s="9" t="s">
        <v>1923</v>
      </c>
      <c r="E25" s="16" t="s">
        <v>1617</v>
      </c>
      <c r="F25" s="17" t="s">
        <v>123</v>
      </c>
      <c r="G25" s="84"/>
      <c r="H25" s="18"/>
      <c r="I25" s="19"/>
      <c r="J25" s="19" t="s">
        <v>131</v>
      </c>
      <c r="K25" s="19" t="s">
        <v>132</v>
      </c>
      <c r="L25" s="20" t="s">
        <v>132</v>
      </c>
    </row>
    <row r="26" spans="2:12" s="1" customFormat="1" ht="158.4">
      <c r="B26" s="22" t="s">
        <v>2923</v>
      </c>
      <c r="C26" s="22" t="s">
        <v>43</v>
      </c>
      <c r="D26" s="9" t="s">
        <v>2954</v>
      </c>
      <c r="E26" s="16" t="s">
        <v>2981</v>
      </c>
      <c r="F26" s="17"/>
      <c r="G26" s="84" t="s">
        <v>2992</v>
      </c>
      <c r="H26" s="18"/>
      <c r="I26" s="19"/>
      <c r="J26" s="19" t="s">
        <v>131</v>
      </c>
      <c r="K26" s="19" t="s">
        <v>132</v>
      </c>
      <c r="L26" s="20" t="s">
        <v>132</v>
      </c>
    </row>
    <row r="27" spans="2:12" s="1" customFormat="1">
      <c r="B27" s="22" t="s">
        <v>3254</v>
      </c>
      <c r="C27" s="22" t="s">
        <v>43</v>
      </c>
      <c r="D27" s="9" t="s">
        <v>114</v>
      </c>
      <c r="E27" s="16" t="s">
        <v>2981</v>
      </c>
      <c r="F27" s="17" t="s">
        <v>95</v>
      </c>
      <c r="G27" s="84" t="s">
        <v>129</v>
      </c>
      <c r="H27" s="18"/>
      <c r="I27" s="19"/>
      <c r="J27" s="19" t="s">
        <v>131</v>
      </c>
      <c r="K27" s="19" t="s">
        <v>132</v>
      </c>
      <c r="L27" s="20" t="s">
        <v>132</v>
      </c>
    </row>
    <row r="28" spans="2:12" s="1" customFormat="1">
      <c r="B28" s="22" t="s">
        <v>2925</v>
      </c>
      <c r="C28" s="22" t="s">
        <v>43</v>
      </c>
      <c r="D28" s="9" t="s">
        <v>2951</v>
      </c>
      <c r="E28" s="16" t="s">
        <v>1617</v>
      </c>
      <c r="F28" s="84" t="s">
        <v>2985</v>
      </c>
      <c r="G28" s="84" t="s">
        <v>129</v>
      </c>
      <c r="H28" s="18"/>
      <c r="I28" s="19"/>
      <c r="J28" s="19" t="s">
        <v>131</v>
      </c>
      <c r="K28" s="19" t="s">
        <v>132</v>
      </c>
      <c r="L28" s="20" t="s">
        <v>132</v>
      </c>
    </row>
    <row r="29" spans="2:12" s="1" customFormat="1">
      <c r="B29" s="22" t="s">
        <v>2926</v>
      </c>
      <c r="C29" s="22" t="s">
        <v>46</v>
      </c>
      <c r="D29" s="9" t="s">
        <v>2955</v>
      </c>
      <c r="E29" s="16"/>
      <c r="F29" s="17"/>
      <c r="G29" s="84" t="s">
        <v>2988</v>
      </c>
      <c r="H29" s="18"/>
      <c r="I29" s="19"/>
      <c r="J29" s="19" t="s">
        <v>133</v>
      </c>
      <c r="K29" s="19" t="s">
        <v>132</v>
      </c>
      <c r="L29" s="20">
        <v>1</v>
      </c>
    </row>
    <row r="30" spans="2:12" s="1" customFormat="1">
      <c r="B30" s="22" t="s">
        <v>2927</v>
      </c>
      <c r="C30" s="22" t="s">
        <v>46</v>
      </c>
      <c r="D30" s="9" t="s">
        <v>2956</v>
      </c>
      <c r="E30" s="16"/>
      <c r="F30" s="17"/>
      <c r="G30" s="84" t="s">
        <v>2988</v>
      </c>
      <c r="H30" s="18"/>
      <c r="I30" s="19"/>
      <c r="J30" s="19" t="s">
        <v>133</v>
      </c>
      <c r="K30" s="19" t="s">
        <v>132</v>
      </c>
      <c r="L30" s="20">
        <v>1</v>
      </c>
    </row>
    <row r="31" spans="2:12" s="1" customFormat="1" ht="39.6">
      <c r="B31" s="22" t="s">
        <v>2928</v>
      </c>
      <c r="C31" s="22" t="s">
        <v>46</v>
      </c>
      <c r="D31" s="9" t="s">
        <v>2957</v>
      </c>
      <c r="E31" s="16" t="s">
        <v>128</v>
      </c>
      <c r="F31" s="17"/>
      <c r="G31" s="84" t="s">
        <v>2989</v>
      </c>
      <c r="H31" s="18"/>
      <c r="I31" s="19"/>
      <c r="J31" s="19" t="s">
        <v>133</v>
      </c>
      <c r="K31" s="19" t="s">
        <v>132</v>
      </c>
      <c r="L31" s="20" t="s">
        <v>281</v>
      </c>
    </row>
    <row r="32" spans="2:12" s="1" customFormat="1" ht="39.6">
      <c r="B32" s="22" t="s">
        <v>2929</v>
      </c>
      <c r="C32" s="22" t="s">
        <v>46</v>
      </c>
      <c r="D32" s="9" t="s">
        <v>2958</v>
      </c>
      <c r="E32" s="16" t="s">
        <v>128</v>
      </c>
      <c r="F32" s="17"/>
      <c r="G32" s="84" t="s">
        <v>2990</v>
      </c>
      <c r="H32" s="18"/>
      <c r="I32" s="19"/>
      <c r="J32" s="19" t="s">
        <v>133</v>
      </c>
      <c r="K32" s="19" t="s">
        <v>132</v>
      </c>
      <c r="L32" s="20" t="s">
        <v>281</v>
      </c>
    </row>
    <row r="33" spans="2:12" s="1" customFormat="1">
      <c r="B33" s="22" t="s">
        <v>2930</v>
      </c>
      <c r="C33" s="22" t="s">
        <v>46</v>
      </c>
      <c r="D33" s="9" t="s">
        <v>2959</v>
      </c>
      <c r="E33" s="16" t="s">
        <v>271</v>
      </c>
      <c r="F33" s="17"/>
      <c r="G33" s="84" t="s">
        <v>2991</v>
      </c>
      <c r="H33" s="18"/>
      <c r="I33" s="19"/>
      <c r="J33" s="19" t="s">
        <v>133</v>
      </c>
      <c r="K33" s="19" t="s">
        <v>132</v>
      </c>
      <c r="L33" s="20" t="s">
        <v>281</v>
      </c>
    </row>
    <row r="34" spans="2:12" s="1" customFormat="1">
      <c r="B34" s="22" t="s">
        <v>2931</v>
      </c>
      <c r="C34" s="22" t="s">
        <v>46</v>
      </c>
      <c r="D34" s="9" t="s">
        <v>2960</v>
      </c>
      <c r="E34" s="16" t="s">
        <v>996</v>
      </c>
      <c r="F34" s="17"/>
      <c r="G34" s="84" t="s">
        <v>2991</v>
      </c>
      <c r="H34" s="18"/>
      <c r="I34" s="19"/>
      <c r="J34" s="19" t="s">
        <v>133</v>
      </c>
      <c r="K34" s="19" t="s">
        <v>132</v>
      </c>
      <c r="L34" s="20" t="s">
        <v>281</v>
      </c>
    </row>
    <row r="35" spans="2:12" s="1" customFormat="1">
      <c r="B35" s="22" t="s">
        <v>2932</v>
      </c>
      <c r="C35" s="22" t="s">
        <v>46</v>
      </c>
      <c r="D35" s="9" t="s">
        <v>2961</v>
      </c>
      <c r="E35" s="16"/>
      <c r="F35" s="17"/>
      <c r="G35" s="84" t="s">
        <v>1789</v>
      </c>
      <c r="H35" s="18"/>
      <c r="I35" s="19"/>
      <c r="J35" s="19" t="s">
        <v>133</v>
      </c>
      <c r="K35" s="19" t="s">
        <v>132</v>
      </c>
      <c r="L35" s="20">
        <v>0</v>
      </c>
    </row>
    <row r="36" spans="2:12" s="1" customFormat="1">
      <c r="B36" s="22" t="s">
        <v>2933</v>
      </c>
      <c r="C36" s="22" t="s">
        <v>46</v>
      </c>
      <c r="D36" s="9" t="s">
        <v>2962</v>
      </c>
      <c r="E36" s="16"/>
      <c r="F36" s="17"/>
      <c r="G36" s="84" t="s">
        <v>1789</v>
      </c>
      <c r="H36" s="18"/>
      <c r="I36" s="19"/>
      <c r="J36" s="19" t="s">
        <v>133</v>
      </c>
      <c r="K36" s="19" t="s">
        <v>132</v>
      </c>
      <c r="L36" s="20">
        <v>0</v>
      </c>
    </row>
    <row r="37" spans="2:12" s="1" customFormat="1">
      <c r="B37" s="22" t="s">
        <v>2934</v>
      </c>
      <c r="C37" s="22" t="s">
        <v>46</v>
      </c>
      <c r="D37" s="9" t="s">
        <v>2963</v>
      </c>
      <c r="E37" s="16"/>
      <c r="F37" s="17"/>
      <c r="G37" s="84" t="s">
        <v>1789</v>
      </c>
      <c r="H37" s="18"/>
      <c r="I37" s="19"/>
      <c r="J37" s="19" t="s">
        <v>133</v>
      </c>
      <c r="K37" s="19" t="s">
        <v>132</v>
      </c>
      <c r="L37" s="20">
        <v>0</v>
      </c>
    </row>
    <row r="38" spans="2:12" s="1" customFormat="1">
      <c r="B38" s="22" t="s">
        <v>2935</v>
      </c>
      <c r="C38" s="22" t="s">
        <v>46</v>
      </c>
      <c r="D38" s="9" t="s">
        <v>2964</v>
      </c>
      <c r="E38" s="16" t="s">
        <v>2917</v>
      </c>
      <c r="F38" s="17"/>
      <c r="G38" s="84" t="s">
        <v>2991</v>
      </c>
      <c r="H38" s="18"/>
      <c r="I38" s="19"/>
      <c r="J38" s="19" t="s">
        <v>133</v>
      </c>
      <c r="K38" s="19" t="s">
        <v>132</v>
      </c>
      <c r="L38" s="20" t="s">
        <v>281</v>
      </c>
    </row>
    <row r="39" spans="2:12" s="1" customFormat="1">
      <c r="B39" s="22" t="s">
        <v>3253</v>
      </c>
      <c r="C39" s="22" t="s">
        <v>46</v>
      </c>
      <c r="D39" s="9" t="s">
        <v>2965</v>
      </c>
      <c r="E39" s="16" t="s">
        <v>2914</v>
      </c>
      <c r="F39" s="17"/>
      <c r="G39" s="84" t="s">
        <v>2991</v>
      </c>
      <c r="H39" s="18"/>
      <c r="I39" s="19"/>
      <c r="J39" s="19" t="s">
        <v>133</v>
      </c>
      <c r="K39" s="19" t="s">
        <v>132</v>
      </c>
      <c r="L39" s="20" t="s">
        <v>281</v>
      </c>
    </row>
    <row r="40" spans="2:12" s="1" customFormat="1">
      <c r="B40" s="22" t="s">
        <v>2936</v>
      </c>
      <c r="C40" s="22" t="s">
        <v>46</v>
      </c>
      <c r="D40" s="9" t="s">
        <v>2966</v>
      </c>
      <c r="E40" s="16" t="s">
        <v>2915</v>
      </c>
      <c r="F40" s="17"/>
      <c r="G40" s="84" t="s">
        <v>2991</v>
      </c>
      <c r="H40" s="18"/>
      <c r="I40" s="19"/>
      <c r="J40" s="19" t="s">
        <v>133</v>
      </c>
      <c r="K40" s="19" t="s">
        <v>132</v>
      </c>
      <c r="L40" s="20" t="s">
        <v>281</v>
      </c>
    </row>
    <row r="41" spans="2:12" s="1" customFormat="1">
      <c r="B41" s="22" t="s">
        <v>2937</v>
      </c>
      <c r="C41" s="22" t="s">
        <v>46</v>
      </c>
      <c r="D41" s="9" t="s">
        <v>2967</v>
      </c>
      <c r="E41" s="16" t="s">
        <v>2916</v>
      </c>
      <c r="F41" s="17"/>
      <c r="G41" s="84" t="s">
        <v>2991</v>
      </c>
      <c r="H41" s="18"/>
      <c r="I41" s="19"/>
      <c r="J41" s="19" t="s">
        <v>133</v>
      </c>
      <c r="K41" s="19" t="s">
        <v>132</v>
      </c>
      <c r="L41" s="20" t="s">
        <v>281</v>
      </c>
    </row>
    <row r="42" spans="2:12" s="1" customFormat="1">
      <c r="B42" s="22" t="s">
        <v>2938</v>
      </c>
      <c r="C42" s="22" t="s">
        <v>46</v>
      </c>
      <c r="D42" s="9" t="s">
        <v>2968</v>
      </c>
      <c r="E42" s="16"/>
      <c r="F42" s="17"/>
      <c r="G42" s="84" t="s">
        <v>1789</v>
      </c>
      <c r="H42" s="18"/>
      <c r="I42" s="19"/>
      <c r="J42" s="19" t="s">
        <v>133</v>
      </c>
      <c r="K42" s="19" t="s">
        <v>132</v>
      </c>
      <c r="L42" s="20">
        <v>0</v>
      </c>
    </row>
    <row r="43" spans="2:12" s="1" customFormat="1">
      <c r="B43" s="22" t="s">
        <v>2939</v>
      </c>
      <c r="C43" s="22" t="s">
        <v>46</v>
      </c>
      <c r="D43" s="9" t="s">
        <v>2969</v>
      </c>
      <c r="E43" s="16"/>
      <c r="F43" s="17"/>
      <c r="G43" s="84" t="s">
        <v>1789</v>
      </c>
      <c r="H43" s="18"/>
      <c r="I43" s="19"/>
      <c r="J43" s="19" t="s">
        <v>133</v>
      </c>
      <c r="K43" s="19" t="s">
        <v>132</v>
      </c>
      <c r="L43" s="20">
        <v>0</v>
      </c>
    </row>
    <row r="44" spans="2:12" s="1" customFormat="1">
      <c r="B44" s="22" t="s">
        <v>2940</v>
      </c>
      <c r="C44" s="22" t="s">
        <v>46</v>
      </c>
      <c r="D44" s="9" t="s">
        <v>2970</v>
      </c>
      <c r="E44" s="16"/>
      <c r="F44" s="17"/>
      <c r="G44" s="84" t="s">
        <v>1789</v>
      </c>
      <c r="H44" s="18"/>
      <c r="I44" s="19"/>
      <c r="J44" s="19" t="s">
        <v>133</v>
      </c>
      <c r="K44" s="19" t="s">
        <v>132</v>
      </c>
      <c r="L44" s="20">
        <v>0</v>
      </c>
    </row>
    <row r="45" spans="2:12" s="1" customFormat="1">
      <c r="B45" s="22" t="s">
        <v>2941</v>
      </c>
      <c r="C45" s="22" t="s">
        <v>46</v>
      </c>
      <c r="D45" s="9" t="s">
        <v>2971</v>
      </c>
      <c r="E45" s="16"/>
      <c r="F45" s="17"/>
      <c r="G45" s="84" t="s">
        <v>1789</v>
      </c>
      <c r="H45" s="18"/>
      <c r="I45" s="19"/>
      <c r="J45" s="19" t="s">
        <v>133</v>
      </c>
      <c r="K45" s="19" t="s">
        <v>132</v>
      </c>
      <c r="L45" s="20">
        <v>0</v>
      </c>
    </row>
    <row r="46" spans="2:12" s="1" customFormat="1">
      <c r="B46" s="22" t="s">
        <v>2942</v>
      </c>
      <c r="C46" s="22" t="s">
        <v>46</v>
      </c>
      <c r="D46" s="9" t="s">
        <v>2972</v>
      </c>
      <c r="E46" s="16"/>
      <c r="F46" s="17"/>
      <c r="G46" s="84" t="s">
        <v>1789</v>
      </c>
      <c r="H46" s="18"/>
      <c r="I46" s="19"/>
      <c r="J46" s="19" t="s">
        <v>133</v>
      </c>
      <c r="K46" s="19" t="s">
        <v>132</v>
      </c>
      <c r="L46" s="20">
        <v>0</v>
      </c>
    </row>
    <row r="47" spans="2:12" s="1" customFormat="1">
      <c r="B47" s="22" t="s">
        <v>2943</v>
      </c>
      <c r="C47" s="22" t="s">
        <v>46</v>
      </c>
      <c r="D47" s="9" t="s">
        <v>2973</v>
      </c>
      <c r="E47" s="16"/>
      <c r="F47" s="17"/>
      <c r="G47" s="84" t="s">
        <v>1789</v>
      </c>
      <c r="H47" s="18"/>
      <c r="I47" s="19"/>
      <c r="J47" s="19" t="s">
        <v>133</v>
      </c>
      <c r="K47" s="19" t="s">
        <v>132</v>
      </c>
      <c r="L47" s="20">
        <v>0</v>
      </c>
    </row>
    <row r="48" spans="2:12" s="1" customFormat="1">
      <c r="B48" s="22" t="s">
        <v>2944</v>
      </c>
      <c r="C48" s="22" t="s">
        <v>46</v>
      </c>
      <c r="D48" s="9" t="s">
        <v>2974</v>
      </c>
      <c r="E48" s="16"/>
      <c r="F48" s="17"/>
      <c r="G48" s="84" t="s">
        <v>1789</v>
      </c>
      <c r="H48" s="18"/>
      <c r="I48" s="19"/>
      <c r="J48" s="19" t="s">
        <v>133</v>
      </c>
      <c r="K48" s="19" t="s">
        <v>132</v>
      </c>
      <c r="L48" s="20">
        <v>0</v>
      </c>
    </row>
    <row r="49" spans="2:17" s="1" customFormat="1">
      <c r="B49" s="22" t="s">
        <v>2945</v>
      </c>
      <c r="C49" s="22" t="s">
        <v>46</v>
      </c>
      <c r="D49" s="9" t="s">
        <v>2975</v>
      </c>
      <c r="E49" s="16"/>
      <c r="F49" s="17"/>
      <c r="G49" s="84" t="s">
        <v>1789</v>
      </c>
      <c r="H49" s="18"/>
      <c r="I49" s="19"/>
      <c r="J49" s="19" t="s">
        <v>133</v>
      </c>
      <c r="K49" s="19" t="s">
        <v>132</v>
      </c>
      <c r="L49" s="20">
        <v>0</v>
      </c>
    </row>
    <row r="50" spans="2:17" s="1" customFormat="1">
      <c r="B50" s="22" t="s">
        <v>2946</v>
      </c>
      <c r="C50" s="22" t="s">
        <v>46</v>
      </c>
      <c r="D50" s="9" t="s">
        <v>2976</v>
      </c>
      <c r="E50" s="16"/>
      <c r="F50" s="17"/>
      <c r="G50" s="84" t="s">
        <v>1789</v>
      </c>
      <c r="H50" s="18"/>
      <c r="I50" s="19"/>
      <c r="J50" s="19" t="s">
        <v>133</v>
      </c>
      <c r="K50" s="19" t="s">
        <v>132</v>
      </c>
      <c r="L50" s="20">
        <v>0</v>
      </c>
    </row>
    <row r="51" spans="2:17" s="1" customFormat="1">
      <c r="B51" s="22" t="s">
        <v>2947</v>
      </c>
      <c r="C51" s="22" t="s">
        <v>46</v>
      </c>
      <c r="D51" s="9" t="s">
        <v>2977</v>
      </c>
      <c r="E51" s="16"/>
      <c r="F51" s="17"/>
      <c r="G51" s="84" t="s">
        <v>1789</v>
      </c>
      <c r="H51" s="18"/>
      <c r="I51" s="19"/>
      <c r="J51" s="19" t="s">
        <v>133</v>
      </c>
      <c r="K51" s="19" t="s">
        <v>132</v>
      </c>
      <c r="L51" s="20">
        <v>0</v>
      </c>
    </row>
    <row r="52" spans="2:17" s="1" customFormat="1">
      <c r="B52" s="22" t="s">
        <v>2948</v>
      </c>
      <c r="C52" s="22" t="s">
        <v>43</v>
      </c>
      <c r="D52" s="9" t="s">
        <v>2978</v>
      </c>
      <c r="E52" s="16" t="s">
        <v>1617</v>
      </c>
      <c r="F52" s="17" t="s">
        <v>2986</v>
      </c>
      <c r="G52" s="84" t="s">
        <v>129</v>
      </c>
      <c r="H52" s="18"/>
      <c r="I52" s="19"/>
      <c r="J52" s="19" t="s">
        <v>133</v>
      </c>
      <c r="K52" s="19" t="s">
        <v>132</v>
      </c>
      <c r="L52" s="20" t="s">
        <v>132</v>
      </c>
    </row>
    <row r="53" spans="2:17" s="1" customFormat="1" ht="26.4">
      <c r="B53" s="22" t="s">
        <v>1294</v>
      </c>
      <c r="C53" s="22" t="s">
        <v>56</v>
      </c>
      <c r="D53" s="9" t="s">
        <v>2979</v>
      </c>
      <c r="E53" s="16" t="s">
        <v>128</v>
      </c>
      <c r="F53" s="17"/>
      <c r="G53" s="84" t="s">
        <v>2987</v>
      </c>
      <c r="H53" s="18"/>
      <c r="I53" s="19"/>
      <c r="J53" s="19" t="s">
        <v>133</v>
      </c>
      <c r="K53" s="19" t="s">
        <v>2993</v>
      </c>
      <c r="L53" s="20" t="s">
        <v>134</v>
      </c>
    </row>
    <row r="54" spans="2:17" s="3" customFormat="1">
      <c r="B54" s="23" t="s">
        <v>47</v>
      </c>
      <c r="C54" s="24" t="s">
        <v>46</v>
      </c>
      <c r="D54" s="21" t="s">
        <v>48</v>
      </c>
      <c r="E54" s="44"/>
      <c r="F54" s="44"/>
      <c r="G54" s="44" t="s">
        <v>282</v>
      </c>
      <c r="H54" s="44"/>
      <c r="I54" s="23"/>
      <c r="J54" s="23"/>
      <c r="K54" s="23"/>
      <c r="L54" s="117"/>
      <c r="M54" s="23"/>
      <c r="N54" s="23"/>
      <c r="O54" s="23"/>
      <c r="P54" s="23"/>
      <c r="Q54" s="23"/>
    </row>
    <row r="55" spans="2:17" s="3" customFormat="1">
      <c r="B55" s="23" t="s">
        <v>49</v>
      </c>
      <c r="C55" s="24" t="s">
        <v>43</v>
      </c>
      <c r="D55" s="21" t="s">
        <v>50</v>
      </c>
      <c r="E55" s="44"/>
      <c r="F55" s="44"/>
      <c r="G55" s="44" t="s">
        <v>282</v>
      </c>
      <c r="H55" s="44"/>
      <c r="I55" s="23"/>
      <c r="J55" s="23"/>
      <c r="K55" s="23"/>
      <c r="L55" s="117"/>
      <c r="M55" s="23"/>
      <c r="N55" s="23"/>
      <c r="O55" s="23"/>
      <c r="P55" s="23"/>
      <c r="Q55" s="23"/>
    </row>
  </sheetData>
  <mergeCells count="5">
    <mergeCell ref="B2:H2"/>
    <mergeCell ref="B3:H3"/>
    <mergeCell ref="B7:H7"/>
    <mergeCell ref="B18:L18"/>
    <mergeCell ref="G9:G16"/>
  </mergeCells>
  <phoneticPr fontId="16" type="noConversion"/>
  <pageMargins left="0.7" right="0.7" top="0.75" bottom="0.75" header="0.3" footer="0.3"/>
  <pageSetup paperSize="9"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3372-7674-4F0F-A8CB-EFB459A9A766}">
  <dimension ref="A1:Q29"/>
  <sheetViews>
    <sheetView zoomScale="85" zoomScaleNormal="85" workbookViewId="0">
      <pane ySplit="5" topLeftCell="A6" activePane="bottomLeft" state="frozen"/>
      <selection activeCell="B29" sqref="B29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customWidth="1"/>
    <col min="3" max="3" width="23.77734375" style="4" customWidth="1"/>
    <col min="4" max="4" width="32.21875" style="4" customWidth="1"/>
    <col min="5" max="5" width="10.109375" style="4" customWidth="1"/>
    <col min="6" max="6" width="17.5546875" style="4" customWidth="1"/>
    <col min="7" max="7" width="50.77734375" style="4" customWidth="1"/>
    <col min="8" max="8" width="14.44140625" style="4" customWidth="1"/>
    <col min="9" max="9" width="19.6640625" style="4" customWidth="1"/>
    <col min="10" max="10" width="8.109375" style="4" customWidth="1"/>
    <col min="11" max="11" width="8.44140625" style="4" customWidth="1"/>
    <col min="12" max="12" width="13.5546875" style="4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2747</v>
      </c>
      <c r="C5" s="9" t="s">
        <v>2994</v>
      </c>
      <c r="D5" s="10" t="s">
        <v>2999</v>
      </c>
      <c r="E5" s="11" t="s">
        <v>1168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 ht="39.6">
      <c r="B9" s="11"/>
      <c r="C9" s="9" t="s">
        <v>2911</v>
      </c>
      <c r="D9" s="10" t="s">
        <v>2912</v>
      </c>
      <c r="E9" s="11" t="s">
        <v>55</v>
      </c>
      <c r="F9" s="84" t="s">
        <v>3005</v>
      </c>
      <c r="G9" s="13" t="s">
        <v>3004</v>
      </c>
      <c r="H9" s="14" t="s">
        <v>17</v>
      </c>
    </row>
    <row r="10" spans="2:14">
      <c r="B10" s="4" t="s">
        <v>32</v>
      </c>
    </row>
    <row r="11" spans="2:14">
      <c r="B11" s="124" t="s">
        <v>32</v>
      </c>
      <c r="C11" s="124"/>
      <c r="D11" s="124"/>
      <c r="E11" s="124"/>
      <c r="F11" s="124"/>
      <c r="G11" s="124"/>
      <c r="H11" s="124"/>
      <c r="I11" s="124"/>
      <c r="J11" s="124"/>
      <c r="K11" s="124"/>
      <c r="L11" s="124"/>
    </row>
    <row r="12" spans="2:14">
      <c r="B12" s="7" t="s">
        <v>33</v>
      </c>
      <c r="C12" s="7" t="s">
        <v>34</v>
      </c>
      <c r="D12" s="7" t="s">
        <v>35</v>
      </c>
      <c r="E12" s="7" t="s">
        <v>36</v>
      </c>
      <c r="F12" s="12" t="s">
        <v>37</v>
      </c>
      <c r="G12" s="12" t="s">
        <v>38</v>
      </c>
      <c r="H12" s="7" t="s">
        <v>39</v>
      </c>
      <c r="I12" s="7" t="s">
        <v>14</v>
      </c>
      <c r="J12" s="7" t="s">
        <v>40</v>
      </c>
      <c r="K12" s="7" t="s">
        <v>41</v>
      </c>
      <c r="L12" s="7" t="s">
        <v>42</v>
      </c>
    </row>
    <row r="13" spans="2:14" s="1" customFormat="1">
      <c r="B13" s="22" t="s">
        <v>1068</v>
      </c>
      <c r="C13" s="22" t="s">
        <v>46</v>
      </c>
      <c r="D13" s="9" t="s">
        <v>137</v>
      </c>
      <c r="E13" s="16" t="s">
        <v>128</v>
      </c>
      <c r="F13" s="17" t="s">
        <v>138</v>
      </c>
      <c r="G13" s="84" t="s">
        <v>129</v>
      </c>
      <c r="H13" s="18"/>
      <c r="I13" s="19"/>
      <c r="J13" s="19" t="s">
        <v>131</v>
      </c>
      <c r="K13" s="19" t="s">
        <v>132</v>
      </c>
      <c r="L13" s="19" t="s">
        <v>132</v>
      </c>
    </row>
    <row r="14" spans="2:14" s="1" customFormat="1">
      <c r="B14" s="22" t="s">
        <v>2785</v>
      </c>
      <c r="C14" s="22" t="s">
        <v>43</v>
      </c>
      <c r="D14" s="9" t="s">
        <v>63</v>
      </c>
      <c r="E14" s="16" t="s">
        <v>128</v>
      </c>
      <c r="F14" s="17" t="s">
        <v>2785</v>
      </c>
      <c r="G14" s="84" t="s">
        <v>129</v>
      </c>
      <c r="H14" s="18"/>
      <c r="I14" s="19"/>
      <c r="J14" s="19" t="s">
        <v>131</v>
      </c>
      <c r="K14" s="19" t="s">
        <v>132</v>
      </c>
      <c r="L14" s="19" t="s">
        <v>132</v>
      </c>
    </row>
    <row r="15" spans="2:14" s="1" customFormat="1">
      <c r="B15" s="22" t="s">
        <v>1168</v>
      </c>
      <c r="C15" s="22" t="s">
        <v>43</v>
      </c>
      <c r="D15" s="9" t="s">
        <v>1265</v>
      </c>
      <c r="E15" s="16" t="s">
        <v>128</v>
      </c>
      <c r="F15" s="17" t="s">
        <v>1168</v>
      </c>
      <c r="G15" s="84" t="s">
        <v>129</v>
      </c>
      <c r="H15" s="18"/>
      <c r="I15" s="19"/>
      <c r="J15" s="19" t="s">
        <v>131</v>
      </c>
      <c r="K15" s="19" t="s">
        <v>132</v>
      </c>
      <c r="L15" s="19" t="s">
        <v>132</v>
      </c>
    </row>
    <row r="16" spans="2:14" s="1" customFormat="1">
      <c r="B16" s="22" t="s">
        <v>2920</v>
      </c>
      <c r="C16" s="22" t="s">
        <v>43</v>
      </c>
      <c r="D16" s="9" t="s">
        <v>2949</v>
      </c>
      <c r="E16" s="16" t="s">
        <v>128</v>
      </c>
      <c r="F16" s="17" t="s">
        <v>2920</v>
      </c>
      <c r="G16" s="84" t="s">
        <v>129</v>
      </c>
      <c r="H16" s="18"/>
      <c r="I16" s="19"/>
      <c r="J16" s="19" t="s">
        <v>131</v>
      </c>
      <c r="K16" s="19" t="s">
        <v>132</v>
      </c>
      <c r="L16" s="19" t="s">
        <v>132</v>
      </c>
    </row>
    <row r="17" spans="2:17" s="1" customFormat="1">
      <c r="B17" s="22" t="s">
        <v>2921</v>
      </c>
      <c r="C17" s="22" t="s">
        <v>43</v>
      </c>
      <c r="D17" s="9" t="s">
        <v>1797</v>
      </c>
      <c r="E17" s="16" t="s">
        <v>128</v>
      </c>
      <c r="F17" s="17" t="s">
        <v>2921</v>
      </c>
      <c r="G17" s="84" t="s">
        <v>129</v>
      </c>
      <c r="H17" s="18"/>
      <c r="I17" s="19"/>
      <c r="J17" s="19" t="s">
        <v>131</v>
      </c>
      <c r="K17" s="19" t="s">
        <v>132</v>
      </c>
      <c r="L17" s="19" t="s">
        <v>132</v>
      </c>
    </row>
    <row r="18" spans="2:17" s="1" customFormat="1">
      <c r="B18" s="22" t="s">
        <v>2922</v>
      </c>
      <c r="C18" s="22" t="s">
        <v>43</v>
      </c>
      <c r="D18" s="9" t="s">
        <v>1796</v>
      </c>
      <c r="E18" s="16" t="s">
        <v>128</v>
      </c>
      <c r="F18" s="17" t="s">
        <v>2922</v>
      </c>
      <c r="G18" s="84" t="s">
        <v>129</v>
      </c>
      <c r="H18" s="18"/>
      <c r="I18" s="19"/>
      <c r="J18" s="19" t="s">
        <v>131</v>
      </c>
      <c r="K18" s="19" t="s">
        <v>132</v>
      </c>
      <c r="L18" s="19" t="s">
        <v>132</v>
      </c>
    </row>
    <row r="19" spans="2:17" s="1" customFormat="1">
      <c r="B19" s="22" t="s">
        <v>2923</v>
      </c>
      <c r="C19" s="22" t="s">
        <v>43</v>
      </c>
      <c r="D19" s="9" t="s">
        <v>2953</v>
      </c>
      <c r="E19" s="16" t="s">
        <v>128</v>
      </c>
      <c r="F19" s="17" t="s">
        <v>2923</v>
      </c>
      <c r="G19" s="84" t="s">
        <v>129</v>
      </c>
      <c r="H19" s="18"/>
      <c r="I19" s="19"/>
      <c r="J19" s="19" t="s">
        <v>131</v>
      </c>
      <c r="K19" s="19" t="s">
        <v>132</v>
      </c>
      <c r="L19" s="19" t="s">
        <v>132</v>
      </c>
    </row>
    <row r="20" spans="2:17" s="1" customFormat="1">
      <c r="B20" s="22" t="s">
        <v>2924</v>
      </c>
      <c r="C20" s="22" t="s">
        <v>43</v>
      </c>
      <c r="D20" s="9" t="s">
        <v>1178</v>
      </c>
      <c r="E20" s="16" t="s">
        <v>128</v>
      </c>
      <c r="F20" s="17" t="s">
        <v>2924</v>
      </c>
      <c r="G20" s="84" t="s">
        <v>129</v>
      </c>
      <c r="H20" s="18"/>
      <c r="I20" s="19"/>
      <c r="J20" s="19" t="s">
        <v>131</v>
      </c>
      <c r="K20" s="19" t="s">
        <v>132</v>
      </c>
      <c r="L20" s="19" t="s">
        <v>132</v>
      </c>
    </row>
    <row r="21" spans="2:17" s="1" customFormat="1">
      <c r="B21" s="22" t="s">
        <v>2925</v>
      </c>
      <c r="C21" s="22" t="s">
        <v>43</v>
      </c>
      <c r="D21" s="9" t="s">
        <v>1597</v>
      </c>
      <c r="E21" s="16" t="s">
        <v>128</v>
      </c>
      <c r="F21" s="17" t="s">
        <v>2925</v>
      </c>
      <c r="G21" s="84" t="s">
        <v>129</v>
      </c>
      <c r="H21" s="18"/>
      <c r="I21" s="19"/>
      <c r="J21" s="19" t="s">
        <v>131</v>
      </c>
      <c r="K21" s="19" t="s">
        <v>132</v>
      </c>
      <c r="L21" s="19" t="s">
        <v>132</v>
      </c>
    </row>
    <row r="22" spans="2:17" s="1" customFormat="1">
      <c r="B22" s="22" t="s">
        <v>2928</v>
      </c>
      <c r="C22" s="22" t="s">
        <v>46</v>
      </c>
      <c r="D22" s="9" t="s">
        <v>2957</v>
      </c>
      <c r="E22" s="16" t="s">
        <v>128</v>
      </c>
      <c r="F22" s="17" t="s">
        <v>2928</v>
      </c>
      <c r="G22" s="84" t="s">
        <v>129</v>
      </c>
      <c r="H22" s="18"/>
      <c r="I22" s="19"/>
      <c r="J22" s="19" t="s">
        <v>131</v>
      </c>
      <c r="K22" s="19" t="s">
        <v>132</v>
      </c>
      <c r="L22" s="19" t="s">
        <v>132</v>
      </c>
    </row>
    <row r="23" spans="2:17" s="1" customFormat="1">
      <c r="B23" s="22" t="s">
        <v>2930</v>
      </c>
      <c r="C23" s="22" t="s">
        <v>46</v>
      </c>
      <c r="D23" s="9" t="s">
        <v>2959</v>
      </c>
      <c r="E23" s="16" t="s">
        <v>128</v>
      </c>
      <c r="F23" s="17" t="s">
        <v>2930</v>
      </c>
      <c r="G23" s="84" t="s">
        <v>129</v>
      </c>
      <c r="H23" s="18"/>
      <c r="I23" s="19"/>
      <c r="J23" s="19" t="s">
        <v>131</v>
      </c>
      <c r="K23" s="19" t="s">
        <v>132</v>
      </c>
      <c r="L23" s="19" t="s">
        <v>132</v>
      </c>
    </row>
    <row r="24" spans="2:17" s="1" customFormat="1">
      <c r="B24" s="22" t="s">
        <v>2948</v>
      </c>
      <c r="C24" s="22" t="s">
        <v>43</v>
      </c>
      <c r="D24" s="9" t="s">
        <v>2978</v>
      </c>
      <c r="E24" s="16" t="s">
        <v>128</v>
      </c>
      <c r="F24" s="17" t="s">
        <v>2948</v>
      </c>
      <c r="G24" s="84" t="s">
        <v>129</v>
      </c>
      <c r="H24" s="18"/>
      <c r="I24" s="19"/>
      <c r="J24" s="19" t="s">
        <v>131</v>
      </c>
      <c r="K24" s="19" t="s">
        <v>132</v>
      </c>
      <c r="L24" s="19" t="s">
        <v>132</v>
      </c>
    </row>
    <row r="25" spans="2:17" s="1" customFormat="1">
      <c r="B25" s="22" t="s">
        <v>1294</v>
      </c>
      <c r="C25" s="22" t="s">
        <v>56</v>
      </c>
      <c r="D25" s="9" t="s">
        <v>2979</v>
      </c>
      <c r="E25" s="16" t="s">
        <v>128</v>
      </c>
      <c r="F25" s="17" t="s">
        <v>1294</v>
      </c>
      <c r="G25" s="84" t="s">
        <v>129</v>
      </c>
      <c r="H25" s="18"/>
      <c r="I25" s="19"/>
      <c r="J25" s="19" t="s">
        <v>131</v>
      </c>
      <c r="K25" s="19" t="s">
        <v>132</v>
      </c>
      <c r="L25" s="19" t="s">
        <v>132</v>
      </c>
    </row>
    <row r="26" spans="2:17" s="1" customFormat="1">
      <c r="B26" s="22" t="s">
        <v>3000</v>
      </c>
      <c r="C26" s="22" t="s">
        <v>43</v>
      </c>
      <c r="D26" s="9" t="s">
        <v>3003</v>
      </c>
      <c r="E26" s="16" t="s">
        <v>128</v>
      </c>
      <c r="F26" s="17"/>
      <c r="G26" s="84" t="s">
        <v>3006</v>
      </c>
      <c r="H26" s="18"/>
      <c r="I26" s="19"/>
      <c r="J26" s="19" t="s">
        <v>133</v>
      </c>
      <c r="K26" s="19" t="s">
        <v>132</v>
      </c>
      <c r="L26" s="19" t="s">
        <v>132</v>
      </c>
    </row>
    <row r="27" spans="2:17" s="1" customFormat="1">
      <c r="B27" s="22" t="s">
        <v>3001</v>
      </c>
      <c r="C27" s="22" t="s">
        <v>46</v>
      </c>
      <c r="D27" s="9" t="s">
        <v>3002</v>
      </c>
      <c r="E27" s="16" t="s">
        <v>128</v>
      </c>
      <c r="F27" s="17"/>
      <c r="G27" s="84" t="s">
        <v>3002</v>
      </c>
      <c r="H27" s="18"/>
      <c r="I27" s="19"/>
      <c r="J27" s="19" t="s">
        <v>133</v>
      </c>
      <c r="K27" s="19" t="s">
        <v>132</v>
      </c>
      <c r="L27" s="20" t="s">
        <v>3007</v>
      </c>
    </row>
    <row r="28" spans="2:17" s="3" customFormat="1">
      <c r="B28" s="23" t="s">
        <v>47</v>
      </c>
      <c r="C28" s="24" t="s">
        <v>46</v>
      </c>
      <c r="D28" s="21" t="s">
        <v>48</v>
      </c>
      <c r="E28" s="44"/>
      <c r="F28" s="44"/>
      <c r="G28" s="44" t="s">
        <v>282</v>
      </c>
      <c r="H28" s="44"/>
      <c r="I28" s="23"/>
      <c r="J28" s="23"/>
      <c r="K28" s="23"/>
      <c r="L28" s="117"/>
      <c r="M28" s="23"/>
      <c r="N28" s="23"/>
      <c r="O28" s="23"/>
      <c r="P28" s="23"/>
      <c r="Q28" s="23"/>
    </row>
    <row r="29" spans="2:17" s="3" customFormat="1">
      <c r="B29" s="23" t="s">
        <v>49</v>
      </c>
      <c r="C29" s="24" t="s">
        <v>43</v>
      </c>
      <c r="D29" s="21" t="s">
        <v>50</v>
      </c>
      <c r="E29" s="44"/>
      <c r="F29" s="44"/>
      <c r="G29" s="44" t="s">
        <v>282</v>
      </c>
      <c r="H29" s="44"/>
      <c r="I29" s="23"/>
      <c r="J29" s="23"/>
      <c r="K29" s="23"/>
      <c r="L29" s="117"/>
      <c r="M29" s="23"/>
      <c r="N29" s="23"/>
      <c r="O29" s="23"/>
      <c r="P29" s="23"/>
      <c r="Q29" s="23"/>
    </row>
  </sheetData>
  <mergeCells count="4">
    <mergeCell ref="B2:H2"/>
    <mergeCell ref="B3:H3"/>
    <mergeCell ref="B7:H7"/>
    <mergeCell ref="B11:L11"/>
  </mergeCells>
  <phoneticPr fontId="16" type="noConversion"/>
  <pageMargins left="0.7" right="0.7" top="0.75" bottom="0.75" header="0.3" footer="0.3"/>
  <pageSetup paperSize="9"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3374-3510-4CB9-BFA0-19A7073555CE}">
  <dimension ref="A1:Q26"/>
  <sheetViews>
    <sheetView zoomScale="85" zoomScaleNormal="85" workbookViewId="0">
      <pane ySplit="5" topLeftCell="A6" activePane="bottomLeft" state="frozen"/>
      <selection activeCell="B29" sqref="B29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customWidth="1"/>
    <col min="3" max="3" width="23.77734375" style="4" customWidth="1"/>
    <col min="4" max="4" width="32.21875" style="4" customWidth="1"/>
    <col min="5" max="5" width="10.109375" style="4" customWidth="1"/>
    <col min="6" max="6" width="17.5546875" style="4" customWidth="1"/>
    <col min="7" max="7" width="50.77734375" style="4" customWidth="1"/>
    <col min="8" max="8" width="14.44140625" style="4" customWidth="1"/>
    <col min="9" max="9" width="19.6640625" style="4" customWidth="1"/>
    <col min="10" max="10" width="8.109375" style="4" customWidth="1"/>
    <col min="11" max="11" width="8.44140625" style="4" customWidth="1"/>
    <col min="12" max="12" width="13.5546875" style="4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2747</v>
      </c>
      <c r="C5" s="9" t="s">
        <v>2995</v>
      </c>
      <c r="D5" s="10" t="s">
        <v>2999</v>
      </c>
      <c r="E5" s="11" t="s">
        <v>1168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 ht="39.6">
      <c r="B9" s="11"/>
      <c r="C9" s="9" t="s">
        <v>2911</v>
      </c>
      <c r="D9" s="10" t="s">
        <v>2912</v>
      </c>
      <c r="E9" s="11" t="s">
        <v>55</v>
      </c>
      <c r="F9" s="84" t="s">
        <v>3005</v>
      </c>
      <c r="G9" s="13" t="s">
        <v>3004</v>
      </c>
      <c r="H9" s="14" t="s">
        <v>17</v>
      </c>
    </row>
    <row r="10" spans="2:14">
      <c r="B10" s="4" t="s">
        <v>32</v>
      </c>
    </row>
    <row r="11" spans="2:14">
      <c r="B11" s="124" t="s">
        <v>32</v>
      </c>
      <c r="C11" s="124"/>
      <c r="D11" s="124"/>
      <c r="E11" s="124"/>
      <c r="F11" s="124"/>
      <c r="G11" s="124"/>
      <c r="H11" s="124"/>
      <c r="I11" s="124"/>
      <c r="J11" s="124"/>
      <c r="K11" s="124"/>
      <c r="L11" s="124"/>
    </row>
    <row r="12" spans="2:14">
      <c r="B12" s="7" t="s">
        <v>33</v>
      </c>
      <c r="C12" s="7" t="s">
        <v>34</v>
      </c>
      <c r="D12" s="7" t="s">
        <v>35</v>
      </c>
      <c r="E12" s="7" t="s">
        <v>36</v>
      </c>
      <c r="F12" s="12" t="s">
        <v>37</v>
      </c>
      <c r="G12" s="12" t="s">
        <v>38</v>
      </c>
      <c r="H12" s="7" t="s">
        <v>39</v>
      </c>
      <c r="I12" s="7" t="s">
        <v>14</v>
      </c>
      <c r="J12" s="7" t="s">
        <v>40</v>
      </c>
      <c r="K12" s="7" t="s">
        <v>41</v>
      </c>
      <c r="L12" s="7" t="s">
        <v>42</v>
      </c>
    </row>
    <row r="13" spans="2:14" s="1" customFormat="1">
      <c r="B13" s="22" t="s">
        <v>1068</v>
      </c>
      <c r="C13" s="22" t="s">
        <v>46</v>
      </c>
      <c r="D13" s="9" t="s">
        <v>137</v>
      </c>
      <c r="E13" s="11" t="s">
        <v>55</v>
      </c>
      <c r="F13" s="17" t="s">
        <v>138</v>
      </c>
      <c r="G13" s="84"/>
      <c r="H13" s="18"/>
      <c r="I13" s="19"/>
      <c r="J13" s="19" t="s">
        <v>131</v>
      </c>
      <c r="K13" s="19" t="s">
        <v>132</v>
      </c>
      <c r="L13" s="19" t="s">
        <v>132</v>
      </c>
    </row>
    <row r="14" spans="2:14" s="1" customFormat="1">
      <c r="B14" s="22" t="s">
        <v>2785</v>
      </c>
      <c r="C14" s="22" t="s">
        <v>43</v>
      </c>
      <c r="D14" s="9" t="s">
        <v>522</v>
      </c>
      <c r="E14" s="11" t="s">
        <v>55</v>
      </c>
      <c r="F14" s="17" t="s">
        <v>2785</v>
      </c>
      <c r="G14" s="84"/>
      <c r="H14" s="18"/>
      <c r="I14" s="19"/>
      <c r="J14" s="19" t="s">
        <v>131</v>
      </c>
      <c r="K14" s="19" t="s">
        <v>132</v>
      </c>
      <c r="L14" s="19" t="s">
        <v>132</v>
      </c>
    </row>
    <row r="15" spans="2:14" s="1" customFormat="1">
      <c r="B15" s="22" t="s">
        <v>1168</v>
      </c>
      <c r="C15" s="22" t="s">
        <v>43</v>
      </c>
      <c r="D15" s="9" t="s">
        <v>96</v>
      </c>
      <c r="E15" s="11" t="s">
        <v>55</v>
      </c>
      <c r="F15" s="17" t="s">
        <v>1168</v>
      </c>
      <c r="G15" s="84"/>
      <c r="H15" s="18"/>
      <c r="I15" s="19"/>
      <c r="J15" s="19" t="s">
        <v>131</v>
      </c>
      <c r="K15" s="19" t="s">
        <v>132</v>
      </c>
      <c r="L15" s="19" t="s">
        <v>132</v>
      </c>
    </row>
    <row r="16" spans="2:14" s="1" customFormat="1">
      <c r="B16" s="22" t="s">
        <v>2920</v>
      </c>
      <c r="C16" s="22" t="s">
        <v>43</v>
      </c>
      <c r="D16" s="9" t="s">
        <v>2950</v>
      </c>
      <c r="E16" s="11" t="s">
        <v>55</v>
      </c>
      <c r="F16" s="17" t="s">
        <v>2920</v>
      </c>
      <c r="G16" s="84"/>
      <c r="H16" s="18"/>
      <c r="I16" s="19"/>
      <c r="J16" s="19" t="s">
        <v>131</v>
      </c>
      <c r="K16" s="19" t="s">
        <v>132</v>
      </c>
      <c r="L16" s="19" t="s">
        <v>132</v>
      </c>
    </row>
    <row r="17" spans="2:17" s="1" customFormat="1">
      <c r="B17" s="22" t="s">
        <v>2923</v>
      </c>
      <c r="C17" s="22" t="s">
        <v>43</v>
      </c>
      <c r="D17" s="9" t="s">
        <v>2954</v>
      </c>
      <c r="E17" s="11" t="s">
        <v>55</v>
      </c>
      <c r="F17" s="17" t="s">
        <v>2923</v>
      </c>
      <c r="G17" s="84"/>
      <c r="H17" s="18"/>
      <c r="I17" s="19"/>
      <c r="J17" s="19" t="s">
        <v>131</v>
      </c>
      <c r="K17" s="19" t="s">
        <v>132</v>
      </c>
      <c r="L17" s="19" t="s">
        <v>132</v>
      </c>
    </row>
    <row r="18" spans="2:17" s="1" customFormat="1">
      <c r="B18" s="22" t="s">
        <v>3008</v>
      </c>
      <c r="C18" s="22" t="s">
        <v>46</v>
      </c>
      <c r="D18" s="9" t="s">
        <v>3015</v>
      </c>
      <c r="E18" s="11" t="s">
        <v>55</v>
      </c>
      <c r="F18" s="17"/>
      <c r="G18" s="84" t="s">
        <v>3020</v>
      </c>
      <c r="H18" s="18"/>
      <c r="I18" s="19"/>
      <c r="J18" s="19" t="s">
        <v>133</v>
      </c>
      <c r="K18" s="19" t="s">
        <v>3029</v>
      </c>
      <c r="L18" s="19" t="s">
        <v>134</v>
      </c>
    </row>
    <row r="19" spans="2:17" s="1" customFormat="1">
      <c r="B19" s="22" t="s">
        <v>3009</v>
      </c>
      <c r="C19" s="22" t="s">
        <v>46</v>
      </c>
      <c r="D19" s="9" t="s">
        <v>3016</v>
      </c>
      <c r="E19" s="11" t="s">
        <v>55</v>
      </c>
      <c r="F19" s="17"/>
      <c r="G19" s="84" t="s">
        <v>3026</v>
      </c>
      <c r="H19" s="18"/>
      <c r="I19" s="19"/>
      <c r="J19" s="19" t="s">
        <v>133</v>
      </c>
      <c r="K19" s="19" t="s">
        <v>3029</v>
      </c>
      <c r="L19" s="19" t="s">
        <v>134</v>
      </c>
    </row>
    <row r="20" spans="2:17" s="1" customFormat="1">
      <c r="B20" s="22" t="s">
        <v>3010</v>
      </c>
      <c r="C20" s="22" t="s">
        <v>46</v>
      </c>
      <c r="D20" s="9" t="s">
        <v>3025</v>
      </c>
      <c r="E20" s="11" t="s">
        <v>55</v>
      </c>
      <c r="F20" s="17"/>
      <c r="G20" s="84" t="s">
        <v>3023</v>
      </c>
      <c r="H20" s="18"/>
      <c r="I20" s="19"/>
      <c r="J20" s="19" t="s">
        <v>133</v>
      </c>
      <c r="K20" s="19" t="s">
        <v>3029</v>
      </c>
      <c r="L20" s="19" t="s">
        <v>134</v>
      </c>
    </row>
    <row r="21" spans="2:17" s="1" customFormat="1">
      <c r="B21" s="22" t="s">
        <v>3011</v>
      </c>
      <c r="C21" s="22" t="s">
        <v>46</v>
      </c>
      <c r="D21" s="9" t="s">
        <v>3024</v>
      </c>
      <c r="E21" s="11" t="s">
        <v>55</v>
      </c>
      <c r="F21" s="17"/>
      <c r="G21" s="84" t="s">
        <v>3022</v>
      </c>
      <c r="H21" s="18"/>
      <c r="I21" s="19"/>
      <c r="J21" s="19" t="s">
        <v>133</v>
      </c>
      <c r="K21" s="19" t="s">
        <v>3029</v>
      </c>
      <c r="L21" s="19" t="s">
        <v>134</v>
      </c>
    </row>
    <row r="22" spans="2:17" s="1" customFormat="1">
      <c r="B22" s="22" t="s">
        <v>3012</v>
      </c>
      <c r="C22" s="22" t="s">
        <v>46</v>
      </c>
      <c r="D22" s="9" t="s">
        <v>3017</v>
      </c>
      <c r="E22" s="11" t="s">
        <v>55</v>
      </c>
      <c r="F22" s="17"/>
      <c r="G22" s="84" t="s">
        <v>3021</v>
      </c>
      <c r="H22" s="18"/>
      <c r="I22" s="19"/>
      <c r="J22" s="19" t="s">
        <v>133</v>
      </c>
      <c r="K22" s="19" t="s">
        <v>3029</v>
      </c>
      <c r="L22" s="19" t="s">
        <v>134</v>
      </c>
    </row>
    <row r="23" spans="2:17" s="1" customFormat="1" ht="26.4">
      <c r="B23" s="22" t="s">
        <v>3013</v>
      </c>
      <c r="C23" s="22" t="s">
        <v>56</v>
      </c>
      <c r="D23" s="9" t="s">
        <v>3018</v>
      </c>
      <c r="E23" s="11" t="s">
        <v>55</v>
      </c>
      <c r="F23" s="17"/>
      <c r="G23" s="84" t="s">
        <v>3027</v>
      </c>
      <c r="H23" s="18"/>
      <c r="I23" s="19"/>
      <c r="J23" s="19" t="s">
        <v>133</v>
      </c>
      <c r="K23" s="19" t="s">
        <v>132</v>
      </c>
      <c r="L23" s="19" t="s">
        <v>1337</v>
      </c>
    </row>
    <row r="24" spans="2:17" s="1" customFormat="1" ht="26.4">
      <c r="B24" s="22" t="s">
        <v>3014</v>
      </c>
      <c r="C24" s="22" t="s">
        <v>56</v>
      </c>
      <c r="D24" s="9" t="s">
        <v>3019</v>
      </c>
      <c r="E24" s="11" t="s">
        <v>55</v>
      </c>
      <c r="F24" s="17"/>
      <c r="G24" s="84" t="s">
        <v>3028</v>
      </c>
      <c r="H24" s="18"/>
      <c r="I24" s="19"/>
      <c r="J24" s="19" t="s">
        <v>133</v>
      </c>
      <c r="K24" s="19" t="s">
        <v>132</v>
      </c>
      <c r="L24" s="19" t="s">
        <v>1337</v>
      </c>
    </row>
    <row r="25" spans="2:17" s="3" customFormat="1">
      <c r="B25" s="23" t="s">
        <v>47</v>
      </c>
      <c r="C25" s="24" t="s">
        <v>46</v>
      </c>
      <c r="D25" s="21" t="s">
        <v>48</v>
      </c>
      <c r="E25" s="44"/>
      <c r="F25" s="44"/>
      <c r="G25" s="44" t="s">
        <v>282</v>
      </c>
      <c r="H25" s="44"/>
      <c r="I25" s="23"/>
      <c r="J25" s="23"/>
      <c r="K25" s="23"/>
      <c r="L25" s="117"/>
      <c r="M25" s="23"/>
      <c r="N25" s="23"/>
      <c r="O25" s="23"/>
      <c r="P25" s="23"/>
      <c r="Q25" s="23"/>
    </row>
    <row r="26" spans="2:17" s="3" customFormat="1">
      <c r="B26" s="23" t="s">
        <v>49</v>
      </c>
      <c r="C26" s="24" t="s">
        <v>43</v>
      </c>
      <c r="D26" s="21" t="s">
        <v>50</v>
      </c>
      <c r="E26" s="44"/>
      <c r="F26" s="44"/>
      <c r="G26" s="44" t="s">
        <v>282</v>
      </c>
      <c r="H26" s="44"/>
      <c r="I26" s="23"/>
      <c r="J26" s="23"/>
      <c r="K26" s="23"/>
      <c r="L26" s="117"/>
      <c r="M26" s="23"/>
      <c r="N26" s="23"/>
      <c r="O26" s="23"/>
      <c r="P26" s="23"/>
      <c r="Q26" s="23"/>
    </row>
  </sheetData>
  <mergeCells count="4">
    <mergeCell ref="B2:H2"/>
    <mergeCell ref="B3:H3"/>
    <mergeCell ref="B7:H7"/>
    <mergeCell ref="B11:L11"/>
  </mergeCells>
  <phoneticPr fontId="16" type="noConversion"/>
  <pageMargins left="0.7" right="0.7" top="0.75" bottom="0.75" header="0.3" footer="0.3"/>
  <pageSetup paperSize="9"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0DF8-0658-42F7-8C60-BEAC6915F59E}">
  <dimension ref="A1:Q22"/>
  <sheetViews>
    <sheetView zoomScale="85" zoomScaleNormal="85" workbookViewId="0">
      <pane ySplit="5" topLeftCell="A6" activePane="bottomLeft" state="frozen"/>
      <selection activeCell="B29" sqref="B29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customWidth="1"/>
    <col min="3" max="3" width="23.77734375" style="4" customWidth="1"/>
    <col min="4" max="4" width="32.21875" style="4" customWidth="1"/>
    <col min="5" max="5" width="10.109375" style="4" customWidth="1"/>
    <col min="6" max="6" width="17.5546875" style="4" customWidth="1"/>
    <col min="7" max="7" width="50.77734375" style="4" customWidth="1"/>
    <col min="8" max="8" width="14.44140625" style="4" customWidth="1"/>
    <col min="9" max="9" width="19.6640625" style="4" customWidth="1"/>
    <col min="10" max="10" width="8.109375" style="4" customWidth="1"/>
    <col min="11" max="11" width="8.44140625" style="4" customWidth="1"/>
    <col min="12" max="12" width="13.5546875" style="4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128"/>
      <c r="C2" s="128"/>
      <c r="D2" s="128"/>
      <c r="E2" s="128"/>
      <c r="F2" s="128"/>
      <c r="G2" s="128"/>
      <c r="H2" s="128"/>
    </row>
    <row r="3" spans="2:14">
      <c r="B3" s="124" t="s">
        <v>18</v>
      </c>
      <c r="C3" s="124"/>
      <c r="D3" s="124"/>
      <c r="E3" s="124"/>
      <c r="F3" s="124"/>
      <c r="G3" s="124"/>
      <c r="H3" s="124"/>
    </row>
    <row r="4" spans="2:14">
      <c r="B4" s="7" t="s">
        <v>3</v>
      </c>
      <c r="C4" s="7" t="s">
        <v>19</v>
      </c>
      <c r="D4" s="7" t="s">
        <v>20</v>
      </c>
      <c r="E4" s="7" t="s">
        <v>21</v>
      </c>
      <c r="F4" s="12" t="s">
        <v>22</v>
      </c>
      <c r="G4" s="12" t="s">
        <v>6</v>
      </c>
      <c r="H4" s="7" t="s">
        <v>23</v>
      </c>
    </row>
    <row r="5" spans="2:14">
      <c r="B5" s="8" t="s">
        <v>2747</v>
      </c>
      <c r="C5" s="9" t="s">
        <v>2997</v>
      </c>
      <c r="D5" s="10" t="s">
        <v>3030</v>
      </c>
      <c r="E5" s="11" t="s">
        <v>1168</v>
      </c>
      <c r="F5" s="42"/>
      <c r="G5" s="11"/>
      <c r="H5" s="11"/>
      <c r="N5" s="4"/>
    </row>
    <row r="6" spans="2:14">
      <c r="B6" s="6"/>
      <c r="C6" s="6"/>
      <c r="D6" s="6"/>
      <c r="E6" s="6"/>
      <c r="F6" s="43"/>
      <c r="G6" s="43"/>
      <c r="H6" s="6"/>
    </row>
    <row r="7" spans="2:14">
      <c r="B7" s="124" t="s">
        <v>25</v>
      </c>
      <c r="C7" s="124"/>
      <c r="D7" s="124"/>
      <c r="E7" s="124"/>
      <c r="F7" s="124"/>
      <c r="G7" s="124"/>
      <c r="H7" s="124"/>
    </row>
    <row r="8" spans="2:14"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14</v>
      </c>
      <c r="H8" s="12" t="s">
        <v>31</v>
      </c>
    </row>
    <row r="9" spans="2:14" ht="26.4">
      <c r="B9" s="11"/>
      <c r="C9" s="9" t="s">
        <v>3259</v>
      </c>
      <c r="D9" s="10" t="s">
        <v>3260</v>
      </c>
      <c r="E9" s="11" t="s">
        <v>55</v>
      </c>
      <c r="F9" s="84"/>
      <c r="G9" s="13" t="s">
        <v>3261</v>
      </c>
      <c r="H9" s="14" t="s">
        <v>17</v>
      </c>
    </row>
    <row r="10" spans="2:14">
      <c r="B10" s="4" t="s">
        <v>32</v>
      </c>
    </row>
    <row r="11" spans="2:14">
      <c r="B11" s="124" t="s">
        <v>32</v>
      </c>
      <c r="C11" s="124"/>
      <c r="D11" s="124"/>
      <c r="E11" s="124"/>
      <c r="F11" s="124"/>
      <c r="G11" s="124"/>
      <c r="H11" s="124"/>
      <c r="I11" s="124"/>
      <c r="J11" s="124"/>
      <c r="K11" s="124"/>
      <c r="L11" s="124"/>
    </row>
    <row r="12" spans="2:14">
      <c r="B12" s="7" t="s">
        <v>33</v>
      </c>
      <c r="C12" s="7" t="s">
        <v>34</v>
      </c>
      <c r="D12" s="7" t="s">
        <v>35</v>
      </c>
      <c r="E12" s="7" t="s">
        <v>36</v>
      </c>
      <c r="F12" s="12" t="s">
        <v>37</v>
      </c>
      <c r="G12" s="12" t="s">
        <v>38</v>
      </c>
      <c r="H12" s="7" t="s">
        <v>39</v>
      </c>
      <c r="I12" s="7" t="s">
        <v>14</v>
      </c>
      <c r="J12" s="7" t="s">
        <v>40</v>
      </c>
      <c r="K12" s="7" t="s">
        <v>41</v>
      </c>
      <c r="L12" s="7" t="s">
        <v>42</v>
      </c>
    </row>
    <row r="13" spans="2:14" s="1" customFormat="1">
      <c r="B13" s="22" t="s">
        <v>1168</v>
      </c>
      <c r="C13" s="22" t="s">
        <v>43</v>
      </c>
      <c r="D13" s="9" t="s">
        <v>1265</v>
      </c>
      <c r="E13" s="11" t="s">
        <v>128</v>
      </c>
      <c r="F13" s="17" t="s">
        <v>118</v>
      </c>
      <c r="G13" s="84" t="s">
        <v>994</v>
      </c>
      <c r="H13" s="18"/>
      <c r="I13" s="19"/>
      <c r="J13" s="19" t="s">
        <v>60</v>
      </c>
      <c r="K13" s="19" t="s">
        <v>44</v>
      </c>
      <c r="L13" s="19" t="s">
        <v>44</v>
      </c>
    </row>
    <row r="14" spans="2:14" s="1" customFormat="1">
      <c r="B14" s="22" t="s">
        <v>1068</v>
      </c>
      <c r="C14" s="22" t="s">
        <v>46</v>
      </c>
      <c r="D14" s="9" t="s">
        <v>1267</v>
      </c>
      <c r="E14" s="11" t="s">
        <v>128</v>
      </c>
      <c r="F14" s="17" t="s">
        <v>138</v>
      </c>
      <c r="G14" s="84" t="s">
        <v>994</v>
      </c>
      <c r="H14" s="18"/>
      <c r="I14" s="19"/>
      <c r="J14" s="19" t="s">
        <v>60</v>
      </c>
      <c r="K14" s="19" t="s">
        <v>44</v>
      </c>
      <c r="L14" s="19" t="s">
        <v>44</v>
      </c>
    </row>
    <row r="15" spans="2:14" s="1" customFormat="1">
      <c r="B15" s="22" t="s">
        <v>61</v>
      </c>
      <c r="C15" s="22" t="s">
        <v>46</v>
      </c>
      <c r="D15" s="9" t="s">
        <v>100</v>
      </c>
      <c r="E15" s="11" t="s">
        <v>128</v>
      </c>
      <c r="F15" s="17" t="s">
        <v>123</v>
      </c>
      <c r="G15" s="84" t="s">
        <v>994</v>
      </c>
      <c r="H15" s="18"/>
      <c r="I15" s="19"/>
      <c r="J15" s="19" t="s">
        <v>60</v>
      </c>
      <c r="K15" s="19" t="s">
        <v>44</v>
      </c>
      <c r="L15" s="19" t="s">
        <v>44</v>
      </c>
    </row>
    <row r="16" spans="2:14" s="1" customFormat="1">
      <c r="B16" s="22" t="s">
        <v>2785</v>
      </c>
      <c r="C16" s="22" t="s">
        <v>43</v>
      </c>
      <c r="D16" s="9" t="s">
        <v>63</v>
      </c>
      <c r="E16" s="11" t="s">
        <v>128</v>
      </c>
      <c r="F16" s="17" t="s">
        <v>318</v>
      </c>
      <c r="G16" s="84" t="s">
        <v>994</v>
      </c>
      <c r="H16" s="18"/>
      <c r="I16" s="19"/>
      <c r="J16" s="19" t="s">
        <v>60</v>
      </c>
      <c r="K16" s="19" t="s">
        <v>44</v>
      </c>
      <c r="L16" s="19" t="s">
        <v>44</v>
      </c>
    </row>
    <row r="17" spans="2:17" s="1" customFormat="1">
      <c r="B17" s="22" t="s">
        <v>2920</v>
      </c>
      <c r="C17" s="22" t="s">
        <v>43</v>
      </c>
      <c r="D17" s="9" t="s">
        <v>3031</v>
      </c>
      <c r="E17" s="11" t="s">
        <v>128</v>
      </c>
      <c r="F17" s="17"/>
      <c r="G17" s="84" t="s">
        <v>1334</v>
      </c>
      <c r="H17" s="18"/>
      <c r="I17" s="19"/>
      <c r="J17" s="19" t="s">
        <v>60</v>
      </c>
      <c r="K17" s="19" t="s">
        <v>44</v>
      </c>
      <c r="L17" s="19" t="s">
        <v>44</v>
      </c>
    </row>
    <row r="18" spans="2:17" s="1" customFormat="1">
      <c r="B18" s="22" t="s">
        <v>2921</v>
      </c>
      <c r="C18" s="22" t="s">
        <v>43</v>
      </c>
      <c r="D18" s="9" t="s">
        <v>3032</v>
      </c>
      <c r="E18" s="11" t="s">
        <v>128</v>
      </c>
      <c r="F18" s="17" t="s">
        <v>273</v>
      </c>
      <c r="G18" s="84" t="s">
        <v>994</v>
      </c>
      <c r="H18" s="18"/>
      <c r="I18" s="19"/>
      <c r="J18" s="19" t="s">
        <v>60</v>
      </c>
      <c r="K18" s="19" t="s">
        <v>44</v>
      </c>
      <c r="L18" s="19" t="s">
        <v>44</v>
      </c>
    </row>
    <row r="19" spans="2:17" s="1" customFormat="1">
      <c r="B19" s="22" t="s">
        <v>1588</v>
      </c>
      <c r="C19" s="22" t="s">
        <v>43</v>
      </c>
      <c r="D19" s="9" t="s">
        <v>3033</v>
      </c>
      <c r="E19" s="11" t="s">
        <v>128</v>
      </c>
      <c r="F19" s="17" t="s">
        <v>2985</v>
      </c>
      <c r="G19" s="84" t="s">
        <v>994</v>
      </c>
      <c r="H19" s="18"/>
      <c r="I19" s="19"/>
      <c r="J19" s="19" t="s">
        <v>60</v>
      </c>
      <c r="K19" s="19" t="s">
        <v>44</v>
      </c>
      <c r="L19" s="19" t="s">
        <v>44</v>
      </c>
    </row>
    <row r="20" spans="2:17" s="1" customFormat="1">
      <c r="B20" s="22" t="s">
        <v>1069</v>
      </c>
      <c r="C20" s="22" t="s">
        <v>43</v>
      </c>
      <c r="D20" s="9" t="s">
        <v>3034</v>
      </c>
      <c r="E20" s="11" t="s">
        <v>128</v>
      </c>
      <c r="F20" s="17" t="s">
        <v>95</v>
      </c>
      <c r="G20" s="84" t="s">
        <v>994</v>
      </c>
      <c r="H20" s="18"/>
      <c r="I20" s="19"/>
      <c r="J20" s="19" t="s">
        <v>60</v>
      </c>
      <c r="K20" s="19" t="s">
        <v>44</v>
      </c>
      <c r="L20" s="19" t="s">
        <v>44</v>
      </c>
    </row>
    <row r="21" spans="2:17" s="3" customFormat="1">
      <c r="B21" s="23" t="s">
        <v>47</v>
      </c>
      <c r="C21" s="24" t="s">
        <v>46</v>
      </c>
      <c r="D21" s="21" t="s">
        <v>48</v>
      </c>
      <c r="E21" s="44"/>
      <c r="F21" s="44"/>
      <c r="G21" s="44" t="s">
        <v>282</v>
      </c>
      <c r="H21" s="44"/>
      <c r="I21" s="23"/>
      <c r="J21" s="23"/>
      <c r="K21" s="23"/>
      <c r="L21" s="117"/>
      <c r="M21" s="23"/>
      <c r="N21" s="23"/>
      <c r="O21" s="23"/>
      <c r="P21" s="23"/>
      <c r="Q21" s="23"/>
    </row>
    <row r="22" spans="2:17" s="3" customFormat="1">
      <c r="B22" s="23" t="s">
        <v>49</v>
      </c>
      <c r="C22" s="24" t="s">
        <v>43</v>
      </c>
      <c r="D22" s="21" t="s">
        <v>50</v>
      </c>
      <c r="E22" s="44"/>
      <c r="F22" s="44"/>
      <c r="G22" s="44" t="s">
        <v>282</v>
      </c>
      <c r="H22" s="44"/>
      <c r="I22" s="23"/>
      <c r="J22" s="23"/>
      <c r="K22" s="23"/>
      <c r="L22" s="117"/>
      <c r="M22" s="23"/>
      <c r="N22" s="23"/>
      <c r="O22" s="23"/>
      <c r="P22" s="23"/>
      <c r="Q22" s="23"/>
    </row>
  </sheetData>
  <mergeCells count="4">
    <mergeCell ref="B2:H2"/>
    <mergeCell ref="B3:H3"/>
    <mergeCell ref="B7:H7"/>
    <mergeCell ref="B11:L11"/>
  </mergeCells>
  <phoneticPr fontId="1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86</vt:i4>
      </vt:variant>
    </vt:vector>
  </HeadingPairs>
  <TitlesOfParts>
    <vt:vector size="86" baseType="lpstr">
      <vt:lpstr>0</vt:lpstr>
      <vt:lpstr>导航</vt:lpstr>
      <vt:lpstr>0.1</vt:lpstr>
      <vt:lpstr>0.2</vt:lpstr>
      <vt:lpstr>0.3</vt:lpstr>
      <vt:lpstr>1</vt:lpstr>
      <vt:lpstr>2</vt:lpstr>
      <vt:lpstr>3</vt:lpstr>
      <vt:lpstr>4</vt:lpstr>
      <vt:lpstr>5</vt:lpstr>
      <vt:lpstr>5.1</vt:lpstr>
      <vt:lpstr>5.2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34</vt:lpstr>
      <vt:lpstr>35</vt:lpstr>
      <vt:lpstr>37</vt:lpstr>
      <vt:lpstr>39</vt:lpstr>
      <vt:lpstr>40</vt:lpstr>
      <vt:lpstr>41</vt:lpstr>
      <vt:lpstr>45</vt:lpstr>
      <vt:lpstr>49</vt:lpstr>
      <vt:lpstr>56</vt:lpstr>
      <vt:lpstr>57</vt:lpstr>
      <vt:lpstr>58</vt:lpstr>
      <vt:lpstr>59</vt:lpstr>
      <vt:lpstr>60</vt:lpstr>
      <vt:lpstr>61</vt:lpstr>
      <vt:lpstr>61.1</vt:lpstr>
      <vt:lpstr>61.2</vt:lpstr>
      <vt:lpstr>61.3</vt:lpstr>
      <vt:lpstr>61.4</vt:lpstr>
      <vt:lpstr>62</vt:lpstr>
      <vt:lpstr>63</vt:lpstr>
      <vt:lpstr>64</vt:lpstr>
      <vt:lpstr>65</vt:lpstr>
      <vt:lpstr>66</vt:lpstr>
      <vt:lpstr>67</vt:lpstr>
      <vt:lpstr>68</vt:lpstr>
      <vt:lpstr>70</vt:lpstr>
      <vt:lpstr>71</vt:lpstr>
      <vt:lpstr>72</vt:lpstr>
      <vt:lpstr>74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LRH</dc:creator>
  <cp:lastModifiedBy>ranhua li</cp:lastModifiedBy>
  <dcterms:created xsi:type="dcterms:W3CDTF">2015-06-05T18:19:00Z</dcterms:created>
  <dcterms:modified xsi:type="dcterms:W3CDTF">2025-09-14T12:27:10Z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819565F349EA4A4C9C259F3C5D9DBBE7_12</vt:lpwstr>
  </property>
  <property fmtid="{D5CDD505-2E9C-101B-9397-08002B2CF9AE}" pid="3" name="KSOProductBuildVer">
    <vt:lpwstr>2052-12.1.0.18276</vt:lpwstr>
  </property>
</Properties>
</file>