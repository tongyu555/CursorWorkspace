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 activeTab="10"/>
  </bookViews>
  <sheets>
    <sheet name="导航" sheetId="1" r:id="rId1"/>
    <sheet name="QI83" sheetId="3" r:id="rId2"/>
    <sheet name="QI84" sheetId="4" r:id="rId3"/>
    <sheet name="QI85" sheetId="5" r:id="rId4"/>
    <sheet name="QI86" sheetId="6" r:id="rId5"/>
    <sheet name="QI87" sheetId="7" r:id="rId6"/>
    <sheet name="QI88" sheetId="8" r:id="rId7"/>
    <sheet name="QI89" sheetId="9" r:id="rId8"/>
    <sheet name="QI90" sheetId="10" r:id="rId9"/>
    <sheet name="QI91" sheetId="11" r:id="rId10"/>
    <sheet name="QI92" sheetId="12" r:id="rId11"/>
  </sheets>
  <externalReferences>
    <externalReference r:id="rId12"/>
    <externalReference r:id="rId13"/>
  </externalReferences>
  <definedNames>
    <definedName name="DT.10" comment="主小区MR详细信息AGPS">[1]A.无线覆盖!#REF!</definedName>
    <definedName name="DT.11" comment="主小区MR详细信息全量室内外">[1]A.无线覆盖!#REF!</definedName>
    <definedName name="主小区MR详细信息AGPS" comment="主小区MR详细信息AGPS" localSheetId="1">#REF!</definedName>
    <definedName name="主小区MR详细信息全量室内外" comment="主小区MR详细信息全量室内外" localSheetId="1">#REF!</definedName>
    <definedName name="_xlnm._FilterDatabase" localSheetId="2" hidden="1">'QI84'!$A$12:$N$46</definedName>
    <definedName name="主小区MR详细信息AGPS" comment="主小区MR详细信息AGPS" localSheetId="2">#REF!</definedName>
    <definedName name="主小区MR详细信息全量室内外" comment="主小区MR详细信息全量室内外" localSheetId="2">#REF!</definedName>
    <definedName name="_xlnm._FilterDatabase" localSheetId="3" hidden="1">'QI85'!$A$27:$N$76</definedName>
    <definedName name="主小区MR详细信息AGPS" comment="主小区MR详细信息AGPS" localSheetId="3">#REF!</definedName>
    <definedName name="主小区MR详细信息全量室内外" comment="主小区MR详细信息全量室内外" localSheetId="3">#REF!</definedName>
    <definedName name="主小区MR详细信息AGPS" comment="主小区MR详细信息AGPS" localSheetId="4">#REF!</definedName>
    <definedName name="主小区MR详细信息全量室内外" comment="主小区MR详细信息全量室内外" localSheetId="4">#REF!</definedName>
    <definedName name="主小区MR详细信息AGPS" comment="主小区MR详细信息AGPS" localSheetId="5">#REF!</definedName>
    <definedName name="主小区MR详细信息全量室内外" comment="主小区MR详细信息全量室内外" localSheetId="5">#REF!</definedName>
    <definedName name="主小区MR详细信息AGPS" comment="主小区MR详细信息AGPS" localSheetId="6">#REF!</definedName>
    <definedName name="主小区MR详细信息全量室内外" comment="主小区MR详细信息全量室内外" localSheetId="6">#REF!</definedName>
    <definedName name="主小区MR详细信息AGPS" comment="主小区MR详细信息AGPS" localSheetId="7">#REF!</definedName>
    <definedName name="主小区MR详细信息全量室内外" comment="主小区MR详细信息全量室内外" localSheetId="7">#REF!</definedName>
    <definedName name="主小区MR详细信息AGPS" comment="主小区MR详细信息AGPS" localSheetId="8">#REF!</definedName>
    <definedName name="主小区MR详细信息全量室内外" comment="主小区MR详细信息全量室内外" localSheetId="8">#REF!</definedName>
    <definedName name="主小区MR详细信息AGPS" comment="主小区MR详细信息AGPS" localSheetId="9">#REF!</definedName>
    <definedName name="主小区MR详细信息全量室内外" comment="主小区MR详细信息全量室内外" localSheetId="9">#REF!</definedName>
    <definedName name="主小区MR详细信息AGPS" comment="主小区MR详细信息AGPS" localSheetId="10">#REF!</definedName>
    <definedName name="主小区MR详细信息全量室内外" comment="主小区MR详细信息全量室内外" localSheetId="1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<sst xmlns="http://schemas.openxmlformats.org/spreadsheetml/2006/main" count="5315" uniqueCount="647">
  <si>
    <t>序号检查</t>
  </si>
  <si>
    <t>表名核查</t>
  </si>
  <si>
    <t>内部编号</t>
  </si>
  <si>
    <t>索引</t>
  </si>
  <si>
    <t>数据层级</t>
  </si>
  <si>
    <t>主题域</t>
  </si>
  <si>
    <t>一级分类</t>
  </si>
  <si>
    <t>二级分类</t>
  </si>
  <si>
    <t>表英文名</t>
  </si>
  <si>
    <t>表中文名</t>
  </si>
  <si>
    <t>数据描述</t>
  </si>
  <si>
    <t>备注</t>
  </si>
  <si>
    <t>汇聚维度</t>
  </si>
  <si>
    <t>时间粒度</t>
  </si>
  <si>
    <t>数据量(分区)</t>
  </si>
  <si>
    <t>推送数据库</t>
  </si>
  <si>
    <t>存储位置</t>
  </si>
  <si>
    <t>数据来源</t>
  </si>
  <si>
    <t>创建人</t>
  </si>
  <si>
    <t>创建时间</t>
  </si>
  <si>
    <t>最近修改时间</t>
  </si>
  <si>
    <t>生命周期（存储周期单位：天）</t>
  </si>
  <si>
    <t>前向表</t>
  </si>
  <si>
    <t>支撑应用/系统</t>
  </si>
  <si>
    <t>是否API</t>
  </si>
  <si>
    <t>版本号</t>
  </si>
  <si>
    <t>QI83</t>
  </si>
  <si>
    <t>应用层</t>
  </si>
  <si>
    <t>客开-问卷调查</t>
  </si>
  <si>
    <t>问卷</t>
  </si>
  <si>
    <t>指标</t>
  </si>
  <si>
    <t>dm_questionnaire_datatable_area_m</t>
  </si>
  <si>
    <t>4类问卷反馈优良区域维度指标月表（除engage help)</t>
  </si>
  <si>
    <t>整体data table</t>
  </si>
  <si>
    <t>区域</t>
  </si>
  <si>
    <t>月</t>
  </si>
  <si>
    <t>同步doris</t>
  </si>
  <si>
    <t>HDFS</t>
  </si>
  <si>
    <t>永久</t>
  </si>
  <si>
    <t>QI84</t>
  </si>
  <si>
    <t>dm_questionnaire_datatable_ovsat_m</t>
  </si>
  <si>
    <t>4类问卷反馈优良区域维度指标月表</t>
  </si>
  <si>
    <t>QI85</t>
  </si>
  <si>
    <t>dm_questionnaire_datatable_joinol_stat_d</t>
  </si>
  <si>
    <t>我加入online统计datatable天表</t>
  </si>
  <si>
    <t>join-data table</t>
  </si>
  <si>
    <t>QI86</t>
  </si>
  <si>
    <t>dm_questionnaire_datatable_joinol_stat_w</t>
  </si>
  <si>
    <t>我加入online统计datatable周表</t>
  </si>
  <si>
    <t>周</t>
  </si>
  <si>
    <t>QI87</t>
  </si>
  <si>
    <t>dm_questionnaire_datatable_joinol_stat_m</t>
  </si>
  <si>
    <t>我加入online统计datatable月表</t>
  </si>
  <si>
    <t>QI88</t>
  </si>
  <si>
    <t>dm_questionnaire_datatable_joinol_stat_qt</t>
  </si>
  <si>
    <t>我加入online统计datatable季表</t>
  </si>
  <si>
    <t>季度</t>
  </si>
  <si>
    <t>QI89</t>
  </si>
  <si>
    <t>dm_questionnaire_datatable_joinol_stat_y</t>
  </si>
  <si>
    <t>我加入online统计datatable年表</t>
  </si>
  <si>
    <t>年</t>
  </si>
  <si>
    <t>QI90</t>
  </si>
  <si>
    <t>dm_questionnaire_datatable_pay_stat_d</t>
  </si>
  <si>
    <t>我支付统计datatable天表</t>
  </si>
  <si>
    <t>pay-data table</t>
  </si>
  <si>
    <t>天</t>
  </si>
  <si>
    <t>QI91</t>
  </si>
  <si>
    <t>dm_questionnaire_datatable_pay_stat_w</t>
  </si>
  <si>
    <t>我支付统计datatable周表</t>
  </si>
  <si>
    <t>QI92</t>
  </si>
  <si>
    <t>dm_questionnaire_datatable_pay_stat_m</t>
  </si>
  <si>
    <t>我支付统计datatable月表</t>
  </si>
  <si>
    <t>目标表基本信息描述</t>
  </si>
  <si>
    <t>目标表英文名</t>
  </si>
  <si>
    <t>目标表中文名</t>
  </si>
  <si>
    <t>数据频度</t>
  </si>
  <si>
    <t>模型主键</t>
  </si>
  <si>
    <t>问卷调查-整体data table</t>
  </si>
  <si>
    <t>month</t>
  </si>
  <si>
    <t>year+month+area_name</t>
  </si>
  <si>
    <t>源表基本信息描述</t>
  </si>
  <si>
    <t>来源系统</t>
  </si>
  <si>
    <t>源表英文名</t>
  </si>
  <si>
    <t>源表中文名</t>
  </si>
  <si>
    <t>别名</t>
  </si>
  <si>
    <t>任务描述</t>
  </si>
  <si>
    <t>是否主表</t>
  </si>
  <si>
    <t>问卷调查</t>
  </si>
  <si>
    <t>dm_questionnaire_stat_m_d</t>
  </si>
  <si>
    <t>问卷调查整月统计详情天表</t>
  </si>
  <si>
    <t>A</t>
  </si>
  <si>
    <t>取帐期月最后一天数据</t>
  </si>
  <si>
    <t>a、b分别先汇聚到area（没有area值的，汇聚为other，再关联a.area_name=b.area_name</t>
  </si>
  <si>
    <t>是</t>
  </si>
  <si>
    <t>dm_questionnaire_group_stat_m_d</t>
  </si>
  <si>
    <t>问卷调查各级整月统计详情天表</t>
  </si>
  <si>
    <t>B</t>
  </si>
  <si>
    <t>详细字段信息</t>
  </si>
  <si>
    <t>PDM字段英文名</t>
  </si>
  <si>
    <t>PDM字段类型</t>
  </si>
  <si>
    <t>PDM字段中文名（说明）</t>
  </si>
  <si>
    <t>源表名</t>
  </si>
  <si>
    <t>源字段英文名</t>
  </si>
  <si>
    <t>算法加工逻辑</t>
  </si>
  <si>
    <t>关联与过滤条件</t>
  </si>
  <si>
    <t>字段属性</t>
  </si>
  <si>
    <t>单位</t>
  </si>
  <si>
    <t>取值范围</t>
  </si>
  <si>
    <t>p_year</t>
  </si>
  <si>
    <t>int</t>
  </si>
  <si>
    <t>年分区</t>
  </si>
  <si>
    <t>p_month</t>
  </si>
  <si>
    <t>月分区</t>
  </si>
  <si>
    <t>year</t>
  </si>
  <si>
    <t>维度</t>
  </si>
  <si>
    <t>area_name</t>
  </si>
  <si>
    <t>string</t>
  </si>
  <si>
    <t>地区名称</t>
  </si>
  <si>
    <t>直取，空的为other</t>
  </si>
  <si>
    <t>rm_help_questionnaire_feedback_cnt</t>
  </si>
  <si>
    <t>bigint</t>
  </si>
  <si>
    <t>所有问卷调查的反馈量（不包括engage help)</t>
  </si>
  <si>
    <t>rm_help_questionnaire_feedback_nums</t>
  </si>
  <si>
    <t>sum</t>
  </si>
  <si>
    <t>base</t>
  </si>
  <si>
    <t>次</t>
  </si>
  <si>
    <t>（0，∞）</t>
  </si>
  <si>
    <t>rm_help_good_ovsat_cnt</t>
  </si>
  <si>
    <t>4类问卷OvSat满意度是良好的次数（不包括engage help)</t>
  </si>
  <si>
    <t>sum(nvl(join_good_ovsat_nums,0)+nvl(pay_good_ovsat_nums,0)+nvl(usenet_good_ovsat_nums,0)+nvl(useapp_good_ovsat_nums,0)+nvl(engagehot_good_ovsat_nums,0)+nvl(engagelive_good_ovsat_nums,0)+nvl(engageemail_good_ovsat_nums,0))</t>
  </si>
  <si>
    <t>ovsat</t>
  </si>
  <si>
    <t>rm_help_ovsat_cnt</t>
  </si>
  <si>
    <t>4类问卷OvSat满意度次数（不包括engage help)</t>
  </si>
  <si>
    <t>sum(nvl(join_ovsat_nums,0)+nvl(pay_ovsat_nums,0)+nvl(usenet_ovsat_nums,0)+nvl(useapp_ovsat_nums,0)+nvl(engagehot_ovsat_nums,0)+nvl(engagelive_ovsat_nums,0)+nvl(engageemail_ovsat_nums,0))</t>
  </si>
  <si>
    <t>rm_help_good_ovsat_ratio</t>
  </si>
  <si>
    <t>4类问卷OvSat满意度指标（不包括engage help)</t>
  </si>
  <si>
    <t>sum(nvl(join_good_ovsat_nums,0)+nvl(pay_good_ovsat_nums,0)+nvl(usenet_good_ovsat_nums,0)+nvl(useapp_good_ovsat_nums,0)+nvl(engagehot_good_ovsat_nums,0)+nvl(engagelive_good_ovsat_nums,0)+nvl(engageemail_good_ovsat_nums,0))/sum(nvl(join_ovsat_nums,0)+nvl(pay_ovsat_nums,0)+nvl(usenet_ovsat_nums,0)+nvl(useapp_ovsat_nums,0)+nvl(engagehot_ovsat_nums,0)+nvl(engagelive_ovsat_nums,0)+nvl(engageemail_ovsat_nums,0))</t>
  </si>
  <si>
    <t>比例</t>
  </si>
  <si>
    <t>[0，1]</t>
  </si>
  <si>
    <t>rm_help_good_ces_cnt</t>
  </si>
  <si>
    <t>4类问卷ces满意度是良好的次数（不包括engage help)</t>
  </si>
  <si>
    <r>
      <rPr>
        <sz val="9"/>
        <color theme="1"/>
        <rFont val="微软雅黑"/>
        <charset val="134"/>
      </rPr>
      <t>sum</t>
    </r>
    <r>
      <rPr>
        <sz val="9"/>
        <rFont val="微软雅黑"/>
        <charset val="134"/>
      </rPr>
      <t>(nvl(join_good_ces_nums,0)+nvl(pay_good_ces_nums,0)+nvl(useapp_good_ces_nums,0)+nvl(usenet_good_ces_nums,0)+nvl(engagehelp_good_ces_nums,0)+nvl(engageominus_good_ces_nums,0))</t>
    </r>
  </si>
  <si>
    <t>ces</t>
  </si>
  <si>
    <t>rm_help_ces_cnt</t>
  </si>
  <si>
    <t>4类问卷ces满意度次数（不包括engage help)</t>
  </si>
  <si>
    <r>
      <rPr>
        <sz val="9"/>
        <color theme="1"/>
        <rFont val="微软雅黑"/>
        <charset val="134"/>
      </rPr>
      <t>sum</t>
    </r>
    <r>
      <rPr>
        <sz val="9"/>
        <rFont val="微软雅黑"/>
        <charset val="134"/>
      </rPr>
      <t>(nvl(join_ces_nums,0)+nvl(pay_ces_nums,0)+nvl(useapp_ces_nums,0)+nvl(usenet_ces_nums,0)+nvl(engagehelp_ces_nums,0))</t>
    </r>
  </si>
  <si>
    <t>rm_help_good_ces_ratio</t>
  </si>
  <si>
    <t>4类问卷ces满意度指标（不包括engage help)</t>
  </si>
  <si>
    <r>
      <rPr>
        <sz val="9"/>
        <color theme="1"/>
        <rFont val="微软雅黑"/>
        <charset val="134"/>
      </rPr>
      <t>sum</t>
    </r>
    <r>
      <rPr>
        <sz val="9"/>
        <rFont val="微软雅黑"/>
        <charset val="134"/>
      </rPr>
      <t>(nvl(join_good_ces_nums,0)+nvl(pay_good_ces_nums,0)+nvl(useapp_good_ces_nums,0)+nvl(usenet_good_ces_nums,0)+nvl(engagehelp_good_ces_nums,0)+nvl(engageominus_good_ces_nums,0))/sum(nvl(join_ces_nums,0)+nvl(pay_ces_nums,0)+nvl(useapp_ces_nums,0)+nvl(usenet_ces_nums,0)+nvl(engagehelp_ces_nums,0))</t>
    </r>
  </si>
  <si>
    <t>rm_help_good_nps_cnt</t>
  </si>
  <si>
    <t>4类问卷nps满意度是良好的次数（不包括engage help)</t>
  </si>
  <si>
    <r>
      <rPr>
        <sz val="9"/>
        <color theme="1"/>
        <rFont val="微软雅黑"/>
        <charset val="134"/>
      </rPr>
      <t>sum</t>
    </r>
    <r>
      <rPr>
        <sz val="9"/>
        <rFont val="微软雅黑"/>
        <charset val="134"/>
      </rPr>
      <t>(nvl(join_good_nps_nums,0)+nvl(pay_good_nps_nums,0)+nvl(useapp_good_nps_nums,0)+nvl(usenet_good_nps_nums,0)+nvl(engagehelp_good_nps_nums,0)+nvl(engageominus_good_nps_nums,0))</t>
    </r>
  </si>
  <si>
    <t>nps</t>
  </si>
  <si>
    <t>rm_help_nps_cnt</t>
  </si>
  <si>
    <t>4类问卷nps满意度次数（不包括engage help)</t>
  </si>
  <si>
    <r>
      <rPr>
        <sz val="9"/>
        <color theme="1"/>
        <rFont val="微软雅黑"/>
        <charset val="134"/>
      </rPr>
      <t>sum</t>
    </r>
    <r>
      <rPr>
        <sz val="9"/>
        <rFont val="微软雅黑"/>
        <charset val="134"/>
      </rPr>
      <t>(nvl(join_nps_nums,0)+nvl(pay_nps_nums,0)+nvl(useapp_nps_nums,0)+nvl(usenet_nps_nums,0)+nvl(engagehelp_nps_nums,0)+nvl(engageominus_nps_nums,0))</t>
    </r>
  </si>
  <si>
    <t>rm_help_good_nps_ratio</t>
  </si>
  <si>
    <t>4类问卷nps满意度指标（不包括engage help)</t>
  </si>
  <si>
    <r>
      <rPr>
        <sz val="9"/>
        <color theme="1"/>
        <rFont val="微软雅黑"/>
        <charset val="134"/>
      </rPr>
      <t>sum</t>
    </r>
    <r>
      <rPr>
        <sz val="9"/>
        <rFont val="微软雅黑"/>
        <charset val="134"/>
      </rPr>
      <t>(nvl(join_good_nps_nums,0)+nvl(pay_good_nps_nums,0)+nvl(useapp_good_nps_nums,0)+nvl(usenet_good_nps_nums,0)+nvl(engagehelp_good_nps_nums,0)+nvl(engageominus_good_nps_nums,0))/sum(nvl(join_nps_nums,0)+nvl(pay_nps_nums,0)+nvl(useapp_nps_nums,0)+nvl(usenet_nps_nums,0)+nvl(engagehelp_nps_nums,0)+nvl(engageominus_nps_nums,0))</t>
    </r>
  </si>
  <si>
    <t>area_name+data_level</t>
  </si>
  <si>
    <t>取当月最后一天数据</t>
  </si>
  <si>
    <t>最终计算结果为6条数据</t>
  </si>
  <si>
    <t>直取对应区域名称，区域为空的置other; 全国时置NationWide</t>
  </si>
  <si>
    <t>枚举</t>
  </si>
  <si>
    <t>{NLZ,VIS,MIN,NCR,SLZ,other,NationWide}</t>
  </si>
  <si>
    <t>data_level</t>
  </si>
  <si>
    <t>数据等级</t>
  </si>
  <si>
    <t>(0~5,分别表示全网~barangy)；</t>
  </si>
  <si>
    <t>0：全国
1：5大区域</t>
  </si>
  <si>
    <t>{0，1}</t>
  </si>
  <si>
    <t>问卷反馈量（月粒度）</t>
  </si>
  <si>
    <t>sum(nvl(joinol_good_ovsat_nums,0)+nvl(joinoff_good_ovsat_nums,0)+nvl(pay_good_ovsat_nums,0)+nvl(usenet_good_ovsat_nums,0)+nvl(useapp_good_ovsat_nums,0)+nvl(engagehot_good_ovsat_nums,0)+nvl(engagelive_good_ovsat_nums,0)+nvl(engageemail_good_ovsat_nums,0))</t>
  </si>
  <si>
    <t>4类问卷汇总的OVSAT指标（月粒度）</t>
  </si>
  <si>
    <t xml:space="preserve">sum(nvl(joinol_ovsat_nums,0)+nvl(joinoff_ovsat_nums,0)+nvl(pay_ovsat_nums,0)+nvl(usenet_ovsat_nums,0)+nvl(useapp_ovsat_nums,0)+nvl(engagehot_ovsat_nums,0)+nvl(engagelive_ovsat_nums,0)+nvl(engageemail_ovsat_nums,0)) </t>
  </si>
  <si>
    <t>double</t>
  </si>
  <si>
    <t xml:space="preserve">sum(nvl(joinol_good_ovsat_nums,0)+nvl(joinoff_good_ovsat_nums,0)+nvl(pay_good_ovsat_nums,0)+nvl(usenet_good_ovsat_nums,0)+nvl(useapp_good_ovsat_nums,0)+nvl(engagehot_good_ovsat_nums,0)+nvl(engagelive_good_ovsat_nums,0)+nvl(engageemail_good_ovsat_nums,0))
/
sum(nvl(joinol_ovsat_nums,0)+nvl(joinoff_ovsat_nums,0)+nvl(pay_ovsat_nums,0)+nvl(usenet_ovsat_nums,0)+nvl(useapp_ovsat_nums,0)+nvl(engagehot_ovsat_nums,0)+nvl(engagelive_ovsat_nums,0)+nvl(engageemail_ovsat_nums,0)) </t>
  </si>
  <si>
    <t>joinol_good_ovsat_cnt</t>
  </si>
  <si>
    <t>IJOIN online OvSat满意度是良好的次数</t>
  </si>
  <si>
    <t>joinol_good_ovsat_nums</t>
  </si>
  <si>
    <t>iJoin Online的OVSAT指标（月粒度）</t>
  </si>
  <si>
    <t>joinol_ovsat_cnt</t>
  </si>
  <si>
    <t>IJOIN online OvSat满意度次数</t>
  </si>
  <si>
    <t>joinol_ovsat_nums</t>
  </si>
  <si>
    <t>joinol_good_ovsat_ratio</t>
  </si>
  <si>
    <t>IJOIN online OvSat满意度指标</t>
  </si>
  <si>
    <t>sum(joinol_good_ovsat_nums)/sum(joinol_ovsat_nums)</t>
  </si>
  <si>
    <t>joinoff_good_ovsat_cnt</t>
  </si>
  <si>
    <t>IJOIN offline OvSat满意度是良好的次数</t>
  </si>
  <si>
    <t>joinoff_good_ovsat_nums</t>
  </si>
  <si>
    <t>iJoin Offline的OVSAT指标（月粒度）</t>
  </si>
  <si>
    <t>joinoff_ovsat_cnt</t>
  </si>
  <si>
    <t>IJOIN offline OvSat满意度次数</t>
  </si>
  <si>
    <t>joinoff_ovsat_nums</t>
  </si>
  <si>
    <t>joinoff_good_ovsat_ratio</t>
  </si>
  <si>
    <t>IJOIN offline OvSat满意度指标</t>
  </si>
  <si>
    <t>sum(joinoff_good_ovsat_nums)/sum(joinoff_ovsat_nums)</t>
  </si>
  <si>
    <t>pay_good_ovsat_cnt</t>
  </si>
  <si>
    <t>IPAY OvSat满意度是良好的次数</t>
  </si>
  <si>
    <t>pay_good_ovsat_nums</t>
  </si>
  <si>
    <t>iPay的OVSAT指标（月粒度）</t>
  </si>
  <si>
    <t>pay_ovsat_cnt</t>
  </si>
  <si>
    <t>IPAY OvSat满意度次数</t>
  </si>
  <si>
    <t>pay_ovsat_nums</t>
  </si>
  <si>
    <t>pay_good_ovsat_ratio</t>
  </si>
  <si>
    <t>IPAY OvSat满意度指标</t>
  </si>
  <si>
    <t>sum(pay_good_ovsat_nums)/sum(pay_ovsat_nums)</t>
  </si>
  <si>
    <t>usenet_good_ovsat_cnt</t>
  </si>
  <si>
    <t>IUSE Network OvSat满意度是良好的次数</t>
  </si>
  <si>
    <t>usenet_good_ovsat_nums</t>
  </si>
  <si>
    <t>iUse Network的OVSAT指标（月粒度）</t>
  </si>
  <si>
    <t>usenet_ovsat_cnt</t>
  </si>
  <si>
    <t>IUSE Network OvSat满意度次数</t>
  </si>
  <si>
    <t>usenet_ovsat_nums</t>
  </si>
  <si>
    <t>usenet_good_ovsat_ratio</t>
  </si>
  <si>
    <t>IUSE Network OvSat满意度指标</t>
  </si>
  <si>
    <t>useapp_good_ovsat_cnt</t>
  </si>
  <si>
    <t>IUSE APP OvSat满意度是良好的次数</t>
  </si>
  <si>
    <t>useapp_good_ovsat_nums</t>
  </si>
  <si>
    <t>iUse App的OVSAT指标（月粒度）</t>
  </si>
  <si>
    <t>useapp_ovsat_cnt</t>
  </si>
  <si>
    <t>IUSE APP OvSat满意度次数</t>
  </si>
  <si>
    <t>useapp_ovsat_nums</t>
  </si>
  <si>
    <t>useapp_good_ovsat_ratio</t>
  </si>
  <si>
    <t>IUSE APP OvSat满意度指标</t>
  </si>
  <si>
    <t>engagehot_good_ovsat_cnt</t>
  </si>
  <si>
    <t>IEngage hotline OvSat满意度是良好的次数</t>
  </si>
  <si>
    <t>engagehot_good_ovsat_nums</t>
  </si>
  <si>
    <t>iEngage Hotline的OVSAT指标（月粒度）</t>
  </si>
  <si>
    <t>engagehot_ovsat_cnt</t>
  </si>
  <si>
    <t>IEngage hotline OvSat满意度次数</t>
  </si>
  <si>
    <t>engagehot_ovsat_nums</t>
  </si>
  <si>
    <t>engagehot_good_ovsat_ratio</t>
  </si>
  <si>
    <t>IEngage hotline OvSat满意度指标</t>
  </si>
  <si>
    <t>engagelive_good_ovsat_cnt</t>
  </si>
  <si>
    <t>IEngage live chat OvSat满意度是良好的次数</t>
  </si>
  <si>
    <t>engagelive_good_ovsat_nums</t>
  </si>
  <si>
    <t>iEngage Live Chat的OVSAT指标（月粒度）</t>
  </si>
  <si>
    <t>engagelive_ovsat_cnt</t>
  </si>
  <si>
    <t>IEngage  live chat OvSat满意度次数</t>
  </si>
  <si>
    <t>engagelive_ovsat_nums</t>
  </si>
  <si>
    <t>engagelive_good_ovsat_ratio</t>
  </si>
  <si>
    <t>IEngage live chat OvSat满意度指标</t>
  </si>
  <si>
    <t>engageemail_good_ovsat_cnt</t>
  </si>
  <si>
    <t>Iengage email OvSat满意度是良好的次数</t>
  </si>
  <si>
    <t>engageemail_good_ovsat_nums</t>
  </si>
  <si>
    <t>iEngage Email的OVSAT指标（月粒度）</t>
  </si>
  <si>
    <t>engageemail_ovsat_cnt</t>
  </si>
  <si>
    <t>IEngage  email OvSat满意度次数</t>
  </si>
  <si>
    <t>engageemail_ovsat_nums</t>
  </si>
  <si>
    <t>engageemail_good_ovsat_ratio</t>
  </si>
  <si>
    <t>Iengage email OvSat满意度指标</t>
  </si>
  <si>
    <t>day</t>
  </si>
  <si>
    <t>绿色字段</t>
  </si>
  <si>
    <t>dtsw</t>
  </si>
  <si>
    <t>dm_questionnaire_joinol_stat_d</t>
  </si>
  <si>
    <t>我加入online统计天表</t>
  </si>
  <si>
    <t>筛选条件：product_bought&lt;&gt;‘TOTAL' and purchase_channel&lt;&gt;'TOTAL'and service_type&lt;&gt;'TOTAL'</t>
  </si>
  <si>
    <t>A先按主键汇聚出指标，再A left join B on 主键字段关联计算环比。</t>
  </si>
  <si>
    <t>取p_date-1</t>
  </si>
  <si>
    <t>p_date</t>
  </si>
  <si>
    <t>天分区（当天）</t>
  </si>
  <si>
    <t>时间账期（当天）</t>
  </si>
  <si>
    <t>直取</t>
  </si>
  <si>
    <t>area_id</t>
  </si>
  <si>
    <t>地区编码</t>
  </si>
  <si>
    <t>areacode</t>
  </si>
  <si>
    <t>2,3,4,5,6</t>
  </si>
  <si>
    <t>直取，其它置other</t>
  </si>
  <si>
    <t>region_id</t>
  </si>
  <si>
    <t>大区编码</t>
  </si>
  <si>
    <t>regioncode</t>
  </si>
  <si>
    <t>region_name</t>
  </si>
  <si>
    <t>大区名称</t>
  </si>
  <si>
    <t>province_id</t>
  </si>
  <si>
    <t>省编码</t>
  </si>
  <si>
    <t>provincecode</t>
  </si>
  <si>
    <t>province_name</t>
  </si>
  <si>
    <t>省名称</t>
  </si>
  <si>
    <t>city_id</t>
  </si>
  <si>
    <t>城市编码</t>
  </si>
  <si>
    <t>citycode</t>
  </si>
  <si>
    <t>city_name</t>
  </si>
  <si>
    <t>城市名称</t>
  </si>
  <si>
    <t>barangay_id</t>
  </si>
  <si>
    <t>barangayID</t>
  </si>
  <si>
    <t>barangay_name</t>
  </si>
  <si>
    <t>barangay名称</t>
  </si>
  <si>
    <t>数据分级</t>
  </si>
  <si>
    <t>(0~5,分别表示全网~barangy)；data_level=0代表全网，area~barangay都置为null</t>
  </si>
  <si>
    <t>{0，1，2，3，4，5}</t>
  </si>
  <si>
    <t>service_type</t>
  </si>
  <si>
    <t>服务类型</t>
  </si>
  <si>
    <t>直取，并汇总TOTAL</t>
  </si>
  <si>
    <t>fwa prepaid
fwa postpaid
mobile prepaid
mobile postpaid
other brands(fmo)
TOTAL</t>
  </si>
  <si>
    <t>pay_type</t>
  </si>
  <si>
    <t>支付类型</t>
  </si>
  <si>
    <t>online
offline
TOTAL</t>
  </si>
  <si>
    <t>purchase_channel</t>
  </si>
  <si>
    <t>购买渠道</t>
  </si>
  <si>
    <t>字段值分别对应：
A1:App
A2:DITO E-shop(website)
A3:Shopee
A4:Lazada
A5:DITO Experience store
A6:Handset Retailers
TOTAL:所有类型汇聚</t>
  </si>
  <si>
    <t>A1
A2
A3
A4
A5
A6
TOTAL</t>
  </si>
  <si>
    <t>questionnaire_feedback_cnt</t>
  </si>
  <si>
    <t>问卷反馈量</t>
  </si>
  <si>
    <t>pay_user_nums</t>
  </si>
  <si>
    <t>sum(pay_user_nums)</t>
  </si>
  <si>
    <t>[0,∞)</t>
  </si>
  <si>
    <t>questionnaire_feedback_cnt_qoq</t>
  </si>
  <si>
    <t>doble</t>
  </si>
  <si>
    <t>问卷反馈量环比</t>
  </si>
  <si>
    <t>AB</t>
  </si>
  <si>
    <t>(a.questionnaire_feedback_cnt-b.questionnaire_feedback_cnt)/b.questionnaire_feedback_cnt</t>
  </si>
  <si>
    <t>[-∞,∞]</t>
  </si>
  <si>
    <t>good_ovsat_cnt</t>
  </si>
  <si>
    <t>ovsat满意度是良好的次数</t>
  </si>
  <si>
    <t>good_ovsat_nums</t>
  </si>
  <si>
    <t>sum(good_ovsat_nums)</t>
  </si>
  <si>
    <t>ovsat_cnt</t>
  </si>
  <si>
    <t>ovsat满意度总数</t>
  </si>
  <si>
    <t>ovsat_nums</t>
  </si>
  <si>
    <t>sum(ovsat_nums)</t>
  </si>
  <si>
    <t>ovsat_ratio</t>
  </si>
  <si>
    <t>ovsat满意度</t>
  </si>
  <si>
    <t>sum(good_ovsat_nums)/sum(ovsat_nums)</t>
  </si>
  <si>
    <t>0vSat</t>
  </si>
  <si>
    <t>[0,1]</t>
  </si>
  <si>
    <t>ovsat_ratio_qoq</t>
  </si>
  <si>
    <t>ovsat满意度环比</t>
  </si>
  <si>
    <t>(a.ovsat_ratio-b.ovsat_ratio)/b.ovsat_ratio</t>
  </si>
  <si>
    <t>good_ces_cnt</t>
  </si>
  <si>
    <t>ces满意度是良好的次数</t>
  </si>
  <si>
    <t>good_ces_nums</t>
  </si>
  <si>
    <t>sum(good_ces_nums)</t>
  </si>
  <si>
    <t>ces_cnt</t>
  </si>
  <si>
    <t>ces满意度总数</t>
  </si>
  <si>
    <t>ces_nums</t>
  </si>
  <si>
    <t>sum(ces_nums)</t>
  </si>
  <si>
    <t>ces_ratio</t>
  </si>
  <si>
    <t>ces满意度</t>
  </si>
  <si>
    <t>sum(good_ces_nums)/sum(ces_nums)</t>
  </si>
  <si>
    <t>CES</t>
  </si>
  <si>
    <t>ces_ratio_qoq</t>
  </si>
  <si>
    <t>ces满意度环比</t>
  </si>
  <si>
    <t>(a.ces_ratio-b.ces_ratio)/b.ces_ratio</t>
  </si>
  <si>
    <t>good_complet_information_sim_purchase_cnt</t>
  </si>
  <si>
    <t>SIM卡购买过程信息的完整性是良好的次数</t>
  </si>
  <si>
    <t>good_complet_information_sim_purchase_nums</t>
  </si>
  <si>
    <t>sum(good_complet_information_sim_purchase_nums)</t>
  </si>
  <si>
    <t>complet_information_sim_purchase_cnt</t>
  </si>
  <si>
    <t>SIM卡购买过程信息的完整性总数</t>
  </si>
  <si>
    <t>complet_information_sim_purchase_nums</t>
  </si>
  <si>
    <t>sum(complet_information_sim_purchase_nums)</t>
  </si>
  <si>
    <t>complet_information_sim_purchase_ratio</t>
  </si>
  <si>
    <t>SIM卡购买过程信息的完整性</t>
  </si>
  <si>
    <t>sum(good_complet_information_sim_purchase_nums)/sum(complet_information_sim_purchase_nums)</t>
  </si>
  <si>
    <t>Completeness of Information</t>
  </si>
  <si>
    <t>complet_information_sim_purchase_ratio_qoq</t>
  </si>
  <si>
    <t>SIM卡购买过程信息的完整性环比</t>
  </si>
  <si>
    <t>(a.complet_information_sim_purchase_ratio-b.complet_information_sim_purchase_ratio)/b.complet_information_sim_purchase_ratio</t>
  </si>
  <si>
    <t>good_clear_instructe_provided_sim_purchase_cnt</t>
  </si>
  <si>
    <t>购买SIM卡有明确的说明是良好的次数</t>
  </si>
  <si>
    <t>good_clear_instructe_provided_sim_purchase_nums</t>
  </si>
  <si>
    <t>sum(good_clear_instructe_provided_sim_purchase_nums)</t>
  </si>
  <si>
    <t>clear_instructe_provided_sim_purchase_cnt</t>
  </si>
  <si>
    <t>购买SIM卡有明确的说明总数</t>
  </si>
  <si>
    <t>clear_instructe_provided_sim_purchase_nums</t>
  </si>
  <si>
    <t>sum(clear_instructe_provided_sim_purchase_nums)</t>
  </si>
  <si>
    <t>clear_instructe_provided_sim_purchase_ratio</t>
  </si>
  <si>
    <t>购买SIM卡有明确的说明</t>
  </si>
  <si>
    <t>sum(good_clear_instructe_provided_sim_purchase_nums)/sum(clear_instructe_provided_sim_purchase_nums)</t>
  </si>
  <si>
    <t>Clear Instructions on SIM Purchase</t>
  </si>
  <si>
    <t>clear_instructe_provided_sim_purchase_ratio_qoq</t>
  </si>
  <si>
    <t>购买SIM卡有明确的说明环比</t>
  </si>
  <si>
    <t>(a.clear_instructe_provided_sim_purchase_ratio-b.clear_instructe_provided_sim_purchase_ratio)/b.clear_instructe_provided_sim_purchase_ratio</t>
  </si>
  <si>
    <t>good_complete_information_sim_pay_cnt</t>
  </si>
  <si>
    <t>SIM支付程序信息的完整性是良好的次数</t>
  </si>
  <si>
    <t>good_complete_information_sim_pay_nums</t>
  </si>
  <si>
    <t>sum(good_complete_information_sim_pay_nums)</t>
  </si>
  <si>
    <t>complete_information_sim_pay_cnt</t>
  </si>
  <si>
    <t>SIM支付程序信息的完整性总数</t>
  </si>
  <si>
    <t>complete_information_sim_pay_nums</t>
  </si>
  <si>
    <t>sum(complete_information_sim_pay_nums)</t>
  </si>
  <si>
    <t>complete_information_sim_pay_ratio</t>
  </si>
  <si>
    <t>SIM支付程序信息的完整性</t>
  </si>
  <si>
    <t>sum(good_complete_information_sim_pay_nums)/sum(complete_information_sim_pay_nums)</t>
  </si>
  <si>
    <t>Completeness of Info on SIM Payment</t>
  </si>
  <si>
    <t>complete_information_sim_pay_ratio_qoq</t>
  </si>
  <si>
    <t>SIM支付程序信息的完整性环比</t>
  </si>
  <si>
    <t>(a.complete_information_sim_pay_ratio-b.complete_information_sim_pay_ratio)/b.complete_information_sim_pay_ratio</t>
  </si>
  <si>
    <t>good_available_pay_options_cnt</t>
  </si>
  <si>
    <t>可用的支付选项，我更喜欢是良好的次数</t>
  </si>
  <si>
    <t>good_available_pay_options_nums</t>
  </si>
  <si>
    <t>sum(good_available_pay_options_nums)</t>
  </si>
  <si>
    <t>available_pay_options_cnt</t>
  </si>
  <si>
    <t>可用的支付选项，我更喜欢总数</t>
  </si>
  <si>
    <t>available_pay_options_nums</t>
  </si>
  <si>
    <t>sum(available_pay_options_nums)</t>
  </si>
  <si>
    <t>available_pay_options_ratio</t>
  </si>
  <si>
    <t>可用的支付选项，我更喜欢</t>
  </si>
  <si>
    <t>sum(good_available_pay_options_nums)/sum(available_pay_options_nums)</t>
  </si>
  <si>
    <t>Availability of payment options</t>
  </si>
  <si>
    <t>available_pay_options_ratio_qoq</t>
  </si>
  <si>
    <t>可用的支付选项，我更喜欢环比</t>
  </si>
  <si>
    <t>(a.available_pay_options_ratio-b.available_pay_options_ratio)/b.available_pay_options_ratio</t>
  </si>
  <si>
    <t>good_correct_charge_amount_pay_cnt</t>
  </si>
  <si>
    <t>正确的收取我的付款来源的金额是良好的次数</t>
  </si>
  <si>
    <t>good_correct_charge_amount_pay_nums</t>
  </si>
  <si>
    <t>sum(good_correct_charge_amount_pay_nums)</t>
  </si>
  <si>
    <t>correct_charge_amount_pay_cnt</t>
  </si>
  <si>
    <t>正确的收取我的付款来源的金额总数</t>
  </si>
  <si>
    <t>correct_charge_amount_pay_nums</t>
  </si>
  <si>
    <t>sum(correct_charge_amount_pay_nums)</t>
  </si>
  <si>
    <t>correct_charge_amount_pay_ratio</t>
  </si>
  <si>
    <t>正确的收取我的付款来源的金额</t>
  </si>
  <si>
    <t>sum(good_correct_charge_amount_pay_nums)/sum(correct_charge_amount_pay_nums)</t>
  </si>
  <si>
    <t>Correct charging of payment source</t>
  </si>
  <si>
    <t>correct_charge_amount_pay_ratio_qoq</t>
  </si>
  <si>
    <t>正确的收取我的付款来源的金额环比</t>
  </si>
  <si>
    <t>(a.correct_charge_amount_pay_ratio-b.correct_charge_amount_pay_ratio)/b.correct_charge_amount_pay_ratio</t>
  </si>
  <si>
    <t>good_speed_delivery_sim_ordered_cnt</t>
  </si>
  <si>
    <t>SIM订单的交付速度是良好的次数</t>
  </si>
  <si>
    <t>good_speed_delivery_sim_ordered_nums</t>
  </si>
  <si>
    <t>sum(good_speed_delivery_sim_ordered_nums)</t>
  </si>
  <si>
    <t>speed_delivery_sim_ordered_cnt</t>
  </si>
  <si>
    <t>SIM订单的交付速度总数</t>
  </si>
  <si>
    <t>speed_delivery_sim_ordered_nums</t>
  </si>
  <si>
    <t>sum(speed_delivery_sim_ordered_nums)</t>
  </si>
  <si>
    <t>speed_delivery_sim_ordered_ratio</t>
  </si>
  <si>
    <t>SIM订单的交付速度</t>
  </si>
  <si>
    <t>sum(good_speed_delivery_sim_ordered_nums)/sum(speed_delivery_sim_ordered_nums)</t>
  </si>
  <si>
    <t>Speed of Delivery</t>
  </si>
  <si>
    <t>speed_delivery_sim_ordered_ratio_qoq</t>
  </si>
  <si>
    <t>SIM订单的交付速度环比</t>
  </si>
  <si>
    <t>(a.speed_delivery_sim_ordered_ratio-b.speed_delivery_sim_ordered_ratio)/b.speed_delivery_sim_ordered_ratio</t>
  </si>
  <si>
    <t>good_ease_input_delivery_information_cnt</t>
  </si>
  <si>
    <t>方便输入送货信息是良好的次数</t>
  </si>
  <si>
    <t>good_ease_input_delivery_information_nums</t>
  </si>
  <si>
    <t>sum(good_ease_input_delivery_information_nums)</t>
  </si>
  <si>
    <t>ease_input_delivery_information_cnt</t>
  </si>
  <si>
    <t>方便输入送货信息总数</t>
  </si>
  <si>
    <t>ease_input_delivery_information_nums</t>
  </si>
  <si>
    <t>sum(ease_input_delivery_information_nums)</t>
  </si>
  <si>
    <t>ease_input_delivery_information_ratio</t>
  </si>
  <si>
    <t>方便输入送货信息</t>
  </si>
  <si>
    <t>sum(good_ease_input_delivery_information_nums)/sum(ease_input_delivery_information_nums)</t>
  </si>
  <si>
    <t>ease_input_delivery_information_ratio_qoq</t>
  </si>
  <si>
    <t>方便输入送货信息环比</t>
  </si>
  <si>
    <t>(a.ease_input_delivery_information_ratio-b.ease_input_delivery_information_ratio)/b.ease_input_delivery_information_ratio</t>
  </si>
  <si>
    <t>good_ease_activate_sim_card_cnt</t>
  </si>
  <si>
    <t>轻松激活SIM卡是良好的次数</t>
  </si>
  <si>
    <t>good_ease_activate_sim_card_nums</t>
  </si>
  <si>
    <t>sum(good_ease_activate_sim_card_nums)</t>
  </si>
  <si>
    <t>ease_activate_sim_card_cnt</t>
  </si>
  <si>
    <t>轻松激活SIM卡总数</t>
  </si>
  <si>
    <t>ease_activate_sim_card_nums</t>
  </si>
  <si>
    <t>sum(ease_activate_sim_card_nums)</t>
  </si>
  <si>
    <t>ease_activate_sim_card_ratio</t>
  </si>
  <si>
    <t>轻松激活SIM卡</t>
  </si>
  <si>
    <t>sum(good_ease_activate_sim_card_nums)/sum(ease_activate_sim_card_nums)</t>
  </si>
  <si>
    <t>SIM Activation</t>
  </si>
  <si>
    <t>ease_activate_sim_card_ratio_qoq</t>
  </si>
  <si>
    <t>轻松激活SIM卡环比</t>
  </si>
  <si>
    <t>(a.ease_activate_sim_card_ratio-b.ease_activate_sim_card_ratio)/b.ease_activate_sim_card_ratio</t>
  </si>
  <si>
    <t>good_ease_activate_dito_mobile_data_cnt</t>
  </si>
  <si>
    <t>轻松激活DITO移动数据是良好的次数</t>
  </si>
  <si>
    <t>good_ease_activate_dito_mobile_data_nums</t>
  </si>
  <si>
    <t>sum(good_ease_activate_dito_mobile_data_nums)</t>
  </si>
  <si>
    <t>ease_activate_dito_mobile_data_cnt</t>
  </si>
  <si>
    <t>轻松激活DITO移动数据总数</t>
  </si>
  <si>
    <t>ease_activate_dito_mobile_data_nums</t>
  </si>
  <si>
    <t>sum(ease_activate_dito_mobile_data_nums)</t>
  </si>
  <si>
    <t>ease_activate_dito_mobile_data_ratio</t>
  </si>
  <si>
    <t>轻松激活DITO移动数据</t>
  </si>
  <si>
    <t>sum(good_ease_activate_dito_mobile_data_nums)/sum(ease_activate_dito_mobile_data_nums)</t>
  </si>
  <si>
    <t>Mobile data activation</t>
  </si>
  <si>
    <t>ease_activate_dito_mobile_data_ratio_qoq</t>
  </si>
  <si>
    <t>轻松激活DITO移动数据环比</t>
  </si>
  <si>
    <t>(a.ease_activate_dito_mobile_data_ratio-b.ease_activate_dito_mobile_data_ratio)/b.ease_activate_dito_mobile_data_ratio</t>
  </si>
  <si>
    <t>good_clarity_guidance_howtouse_dito_services_cnt</t>
  </si>
  <si>
    <t>关于如何使用DITO服务的清晰指导是良好的次数</t>
  </si>
  <si>
    <t>good_clarity_guidance_howtouse_dito_services_nums</t>
  </si>
  <si>
    <t>sum(good_clarity_guidance_howtouse_dito_services_nums)</t>
  </si>
  <si>
    <t>clarity_guidance_howtouse_dito_services_cnt</t>
  </si>
  <si>
    <t>关于如何使用DITO服务的清晰指导总数</t>
  </si>
  <si>
    <t>clarity_guidance_howtouse_dito_services_nums</t>
  </si>
  <si>
    <t>sum(clarity_guidance_howtouse_dito_services_nums)</t>
  </si>
  <si>
    <t>clarity_guidance_howtouse_dito_services_ratio</t>
  </si>
  <si>
    <t>关于如何使用DITO服务的清晰指导</t>
  </si>
  <si>
    <t>sum(good_clarity_guidance_howtouse_dito_services_nums)/sum(clarity_guidance_howtouse_dito_services_nums)</t>
  </si>
  <si>
    <t>Clarity of onboarding details explanation (ie.where）</t>
  </si>
  <si>
    <t>clarity_guidance_howtouse_dito_services_ratio_qoq</t>
  </si>
  <si>
    <t>关于如何使用DITO服务的清晰指导环比</t>
  </si>
  <si>
    <t>(a.clarity_guidance_howtouse_dito_services_ratio-b.clarity_guidance_howtouse_dito_services_ratio)/b.clarity_guidance_howtouse_dito_services_ratio</t>
  </si>
  <si>
    <t>week</t>
  </si>
  <si>
    <t>dm_questionnaire_joinol_stat_w</t>
  </si>
  <si>
    <t>我加入online统计周表</t>
  </si>
  <si>
    <t>取p_week-1</t>
  </si>
  <si>
    <t>p_week</t>
  </si>
  <si>
    <t>周分区</t>
  </si>
  <si>
    <t>dm_questionnaire_joinol_stat_m_d</t>
  </si>
  <si>
    <t>我加入online统计整月详情天表</t>
  </si>
  <si>
    <t>筛选条件：product_bought&lt;&gt;‘TOTAL' and purchase_channel&lt;&gt;'TOTAL'  and service_type&lt;&gt;'TOTAL'
取当月最后一天</t>
  </si>
  <si>
    <t>取p_month-1</t>
  </si>
  <si>
    <t>season(季度)</t>
  </si>
  <si>
    <t>dm_questionnaire_joinol_stat_qt_d</t>
  </si>
  <si>
    <t>我加入online统计整季详情天表</t>
  </si>
  <si>
    <t>筛选条件：product_bought&lt;&gt;‘TOTAL' and purchase_channel&lt;&gt;'TOTAL'and service_type&lt;&gt;'TOTAL'
取当季最后一天</t>
  </si>
  <si>
    <t>取p_season-1</t>
  </si>
  <si>
    <t>p_season</t>
  </si>
  <si>
    <t>季分区</t>
  </si>
  <si>
    <t>season</t>
  </si>
  <si>
    <t>dm_questionnaire_joinol_stat_y_d</t>
  </si>
  <si>
    <t>我加入online统计整年详情天表</t>
  </si>
  <si>
    <t>筛选条件：product_bought&lt;&gt;‘TOTAL' and purchase_channel&lt;&gt;'TOTAL'and service_type&lt;&gt;'TOTAL'
取当年最后一天</t>
  </si>
  <si>
    <t>取p_year-1</t>
  </si>
  <si>
    <t>dm_questionnaire_pay_stat_d</t>
  </si>
  <si>
    <t>我支付统计详情天表</t>
  </si>
  <si>
    <t>good_clear_topup_cnt</t>
  </si>
  <si>
    <t>清除充值满意度是良好的次数</t>
  </si>
  <si>
    <t>good_clear_topup_nums</t>
  </si>
  <si>
    <t>sum(good_clear_topup_nums)</t>
  </si>
  <si>
    <t>clear_topup_cnt</t>
  </si>
  <si>
    <t>清除充值满意度总数</t>
  </si>
  <si>
    <t>clear_topup_nums</t>
  </si>
  <si>
    <t>sum(clear_topup_nums)</t>
  </si>
  <si>
    <t>clear_topup_ratio</t>
  </si>
  <si>
    <t>清除充值满意度比例</t>
  </si>
  <si>
    <t>sum(good_clear_topup_nums)/sum(clear_topup_nums)</t>
  </si>
  <si>
    <t>clear_topup_ratio_qoq</t>
  </si>
  <si>
    <t>清除充值满意度比例环比</t>
  </si>
  <si>
    <t>(a.clear_topup_ratio-b.clear_topup_ratio)/b.clear_topup_ratio</t>
  </si>
  <si>
    <t>good_complete_instructions_provided_cnt</t>
  </si>
  <si>
    <t>提供完整说明满意度是良好的次数</t>
  </si>
  <si>
    <t>good_complete_instructions_provided_nums</t>
  </si>
  <si>
    <t>sum(good_complete_instructions_provided_nums)</t>
  </si>
  <si>
    <t>complete_instructions_provided_cnt</t>
  </si>
  <si>
    <t>提供完整说明满意度总数</t>
  </si>
  <si>
    <t>complete_instructions_provided_nums</t>
  </si>
  <si>
    <t>sum(complete_instructions_provided_nums)</t>
  </si>
  <si>
    <t>complete_instructions_provided_ratio</t>
  </si>
  <si>
    <t>提供完整说明满意度比例</t>
  </si>
  <si>
    <t>sum(good_complete_instructions_provided_nums)/sum(complete_instructions_provided_nums)</t>
  </si>
  <si>
    <t>complete_instructions_provided_ratio_qoq</t>
  </si>
  <si>
    <t>提供完整说明满意度比例环比</t>
  </si>
  <si>
    <t>(a.complete_instructions_provided_ratio-b.complete_instructions_provided_ratio)/b.complete_instructions_provided_ratio</t>
  </si>
  <si>
    <t>good_fast_topup_cnt</t>
  </si>
  <si>
    <t>快速充值满意度是良好的次数</t>
  </si>
  <si>
    <t>good_fast_topup_nums</t>
  </si>
  <si>
    <t>sum(good_fast_topup_nums)</t>
  </si>
  <si>
    <t>fast_topup_cnt</t>
  </si>
  <si>
    <t>快速充值满意度总数</t>
  </si>
  <si>
    <t>fast_topup_nums</t>
  </si>
  <si>
    <t>sum(fast_topup_nums)</t>
  </si>
  <si>
    <t>fast_topup_ratio</t>
  </si>
  <si>
    <t>快速充值满意度比例</t>
  </si>
  <si>
    <t>sum(good_fast_topup_nums)/sum(fast_topup_nums)</t>
  </si>
  <si>
    <t>fast_topup_ratio_qoq</t>
  </si>
  <si>
    <t>快速充值满意度比例环比</t>
  </si>
  <si>
    <t>(a.fast_topup_ratio-b.fast_topup_ratio)/b.fast_topup_ratio</t>
  </si>
  <si>
    <t>good_correct_amount_topup_cnt</t>
  </si>
  <si>
    <t>充值是否正确是良好的次数</t>
  </si>
  <si>
    <t>good_correct_amount_topup_nums</t>
  </si>
  <si>
    <t>sum(good_correct_amount_topup_nums)</t>
  </si>
  <si>
    <t>correct_amount_topup_cnt</t>
  </si>
  <si>
    <t>充值是否正确总数</t>
  </si>
  <si>
    <t>correct_amount_topup_nums</t>
  </si>
  <si>
    <t>sum(correct_amount_topup_nums)</t>
  </si>
  <si>
    <t>correct_amount_topup_ratio</t>
  </si>
  <si>
    <t>充值是否正确比例</t>
  </si>
  <si>
    <t>sum(good_correct_amount_topup_nums)/sum(correct_amount_topup_nums)</t>
  </si>
  <si>
    <t>correct_amount_topup_ratio_qoq</t>
  </si>
  <si>
    <t>充值是否正确比例环比</t>
  </si>
  <si>
    <t>(a.correct_amount_topup_ratio-b.correct_amount_topup_ratio)/b.correct_amount_topup_ratio</t>
  </si>
  <si>
    <t>good_complete_transaction_details_received_via_sms_cnt</t>
  </si>
  <si>
    <t>交易短信通知情况是良好的次数</t>
  </si>
  <si>
    <t>good_complete_transaction_details_received_via_sms_nums</t>
  </si>
  <si>
    <t>sum(good_complete_transaction_details_received_via_sms_nums)</t>
  </si>
  <si>
    <t>complete_transaction_details_received_via_sms_cnt</t>
  </si>
  <si>
    <t>交易短信通知情况总数</t>
  </si>
  <si>
    <t>complete_transaction_details_received_via_sms_nums</t>
  </si>
  <si>
    <t>sum(complete_transaction_details_received_via_sms_nums)</t>
  </si>
  <si>
    <t>complete_transaction_details_received_via_sms_ratio</t>
  </si>
  <si>
    <t>交易短信通知情况比例</t>
  </si>
  <si>
    <t>sum(good_complete_transaction_details_received_via_sms_nums)/sum(complete_transaction_details_received_via_sms_nums)</t>
  </si>
  <si>
    <t>complete_transaction_details_received_via_sms_ratio_qoq</t>
  </si>
  <si>
    <t>交易短信通知情况比例环比</t>
  </si>
  <si>
    <t>(a.complete_transaction_details_received_via_sms_ratio-b.complete_transaction_details_received_via_sms_ratio)/b.complete_transaction_details_received_via_sms_ratio</t>
  </si>
  <si>
    <t>good_transaction_his_show_ditoapp_cnt</t>
  </si>
  <si>
    <t>交易历史显示是良好的次数</t>
  </si>
  <si>
    <t>good_transaction_his_show_ditoapp_nums</t>
  </si>
  <si>
    <t>sum(good_transaction_his_show_ditoapp_nums)</t>
  </si>
  <si>
    <t>transaction_his_show_ditoapp_cnt</t>
  </si>
  <si>
    <t>交易历史显示总数</t>
  </si>
  <si>
    <t>transaction_his_show_ditoapp_nums</t>
  </si>
  <si>
    <t>sum(transaction_his_show_ditoapp_nums)</t>
  </si>
  <si>
    <t>transaction_his_show_ditoapp_ratio</t>
  </si>
  <si>
    <t>交易历史显示良好比例</t>
  </si>
  <si>
    <t>sum(good_transaction_his_show_ditoapp_nums)/sum(transaction_his_show_ditoapp_nums)</t>
  </si>
  <si>
    <t>transaction_his_show_ditoapp_ratio_qoq</t>
  </si>
  <si>
    <t>交易历史显示良好比例环比</t>
  </si>
  <si>
    <t>(a.transaction_his_show_ditoapp_ratio-b.transaction_his_show_ditoapp_ratio)/b.transaction_his_show_ditoapp_ratio</t>
  </si>
  <si>
    <t>good_realtime_balance_update_cnt</t>
  </si>
  <si>
    <t>实时更新是良好的次数</t>
  </si>
  <si>
    <t>good_realtime_balance_update_nums</t>
  </si>
  <si>
    <t>sum(good_realtime_balance_update_nums)</t>
  </si>
  <si>
    <t>realtime_balance_update_cnt</t>
  </si>
  <si>
    <t>实时更新总数</t>
  </si>
  <si>
    <t>realtime_balance_update_nums</t>
  </si>
  <si>
    <t>sum(realtime_balance_update_nums)</t>
  </si>
  <si>
    <t>realtime_balance_update_ratio</t>
  </si>
  <si>
    <t>实时更新良好比例</t>
  </si>
  <si>
    <t>sum(good_realtime_balance_update_nums)/sum(realtime_balance_update_nums)</t>
  </si>
  <si>
    <t>realtime_balance_update_ratio_qoq</t>
  </si>
  <si>
    <t>实时更新良好比例环比</t>
  </si>
  <si>
    <t>(a.realtime_balance_update_ratio-b.realtime_balance_update_ratio)/b.realtime_balance_update_ratio</t>
  </si>
  <si>
    <t>good_payment_options_can_conveniently_use_cnt</t>
  </si>
  <si>
    <t>支付选项可以方便使用是良好的次数</t>
  </si>
  <si>
    <t>good_payment_options_can_conveniently_use_nums</t>
  </si>
  <si>
    <t>sum(good_payment_options_can_conveniently_use_nums)</t>
  </si>
  <si>
    <t>payment_options_can_conveniently_use_cnt</t>
  </si>
  <si>
    <t>支付选项可以方便使用总数</t>
  </si>
  <si>
    <t>payment_options_can_conveniently_use_nums</t>
  </si>
  <si>
    <t>sum(payment_options_can_conveniently_use_nums)</t>
  </si>
  <si>
    <t>payment_options_can_conveniently_use_ratio</t>
  </si>
  <si>
    <t>支付选项可以方便使用比例</t>
  </si>
  <si>
    <t>sum(good_payment_options_can_conveniently_use_nums)/sum(payment_options_can_conveniently_use_nums)</t>
  </si>
  <si>
    <t>payment_options_can_conveniently_use_ratio_qoq</t>
  </si>
  <si>
    <t>支付选项可以方便使用比例环比</t>
  </si>
  <si>
    <t>(a.payment_options_can_conveniently_use_ratio-b.payment_options_can_conveniently_use_ratio)/b.payment_options_can_conveniently_use_ratio</t>
  </si>
  <si>
    <t>good_promo_inclusions_fit_my_needs_cnt</t>
  </si>
  <si>
    <t>促销套餐符合需求是良好的次数</t>
  </si>
  <si>
    <t>good_promo_inclusions_fit_my_needs_nums</t>
  </si>
  <si>
    <t>sum(good_promo_inclusions_fit_my_needs_nums)</t>
  </si>
  <si>
    <t>promo_inclusions_fit_my_needs_cnt</t>
  </si>
  <si>
    <t>促销套餐符合需求总数</t>
  </si>
  <si>
    <t>promo_inclusions_fit_my_needs_nums</t>
  </si>
  <si>
    <t>sum(promo_inclusions_fit_my_needs_nums)</t>
  </si>
  <si>
    <t>promo_inclusions_fit_my_needs_ratio</t>
  </si>
  <si>
    <t>促销套餐符合需求良好比例</t>
  </si>
  <si>
    <t>sum(good_promo_inclusions_fit_my_needs_nums)/sum(promo_inclusions_fit_my_needs_nums)</t>
  </si>
  <si>
    <t>promo_inclusions_fit_my_needs_ratio_qoq</t>
  </si>
  <si>
    <t>促销套餐符合需求良好比例环比</t>
  </si>
  <si>
    <t>(a.promo_inclusions_fit_my_needs_ratio-b.promo_inclusions_fit_my_needs_ratio)/b.promo_inclusions_fit_my_needs_ratio</t>
  </si>
  <si>
    <t>dm_questionnaire_pay_stat_w</t>
  </si>
  <si>
    <t>我支付统计详情周表</t>
  </si>
  <si>
    <t>dm_questionnaire_pay_stat_m_d</t>
  </si>
  <si>
    <t>我支付统计整月详情天表</t>
  </si>
  <si>
    <t>取当月最后一天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</si>
</sst>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10"/>
      <name val="微软雅黑"/>
      <charset val="134"/>
    </font>
    <font>
      <b/>
      <i/>
      <sz val="12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i/>
      <sz val="9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宋体"/>
      <charset val="134"/>
    </font>
    <font>
      <sz val="9"/>
      <color rgb="FFFF0000"/>
      <name val="微软雅黑"/>
      <charset val="134"/>
    </font>
    <font>
      <b/>
      <sz val="9"/>
      <color indexed="8"/>
      <name val="微软雅黑"/>
      <charset val="134"/>
    </font>
    <font>
      <b/>
      <sz val="10"/>
      <name val="宋体"/>
      <charset val="134"/>
      <scheme val="minor"/>
    </font>
    <font>
      <u/>
      <sz val="9"/>
      <color rgb="FF800080"/>
      <name val="微软雅黑"/>
      <charset val="134"/>
    </font>
    <font>
      <u/>
      <sz val="9"/>
      <color indexed="12"/>
      <name val="微软雅黑"/>
      <charset val="134"/>
    </font>
    <font>
      <u/>
      <sz val="9"/>
      <color indexed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890743736075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11" applyNumberFormat="0" applyAlignment="0" applyProtection="0">
      <alignment vertical="center"/>
    </xf>
    <xf numFmtId="0" fontId="29" fillId="17" borderId="12" applyNumberFormat="0" applyAlignment="0" applyProtection="0">
      <alignment vertical="center"/>
    </xf>
    <xf numFmtId="0" fontId="30" fillId="17" borderId="11" applyNumberFormat="0" applyAlignment="0" applyProtection="0">
      <alignment vertical="center"/>
    </xf>
    <xf numFmtId="0" fontId="31" fillId="18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/>
    <xf numFmtId="0" fontId="39" fillId="0" borderId="0"/>
    <xf numFmtId="0" fontId="40" fillId="0" borderId="0"/>
  </cellStyleXfs>
  <cellXfs count="80">
    <xf numFmtId="0" fontId="0" fillId="0" borderId="0" xfId="0">
      <alignment vertical="center"/>
    </xf>
    <xf numFmtId="0" fontId="1" fillId="0" borderId="0" xfId="50" applyFont="1" applyAlignment="1">
      <alignment vertical="center"/>
    </xf>
    <xf numFmtId="0" fontId="1" fillId="0" borderId="0" xfId="51" applyFont="1" applyAlignment="1">
      <alignment vertical="center"/>
    </xf>
    <xf numFmtId="0" fontId="2" fillId="0" borderId="0" xfId="51" applyFont="1" applyAlignment="1">
      <alignment horizontal="center" vertical="center"/>
    </xf>
    <xf numFmtId="0" fontId="2" fillId="0" borderId="0" xfId="51" applyFont="1" applyAlignment="1">
      <alignment vertical="center"/>
    </xf>
    <xf numFmtId="0" fontId="3" fillId="2" borderId="1" xfId="6" applyFont="1" applyFill="1" applyBorder="1" applyAlignment="1">
      <alignment vertical="center" wrapText="1"/>
    </xf>
    <xf numFmtId="0" fontId="4" fillId="2" borderId="1" xfId="51" applyFont="1" applyFill="1" applyBorder="1" applyAlignment="1">
      <alignment vertical="center" wrapText="1"/>
    </xf>
    <xf numFmtId="0" fontId="5" fillId="3" borderId="1" xfId="51" applyFont="1" applyFill="1" applyBorder="1" applyAlignment="1">
      <alignment horizontal="center" vertical="center" wrapText="1"/>
    </xf>
    <xf numFmtId="0" fontId="6" fillId="4" borderId="1" xfId="51" applyFont="1" applyFill="1" applyBorder="1" applyAlignment="1">
      <alignment horizontal="center" vertical="center" wrapText="1"/>
    </xf>
    <xf numFmtId="0" fontId="1" fillId="0" borderId="1" xfId="51" applyFont="1" applyBorder="1" applyAlignment="1">
      <alignment horizontal="center" vertical="center"/>
    </xf>
    <xf numFmtId="0" fontId="7" fillId="0" borderId="1" xfId="51" applyFont="1" applyBorder="1" applyAlignment="1">
      <alignment horizontal="left" vertical="center" wrapText="1"/>
    </xf>
    <xf numFmtId="0" fontId="7" fillId="5" borderId="1" xfId="51" applyFont="1" applyFill="1" applyBorder="1" applyAlignment="1">
      <alignment horizontal="left" vertical="center"/>
    </xf>
    <xf numFmtId="0" fontId="7" fillId="5" borderId="1" xfId="51" applyFont="1" applyFill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 wrapText="1"/>
    </xf>
    <xf numFmtId="0" fontId="6" fillId="4" borderId="1" xfId="51" applyFont="1" applyFill="1" applyBorder="1" applyAlignment="1">
      <alignment horizontal="center" vertical="center"/>
    </xf>
    <xf numFmtId="0" fontId="7" fillId="5" borderId="1" xfId="51" applyFont="1" applyFill="1" applyBorder="1" applyAlignment="1">
      <alignment vertical="center" wrapText="1"/>
    </xf>
    <xf numFmtId="0" fontId="1" fillId="0" borderId="1" xfId="51" applyFont="1" applyBorder="1" applyAlignment="1">
      <alignment horizontal="left" vertical="center"/>
    </xf>
    <xf numFmtId="0" fontId="1" fillId="0" borderId="2" xfId="50" applyFont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center" vertical="center"/>
    </xf>
    <xf numFmtId="0" fontId="1" fillId="0" borderId="3" xfId="50" applyFont="1" applyBorder="1" applyAlignment="1">
      <alignment horizontal="center" vertical="center" wrapText="1"/>
    </xf>
    <xf numFmtId="0" fontId="8" fillId="6" borderId="1" xfId="51" applyFont="1" applyFill="1" applyBorder="1" applyAlignment="1">
      <alignment horizontal="center" vertical="center" wrapText="1"/>
    </xf>
    <xf numFmtId="0" fontId="9" fillId="4" borderId="1" xfId="51" applyFont="1" applyFill="1" applyBorder="1" applyAlignment="1">
      <alignment horizontal="center" vertical="center" wrapText="1"/>
    </xf>
    <xf numFmtId="0" fontId="10" fillId="7" borderId="1" xfId="51" applyFont="1" applyFill="1" applyBorder="1" applyAlignment="1">
      <alignment horizontal="left" vertical="center" wrapText="1"/>
    </xf>
    <xf numFmtId="0" fontId="1" fillId="0" borderId="1" xfId="51" applyFont="1" applyBorder="1" applyAlignment="1">
      <alignment horizontal="center" vertical="center" wrapText="1"/>
    </xf>
    <xf numFmtId="0" fontId="1" fillId="0" borderId="1" xfId="51" applyFont="1" applyBorder="1" applyAlignment="1">
      <alignment horizontal="left" vertical="center" wrapText="1"/>
    </xf>
    <xf numFmtId="0" fontId="1" fillId="0" borderId="1" xfId="50" applyFont="1" applyBorder="1" applyAlignment="1">
      <alignment vertical="center"/>
    </xf>
    <xf numFmtId="0" fontId="1" fillId="0" borderId="1" xfId="51" applyFont="1" applyBorder="1" applyAlignment="1">
      <alignment vertical="center"/>
    </xf>
    <xf numFmtId="0" fontId="1" fillId="8" borderId="1" xfId="51" applyFont="1" applyFill="1" applyBorder="1" applyAlignment="1">
      <alignment vertical="center"/>
    </xf>
    <xf numFmtId="0" fontId="1" fillId="0" borderId="1" xfId="50" applyFont="1" applyBorder="1" applyAlignment="1">
      <alignment vertical="center" wrapText="1"/>
    </xf>
    <xf numFmtId="0" fontId="11" fillId="8" borderId="1" xfId="51" applyFont="1" applyFill="1" applyBorder="1" applyAlignment="1">
      <alignment vertical="center"/>
    </xf>
    <xf numFmtId="0" fontId="11" fillId="0" borderId="1" xfId="51" applyFont="1" applyBorder="1" applyAlignment="1">
      <alignment vertical="center"/>
    </xf>
    <xf numFmtId="0" fontId="1" fillId="0" borderId="1" xfId="51" applyFont="1" applyBorder="1" applyAlignment="1">
      <alignment vertical="center" wrapText="1"/>
    </xf>
    <xf numFmtId="0" fontId="1" fillId="7" borderId="1" xfId="51" applyFont="1" applyFill="1" applyBorder="1" applyAlignment="1">
      <alignment vertical="center"/>
    </xf>
    <xf numFmtId="0" fontId="1" fillId="7" borderId="1" xfId="50" applyFont="1" applyFill="1" applyBorder="1" applyAlignment="1">
      <alignment vertical="center"/>
    </xf>
    <xf numFmtId="0" fontId="12" fillId="0" borderId="1" xfId="51" applyFont="1" applyBorder="1" applyAlignment="1">
      <alignment vertical="center"/>
    </xf>
    <xf numFmtId="0" fontId="12" fillId="7" borderId="1" xfId="51" applyFont="1" applyFill="1" applyBorder="1" applyAlignment="1">
      <alignment vertical="center"/>
    </xf>
    <xf numFmtId="0" fontId="1" fillId="7" borderId="1" xfId="51" applyFont="1" applyFill="1" applyBorder="1" applyAlignment="1">
      <alignment horizontal="left" vertical="center" wrapText="1"/>
    </xf>
    <xf numFmtId="0" fontId="1" fillId="7" borderId="1" xfId="51" applyFont="1" applyFill="1" applyBorder="1" applyAlignment="1">
      <alignment horizontal="center" vertical="center"/>
    </xf>
    <xf numFmtId="0" fontId="1" fillId="7" borderId="1" xfId="51" applyFont="1" applyFill="1" applyBorder="1" applyAlignment="1">
      <alignment horizontal="left" vertical="center"/>
    </xf>
    <xf numFmtId="0" fontId="2" fillId="0" borderId="1" xfId="51" applyFont="1" applyBorder="1" applyAlignment="1">
      <alignment horizontal="center" vertical="center"/>
    </xf>
    <xf numFmtId="0" fontId="2" fillId="7" borderId="1" xfId="51" applyFont="1" applyFill="1" applyBorder="1" applyAlignment="1">
      <alignment horizontal="center" vertical="center"/>
    </xf>
    <xf numFmtId="0" fontId="1" fillId="0" borderId="2" xfId="51" applyFont="1" applyBorder="1" applyAlignment="1">
      <alignment horizontal="center" vertical="center"/>
    </xf>
    <xf numFmtId="0" fontId="1" fillId="0" borderId="2" xfId="51" applyFont="1" applyBorder="1" applyAlignment="1">
      <alignment horizontal="left" vertical="center"/>
    </xf>
    <xf numFmtId="0" fontId="1" fillId="0" borderId="2" xfId="50" applyFont="1" applyBorder="1" applyAlignment="1">
      <alignment vertical="center"/>
    </xf>
    <xf numFmtId="0" fontId="1" fillId="0" borderId="2" xfId="51" applyFont="1" applyBorder="1" applyAlignment="1">
      <alignment vertical="center"/>
    </xf>
    <xf numFmtId="0" fontId="1" fillId="0" borderId="1" xfId="50" applyFont="1" applyBorder="1" applyAlignment="1">
      <alignment horizontal="center" vertical="center" wrapText="1"/>
    </xf>
    <xf numFmtId="0" fontId="1" fillId="0" borderId="1" xfId="50" applyFont="1" applyBorder="1" applyAlignment="1">
      <alignment horizontal="left" vertical="center" wrapText="1"/>
    </xf>
    <xf numFmtId="0" fontId="11" fillId="0" borderId="1" xfId="51" applyFont="1" applyBorder="1" applyAlignment="1">
      <alignment horizontal="left" vertical="center"/>
    </xf>
    <xf numFmtId="0" fontId="1" fillId="0" borderId="0" xfId="51" applyFont="1" applyAlignment="1">
      <alignment horizontal="center" vertical="center"/>
    </xf>
    <xf numFmtId="0" fontId="1" fillId="0" borderId="2" xfId="50" applyFont="1" applyBorder="1" applyAlignment="1">
      <alignment horizontal="left" vertical="top" wrapText="1"/>
    </xf>
    <xf numFmtId="0" fontId="1" fillId="0" borderId="3" xfId="50" applyFont="1" applyBorder="1" applyAlignment="1">
      <alignment horizontal="left" vertical="top" wrapText="1"/>
    </xf>
    <xf numFmtId="0" fontId="8" fillId="6" borderId="4" xfId="51" applyFont="1" applyFill="1" applyBorder="1" applyAlignment="1">
      <alignment horizontal="center" vertical="center" wrapText="1"/>
    </xf>
    <xf numFmtId="0" fontId="8" fillId="6" borderId="5" xfId="51" applyFont="1" applyFill="1" applyBorder="1" applyAlignment="1">
      <alignment horizontal="center" vertical="center" wrapText="1"/>
    </xf>
    <xf numFmtId="0" fontId="8" fillId="6" borderId="6" xfId="51" applyFont="1" applyFill="1" applyBorder="1" applyAlignment="1">
      <alignment horizontal="center" vertical="center" wrapText="1"/>
    </xf>
    <xf numFmtId="0" fontId="1" fillId="9" borderId="1" xfId="50" applyFont="1" applyFill="1" applyBorder="1"/>
    <xf numFmtId="0" fontId="1" fillId="9" borderId="1" xfId="50" applyFont="1" applyFill="1" applyBorder="1" applyAlignment="1">
      <alignment wrapText="1"/>
    </xf>
    <xf numFmtId="0" fontId="11" fillId="8" borderId="1" xfId="51" applyFont="1" applyFill="1" applyBorder="1" applyAlignment="1">
      <alignment horizontal="left" vertical="center" wrapText="1"/>
    </xf>
    <xf numFmtId="0" fontId="11" fillId="0" borderId="1" xfId="51" applyFont="1" applyBorder="1" applyAlignment="1">
      <alignment horizontal="left" vertical="center" wrapText="1"/>
    </xf>
    <xf numFmtId="0" fontId="1" fillId="8" borderId="1" xfId="51" applyFont="1" applyFill="1" applyBorder="1" applyAlignment="1">
      <alignment horizontal="left" vertical="center" wrapText="1"/>
    </xf>
    <xf numFmtId="0" fontId="12" fillId="0" borderId="1" xfId="51" applyFont="1" applyBorder="1" applyAlignment="1">
      <alignment vertical="top"/>
    </xf>
    <xf numFmtId="0" fontId="13" fillId="0" borderId="7" xfId="51" applyFont="1" applyBorder="1" applyAlignment="1">
      <alignment vertical="top"/>
    </xf>
    <xf numFmtId="0" fontId="3" fillId="10" borderId="0" xfId="6" applyNumberFormat="1" applyFont="1" applyFill="1" applyBorder="1" applyAlignment="1" applyProtection="1">
      <alignment horizontal="center" vertical="center"/>
    </xf>
    <xf numFmtId="0" fontId="11" fillId="0" borderId="1" xfId="51" applyFont="1" applyBorder="1" applyAlignment="1">
      <alignment vertical="center" wrapText="1"/>
    </xf>
    <xf numFmtId="0" fontId="7" fillId="0" borderId="1" xfId="51" applyFont="1" applyBorder="1" applyAlignment="1">
      <alignment vertical="center" wrapText="1"/>
    </xf>
    <xf numFmtId="0" fontId="7" fillId="11" borderId="1" xfId="51" applyFont="1" applyFill="1" applyBorder="1" applyAlignment="1">
      <alignment vertical="center"/>
    </xf>
    <xf numFmtId="0" fontId="14" fillId="0" borderId="1" xfId="51" applyFont="1" applyBorder="1" applyAlignment="1">
      <alignment horizontal="center" vertical="center" wrapText="1"/>
    </xf>
    <xf numFmtId="0" fontId="7" fillId="11" borderId="1" xfId="51" applyFont="1" applyFill="1" applyBorder="1" applyAlignment="1">
      <alignment vertical="center" wrapText="1"/>
    </xf>
    <xf numFmtId="0" fontId="1" fillId="12" borderId="1" xfId="51" applyFont="1" applyFill="1" applyBorder="1" applyAlignment="1">
      <alignment horizontal="left" vertical="center" wrapText="1"/>
    </xf>
    <xf numFmtId="0" fontId="15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16" fillId="13" borderId="1" xfId="52" applyFont="1" applyFill="1" applyBorder="1" applyAlignment="1">
      <alignment horizontal="center" vertical="center"/>
    </xf>
    <xf numFmtId="0" fontId="16" fillId="13" borderId="1" xfId="52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176" fontId="1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176" fontId="18" fillId="0" borderId="1" xfId="0" applyNumberFormat="1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176" fontId="19" fillId="0" borderId="1" xfId="0" applyNumberFormat="1" applyFont="1" applyFill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" xfId="49"/>
    <cellStyle name="常规 2 2" xfId="50"/>
    <cellStyle name="常规 2" xfId="51"/>
    <cellStyle name="常规 2 7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Program Files (x86)\zMail\app\temp\API&#25509;&#21475;&#20132;&#27969;&#23450;&#31295;_201808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WeChatWork\WXWork\1688857256269654\Cache\File\2026-05\&#27719;&#24635;_SDM&#27169;&#22411;-&#31185;&#23460;&#29256;-20260323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修改日志"/>
      <sheetName val="说明"/>
      <sheetName val="API列表"/>
      <sheetName val="A.无线覆盖"/>
      <sheetName val="B.无线事件"/>
      <sheetName val="C.VOLTE事件"/>
      <sheetName val="D.端到端"/>
      <sheetName val="E.其他"/>
      <sheetName val="A.1.1"/>
      <sheetName val="A.1.2"/>
      <sheetName val="A.2.1"/>
      <sheetName val="A.2.2"/>
      <sheetName val="A.2.3"/>
      <sheetName val="A.2.4"/>
      <sheetName val="A.2.5"/>
      <sheetName val="A.2.6"/>
      <sheetName val="A.3.1"/>
      <sheetName val="A.3.2"/>
      <sheetName val="A.3.3"/>
      <sheetName val="A.3.4"/>
      <sheetName val="A.3.5"/>
      <sheetName val="A.4.1"/>
      <sheetName val="A.4.2"/>
      <sheetName val="A.4.3"/>
      <sheetName val="A.4.4"/>
      <sheetName val="A.4.5"/>
      <sheetName val="A.4.6"/>
      <sheetName val="A.4.7"/>
      <sheetName val="A.4.8"/>
      <sheetName val="A.4.9"/>
      <sheetName val="A.4.10"/>
      <sheetName val="B.1.1"/>
      <sheetName val="B.1.2"/>
      <sheetName val="B.1.3"/>
      <sheetName val="B.1.4"/>
      <sheetName val="B.1.5"/>
      <sheetName val="B.1.6"/>
      <sheetName val="B.1.7"/>
      <sheetName val="B.3.1"/>
      <sheetName val="B.3.2"/>
      <sheetName val="B.3.3"/>
      <sheetName val="C.1.1"/>
      <sheetName val="C.1.2"/>
      <sheetName val="C.1.3"/>
      <sheetName val="C.2.1"/>
      <sheetName val="C.3.1"/>
      <sheetName val="C.3.2"/>
      <sheetName val="C.3.3"/>
      <sheetName val="D.1.1"/>
      <sheetName val="D.2.1"/>
      <sheetName val="D.2.2"/>
      <sheetName val="D.2.3"/>
      <sheetName val="D.2.4"/>
      <sheetName val="D.3.1"/>
      <sheetName val="D.3.2"/>
      <sheetName val="D.3.3"/>
      <sheetName val="D.3.4"/>
      <sheetName val="D.3.5"/>
      <sheetName val="D.4.1"/>
      <sheetName val="D.4.2"/>
      <sheetName val="D.4.3"/>
      <sheetName val="D.4.4"/>
      <sheetName val="D.4.5"/>
      <sheetName val="D.4.6"/>
      <sheetName val="D.4.7"/>
      <sheetName val="D.4.8"/>
      <sheetName val="D.4.9"/>
      <sheetName val="D.4.10"/>
      <sheetName val="E.1.1"/>
      <sheetName val="E.1.2"/>
      <sheetName val="PM标准名称"/>
      <sheetName val="E.2.1"/>
      <sheetName val="E.2.2"/>
      <sheetName val="E.3.1"/>
      <sheetName val="E.3.2"/>
      <sheetName val="E.4.1"/>
      <sheetName val="E.4.2"/>
      <sheetName val="E.4.3"/>
      <sheetName val="E.4.4"/>
      <sheetName val="E.4.5"/>
      <sheetName val="E.4.6"/>
      <sheetName val="E.4.7"/>
      <sheetName val="E.4.8"/>
      <sheetName val="E.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模板"/>
      <sheetName val="目录"/>
      <sheetName val="导航底层"/>
      <sheetName val="修改记录"/>
      <sheetName val="gis图层"/>
      <sheetName val="导航应用"/>
      <sheetName val="NCA8"/>
      <sheetName val="NCA7"/>
      <sheetName val="NCA6"/>
      <sheetName val="NCA5"/>
      <sheetName val="NCA4"/>
      <sheetName val="NCA3"/>
      <sheetName val="NCA2"/>
      <sheetName val="NCA1"/>
      <sheetName val="3606"/>
      <sheetName val="3605"/>
      <sheetName val="3604"/>
      <sheetName val="3603"/>
      <sheetName val="3602"/>
      <sheetName val="3601"/>
      <sheetName val="BN20"/>
      <sheetName val="BN19"/>
      <sheetName val="BN18"/>
      <sheetName val="BN17"/>
      <sheetName val="BN16"/>
      <sheetName val="BN15"/>
      <sheetName val="GAA12"/>
      <sheetName val="GAA11"/>
      <sheetName val="BN1"/>
      <sheetName val="BN2"/>
      <sheetName val="BN3"/>
      <sheetName val="BN4"/>
      <sheetName val="BN5"/>
      <sheetName val="BN6"/>
      <sheetName val="BN7"/>
      <sheetName val="BN8"/>
      <sheetName val="BN9"/>
      <sheetName val="BN10"/>
      <sheetName val="BN11"/>
      <sheetName val="BN12"/>
      <sheetName val="BN13"/>
      <sheetName val="BN14"/>
      <sheetName val="LDC4"/>
      <sheetName val="1413"/>
      <sheetName val="LDC3"/>
      <sheetName val="LDC2"/>
      <sheetName val="LDC1"/>
      <sheetName val="PA5"/>
      <sheetName val="RA15"/>
      <sheetName val="PA3"/>
      <sheetName val="PA4"/>
      <sheetName val="QI1"/>
      <sheetName val="QI2"/>
      <sheetName val="QI3"/>
      <sheetName val="QI4"/>
      <sheetName val="QI5"/>
      <sheetName val="QI6"/>
      <sheetName val="QI7"/>
      <sheetName val="QI8"/>
      <sheetName val="QI9"/>
      <sheetName val="QI10"/>
      <sheetName val="QI11"/>
      <sheetName val="QI12"/>
      <sheetName val="QI13"/>
      <sheetName val="QI14"/>
      <sheetName val="QI15"/>
      <sheetName val="QI16"/>
      <sheetName val="QI17"/>
      <sheetName val="QI18"/>
      <sheetName val="QI19"/>
      <sheetName val="QI20"/>
      <sheetName val="QI21"/>
      <sheetName val="QI22"/>
      <sheetName val="QI23"/>
      <sheetName val="QI24"/>
      <sheetName val="QI25"/>
      <sheetName val="QI26"/>
      <sheetName val="QI27"/>
      <sheetName val="QI28"/>
      <sheetName val="QI29"/>
      <sheetName val="QI30"/>
      <sheetName val="QI31"/>
      <sheetName val="QI32"/>
      <sheetName val="QI33"/>
      <sheetName val="QI34"/>
      <sheetName val="QI35"/>
      <sheetName val="QI36"/>
      <sheetName val="QI37"/>
      <sheetName val="QI38"/>
      <sheetName val="QI39"/>
      <sheetName val="QI40"/>
      <sheetName val="QI41"/>
      <sheetName val="QI42"/>
      <sheetName val="QI43"/>
      <sheetName val="QI44"/>
      <sheetName val="QI45"/>
      <sheetName val="QI46"/>
      <sheetName val="QI47"/>
      <sheetName val="QI48"/>
      <sheetName val="QI49"/>
      <sheetName val="QI50"/>
      <sheetName val="QI51"/>
      <sheetName val="QI52"/>
      <sheetName val="QI53"/>
      <sheetName val="QI54"/>
      <sheetName val="QI55"/>
      <sheetName val="QI56"/>
      <sheetName val="QI57"/>
      <sheetName val="QI58"/>
      <sheetName val="QI59"/>
      <sheetName val="QI60"/>
      <sheetName val="QI61"/>
      <sheetName val="QI62"/>
      <sheetName val="QI63"/>
      <sheetName val="QI64"/>
      <sheetName val="QI65"/>
      <sheetName val="QI66"/>
      <sheetName val="QI67"/>
      <sheetName val="QI68"/>
      <sheetName val="QI69"/>
      <sheetName val="QI70"/>
      <sheetName val="QI71"/>
      <sheetName val="QI72"/>
      <sheetName val="QI73"/>
      <sheetName val="QI74"/>
      <sheetName val="QI75"/>
      <sheetName val="QI76"/>
      <sheetName val="QI77"/>
      <sheetName val="QI78"/>
      <sheetName val="QI79"/>
      <sheetName val="QI80"/>
      <sheetName val="QI81"/>
      <sheetName val="QI82"/>
      <sheetName val="QI110"/>
      <sheetName val="SA21"/>
      <sheetName val="SA20"/>
      <sheetName val="1412"/>
      <sheetName val="PA2"/>
      <sheetName val="PA1"/>
      <sheetName val="1411"/>
      <sheetName val="1410"/>
      <sheetName val="SA1"/>
      <sheetName val="SA19"/>
      <sheetName val="SA18"/>
      <sheetName val="SA17"/>
      <sheetName val="SA16"/>
      <sheetName val="SA15"/>
      <sheetName val="1409"/>
      <sheetName val="538"/>
      <sheetName val="537"/>
      <sheetName val="536"/>
      <sheetName val="535"/>
      <sheetName val="534"/>
      <sheetName val="533"/>
      <sheetName val="532"/>
      <sheetName val="631"/>
      <sheetName val="630"/>
      <sheetName val="629"/>
      <sheetName val="628"/>
      <sheetName val="627"/>
      <sheetName val="626"/>
      <sheetName val="625"/>
      <sheetName val="531"/>
      <sheetName val="530"/>
      <sheetName val="529"/>
      <sheetName val="528"/>
      <sheetName val="527"/>
      <sheetName val="526"/>
      <sheetName val="525"/>
      <sheetName val="524"/>
      <sheetName val="523"/>
      <sheetName val="522"/>
      <sheetName val="521"/>
      <sheetName val="520"/>
      <sheetName val="519"/>
      <sheetName val="607"/>
      <sheetName val="608"/>
      <sheetName val="609"/>
      <sheetName val="610"/>
      <sheetName val="611"/>
      <sheetName val="612"/>
      <sheetName val="613"/>
      <sheetName val="614"/>
      <sheetName val="615"/>
      <sheetName val="616"/>
      <sheetName val="617"/>
      <sheetName val="618"/>
      <sheetName val="619"/>
      <sheetName val="620"/>
      <sheetName val="621"/>
      <sheetName val="622"/>
      <sheetName val="623"/>
      <sheetName val="624"/>
      <sheetName val="900"/>
      <sheetName val="901"/>
      <sheetName val="902"/>
      <sheetName val="903"/>
      <sheetName val="904"/>
      <sheetName val="905"/>
      <sheetName val="906"/>
      <sheetName val="907"/>
      <sheetName val="908"/>
      <sheetName val="909"/>
      <sheetName val="910"/>
      <sheetName val="911"/>
      <sheetName val="912"/>
      <sheetName val="1500"/>
      <sheetName val="1501"/>
      <sheetName val="1502"/>
      <sheetName val="1200"/>
      <sheetName val="RA1"/>
      <sheetName val="RA2"/>
      <sheetName val="RA3"/>
      <sheetName val="RA4"/>
      <sheetName val="RA5"/>
      <sheetName val="RA6"/>
      <sheetName val="RA7"/>
      <sheetName val="RA8"/>
      <sheetName val="RA9"/>
      <sheetName val="RA10"/>
      <sheetName val="RA11"/>
      <sheetName val="RA12"/>
      <sheetName val="RA13"/>
      <sheetName val="RA14"/>
      <sheetName val="1216"/>
      <sheetName val="RA16"/>
      <sheetName val="RA17"/>
      <sheetName val="RA18"/>
      <sheetName val="RA19"/>
      <sheetName val="RA20"/>
      <sheetName val="RA21"/>
      <sheetName val="RA22"/>
      <sheetName val="RA23"/>
      <sheetName val="RA24"/>
      <sheetName val="1100"/>
      <sheetName val="1101"/>
      <sheetName val="1102"/>
      <sheetName val="1103"/>
      <sheetName val="1104"/>
      <sheetName val="1105"/>
      <sheetName val="1000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EP30"/>
      <sheetName val="800"/>
      <sheetName val="801"/>
      <sheetName val="802"/>
      <sheetName val="803"/>
      <sheetName val="804"/>
      <sheetName val="805"/>
      <sheetName val="806"/>
      <sheetName val="807"/>
      <sheetName val="808"/>
      <sheetName val="809"/>
      <sheetName val="810"/>
      <sheetName val="PLM1"/>
      <sheetName val="PLM2"/>
      <sheetName val="PLM3"/>
      <sheetName val="PLM4"/>
      <sheetName val="PLM5"/>
      <sheetName val="PLM6"/>
      <sheetName val="PLM7"/>
      <sheetName val="PLM8"/>
      <sheetName val="PLM9"/>
      <sheetName val="PLM10"/>
      <sheetName val="PLM11"/>
      <sheetName val="PLM12"/>
      <sheetName val="PLM13"/>
      <sheetName val="PLM14"/>
      <sheetName val="PLM15"/>
      <sheetName val="PLM16"/>
      <sheetName val="PLM17"/>
      <sheetName val="PLM18"/>
      <sheetName val="PLM19"/>
      <sheetName val="600"/>
      <sheetName val="601"/>
      <sheetName val="602"/>
      <sheetName val="603"/>
      <sheetName val="604"/>
      <sheetName val="605"/>
      <sheetName val="606"/>
      <sheetName val="500"/>
      <sheetName val="501"/>
      <sheetName val="502"/>
      <sheetName val="503"/>
      <sheetName val="504"/>
      <sheetName val="505"/>
      <sheetName val="506"/>
      <sheetName val="507"/>
      <sheetName val="508"/>
      <sheetName val="509"/>
      <sheetName val="510"/>
      <sheetName val="511"/>
      <sheetName val="512"/>
      <sheetName val="513"/>
      <sheetName val="514"/>
      <sheetName val="515"/>
      <sheetName val="516"/>
      <sheetName val="517"/>
      <sheetName val="518"/>
      <sheetName val="168"/>
      <sheetName val="169"/>
      <sheetName val="170"/>
      <sheetName val="171"/>
      <sheetName val="172"/>
      <sheetName val="173"/>
      <sheetName val="175"/>
      <sheetName val="176"/>
      <sheetName val="177"/>
      <sheetName val="179"/>
      <sheetName val="180"/>
      <sheetName val="181"/>
      <sheetName val="182"/>
      <sheetName val="183"/>
      <sheetName val="184"/>
      <sheetName val="185"/>
      <sheetName val="186"/>
      <sheetName val="174"/>
      <sheetName val="178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3600"/>
      <sheetName val="EP29"/>
      <sheetName val="EP14"/>
      <sheetName val="EP15"/>
      <sheetName val="EP16"/>
      <sheetName val="EP17"/>
      <sheetName val="EP18"/>
      <sheetName val="EP19"/>
      <sheetName val="EP20"/>
      <sheetName val="EP21"/>
      <sheetName val="EP22"/>
      <sheetName val="EP23"/>
      <sheetName val="EP24"/>
      <sheetName val="EP25"/>
      <sheetName val="EP26"/>
      <sheetName val="EP27"/>
      <sheetName val="EP28"/>
      <sheetName val="EP1"/>
      <sheetName val="EP2"/>
      <sheetName val="EP3"/>
      <sheetName val="EP4"/>
      <sheetName val="EP5"/>
      <sheetName val="EP6"/>
      <sheetName val="EP7"/>
      <sheetName val="EP8"/>
      <sheetName val="EP9"/>
      <sheetName val="EP10"/>
      <sheetName val="EP11"/>
      <sheetName val="EP12"/>
      <sheetName val="EP13"/>
      <sheetName val="RF1"/>
      <sheetName val="RF2"/>
      <sheetName val="RF3"/>
      <sheetName val="RF4"/>
      <sheetName val="RF5"/>
      <sheetName val="RF6"/>
      <sheetName val="RF7"/>
      <sheetName val="RF8"/>
      <sheetName val="RF9"/>
      <sheetName val="RF10"/>
      <sheetName val="RF11"/>
      <sheetName val="90"/>
      <sheetName val="RF12"/>
      <sheetName val="RF13"/>
      <sheetName val="RF14"/>
      <sheetName val="RF15"/>
      <sheetName val="RF16"/>
      <sheetName val="RF17"/>
      <sheetName val="RF18"/>
      <sheetName val="RF19"/>
      <sheetName val="RF20"/>
      <sheetName val="RF21"/>
      <sheetName val="RF22"/>
      <sheetName val="RF23"/>
      <sheetName val="RF24"/>
      <sheetName val="RF25"/>
      <sheetName val="RF26"/>
      <sheetName val="RF27"/>
      <sheetName val="78"/>
      <sheetName val="77"/>
      <sheetName val="71"/>
      <sheetName val="267"/>
      <sheetName val="268"/>
      <sheetName val="269"/>
      <sheetName val="270"/>
      <sheetName val="70"/>
      <sheetName val="69"/>
      <sheetName val="68"/>
      <sheetName val="67"/>
      <sheetName val="66"/>
      <sheetName val="65"/>
      <sheetName val="64"/>
      <sheetName val="63"/>
      <sheetName val="62"/>
      <sheetName val="61"/>
      <sheetName val="60"/>
      <sheetName val="59"/>
      <sheetName val="58"/>
      <sheetName val="57"/>
      <sheetName val="56"/>
      <sheetName val="55"/>
      <sheetName val="54"/>
      <sheetName val="53"/>
      <sheetName val="52"/>
      <sheetName val="51"/>
      <sheetName val="50"/>
      <sheetName val="49"/>
      <sheetName val="48"/>
      <sheetName val="47"/>
      <sheetName val="46"/>
      <sheetName val="155"/>
      <sheetName val="154"/>
      <sheetName val="153"/>
      <sheetName val="45"/>
      <sheetName val="44"/>
      <sheetName val="42"/>
      <sheetName val="43"/>
      <sheetName val="1"/>
      <sheetName val="152"/>
      <sheetName val="151"/>
      <sheetName val="150"/>
      <sheetName val="2"/>
      <sheetName val="3"/>
      <sheetName val="4"/>
      <sheetName val="5"/>
      <sheetName val="6"/>
      <sheetName val="7"/>
      <sheetName val="8"/>
      <sheetName val="9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72"/>
      <sheetName val="73"/>
      <sheetName val="74"/>
      <sheetName val="75"/>
      <sheetName val="76"/>
      <sheetName val="258"/>
      <sheetName val="259"/>
      <sheetName val="260"/>
      <sheetName val="261"/>
      <sheetName val="262"/>
      <sheetName val="263"/>
      <sheetName val="264"/>
      <sheetName val="265"/>
      <sheetName val="266"/>
      <sheetName val="400"/>
      <sheetName val="401"/>
      <sheetName val="402"/>
      <sheetName val="403"/>
      <sheetName val="404"/>
      <sheetName val="405"/>
      <sheetName val="406"/>
      <sheetName val="407"/>
      <sheetName val="408"/>
      <sheetName val="409"/>
      <sheetName val="410"/>
      <sheetName val="411"/>
      <sheetName val="412"/>
      <sheetName val="413"/>
      <sheetName val="414"/>
      <sheetName val="415"/>
      <sheetName val="416"/>
      <sheetName val="417"/>
      <sheetName val="418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232"/>
      <sheetName val="233"/>
      <sheetName val="235"/>
      <sheetName val="236"/>
      <sheetName val="238"/>
      <sheetName val="239"/>
      <sheetName val="241"/>
      <sheetName val="242"/>
      <sheetName val="244"/>
      <sheetName val="245"/>
      <sheetName val="246"/>
      <sheetName val="247"/>
      <sheetName val="248"/>
      <sheetName val="249"/>
      <sheetName val="250"/>
      <sheetName val="252"/>
      <sheetName val="253"/>
      <sheetName val="254"/>
      <sheetName val="255"/>
      <sheetName val="256"/>
      <sheetName val="257"/>
      <sheetName val="1300"/>
      <sheetName val="1301"/>
      <sheetName val="1302"/>
      <sheetName val="3400"/>
      <sheetName val="3300"/>
      <sheetName val="3301"/>
      <sheetName val="3302"/>
      <sheetName val="3303"/>
      <sheetName val="3304"/>
      <sheetName val="3305"/>
      <sheetName val="3306"/>
      <sheetName val="3307"/>
      <sheetName val="3308"/>
      <sheetName val="3309"/>
      <sheetName val="3310"/>
      <sheetName val="3311"/>
      <sheetName val="3312"/>
      <sheetName val="3313"/>
      <sheetName val="3314"/>
      <sheetName val="3315"/>
      <sheetName val="3316"/>
      <sheetName val="3317"/>
      <sheetName val="3318"/>
      <sheetName val="3319"/>
      <sheetName val="3320"/>
      <sheetName val="3321"/>
      <sheetName val="3322"/>
      <sheetName val="3200"/>
      <sheetName val="3201"/>
      <sheetName val="3202"/>
      <sheetName val="3203"/>
      <sheetName val="3204"/>
      <sheetName val="3205"/>
      <sheetName val="3206"/>
      <sheetName val="3207"/>
      <sheetName val="3208"/>
      <sheetName val="3209"/>
      <sheetName val="3210"/>
      <sheetName val="3211"/>
      <sheetName val="3100"/>
      <sheetName val="3101"/>
      <sheetName val="3102"/>
      <sheetName val="3103"/>
      <sheetName val="3104"/>
      <sheetName val="3105"/>
      <sheetName val="3106"/>
      <sheetName val="3107"/>
      <sheetName val="3108"/>
      <sheetName val="3109"/>
      <sheetName val="3110"/>
      <sheetName val="3111"/>
      <sheetName val="3112"/>
      <sheetName val="3113"/>
      <sheetName val="3114"/>
      <sheetName val="3115"/>
      <sheetName val="3116"/>
      <sheetName val="3117"/>
      <sheetName val="3118"/>
      <sheetName val="3119"/>
      <sheetName val="3120"/>
      <sheetName val="3121"/>
      <sheetName val="3122"/>
      <sheetName val="3123"/>
      <sheetName val="3000"/>
      <sheetName val="3001"/>
      <sheetName val="3002"/>
      <sheetName val="3003"/>
      <sheetName val="3004"/>
      <sheetName val="3005"/>
      <sheetName val="3006"/>
      <sheetName val="3007"/>
      <sheetName val="3008"/>
      <sheetName val="3009"/>
      <sheetName val="3010"/>
      <sheetName val="3011"/>
      <sheetName val="3012"/>
      <sheetName val="3013"/>
      <sheetName val="3014"/>
      <sheetName val="3015"/>
      <sheetName val="3016"/>
      <sheetName val="3017"/>
      <sheetName val="3018"/>
      <sheetName val="3019"/>
      <sheetName val="3020"/>
      <sheetName val="3021"/>
      <sheetName val="3022"/>
      <sheetName val="3023"/>
      <sheetName val="3024"/>
      <sheetName val="3025"/>
      <sheetName val="1700"/>
      <sheetName val="1701"/>
      <sheetName val="1702"/>
      <sheetName val="1703"/>
      <sheetName val="1704"/>
      <sheetName val="1705"/>
      <sheetName val="1400"/>
      <sheetName val="1401"/>
      <sheetName val="1402"/>
      <sheetName val="1403"/>
      <sheetName val="1404"/>
      <sheetName val="1405"/>
      <sheetName val="1406"/>
      <sheetName val="1407"/>
      <sheetName val="1408"/>
      <sheetName val="1600"/>
      <sheetName val="1601"/>
      <sheetName val="1602"/>
      <sheetName val="1603"/>
      <sheetName val="1604"/>
      <sheetName val="1605"/>
      <sheetName val="1606"/>
      <sheetName val="1607"/>
      <sheetName val="1608"/>
      <sheetName val="1609"/>
      <sheetName val="1610"/>
      <sheetName val="1611"/>
      <sheetName val="1612"/>
      <sheetName val="1613"/>
      <sheetName val="2400"/>
      <sheetName val="2401"/>
      <sheetName val="1829"/>
      <sheetName val="1800"/>
      <sheetName val="1801"/>
      <sheetName val="1802"/>
      <sheetName val="1803"/>
      <sheetName val="1804"/>
      <sheetName val="1805"/>
      <sheetName val="1806"/>
      <sheetName val="1807"/>
      <sheetName val="1808"/>
      <sheetName val="1809"/>
      <sheetName val="1810"/>
      <sheetName val="1811"/>
      <sheetName val="1812"/>
      <sheetName val="1814"/>
      <sheetName val="1828"/>
      <sheetName val="1815"/>
      <sheetName val="1816"/>
      <sheetName val="1817"/>
      <sheetName val="1818"/>
      <sheetName val="1819"/>
      <sheetName val="1820"/>
      <sheetName val="1821"/>
      <sheetName val="1822"/>
      <sheetName val="1823"/>
      <sheetName val="1825"/>
      <sheetName val="1826"/>
      <sheetName val="1827"/>
      <sheetName val="SA2"/>
      <sheetName val="SA3"/>
      <sheetName val="SA4"/>
      <sheetName val="SA5"/>
      <sheetName val="SA6"/>
      <sheetName val="SA7"/>
      <sheetName val="SA8"/>
      <sheetName val="SA9"/>
      <sheetName val="SA10"/>
      <sheetName val="SA11"/>
      <sheetName val="SA12"/>
      <sheetName val="SA13"/>
      <sheetName val="SA14"/>
      <sheetName val="FNCC1"/>
      <sheetName val="FNCC2"/>
      <sheetName val="FNCC3"/>
      <sheetName val="FNCC4"/>
      <sheetName val="FNCC5"/>
      <sheetName val="FNCC6"/>
      <sheetName val="FNCC7"/>
      <sheetName val="FNCC8"/>
      <sheetName val="FNCC9"/>
      <sheetName val="FNCC10"/>
      <sheetName val="FNCC11"/>
      <sheetName val="FNCC12"/>
      <sheetName val="FNCC13"/>
      <sheetName val="FNCC14"/>
      <sheetName val="FNCC15"/>
      <sheetName val="FNCC16"/>
      <sheetName val="GAA1"/>
      <sheetName val="GAA2"/>
      <sheetName val="GAA3"/>
      <sheetName val="GAA4"/>
      <sheetName val="GAA5"/>
      <sheetName val="GAA6"/>
      <sheetName val="GAA7"/>
      <sheetName val="GAA8"/>
      <sheetName val="GAA9"/>
      <sheetName val="GAA10"/>
      <sheetName val="2300"/>
      <sheetName val="2301"/>
      <sheetName val="2302"/>
      <sheetName val="2303"/>
      <sheetName val="2304"/>
      <sheetName val="2305"/>
      <sheetName val="2306"/>
      <sheetName val="2307"/>
      <sheetName val="2308"/>
      <sheetName val="2309"/>
      <sheetName val="2310"/>
      <sheetName val="2311"/>
      <sheetName val="2312"/>
      <sheetName val="2313"/>
      <sheetName val="2314"/>
      <sheetName val="2315"/>
      <sheetName val="2316"/>
      <sheetName val="2600"/>
      <sheetName val="2601"/>
      <sheetName val="2602"/>
      <sheetName val="2603"/>
      <sheetName val="2604"/>
      <sheetName val="2605"/>
      <sheetName val="2606"/>
      <sheetName val="2607"/>
      <sheetName val="2608"/>
      <sheetName val="2609"/>
      <sheetName val="2610"/>
      <sheetName val="2611"/>
      <sheetName val="2612"/>
      <sheetName val="2613"/>
      <sheetName val="2614"/>
      <sheetName val="2615"/>
      <sheetName val="2616"/>
      <sheetName val="2617"/>
      <sheetName val="3500"/>
      <sheetName val="3501"/>
      <sheetName val="3502"/>
      <sheetName val="3503"/>
      <sheetName val="3504"/>
      <sheetName val="3505"/>
      <sheetName val="3506"/>
      <sheetName val="3507"/>
      <sheetName val="3508"/>
      <sheetName val="3509"/>
      <sheetName val="3510"/>
      <sheetName val="3511"/>
      <sheetName val="3512"/>
      <sheetName val="3513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20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workbookViewId="0">
      <selection activeCell="C17" sqref="C17"/>
    </sheetView>
  </sheetViews>
  <sheetFormatPr defaultColWidth="8.61261261261261" defaultRowHeight="14.1"/>
  <cols>
    <col min="8" max="8" width="16.7567567567568" customWidth="1"/>
    <col min="9" max="9" width="37.0630630630631" customWidth="1"/>
  </cols>
  <sheetData>
    <row r="1" s="68" customFormat="1" ht="37" customHeight="1" spans="1:27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0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70" t="s">
        <v>20</v>
      </c>
      <c r="V1" s="70" t="s">
        <v>21</v>
      </c>
      <c r="W1" s="70" t="s">
        <v>22</v>
      </c>
      <c r="X1" s="71" t="s">
        <v>23</v>
      </c>
      <c r="Y1" s="70" t="s">
        <v>24</v>
      </c>
      <c r="Z1" s="70" t="s">
        <v>11</v>
      </c>
      <c r="AA1" s="70" t="s">
        <v>25</v>
      </c>
    </row>
    <row r="2" s="69" customFormat="1" ht="12.85" spans="1:27">
      <c r="A2" s="72">
        <f t="shared" ref="A2:A28" si="0">COUNTIF(C:C,C2)</f>
        <v>1</v>
      </c>
      <c r="B2" s="72">
        <f t="shared" ref="B2:B28" si="1">COUNTIF(I:I,I2)</f>
        <v>1</v>
      </c>
      <c r="C2" s="73" t="s">
        <v>26</v>
      </c>
      <c r="D2" s="74" t="str">
        <f t="shared" ref="D2:D28" si="2">HYPERLINK("#"&amp;C2&amp;"!E3","跳转")</f>
        <v>跳转</v>
      </c>
      <c r="E2" s="75" t="s">
        <v>27</v>
      </c>
      <c r="F2" s="72" t="s">
        <v>28</v>
      </c>
      <c r="G2" s="73" t="s">
        <v>29</v>
      </c>
      <c r="H2" s="73" t="s">
        <v>30</v>
      </c>
      <c r="I2" s="76" t="s">
        <v>31</v>
      </c>
      <c r="J2" s="73" t="s">
        <v>32</v>
      </c>
      <c r="K2" s="73" t="s">
        <v>32</v>
      </c>
      <c r="L2" s="73" t="s">
        <v>33</v>
      </c>
      <c r="M2" s="72" t="s">
        <v>34</v>
      </c>
      <c r="N2" s="72" t="s">
        <v>35</v>
      </c>
      <c r="O2" s="72"/>
      <c r="P2" s="73" t="s">
        <v>36</v>
      </c>
      <c r="Q2" s="72" t="s">
        <v>37</v>
      </c>
      <c r="R2" s="72"/>
      <c r="S2" s="72"/>
      <c r="T2" s="72"/>
      <c r="U2" s="72"/>
      <c r="V2" s="72" t="s">
        <v>38</v>
      </c>
      <c r="W2" s="72"/>
      <c r="X2" s="72" t="s">
        <v>28</v>
      </c>
      <c r="Y2" s="72"/>
      <c r="Z2" s="72"/>
      <c r="AA2" s="72"/>
    </row>
    <row r="3" s="69" customFormat="1" ht="12.85" spans="1:27">
      <c r="A3" s="72">
        <f t="shared" si="0"/>
        <v>1</v>
      </c>
      <c r="B3" s="72">
        <f t="shared" si="1"/>
        <v>1</v>
      </c>
      <c r="C3" s="73" t="s">
        <v>39</v>
      </c>
      <c r="D3" s="74" t="str">
        <f t="shared" si="2"/>
        <v>跳转</v>
      </c>
      <c r="E3" s="75" t="s">
        <v>27</v>
      </c>
      <c r="F3" s="72" t="s">
        <v>28</v>
      </c>
      <c r="G3" s="73" t="s">
        <v>29</v>
      </c>
      <c r="H3" s="73" t="s">
        <v>30</v>
      </c>
      <c r="I3" s="76" t="s">
        <v>40</v>
      </c>
      <c r="J3" s="73" t="s">
        <v>41</v>
      </c>
      <c r="K3" s="73" t="s">
        <v>41</v>
      </c>
      <c r="L3" s="73" t="s">
        <v>33</v>
      </c>
      <c r="M3" s="72" t="s">
        <v>34</v>
      </c>
      <c r="N3" s="72" t="s">
        <v>35</v>
      </c>
      <c r="O3" s="72"/>
      <c r="P3" s="73" t="s">
        <v>36</v>
      </c>
      <c r="Q3" s="72" t="s">
        <v>37</v>
      </c>
      <c r="R3" s="72"/>
      <c r="S3" s="72"/>
      <c r="T3" s="72"/>
      <c r="U3" s="72"/>
      <c r="V3" s="72" t="s">
        <v>38</v>
      </c>
      <c r="W3" s="72"/>
      <c r="X3" s="72" t="s">
        <v>28</v>
      </c>
      <c r="Y3" s="72"/>
      <c r="Z3" s="72"/>
      <c r="AA3" s="72"/>
    </row>
    <row r="4" s="69" customFormat="1" ht="12.85" spans="1:27">
      <c r="A4" s="72">
        <f t="shared" si="0"/>
        <v>1</v>
      </c>
      <c r="B4" s="72">
        <f t="shared" si="1"/>
        <v>1</v>
      </c>
      <c r="C4" s="73" t="s">
        <v>42</v>
      </c>
      <c r="D4" s="77" t="str">
        <f t="shared" si="2"/>
        <v>跳转</v>
      </c>
      <c r="E4" s="75" t="s">
        <v>27</v>
      </c>
      <c r="F4" s="72" t="s">
        <v>28</v>
      </c>
      <c r="G4" s="73" t="s">
        <v>29</v>
      </c>
      <c r="H4" s="73" t="s">
        <v>30</v>
      </c>
      <c r="I4" s="78" t="s">
        <v>43</v>
      </c>
      <c r="J4" s="75" t="s">
        <v>44</v>
      </c>
      <c r="K4" s="75" t="s">
        <v>44</v>
      </c>
      <c r="L4" s="73" t="s">
        <v>45</v>
      </c>
      <c r="M4" s="72" t="s">
        <v>34</v>
      </c>
      <c r="N4" s="72" t="s">
        <v>35</v>
      </c>
      <c r="O4" s="72"/>
      <c r="P4" s="73" t="s">
        <v>36</v>
      </c>
      <c r="Q4" s="72" t="s">
        <v>37</v>
      </c>
      <c r="R4" s="72"/>
      <c r="S4" s="72"/>
      <c r="T4" s="72"/>
      <c r="U4" s="72"/>
      <c r="V4" s="72" t="s">
        <v>38</v>
      </c>
      <c r="W4" s="72"/>
      <c r="X4" s="72" t="s">
        <v>28</v>
      </c>
      <c r="Y4" s="72"/>
      <c r="Z4" s="72"/>
      <c r="AA4" s="72"/>
    </row>
    <row r="5" s="69" customFormat="1" ht="12.85" spans="1:27">
      <c r="A5" s="72">
        <f t="shared" si="0"/>
        <v>1</v>
      </c>
      <c r="B5" s="72">
        <f t="shared" si="1"/>
        <v>1</v>
      </c>
      <c r="C5" s="73" t="s">
        <v>46</v>
      </c>
      <c r="D5" s="79" t="str">
        <f t="shared" si="2"/>
        <v>跳转</v>
      </c>
      <c r="E5" s="75" t="s">
        <v>27</v>
      </c>
      <c r="F5" s="72" t="s">
        <v>28</v>
      </c>
      <c r="G5" s="73" t="s">
        <v>29</v>
      </c>
      <c r="H5" s="73" t="s">
        <v>30</v>
      </c>
      <c r="I5" s="78" t="s">
        <v>47</v>
      </c>
      <c r="J5" s="75" t="s">
        <v>48</v>
      </c>
      <c r="K5" s="75" t="s">
        <v>48</v>
      </c>
      <c r="L5" s="73" t="s">
        <v>45</v>
      </c>
      <c r="M5" s="72" t="s">
        <v>34</v>
      </c>
      <c r="N5" s="72" t="s">
        <v>49</v>
      </c>
      <c r="O5" s="72"/>
      <c r="P5" s="73" t="s">
        <v>36</v>
      </c>
      <c r="Q5" s="72" t="s">
        <v>37</v>
      </c>
      <c r="R5" s="72"/>
      <c r="S5" s="72"/>
      <c r="T5" s="72"/>
      <c r="U5" s="72"/>
      <c r="V5" s="72" t="s">
        <v>38</v>
      </c>
      <c r="W5" s="72"/>
      <c r="X5" s="72" t="s">
        <v>28</v>
      </c>
      <c r="Y5" s="72"/>
      <c r="Z5" s="72"/>
      <c r="AA5" s="72"/>
    </row>
    <row r="6" s="69" customFormat="1" ht="12.85" spans="1:27">
      <c r="A6" s="72">
        <f t="shared" si="0"/>
        <v>1</v>
      </c>
      <c r="B6" s="72">
        <f t="shared" si="1"/>
        <v>1</v>
      </c>
      <c r="C6" s="73" t="s">
        <v>50</v>
      </c>
      <c r="D6" s="77" t="str">
        <f t="shared" si="2"/>
        <v>跳转</v>
      </c>
      <c r="E6" s="75" t="s">
        <v>27</v>
      </c>
      <c r="F6" s="72" t="s">
        <v>28</v>
      </c>
      <c r="G6" s="73" t="s">
        <v>29</v>
      </c>
      <c r="H6" s="73" t="s">
        <v>30</v>
      </c>
      <c r="I6" s="78" t="s">
        <v>51</v>
      </c>
      <c r="J6" s="75" t="s">
        <v>52</v>
      </c>
      <c r="K6" s="75" t="s">
        <v>52</v>
      </c>
      <c r="L6" s="73" t="s">
        <v>45</v>
      </c>
      <c r="M6" s="72" t="s">
        <v>34</v>
      </c>
      <c r="N6" s="72" t="s">
        <v>35</v>
      </c>
      <c r="O6" s="72"/>
      <c r="P6" s="73" t="s">
        <v>36</v>
      </c>
      <c r="Q6" s="72" t="s">
        <v>37</v>
      </c>
      <c r="R6" s="72"/>
      <c r="S6" s="72"/>
      <c r="T6" s="72"/>
      <c r="U6" s="72"/>
      <c r="V6" s="72" t="s">
        <v>38</v>
      </c>
      <c r="W6" s="72"/>
      <c r="X6" s="72" t="s">
        <v>28</v>
      </c>
      <c r="Y6" s="72"/>
      <c r="Z6" s="72"/>
      <c r="AA6" s="72"/>
    </row>
    <row r="7" s="69" customFormat="1" ht="12.85" spans="1:27">
      <c r="A7" s="72">
        <f t="shared" si="0"/>
        <v>1</v>
      </c>
      <c r="B7" s="72">
        <f t="shared" si="1"/>
        <v>1</v>
      </c>
      <c r="C7" s="73" t="s">
        <v>53</v>
      </c>
      <c r="D7" s="77" t="str">
        <f t="shared" si="2"/>
        <v>跳转</v>
      </c>
      <c r="E7" s="75" t="s">
        <v>27</v>
      </c>
      <c r="F7" s="72" t="s">
        <v>28</v>
      </c>
      <c r="G7" s="73" t="s">
        <v>29</v>
      </c>
      <c r="H7" s="73" t="s">
        <v>30</v>
      </c>
      <c r="I7" s="78" t="s">
        <v>54</v>
      </c>
      <c r="J7" s="75" t="s">
        <v>55</v>
      </c>
      <c r="K7" s="75" t="s">
        <v>55</v>
      </c>
      <c r="L7" s="73" t="s">
        <v>45</v>
      </c>
      <c r="M7" s="72" t="s">
        <v>34</v>
      </c>
      <c r="N7" s="72" t="s">
        <v>56</v>
      </c>
      <c r="O7" s="72"/>
      <c r="P7" s="73" t="s">
        <v>36</v>
      </c>
      <c r="Q7" s="72" t="s">
        <v>37</v>
      </c>
      <c r="R7" s="72"/>
      <c r="S7" s="72"/>
      <c r="T7" s="72"/>
      <c r="U7" s="72"/>
      <c r="V7" s="72" t="s">
        <v>38</v>
      </c>
      <c r="W7" s="72"/>
      <c r="X7" s="72" t="s">
        <v>28</v>
      </c>
      <c r="Y7" s="72"/>
      <c r="Z7" s="72"/>
      <c r="AA7" s="72"/>
    </row>
    <row r="8" s="69" customFormat="1" ht="12.85" spans="1:27">
      <c r="A8" s="72">
        <f t="shared" si="0"/>
        <v>1</v>
      </c>
      <c r="B8" s="72">
        <f t="shared" si="1"/>
        <v>1</v>
      </c>
      <c r="C8" s="73" t="s">
        <v>57</v>
      </c>
      <c r="D8" s="77" t="str">
        <f t="shared" si="2"/>
        <v>跳转</v>
      </c>
      <c r="E8" s="75" t="s">
        <v>27</v>
      </c>
      <c r="F8" s="72" t="s">
        <v>28</v>
      </c>
      <c r="G8" s="73" t="s">
        <v>29</v>
      </c>
      <c r="H8" s="73" t="s">
        <v>30</v>
      </c>
      <c r="I8" s="78" t="s">
        <v>58</v>
      </c>
      <c r="J8" s="75" t="s">
        <v>59</v>
      </c>
      <c r="K8" s="75" t="s">
        <v>59</v>
      </c>
      <c r="L8" s="73" t="s">
        <v>45</v>
      </c>
      <c r="M8" s="72" t="s">
        <v>34</v>
      </c>
      <c r="N8" s="72" t="s">
        <v>60</v>
      </c>
      <c r="O8" s="72"/>
      <c r="P8" s="73" t="s">
        <v>36</v>
      </c>
      <c r="Q8" s="72" t="s">
        <v>37</v>
      </c>
      <c r="R8" s="72"/>
      <c r="S8" s="72"/>
      <c r="T8" s="72"/>
      <c r="U8" s="72"/>
      <c r="V8" s="72" t="s">
        <v>38</v>
      </c>
      <c r="W8" s="72"/>
      <c r="X8" s="72" t="s">
        <v>28</v>
      </c>
      <c r="Y8" s="72"/>
      <c r="Z8" s="72"/>
      <c r="AA8" s="72"/>
    </row>
    <row r="9" s="69" customFormat="1" ht="12.85" spans="1:27">
      <c r="A9" s="72">
        <f t="shared" si="0"/>
        <v>1</v>
      </c>
      <c r="B9" s="72">
        <f t="shared" si="1"/>
        <v>1</v>
      </c>
      <c r="C9" s="73" t="s">
        <v>61</v>
      </c>
      <c r="D9" s="77" t="str">
        <f t="shared" si="2"/>
        <v>跳转</v>
      </c>
      <c r="E9" s="75" t="s">
        <v>27</v>
      </c>
      <c r="F9" s="72" t="s">
        <v>28</v>
      </c>
      <c r="G9" s="73" t="s">
        <v>29</v>
      </c>
      <c r="H9" s="73" t="s">
        <v>30</v>
      </c>
      <c r="I9" s="78" t="s">
        <v>62</v>
      </c>
      <c r="J9" s="75" t="s">
        <v>63</v>
      </c>
      <c r="K9" s="75" t="s">
        <v>63</v>
      </c>
      <c r="L9" s="73" t="s">
        <v>64</v>
      </c>
      <c r="M9" s="72" t="s">
        <v>34</v>
      </c>
      <c r="N9" s="72" t="s">
        <v>65</v>
      </c>
      <c r="O9" s="72"/>
      <c r="P9" s="73" t="s">
        <v>36</v>
      </c>
      <c r="Q9" s="72" t="s">
        <v>37</v>
      </c>
      <c r="R9" s="72"/>
      <c r="S9" s="72"/>
      <c r="T9" s="72"/>
      <c r="U9" s="72"/>
      <c r="V9" s="72" t="s">
        <v>38</v>
      </c>
      <c r="W9" s="72"/>
      <c r="X9" s="72" t="s">
        <v>28</v>
      </c>
      <c r="Y9" s="72"/>
      <c r="Z9" s="72"/>
      <c r="AA9" s="72"/>
    </row>
    <row r="10" s="69" customFormat="1" ht="12.85" spans="1:27">
      <c r="A10" s="72">
        <f t="shared" si="0"/>
        <v>1</v>
      </c>
      <c r="B10" s="72">
        <f t="shared" si="1"/>
        <v>1</v>
      </c>
      <c r="C10" s="73" t="s">
        <v>66</v>
      </c>
      <c r="D10" s="77" t="str">
        <f t="shared" si="2"/>
        <v>跳转</v>
      </c>
      <c r="E10" s="75" t="s">
        <v>27</v>
      </c>
      <c r="F10" s="72" t="s">
        <v>28</v>
      </c>
      <c r="G10" s="73" t="s">
        <v>29</v>
      </c>
      <c r="H10" s="73" t="s">
        <v>30</v>
      </c>
      <c r="I10" s="78" t="s">
        <v>67</v>
      </c>
      <c r="J10" s="75" t="s">
        <v>68</v>
      </c>
      <c r="K10" s="75" t="s">
        <v>68</v>
      </c>
      <c r="L10" s="73" t="s">
        <v>64</v>
      </c>
      <c r="M10" s="72" t="s">
        <v>34</v>
      </c>
      <c r="N10" s="72" t="s">
        <v>49</v>
      </c>
      <c r="O10" s="72"/>
      <c r="P10" s="73" t="s">
        <v>36</v>
      </c>
      <c r="Q10" s="72" t="s">
        <v>37</v>
      </c>
      <c r="R10" s="72"/>
      <c r="S10" s="72"/>
      <c r="T10" s="72"/>
      <c r="U10" s="72"/>
      <c r="V10" s="72" t="s">
        <v>38</v>
      </c>
      <c r="W10" s="72"/>
      <c r="X10" s="72" t="s">
        <v>28</v>
      </c>
      <c r="Y10" s="72"/>
      <c r="Z10" s="72"/>
      <c r="AA10" s="72"/>
    </row>
    <row r="11" s="69" customFormat="1" ht="12.85" spans="1:27">
      <c r="A11" s="72">
        <f t="shared" si="0"/>
        <v>1</v>
      </c>
      <c r="B11" s="72">
        <f t="shared" si="1"/>
        <v>1</v>
      </c>
      <c r="C11" s="73" t="s">
        <v>69</v>
      </c>
      <c r="D11" s="77" t="str">
        <f t="shared" si="2"/>
        <v>跳转</v>
      </c>
      <c r="E11" s="75" t="s">
        <v>27</v>
      </c>
      <c r="F11" s="72" t="s">
        <v>28</v>
      </c>
      <c r="G11" s="73" t="s">
        <v>29</v>
      </c>
      <c r="H11" s="73" t="s">
        <v>30</v>
      </c>
      <c r="I11" s="78" t="s">
        <v>70</v>
      </c>
      <c r="J11" s="75" t="s">
        <v>71</v>
      </c>
      <c r="K11" s="75" t="s">
        <v>71</v>
      </c>
      <c r="L11" s="73" t="s">
        <v>64</v>
      </c>
      <c r="M11" s="72" t="s">
        <v>34</v>
      </c>
      <c r="N11" s="72" t="s">
        <v>35</v>
      </c>
      <c r="O11" s="72"/>
      <c r="P11" s="73" t="s">
        <v>36</v>
      </c>
      <c r="Q11" s="72" t="s">
        <v>37</v>
      </c>
      <c r="R11" s="72"/>
      <c r="S11" s="72"/>
      <c r="T11" s="72"/>
      <c r="U11" s="72"/>
      <c r="V11" s="72" t="s">
        <v>38</v>
      </c>
      <c r="W11" s="72"/>
      <c r="X11" s="72" t="s">
        <v>28</v>
      </c>
      <c r="Y11" s="72"/>
      <c r="Z11" s="72"/>
      <c r="AA11" s="7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8"/>
  <sheetViews>
    <sheetView workbookViewId="0">
      <pane ySplit="1" topLeftCell="A2" activePane="bottomLeft" state="frozen"/>
      <selection/>
      <selection pane="bottomLeft" activeCell="B3" sqref="B3:H3"/>
    </sheetView>
  </sheetViews>
  <sheetFormatPr defaultColWidth="9.87387387387387" defaultRowHeight="16.25"/>
  <cols>
    <col min="1" max="1" width="5.5045045045045" style="3" customWidth="1"/>
    <col min="2" max="2" width="17.8738738738739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28.7567567567568" style="3" customWidth="1"/>
    <col min="8" max="8" width="13.1261261261261" style="3" customWidth="1"/>
    <col min="9" max="9" width="17.5045045045045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61" t="str">
        <f>HYPERLINK("#"&amp;"导航应用"&amp;"!B1","返回")</f>
        <v>返回</v>
      </c>
    </row>
    <row r="2" spans="2:14">
      <c r="B2" s="13"/>
      <c r="C2" s="13"/>
      <c r="D2" s="13"/>
      <c r="E2" s="13"/>
      <c r="F2" s="13"/>
      <c r="G2" s="13"/>
      <c r="H2" s="13"/>
    </row>
    <row r="3" ht="17.1" spans="2:14">
      <c r="B3" s="7" t="s">
        <v>72</v>
      </c>
      <c r="C3" s="7"/>
      <c r="D3" s="7"/>
      <c r="E3" s="7"/>
      <c r="F3" s="7"/>
      <c r="G3" s="7"/>
      <c r="H3" s="7"/>
    </row>
    <row r="4" spans="2:14">
      <c r="B4" s="8" t="s">
        <v>5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10</v>
      </c>
      <c r="H4" s="8" t="s">
        <v>15</v>
      </c>
    </row>
    <row r="5" ht="25.7" spans="2:14">
      <c r="B5" s="23" t="s">
        <v>77</v>
      </c>
      <c r="C5" s="28" t="s">
        <v>31</v>
      </c>
      <c r="D5" s="62" t="s">
        <v>32</v>
      </c>
      <c r="E5" s="9" t="s">
        <v>78</v>
      </c>
      <c r="F5" s="12" t="s">
        <v>79</v>
      </c>
      <c r="G5" s="9"/>
      <c r="H5" s="63" t="s">
        <v>36</v>
      </c>
      <c r="N5" s="3"/>
    </row>
    <row r="6" spans="2:14">
      <c r="B6" s="13"/>
      <c r="C6" s="13"/>
      <c r="D6" s="13"/>
      <c r="E6" s="13"/>
      <c r="F6" s="13"/>
      <c r="G6" s="13"/>
      <c r="H6" s="13"/>
    </row>
    <row r="7" ht="17.1" spans="2:14">
      <c r="B7" s="7" t="s">
        <v>80</v>
      </c>
      <c r="C7" s="7"/>
      <c r="D7" s="7"/>
      <c r="E7" s="7"/>
      <c r="F7" s="7"/>
      <c r="G7" s="7"/>
      <c r="H7" s="7"/>
    </row>
    <row r="8" spans="2:14">
      <c r="B8" s="14" t="s">
        <v>81</v>
      </c>
      <c r="C8" s="14" t="s">
        <v>82</v>
      </c>
      <c r="D8" s="14" t="s">
        <v>83</v>
      </c>
      <c r="E8" s="14" t="s">
        <v>84</v>
      </c>
      <c r="F8" s="14" t="s">
        <v>85</v>
      </c>
      <c r="G8" s="14" t="s">
        <v>11</v>
      </c>
      <c r="H8" s="14" t="s">
        <v>86</v>
      </c>
    </row>
    <row r="9" ht="25.7" spans="2:14">
      <c r="B9" s="9" t="s">
        <v>87</v>
      </c>
      <c r="C9" s="64" t="s">
        <v>88</v>
      </c>
      <c r="D9" s="64" t="s">
        <v>89</v>
      </c>
      <c r="E9" s="9" t="s">
        <v>90</v>
      </c>
      <c r="F9" s="65" t="s">
        <v>91</v>
      </c>
      <c r="G9" s="17" t="s">
        <v>92</v>
      </c>
      <c r="H9" s="18" t="s">
        <v>93</v>
      </c>
    </row>
    <row r="10" ht="25.7" spans="2:14">
      <c r="B10" s="9" t="s">
        <v>87</v>
      </c>
      <c r="C10" s="66" t="s">
        <v>94</v>
      </c>
      <c r="D10" s="64" t="s">
        <v>95</v>
      </c>
      <c r="E10" s="9" t="s">
        <v>96</v>
      </c>
      <c r="F10" s="65" t="s">
        <v>91</v>
      </c>
      <c r="G10" s="19"/>
      <c r="H10" s="18" t="s">
        <v>93</v>
      </c>
    </row>
    <row r="12" spans="2:14">
      <c r="B12" s="51" t="s">
        <v>97</v>
      </c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2:14">
      <c r="B13" s="21" t="s">
        <v>98</v>
      </c>
      <c r="C13" s="21" t="s">
        <v>99</v>
      </c>
      <c r="D13" s="21" t="s">
        <v>100</v>
      </c>
      <c r="E13" s="21" t="s">
        <v>101</v>
      </c>
      <c r="F13" s="21" t="s">
        <v>102</v>
      </c>
      <c r="G13" s="21" t="s">
        <v>103</v>
      </c>
      <c r="H13" s="21" t="s">
        <v>104</v>
      </c>
      <c r="I13" s="21" t="s">
        <v>11</v>
      </c>
      <c r="J13" s="21" t="s">
        <v>105</v>
      </c>
      <c r="K13" s="21" t="s">
        <v>106</v>
      </c>
      <c r="L13" s="21" t="s">
        <v>107</v>
      </c>
    </row>
    <row r="14" spans="2:14">
      <c r="B14" s="54" t="s">
        <v>108</v>
      </c>
      <c r="C14" s="55" t="s">
        <v>109</v>
      </c>
      <c r="D14" s="55" t="s">
        <v>110</v>
      </c>
      <c r="E14" s="9"/>
      <c r="F14" s="9"/>
      <c r="G14" s="9"/>
      <c r="H14" s="9"/>
      <c r="I14" s="26"/>
      <c r="J14" s="9"/>
      <c r="K14" s="9"/>
      <c r="L14" s="9"/>
    </row>
    <row r="15" spans="2:14">
      <c r="B15" s="54" t="s">
        <v>111</v>
      </c>
      <c r="C15" s="55" t="s">
        <v>109</v>
      </c>
      <c r="D15" s="55" t="s">
        <v>112</v>
      </c>
      <c r="E15" s="9"/>
      <c r="F15" s="9"/>
      <c r="G15" s="9"/>
      <c r="H15" s="9"/>
      <c r="I15" s="26"/>
      <c r="J15" s="9"/>
      <c r="K15" s="9"/>
      <c r="L15" s="9"/>
    </row>
    <row r="16" s="1" customFormat="1" ht="12.85" spans="2:14">
      <c r="B16" s="24" t="s">
        <v>113</v>
      </c>
      <c r="C16" s="24" t="s">
        <v>109</v>
      </c>
      <c r="D16" s="24" t="s">
        <v>60</v>
      </c>
      <c r="E16" s="23"/>
      <c r="F16" s="24"/>
      <c r="G16" s="24"/>
      <c r="H16" s="24"/>
      <c r="I16" s="25"/>
      <c r="J16" s="25" t="s">
        <v>114</v>
      </c>
      <c r="K16" s="25"/>
      <c r="L16" s="25"/>
    </row>
    <row r="17" s="1" customFormat="1" ht="12.85" spans="2:12">
      <c r="B17" s="24" t="s">
        <v>78</v>
      </c>
      <c r="C17" s="24" t="s">
        <v>109</v>
      </c>
      <c r="D17" s="24" t="s">
        <v>35</v>
      </c>
      <c r="E17" s="23"/>
      <c r="F17" s="24"/>
      <c r="G17" s="24"/>
      <c r="H17" s="24"/>
      <c r="I17" s="25"/>
      <c r="J17" s="25" t="s">
        <v>114</v>
      </c>
      <c r="K17" s="25"/>
      <c r="L17" s="25"/>
    </row>
    <row r="18" s="1" customFormat="1" ht="12.85" spans="2:12">
      <c r="B18" s="57" t="s">
        <v>115</v>
      </c>
      <c r="C18" s="57" t="s">
        <v>116</v>
      </c>
      <c r="D18" s="57" t="s">
        <v>117</v>
      </c>
      <c r="E18" s="23" t="s">
        <v>90</v>
      </c>
      <c r="F18" s="57" t="s">
        <v>115</v>
      </c>
      <c r="G18" s="24" t="s">
        <v>118</v>
      </c>
      <c r="H18" s="24"/>
      <c r="I18" s="25"/>
      <c r="J18" s="25" t="s">
        <v>114</v>
      </c>
      <c r="K18" s="25"/>
      <c r="L18" s="25"/>
    </row>
    <row r="19" s="1" customFormat="1" ht="38.55" spans="2:12">
      <c r="B19" s="24" t="s">
        <v>119</v>
      </c>
      <c r="C19" s="24" t="s">
        <v>120</v>
      </c>
      <c r="D19" s="24" t="s">
        <v>121</v>
      </c>
      <c r="E19" s="23" t="s">
        <v>90</v>
      </c>
      <c r="F19" s="24" t="s">
        <v>122</v>
      </c>
      <c r="G19" s="24" t="s">
        <v>123</v>
      </c>
      <c r="H19" s="24"/>
      <c r="I19" s="25" t="s">
        <v>124</v>
      </c>
      <c r="J19" s="9" t="s">
        <v>30</v>
      </c>
      <c r="K19" s="9" t="s">
        <v>125</v>
      </c>
      <c r="L19" s="16" t="s">
        <v>126</v>
      </c>
    </row>
    <row r="20" s="1" customFormat="1" ht="25.7" spans="2:12">
      <c r="B20" s="24" t="s">
        <v>127</v>
      </c>
      <c r="C20" s="24" t="s">
        <v>120</v>
      </c>
      <c r="D20" s="24" t="s">
        <v>128</v>
      </c>
      <c r="E20" s="23" t="s">
        <v>96</v>
      </c>
      <c r="F20" s="24"/>
      <c r="G20" s="16" t="s">
        <v>129</v>
      </c>
      <c r="H20" s="24"/>
      <c r="I20" s="25" t="s">
        <v>130</v>
      </c>
      <c r="J20" s="9" t="s">
        <v>30</v>
      </c>
      <c r="K20" s="9" t="s">
        <v>125</v>
      </c>
      <c r="L20" s="16" t="s">
        <v>126</v>
      </c>
    </row>
    <row r="21" s="1" customFormat="1" ht="25.7" spans="2:12">
      <c r="B21" s="24" t="s">
        <v>131</v>
      </c>
      <c r="C21" s="24" t="s">
        <v>120</v>
      </c>
      <c r="D21" s="24" t="s">
        <v>132</v>
      </c>
      <c r="E21" s="23" t="s">
        <v>96</v>
      </c>
      <c r="F21" s="24"/>
      <c r="G21" s="16" t="s">
        <v>133</v>
      </c>
      <c r="H21" s="24"/>
      <c r="I21" s="25" t="s">
        <v>130</v>
      </c>
      <c r="J21" s="9" t="s">
        <v>30</v>
      </c>
      <c r="K21" s="9" t="s">
        <v>125</v>
      </c>
      <c r="L21" s="16" t="s">
        <v>126</v>
      </c>
    </row>
    <row r="22" s="1" customFormat="1" ht="25.7" spans="2:12">
      <c r="B22" s="24" t="s">
        <v>134</v>
      </c>
      <c r="C22" s="24" t="s">
        <v>120</v>
      </c>
      <c r="D22" s="24" t="s">
        <v>135</v>
      </c>
      <c r="E22" s="23" t="s">
        <v>96</v>
      </c>
      <c r="F22" s="24"/>
      <c r="G22" s="16" t="s">
        <v>136</v>
      </c>
      <c r="H22" s="24"/>
      <c r="I22" s="25" t="s">
        <v>130</v>
      </c>
      <c r="J22" s="9" t="s">
        <v>30</v>
      </c>
      <c r="K22" s="9" t="s">
        <v>137</v>
      </c>
      <c r="L22" s="16" t="s">
        <v>138</v>
      </c>
    </row>
    <row r="23" s="1" customFormat="1" ht="25.7" spans="2:12">
      <c r="B23" s="67" t="s">
        <v>139</v>
      </c>
      <c r="C23" s="24" t="s">
        <v>120</v>
      </c>
      <c r="D23" s="24" t="s">
        <v>140</v>
      </c>
      <c r="E23" s="23" t="s">
        <v>96</v>
      </c>
      <c r="F23" s="24"/>
      <c r="G23" s="16" t="s">
        <v>141</v>
      </c>
      <c r="H23" s="24"/>
      <c r="I23" s="25" t="s">
        <v>142</v>
      </c>
      <c r="J23" s="9" t="s">
        <v>30</v>
      </c>
      <c r="K23" s="9" t="s">
        <v>125</v>
      </c>
      <c r="L23" s="16" t="s">
        <v>126</v>
      </c>
    </row>
    <row r="24" s="1" customFormat="1" ht="25.7" spans="2:12">
      <c r="B24" s="67" t="s">
        <v>143</v>
      </c>
      <c r="C24" s="24" t="s">
        <v>120</v>
      </c>
      <c r="D24" s="24" t="s">
        <v>144</v>
      </c>
      <c r="E24" s="23" t="s">
        <v>96</v>
      </c>
      <c r="F24" s="24"/>
      <c r="G24" s="16" t="s">
        <v>145</v>
      </c>
      <c r="H24" s="24"/>
      <c r="I24" s="25" t="s">
        <v>142</v>
      </c>
      <c r="J24" s="9" t="s">
        <v>30</v>
      </c>
      <c r="K24" s="9" t="s">
        <v>125</v>
      </c>
      <c r="L24" s="16" t="s">
        <v>126</v>
      </c>
    </row>
    <row r="25" s="1" customFormat="1" ht="25.7" spans="2:12">
      <c r="B25" s="67" t="s">
        <v>146</v>
      </c>
      <c r="C25" s="24" t="s">
        <v>120</v>
      </c>
      <c r="D25" s="24" t="s">
        <v>147</v>
      </c>
      <c r="E25" s="23" t="s">
        <v>96</v>
      </c>
      <c r="F25" s="24"/>
      <c r="G25" s="16" t="s">
        <v>148</v>
      </c>
      <c r="H25" s="24"/>
      <c r="I25" s="25" t="s">
        <v>142</v>
      </c>
      <c r="J25" s="9" t="s">
        <v>30</v>
      </c>
      <c r="K25" s="9" t="s">
        <v>137</v>
      </c>
      <c r="L25" s="16" t="s">
        <v>138</v>
      </c>
    </row>
    <row r="26" s="1" customFormat="1" ht="25.7" spans="2:12">
      <c r="B26" s="24" t="s">
        <v>149</v>
      </c>
      <c r="C26" s="24" t="s">
        <v>120</v>
      </c>
      <c r="D26" s="24" t="s">
        <v>150</v>
      </c>
      <c r="E26" s="23" t="s">
        <v>96</v>
      </c>
      <c r="F26" s="24"/>
      <c r="G26" s="16" t="s">
        <v>151</v>
      </c>
      <c r="H26" s="24"/>
      <c r="I26" s="25" t="s">
        <v>152</v>
      </c>
      <c r="J26" s="9" t="s">
        <v>30</v>
      </c>
      <c r="K26" s="9" t="s">
        <v>125</v>
      </c>
      <c r="L26" s="16" t="s">
        <v>126</v>
      </c>
    </row>
    <row r="27" s="1" customFormat="1" ht="25.7" spans="2:12">
      <c r="B27" s="24" t="s">
        <v>153</v>
      </c>
      <c r="C27" s="24" t="s">
        <v>120</v>
      </c>
      <c r="D27" s="24" t="s">
        <v>154</v>
      </c>
      <c r="E27" s="23" t="s">
        <v>96</v>
      </c>
      <c r="F27" s="24"/>
      <c r="G27" s="16" t="s">
        <v>155</v>
      </c>
      <c r="H27" s="24"/>
      <c r="I27" s="25" t="s">
        <v>152</v>
      </c>
      <c r="J27" s="9" t="s">
        <v>30</v>
      </c>
      <c r="K27" s="9" t="s">
        <v>125</v>
      </c>
      <c r="L27" s="16" t="s">
        <v>126</v>
      </c>
    </row>
    <row r="28" s="1" customFormat="1" ht="25.7" spans="2:12">
      <c r="B28" s="24" t="s">
        <v>156</v>
      </c>
      <c r="C28" s="24" t="s">
        <v>120</v>
      </c>
      <c r="D28" s="24" t="s">
        <v>157</v>
      </c>
      <c r="E28" s="23" t="s">
        <v>96</v>
      </c>
      <c r="F28" s="24"/>
      <c r="G28" s="16" t="s">
        <v>158</v>
      </c>
      <c r="H28" s="24"/>
      <c r="I28" s="25" t="s">
        <v>152</v>
      </c>
      <c r="J28" s="9" t="s">
        <v>30</v>
      </c>
      <c r="K28" s="9" t="s">
        <v>137</v>
      </c>
      <c r="L28" s="16" t="s">
        <v>138</v>
      </c>
    </row>
  </sheetData>
  <mergeCells count="5">
    <mergeCell ref="B2:H2"/>
    <mergeCell ref="B3:H3"/>
    <mergeCell ref="B7:H7"/>
    <mergeCell ref="B12:L12"/>
    <mergeCell ref="G9:G10"/>
  </mergeCells>
  <dataValidations count="1">
    <dataValidation type="list" allowBlank="1" showInputMessage="1" showErrorMessage="1" sqref="E5">
      <formula1>"quarter,hour,day,week,month,year,维表"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6"/>
  <sheetViews>
    <sheetView workbookViewId="0">
      <pane ySplit="1" topLeftCell="A29" activePane="bottomLeft" state="frozen"/>
      <selection/>
      <selection pane="bottomLeft" activeCell="B3" sqref="B3:H3"/>
    </sheetView>
  </sheetViews>
  <sheetFormatPr defaultColWidth="9.87387387387387" defaultRowHeight="16.25"/>
  <cols>
    <col min="1" max="1" width="5.5045045045045" style="3" customWidth="1"/>
    <col min="2" max="2" width="17.8738738738739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13.1261261261261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46" t="s">
        <v>40</v>
      </c>
      <c r="D4" s="47" t="s">
        <v>41</v>
      </c>
      <c r="E4" s="9" t="s">
        <v>78</v>
      </c>
      <c r="F4" s="12" t="s">
        <v>159</v>
      </c>
      <c r="G4" s="48"/>
      <c r="H4" s="47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spans="2:14">
      <c r="B8" s="9" t="s">
        <v>87</v>
      </c>
      <c r="C8" s="15" t="s">
        <v>88</v>
      </c>
      <c r="D8" s="15" t="s">
        <v>89</v>
      </c>
      <c r="E8" s="9" t="s">
        <v>90</v>
      </c>
      <c r="F8" s="9" t="s">
        <v>160</v>
      </c>
      <c r="G8" s="49" t="s">
        <v>161</v>
      </c>
      <c r="H8" s="18" t="s">
        <v>93</v>
      </c>
    </row>
    <row r="9" ht="25.7" spans="2:14">
      <c r="B9" s="9" t="s">
        <v>87</v>
      </c>
      <c r="C9" s="15" t="s">
        <v>94</v>
      </c>
      <c r="D9" s="15" t="s">
        <v>95</v>
      </c>
      <c r="E9" s="9" t="s">
        <v>96</v>
      </c>
      <c r="F9" s="9" t="s">
        <v>160</v>
      </c>
      <c r="G9" s="50"/>
      <c r="H9" s="18" t="s">
        <v>93</v>
      </c>
    </row>
    <row r="11" spans="2:14">
      <c r="B11" s="51" t="s">
        <v>97</v>
      </c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ht="25.7" spans="2:14">
      <c r="B12" s="21" t="s">
        <v>98</v>
      </c>
      <c r="C12" s="21" t="s">
        <v>99</v>
      </c>
      <c r="D12" s="21" t="s">
        <v>100</v>
      </c>
      <c r="E12" s="21" t="s">
        <v>101</v>
      </c>
      <c r="F12" s="21" t="s">
        <v>102</v>
      </c>
      <c r="G12" s="21" t="s">
        <v>103</v>
      </c>
      <c r="H12" s="21" t="s">
        <v>104</v>
      </c>
      <c r="I12" s="21" t="s">
        <v>11</v>
      </c>
      <c r="J12" s="21" t="s">
        <v>105</v>
      </c>
      <c r="K12" s="21" t="s">
        <v>106</v>
      </c>
      <c r="L12" s="21" t="s">
        <v>107</v>
      </c>
    </row>
    <row r="13" spans="2:14">
      <c r="B13" s="54" t="s">
        <v>108</v>
      </c>
      <c r="C13" s="55" t="s">
        <v>109</v>
      </c>
      <c r="D13" s="55" t="s">
        <v>110</v>
      </c>
      <c r="E13" s="9"/>
      <c r="F13" s="9"/>
      <c r="G13" s="9"/>
      <c r="H13" s="9"/>
      <c r="I13" s="26"/>
      <c r="J13" s="9"/>
      <c r="K13" s="9"/>
      <c r="L13" s="9"/>
    </row>
    <row r="14" spans="2:14">
      <c r="B14" s="54" t="s">
        <v>111</v>
      </c>
      <c r="C14" s="55" t="s">
        <v>109</v>
      </c>
      <c r="D14" s="55" t="s">
        <v>112</v>
      </c>
      <c r="E14" s="9"/>
      <c r="F14" s="9"/>
      <c r="G14" s="9"/>
      <c r="H14" s="9"/>
      <c r="I14" s="26"/>
      <c r="J14" s="9"/>
      <c r="K14" s="9"/>
      <c r="L14" s="9"/>
    </row>
    <row r="15" s="1" customFormat="1" ht="12.85" spans="2:14">
      <c r="B15" s="24" t="s">
        <v>113</v>
      </c>
      <c r="C15" s="24" t="s">
        <v>109</v>
      </c>
      <c r="D15" s="24" t="s">
        <v>60</v>
      </c>
      <c r="E15" s="23"/>
      <c r="F15" s="24"/>
      <c r="G15" s="24"/>
      <c r="H15" s="24"/>
      <c r="I15" s="25"/>
      <c r="J15" s="25" t="s">
        <v>114</v>
      </c>
      <c r="K15" s="25"/>
      <c r="L15" s="25"/>
    </row>
    <row r="16" s="1" customFormat="1" ht="12.85" spans="2:14">
      <c r="B16" s="24" t="s">
        <v>78</v>
      </c>
      <c r="C16" s="24" t="s">
        <v>109</v>
      </c>
      <c r="D16" s="24" t="s">
        <v>35</v>
      </c>
      <c r="E16" s="23"/>
      <c r="F16" s="24"/>
      <c r="G16" s="24"/>
      <c r="H16" s="24"/>
      <c r="I16" s="25"/>
      <c r="J16" s="25" t="s">
        <v>114</v>
      </c>
      <c r="K16" s="25"/>
      <c r="L16" s="25"/>
    </row>
    <row r="17" s="1" customFormat="1" ht="57.75" customHeight="1" spans="2:14">
      <c r="B17" s="56" t="s">
        <v>115</v>
      </c>
      <c r="C17" s="57" t="s">
        <v>116</v>
      </c>
      <c r="D17" s="57" t="s">
        <v>117</v>
      </c>
      <c r="E17" s="23" t="s">
        <v>90</v>
      </c>
      <c r="F17" s="57" t="s">
        <v>115</v>
      </c>
      <c r="G17" s="16" t="s">
        <v>162</v>
      </c>
      <c r="H17" s="24"/>
      <c r="I17" s="25"/>
      <c r="J17" s="25" t="s">
        <v>114</v>
      </c>
      <c r="K17" s="25" t="s">
        <v>163</v>
      </c>
      <c r="L17" s="28" t="s">
        <v>164</v>
      </c>
    </row>
    <row r="18" s="1" customFormat="1" ht="25.7" spans="2:14">
      <c r="B18" s="58" t="s">
        <v>165</v>
      </c>
      <c r="C18" s="24" t="s">
        <v>109</v>
      </c>
      <c r="D18" s="24" t="s">
        <v>166</v>
      </c>
      <c r="E18" s="23"/>
      <c r="F18" s="24"/>
      <c r="G18" s="16" t="s">
        <v>167</v>
      </c>
      <c r="H18" s="24"/>
      <c r="I18" s="28" t="s">
        <v>168</v>
      </c>
      <c r="J18" s="25" t="s">
        <v>114</v>
      </c>
      <c r="K18" s="25" t="s">
        <v>163</v>
      </c>
      <c r="L18" s="25" t="s">
        <v>169</v>
      </c>
    </row>
    <row r="19" ht="38.55" spans="2:14">
      <c r="B19" s="24" t="s">
        <v>119</v>
      </c>
      <c r="C19" s="24" t="s">
        <v>120</v>
      </c>
      <c r="D19" s="24" t="s">
        <v>121</v>
      </c>
      <c r="E19" s="9" t="s">
        <v>90</v>
      </c>
      <c r="F19" s="24" t="s">
        <v>122</v>
      </c>
      <c r="G19" s="9" t="s">
        <v>123</v>
      </c>
      <c r="H19" s="9"/>
      <c r="I19" s="59" t="s">
        <v>170</v>
      </c>
      <c r="J19" s="9" t="s">
        <v>30</v>
      </c>
      <c r="K19" s="9" t="s">
        <v>125</v>
      </c>
      <c r="L19" s="26" t="s">
        <v>126</v>
      </c>
    </row>
    <row r="20" ht="25.7" spans="2:14">
      <c r="B20" s="24" t="s">
        <v>127</v>
      </c>
      <c r="C20" s="24" t="s">
        <v>120</v>
      </c>
      <c r="D20" s="24" t="s">
        <v>128</v>
      </c>
      <c r="E20" s="23" t="s">
        <v>96</v>
      </c>
      <c r="F20" s="24"/>
      <c r="G20" s="16" t="s">
        <v>171</v>
      </c>
      <c r="H20" s="9"/>
      <c r="I20" s="59" t="s">
        <v>172</v>
      </c>
      <c r="J20" s="9" t="s">
        <v>30</v>
      </c>
      <c r="K20" s="9" t="s">
        <v>125</v>
      </c>
      <c r="L20" s="26" t="s">
        <v>126</v>
      </c>
    </row>
    <row r="21" ht="25.7" spans="2:14">
      <c r="B21" s="24" t="s">
        <v>131</v>
      </c>
      <c r="C21" s="24" t="s">
        <v>120</v>
      </c>
      <c r="D21" s="24" t="s">
        <v>132</v>
      </c>
      <c r="E21" s="23" t="s">
        <v>96</v>
      </c>
      <c r="F21" s="24"/>
      <c r="G21" s="16" t="s">
        <v>173</v>
      </c>
      <c r="H21" s="9"/>
      <c r="I21" s="59" t="s">
        <v>172</v>
      </c>
      <c r="J21" s="9" t="s">
        <v>30</v>
      </c>
      <c r="K21" s="9" t="s">
        <v>125</v>
      </c>
      <c r="L21" s="26" t="s">
        <v>126</v>
      </c>
    </row>
    <row r="22" ht="25.7" spans="2:14">
      <c r="B22" s="24" t="s">
        <v>134</v>
      </c>
      <c r="C22" s="24" t="s">
        <v>174</v>
      </c>
      <c r="D22" s="24" t="s">
        <v>135</v>
      </c>
      <c r="E22" s="23" t="s">
        <v>96</v>
      </c>
      <c r="F22" s="24"/>
      <c r="G22" s="16" t="s">
        <v>175</v>
      </c>
      <c r="H22" s="9"/>
      <c r="I22" s="59" t="s">
        <v>172</v>
      </c>
      <c r="J22" s="9" t="s">
        <v>30</v>
      </c>
      <c r="K22" s="9" t="s">
        <v>137</v>
      </c>
      <c r="L22" s="26" t="s">
        <v>138</v>
      </c>
    </row>
    <row r="23" ht="25.7" spans="2:14">
      <c r="B23" s="24" t="s">
        <v>176</v>
      </c>
      <c r="C23" s="24" t="s">
        <v>120</v>
      </c>
      <c r="D23" s="24" t="s">
        <v>177</v>
      </c>
      <c r="E23" s="23" t="s">
        <v>96</v>
      </c>
      <c r="F23" s="24" t="s">
        <v>178</v>
      </c>
      <c r="G23" s="9" t="s">
        <v>123</v>
      </c>
      <c r="H23" s="9"/>
      <c r="I23" s="59" t="s">
        <v>179</v>
      </c>
      <c r="J23" s="9" t="s">
        <v>30</v>
      </c>
      <c r="K23" s="9" t="s">
        <v>125</v>
      </c>
      <c r="L23" s="26" t="s">
        <v>126</v>
      </c>
    </row>
    <row r="24" ht="25.7" spans="2:14">
      <c r="B24" s="24" t="s">
        <v>180</v>
      </c>
      <c r="C24" s="24" t="s">
        <v>120</v>
      </c>
      <c r="D24" s="24" t="s">
        <v>181</v>
      </c>
      <c r="E24" s="23" t="s">
        <v>96</v>
      </c>
      <c r="F24" s="24" t="s">
        <v>182</v>
      </c>
      <c r="G24" s="9" t="s">
        <v>123</v>
      </c>
      <c r="H24" s="9"/>
      <c r="I24" s="59" t="s">
        <v>179</v>
      </c>
      <c r="J24" s="9" t="s">
        <v>30</v>
      </c>
      <c r="K24" s="9" t="s">
        <v>125</v>
      </c>
      <c r="L24" s="26" t="s">
        <v>126</v>
      </c>
    </row>
    <row r="25" ht="26.45" spans="2:14">
      <c r="B25" s="24" t="s">
        <v>183</v>
      </c>
      <c r="C25" s="24" t="s">
        <v>174</v>
      </c>
      <c r="D25" s="24" t="s">
        <v>184</v>
      </c>
      <c r="E25" s="23" t="s">
        <v>96</v>
      </c>
      <c r="F25" s="9"/>
      <c r="G25" s="16" t="s">
        <v>185</v>
      </c>
      <c r="H25" s="9"/>
      <c r="I25" s="59" t="s">
        <v>179</v>
      </c>
      <c r="J25" s="9" t="s">
        <v>30</v>
      </c>
      <c r="K25" s="9" t="s">
        <v>137</v>
      </c>
      <c r="L25" s="26" t="s">
        <v>138</v>
      </c>
    </row>
    <row r="26" ht="26.45" spans="2:14">
      <c r="B26" s="24" t="s">
        <v>186</v>
      </c>
      <c r="C26" s="24" t="s">
        <v>120</v>
      </c>
      <c r="D26" s="24" t="s">
        <v>187</v>
      </c>
      <c r="E26" s="23" t="s">
        <v>96</v>
      </c>
      <c r="F26" s="24" t="s">
        <v>188</v>
      </c>
      <c r="G26" s="9" t="s">
        <v>123</v>
      </c>
      <c r="H26" s="9"/>
      <c r="I26" s="59" t="s">
        <v>189</v>
      </c>
      <c r="J26" s="9" t="s">
        <v>30</v>
      </c>
      <c r="K26" s="9" t="s">
        <v>125</v>
      </c>
      <c r="L26" s="26" t="s">
        <v>126</v>
      </c>
      <c r="N26" s="60"/>
    </row>
    <row r="27" ht="25.7" spans="2:14">
      <c r="B27" s="24" t="s">
        <v>190</v>
      </c>
      <c r="C27" s="24" t="s">
        <v>120</v>
      </c>
      <c r="D27" s="24" t="s">
        <v>191</v>
      </c>
      <c r="E27" s="23" t="s">
        <v>96</v>
      </c>
      <c r="F27" s="24" t="s">
        <v>192</v>
      </c>
      <c r="G27" s="9" t="s">
        <v>123</v>
      </c>
      <c r="H27" s="9"/>
      <c r="I27" s="59" t="s">
        <v>189</v>
      </c>
      <c r="J27" s="9" t="s">
        <v>30</v>
      </c>
      <c r="K27" s="9" t="s">
        <v>125</v>
      </c>
      <c r="L27" s="26" t="s">
        <v>126</v>
      </c>
    </row>
    <row r="28" ht="25.7" spans="2:14">
      <c r="B28" s="24" t="s">
        <v>193</v>
      </c>
      <c r="C28" s="24" t="s">
        <v>174</v>
      </c>
      <c r="D28" s="24" t="s">
        <v>194</v>
      </c>
      <c r="E28" s="23" t="s">
        <v>96</v>
      </c>
      <c r="F28" s="9"/>
      <c r="G28" s="16" t="s">
        <v>195</v>
      </c>
      <c r="H28" s="9"/>
      <c r="I28" s="59" t="s">
        <v>189</v>
      </c>
      <c r="J28" s="9" t="s">
        <v>30</v>
      </c>
      <c r="K28" s="9" t="s">
        <v>137</v>
      </c>
      <c r="L28" s="26" t="s">
        <v>138</v>
      </c>
    </row>
    <row r="29" ht="25.7" spans="2:14">
      <c r="B29" s="24" t="s">
        <v>196</v>
      </c>
      <c r="C29" s="24" t="s">
        <v>120</v>
      </c>
      <c r="D29" s="24" t="s">
        <v>197</v>
      </c>
      <c r="E29" s="23" t="s">
        <v>96</v>
      </c>
      <c r="F29" s="24" t="s">
        <v>198</v>
      </c>
      <c r="G29" s="9" t="s">
        <v>123</v>
      </c>
      <c r="H29" s="9"/>
      <c r="I29" s="59" t="s">
        <v>199</v>
      </c>
      <c r="J29" s="9" t="s">
        <v>30</v>
      </c>
      <c r="K29" s="9" t="s">
        <v>125</v>
      </c>
      <c r="L29" s="26" t="s">
        <v>126</v>
      </c>
    </row>
    <row r="30" ht="25.7" spans="2:14">
      <c r="B30" s="24" t="s">
        <v>200</v>
      </c>
      <c r="C30" s="24" t="s">
        <v>120</v>
      </c>
      <c r="D30" s="24" t="s">
        <v>201</v>
      </c>
      <c r="E30" s="23" t="s">
        <v>96</v>
      </c>
      <c r="F30" s="24" t="s">
        <v>202</v>
      </c>
      <c r="G30" s="9" t="s">
        <v>123</v>
      </c>
      <c r="H30" s="9"/>
      <c r="I30" s="59" t="s">
        <v>199</v>
      </c>
      <c r="J30" s="9" t="s">
        <v>30</v>
      </c>
      <c r="K30" s="9" t="s">
        <v>125</v>
      </c>
      <c r="L30" s="26" t="s">
        <v>126</v>
      </c>
    </row>
    <row r="31" spans="2:14">
      <c r="B31" s="24" t="s">
        <v>203</v>
      </c>
      <c r="C31" s="24" t="s">
        <v>174</v>
      </c>
      <c r="D31" s="24" t="s">
        <v>204</v>
      </c>
      <c r="E31" s="23" t="s">
        <v>96</v>
      </c>
      <c r="F31" s="9"/>
      <c r="G31" s="16" t="s">
        <v>205</v>
      </c>
      <c r="H31" s="9"/>
      <c r="I31" s="59" t="s">
        <v>199</v>
      </c>
      <c r="J31" s="9" t="s">
        <v>30</v>
      </c>
      <c r="K31" s="9" t="s">
        <v>137</v>
      </c>
      <c r="L31" s="26" t="s">
        <v>138</v>
      </c>
    </row>
    <row r="32" ht="25.7" spans="2:14">
      <c r="B32" s="24" t="s">
        <v>206</v>
      </c>
      <c r="C32" s="24" t="s">
        <v>120</v>
      </c>
      <c r="D32" s="24" t="s">
        <v>207</v>
      </c>
      <c r="E32" s="23" t="s">
        <v>96</v>
      </c>
      <c r="F32" s="24" t="s">
        <v>208</v>
      </c>
      <c r="G32" s="9" t="s">
        <v>123</v>
      </c>
      <c r="H32" s="9"/>
      <c r="I32" s="59" t="s">
        <v>209</v>
      </c>
      <c r="J32" s="9" t="s">
        <v>30</v>
      </c>
      <c r="K32" s="9" t="s">
        <v>125</v>
      </c>
      <c r="L32" s="26" t="s">
        <v>126</v>
      </c>
    </row>
    <row r="33" ht="25.7" spans="2:12">
      <c r="B33" s="24" t="s">
        <v>210</v>
      </c>
      <c r="C33" s="24" t="s">
        <v>120</v>
      </c>
      <c r="D33" s="24" t="s">
        <v>211</v>
      </c>
      <c r="E33" s="23" t="s">
        <v>96</v>
      </c>
      <c r="F33" s="24" t="s">
        <v>212</v>
      </c>
      <c r="G33" s="9" t="s">
        <v>123</v>
      </c>
      <c r="H33" s="9"/>
      <c r="I33" s="59" t="s">
        <v>209</v>
      </c>
      <c r="J33" s="9" t="s">
        <v>30</v>
      </c>
      <c r="K33" s="9" t="s">
        <v>125</v>
      </c>
      <c r="L33" s="26" t="s">
        <v>126</v>
      </c>
    </row>
    <row r="34" ht="25.7" spans="2:12">
      <c r="B34" s="24" t="s">
        <v>213</v>
      </c>
      <c r="C34" s="24" t="s">
        <v>174</v>
      </c>
      <c r="D34" s="24" t="s">
        <v>214</v>
      </c>
      <c r="E34" s="23" t="s">
        <v>96</v>
      </c>
      <c r="F34" s="9"/>
      <c r="G34" s="16" t="str">
        <f>"sum("&amp;F32&amp;")/sum("&amp;F33&amp;")"</f>
        <v>sum(usenet_good_ovsat_nums)/sum(usenet_ovsat_nums)</v>
      </c>
      <c r="H34" s="9"/>
      <c r="I34" s="59" t="s">
        <v>209</v>
      </c>
      <c r="J34" s="9" t="s">
        <v>30</v>
      </c>
      <c r="K34" s="9" t="s">
        <v>137</v>
      </c>
      <c r="L34" s="26" t="s">
        <v>138</v>
      </c>
    </row>
    <row r="35" ht="25.7" spans="2:12">
      <c r="B35" s="24" t="s">
        <v>215</v>
      </c>
      <c r="C35" s="24" t="s">
        <v>120</v>
      </c>
      <c r="D35" s="24" t="s">
        <v>216</v>
      </c>
      <c r="E35" s="23" t="s">
        <v>96</v>
      </c>
      <c r="F35" s="24" t="s">
        <v>217</v>
      </c>
      <c r="G35" s="9" t="s">
        <v>123</v>
      </c>
      <c r="H35" s="9"/>
      <c r="I35" s="59" t="s">
        <v>218</v>
      </c>
      <c r="J35" s="9" t="s">
        <v>30</v>
      </c>
      <c r="K35" s="9" t="s">
        <v>125</v>
      </c>
      <c r="L35" s="26" t="s">
        <v>126</v>
      </c>
    </row>
    <row r="36" ht="25.7" spans="2:12">
      <c r="B36" s="24" t="s">
        <v>219</v>
      </c>
      <c r="C36" s="24" t="s">
        <v>120</v>
      </c>
      <c r="D36" s="24" t="s">
        <v>220</v>
      </c>
      <c r="E36" s="23" t="s">
        <v>96</v>
      </c>
      <c r="F36" s="24" t="s">
        <v>221</v>
      </c>
      <c r="G36" s="9" t="s">
        <v>123</v>
      </c>
      <c r="H36" s="9"/>
      <c r="I36" s="59" t="s">
        <v>218</v>
      </c>
      <c r="J36" s="9" t="s">
        <v>30</v>
      </c>
      <c r="K36" s="9" t="s">
        <v>125</v>
      </c>
      <c r="L36" s="26" t="s">
        <v>126</v>
      </c>
    </row>
    <row r="37" ht="25.7" spans="2:12">
      <c r="B37" s="24" t="s">
        <v>222</v>
      </c>
      <c r="C37" s="24" t="s">
        <v>174</v>
      </c>
      <c r="D37" s="24" t="s">
        <v>223</v>
      </c>
      <c r="E37" s="23" t="s">
        <v>96</v>
      </c>
      <c r="F37" s="9"/>
      <c r="G37" s="16" t="str">
        <f>"sum("&amp;F35&amp;")/sum("&amp;F36&amp;")"</f>
        <v>sum(useapp_good_ovsat_nums)/sum(useapp_ovsat_nums)</v>
      </c>
      <c r="H37" s="9"/>
      <c r="I37" s="59" t="s">
        <v>218</v>
      </c>
      <c r="J37" s="9" t="s">
        <v>30</v>
      </c>
      <c r="K37" s="9" t="s">
        <v>137</v>
      </c>
      <c r="L37" s="26" t="s">
        <v>138</v>
      </c>
    </row>
    <row r="38" ht="38.55" spans="2:12">
      <c r="B38" s="24" t="s">
        <v>224</v>
      </c>
      <c r="C38" s="24" t="s">
        <v>120</v>
      </c>
      <c r="D38" s="24" t="s">
        <v>225</v>
      </c>
      <c r="E38" s="23" t="s">
        <v>96</v>
      </c>
      <c r="F38" s="24" t="s">
        <v>226</v>
      </c>
      <c r="G38" s="9" t="s">
        <v>123</v>
      </c>
      <c r="H38" s="9"/>
      <c r="I38" s="59" t="s">
        <v>227</v>
      </c>
      <c r="J38" s="9" t="s">
        <v>30</v>
      </c>
      <c r="K38" s="9" t="s">
        <v>125</v>
      </c>
      <c r="L38" s="26" t="s">
        <v>126</v>
      </c>
    </row>
    <row r="39" ht="25.7" spans="2:12">
      <c r="B39" s="24" t="s">
        <v>228</v>
      </c>
      <c r="C39" s="24" t="s">
        <v>120</v>
      </c>
      <c r="D39" s="24" t="s">
        <v>229</v>
      </c>
      <c r="E39" s="23" t="s">
        <v>96</v>
      </c>
      <c r="F39" s="24" t="s">
        <v>230</v>
      </c>
      <c r="G39" s="9" t="s">
        <v>123</v>
      </c>
      <c r="H39" s="9"/>
      <c r="I39" s="59" t="s">
        <v>227</v>
      </c>
      <c r="J39" s="9" t="s">
        <v>30</v>
      </c>
      <c r="K39" s="9" t="s">
        <v>125</v>
      </c>
      <c r="L39" s="26" t="s">
        <v>126</v>
      </c>
    </row>
    <row r="40" ht="25.7" spans="2:12">
      <c r="B40" s="24" t="s">
        <v>231</v>
      </c>
      <c r="C40" s="24" t="s">
        <v>174</v>
      </c>
      <c r="D40" s="24" t="s">
        <v>232</v>
      </c>
      <c r="E40" s="23" t="s">
        <v>96</v>
      </c>
      <c r="F40" s="9"/>
      <c r="G40" s="16" t="str">
        <f>"sum("&amp;F38&amp;")/sum("&amp;F39&amp;")"</f>
        <v>sum(engagehot_good_ovsat_nums)/sum(engagehot_ovsat_nums)</v>
      </c>
      <c r="H40" s="9"/>
      <c r="I40" s="59" t="s">
        <v>227</v>
      </c>
      <c r="J40" s="9" t="s">
        <v>30</v>
      </c>
      <c r="K40" s="9" t="s">
        <v>137</v>
      </c>
      <c r="L40" s="26" t="s">
        <v>138</v>
      </c>
    </row>
    <row r="41" ht="38.55" spans="2:12">
      <c r="B41" s="24" t="s">
        <v>233</v>
      </c>
      <c r="C41" s="24" t="s">
        <v>120</v>
      </c>
      <c r="D41" s="24" t="s">
        <v>234</v>
      </c>
      <c r="E41" s="23" t="s">
        <v>96</v>
      </c>
      <c r="F41" s="24" t="s">
        <v>235</v>
      </c>
      <c r="G41" s="9" t="s">
        <v>123</v>
      </c>
      <c r="H41" s="9"/>
      <c r="I41" s="59" t="s">
        <v>236</v>
      </c>
      <c r="J41" s="9" t="s">
        <v>30</v>
      </c>
      <c r="K41" s="9" t="s">
        <v>125</v>
      </c>
      <c r="L41" s="26" t="s">
        <v>126</v>
      </c>
    </row>
    <row r="42" ht="25.7" spans="2:12">
      <c r="B42" s="24" t="s">
        <v>237</v>
      </c>
      <c r="C42" s="24" t="s">
        <v>120</v>
      </c>
      <c r="D42" s="24" t="s">
        <v>238</v>
      </c>
      <c r="E42" s="23" t="s">
        <v>96</v>
      </c>
      <c r="F42" s="24" t="s">
        <v>239</v>
      </c>
      <c r="G42" s="9" t="s">
        <v>123</v>
      </c>
      <c r="H42" s="9"/>
      <c r="I42" s="59" t="s">
        <v>236</v>
      </c>
      <c r="J42" s="9" t="s">
        <v>30</v>
      </c>
      <c r="K42" s="9" t="s">
        <v>125</v>
      </c>
      <c r="L42" s="26" t="s">
        <v>126</v>
      </c>
    </row>
    <row r="43" ht="25.7" spans="2:12">
      <c r="B43" s="24" t="s">
        <v>240</v>
      </c>
      <c r="C43" s="24" t="s">
        <v>174</v>
      </c>
      <c r="D43" s="24" t="s">
        <v>241</v>
      </c>
      <c r="E43" s="23" t="s">
        <v>96</v>
      </c>
      <c r="F43" s="9"/>
      <c r="G43" s="16" t="str">
        <f>"sum("&amp;F41&amp;")/sum("&amp;F42&amp;")"</f>
        <v>sum(engagelive_good_ovsat_nums)/sum(engagelive_ovsat_nums)</v>
      </c>
      <c r="H43" s="9"/>
      <c r="I43" s="59" t="s">
        <v>236</v>
      </c>
      <c r="J43" s="9" t="s">
        <v>30</v>
      </c>
      <c r="K43" s="9" t="s">
        <v>137</v>
      </c>
      <c r="L43" s="26" t="s">
        <v>138</v>
      </c>
    </row>
    <row r="44" ht="38.55" spans="2:12">
      <c r="B44" s="24" t="s">
        <v>242</v>
      </c>
      <c r="C44" s="24" t="s">
        <v>120</v>
      </c>
      <c r="D44" s="24" t="s">
        <v>243</v>
      </c>
      <c r="E44" s="23" t="s">
        <v>96</v>
      </c>
      <c r="F44" s="24" t="s">
        <v>244</v>
      </c>
      <c r="G44" s="9" t="s">
        <v>123</v>
      </c>
      <c r="H44" s="9"/>
      <c r="I44" s="59" t="s">
        <v>245</v>
      </c>
      <c r="J44" s="9" t="s">
        <v>30</v>
      </c>
      <c r="K44" s="9" t="s">
        <v>125</v>
      </c>
      <c r="L44" s="26" t="s">
        <v>126</v>
      </c>
    </row>
    <row r="45" ht="25.7" spans="2:12">
      <c r="B45" s="24" t="s">
        <v>246</v>
      </c>
      <c r="C45" s="24" t="s">
        <v>120</v>
      </c>
      <c r="D45" s="24" t="s">
        <v>247</v>
      </c>
      <c r="E45" s="23" t="s">
        <v>96</v>
      </c>
      <c r="F45" s="24" t="s">
        <v>248</v>
      </c>
      <c r="G45" s="9" t="s">
        <v>123</v>
      </c>
      <c r="H45" s="9"/>
      <c r="I45" s="59" t="s">
        <v>245</v>
      </c>
      <c r="J45" s="9" t="s">
        <v>30</v>
      </c>
      <c r="K45" s="9" t="s">
        <v>125</v>
      </c>
      <c r="L45" s="26" t="s">
        <v>126</v>
      </c>
    </row>
    <row r="46" ht="25.7" spans="2:12">
      <c r="B46" s="24" t="s">
        <v>249</v>
      </c>
      <c r="C46" s="24" t="s">
        <v>174</v>
      </c>
      <c r="D46" s="24" t="s">
        <v>250</v>
      </c>
      <c r="E46" s="23" t="s">
        <v>96</v>
      </c>
      <c r="F46" s="9"/>
      <c r="G46" s="16" t="str">
        <f>"sum("&amp;F44&amp;")/sum("&amp;F45&amp;")"</f>
        <v>sum(engageemail_good_ovsat_nums)/sum(engageemail_ovsat_nums)</v>
      </c>
      <c r="H46" s="9"/>
      <c r="I46" s="59" t="s">
        <v>245</v>
      </c>
      <c r="J46" s="9" t="s">
        <v>30</v>
      </c>
      <c r="K46" s="9" t="s">
        <v>137</v>
      </c>
      <c r="L46" s="26" t="s">
        <v>138</v>
      </c>
    </row>
  </sheetData>
  <mergeCells count="4">
    <mergeCell ref="B2:H2"/>
    <mergeCell ref="B6:H6"/>
    <mergeCell ref="B11:L11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7"/>
  <sheetViews>
    <sheetView topLeftCell="A59"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43</v>
      </c>
      <c r="D4" s="11" t="s">
        <v>44</v>
      </c>
      <c r="E4" s="9" t="s">
        <v>251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25.7" spans="2:14">
      <c r="B8" s="9" t="s">
        <v>253</v>
      </c>
      <c r="C8" s="31" t="s">
        <v>254</v>
      </c>
      <c r="D8" s="26" t="s">
        <v>255</v>
      </c>
      <c r="E8" s="9" t="s">
        <v>90</v>
      </c>
      <c r="F8" s="16" t="s">
        <v>256</v>
      </c>
      <c r="G8" s="17" t="s">
        <v>257</v>
      </c>
      <c r="H8" s="18" t="s">
        <v>93</v>
      </c>
    </row>
    <row r="9" ht="25.7" spans="2:14">
      <c r="B9" s="9" t="s">
        <v>253</v>
      </c>
      <c r="C9" s="10" t="s">
        <v>43</v>
      </c>
      <c r="D9" s="11" t="s">
        <v>44</v>
      </c>
      <c r="E9" s="9" t="s">
        <v>96</v>
      </c>
      <c r="F9" s="9" t="s">
        <v>258</v>
      </c>
      <c r="G9" s="19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259</v>
      </c>
      <c r="C12" s="22" t="s">
        <v>116</v>
      </c>
      <c r="D12" s="22" t="s">
        <v>260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6" t="s">
        <v>251</v>
      </c>
      <c r="C13" s="26" t="s">
        <v>116</v>
      </c>
      <c r="D13" s="26" t="s">
        <v>261</v>
      </c>
      <c r="E13" s="26" t="s">
        <v>90</v>
      </c>
      <c r="F13" s="26" t="s">
        <v>259</v>
      </c>
      <c r="G13" s="26" t="s">
        <v>262</v>
      </c>
      <c r="H13" s="26"/>
      <c r="I13" s="25"/>
      <c r="J13" s="25"/>
      <c r="K13" s="25"/>
      <c r="L13" s="25"/>
    </row>
    <row r="14" s="1" customFormat="1" ht="12.85" spans="2:14">
      <c r="B14" s="27" t="s">
        <v>263</v>
      </c>
      <c r="C14" s="26" t="s">
        <v>109</v>
      </c>
      <c r="D14" s="26" t="s">
        <v>264</v>
      </c>
      <c r="E14" s="26" t="s">
        <v>90</v>
      </c>
      <c r="F14" s="26" t="s">
        <v>265</v>
      </c>
      <c r="G14" s="26" t="s">
        <v>262</v>
      </c>
      <c r="H14" s="26"/>
      <c r="I14" s="25"/>
      <c r="J14" s="25" t="s">
        <v>114</v>
      </c>
      <c r="K14" s="25" t="s">
        <v>163</v>
      </c>
      <c r="L14" s="25" t="s">
        <v>266</v>
      </c>
    </row>
    <row r="15" s="1" customFormat="1" ht="38.55" spans="2:14">
      <c r="B15" s="27" t="s">
        <v>115</v>
      </c>
      <c r="C15" s="26" t="s">
        <v>116</v>
      </c>
      <c r="D15" s="26" t="s">
        <v>117</v>
      </c>
      <c r="E15" s="26" t="s">
        <v>90</v>
      </c>
      <c r="F15" s="26" t="s">
        <v>115</v>
      </c>
      <c r="G15" s="26" t="s">
        <v>267</v>
      </c>
      <c r="H15" s="26"/>
      <c r="I15" s="25"/>
      <c r="J15" s="25" t="s">
        <v>114</v>
      </c>
      <c r="K15" s="25" t="s">
        <v>163</v>
      </c>
      <c r="L15" s="28" t="s">
        <v>164</v>
      </c>
    </row>
    <row r="16" s="1" customFormat="1" ht="12.85" spans="2:14">
      <c r="B16" s="27" t="s">
        <v>268</v>
      </c>
      <c r="C16" s="26" t="s">
        <v>109</v>
      </c>
      <c r="D16" s="26" t="s">
        <v>269</v>
      </c>
      <c r="E16" s="26" t="s">
        <v>90</v>
      </c>
      <c r="F16" s="26" t="s">
        <v>270</v>
      </c>
      <c r="G16" s="26" t="s">
        <v>262</v>
      </c>
      <c r="H16" s="26"/>
      <c r="I16" s="25"/>
      <c r="J16" s="25" t="s">
        <v>114</v>
      </c>
      <c r="K16" s="25"/>
      <c r="L16" s="25"/>
    </row>
    <row r="17" s="2" customFormat="1" ht="12.85" spans="2:13">
      <c r="B17" s="27" t="s">
        <v>271</v>
      </c>
      <c r="C17" s="26" t="s">
        <v>116</v>
      </c>
      <c r="D17" s="26" t="s">
        <v>272</v>
      </c>
      <c r="E17" s="26" t="s">
        <v>90</v>
      </c>
      <c r="F17" s="26" t="s">
        <v>271</v>
      </c>
      <c r="G17" s="26" t="s">
        <v>267</v>
      </c>
      <c r="H17" s="26"/>
      <c r="I17" s="26"/>
      <c r="J17" s="25" t="s">
        <v>114</v>
      </c>
      <c r="K17" s="26"/>
      <c r="L17" s="26"/>
    </row>
    <row r="18" s="2" customFormat="1" ht="12.85" spans="2:13">
      <c r="B18" s="27" t="s">
        <v>273</v>
      </c>
      <c r="C18" s="26" t="s">
        <v>109</v>
      </c>
      <c r="D18" s="26" t="s">
        <v>274</v>
      </c>
      <c r="E18" s="26" t="s">
        <v>90</v>
      </c>
      <c r="F18" s="26" t="s">
        <v>275</v>
      </c>
      <c r="G18" s="26" t="s">
        <v>262</v>
      </c>
      <c r="H18" s="26"/>
      <c r="I18" s="26"/>
      <c r="J18" s="25" t="s">
        <v>114</v>
      </c>
      <c r="K18" s="26"/>
      <c r="L18" s="26"/>
    </row>
    <row r="19" s="2" customFormat="1" ht="12.85" spans="2:13">
      <c r="B19" s="27" t="s">
        <v>276</v>
      </c>
      <c r="C19" s="26" t="s">
        <v>116</v>
      </c>
      <c r="D19" s="26" t="s">
        <v>277</v>
      </c>
      <c r="E19" s="26" t="s">
        <v>90</v>
      </c>
      <c r="F19" s="26" t="s">
        <v>276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3">
      <c r="B20" s="27" t="s">
        <v>278</v>
      </c>
      <c r="C20" s="26" t="s">
        <v>109</v>
      </c>
      <c r="D20" s="26" t="s">
        <v>279</v>
      </c>
      <c r="E20" s="26" t="s">
        <v>90</v>
      </c>
      <c r="F20" s="26" t="s">
        <v>280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3">
      <c r="B21" s="27" t="s">
        <v>281</v>
      </c>
      <c r="C21" s="26" t="s">
        <v>116</v>
      </c>
      <c r="D21" s="26" t="s">
        <v>282</v>
      </c>
      <c r="E21" s="26" t="s">
        <v>90</v>
      </c>
      <c r="F21" s="26" t="s">
        <v>281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3">
      <c r="B22" s="27" t="s">
        <v>283</v>
      </c>
      <c r="C22" s="26" t="s">
        <v>109</v>
      </c>
      <c r="D22" s="26" t="s">
        <v>284</v>
      </c>
      <c r="E22" s="26" t="s">
        <v>90</v>
      </c>
      <c r="F22" s="26" t="s">
        <v>283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3">
      <c r="B23" s="27" t="s">
        <v>285</v>
      </c>
      <c r="C23" s="26" t="s">
        <v>116</v>
      </c>
      <c r="D23" s="26" t="s">
        <v>286</v>
      </c>
      <c r="E23" s="26" t="s">
        <v>90</v>
      </c>
      <c r="F23" s="26" t="s">
        <v>285</v>
      </c>
      <c r="G23" s="26" t="s">
        <v>267</v>
      </c>
      <c r="H23" s="26"/>
      <c r="I23" s="26"/>
      <c r="J23" s="25" t="s">
        <v>114</v>
      </c>
      <c r="K23" s="26"/>
      <c r="L23" s="26"/>
    </row>
    <row r="24" spans="2:13">
      <c r="B24" s="29" t="s">
        <v>165</v>
      </c>
      <c r="C24" s="30" t="s">
        <v>109</v>
      </c>
      <c r="D24" s="30" t="s">
        <v>287</v>
      </c>
      <c r="E24" s="30"/>
      <c r="F24" s="26"/>
      <c r="G24" s="30" t="s">
        <v>288</v>
      </c>
      <c r="H24" s="26"/>
      <c r="I24" s="26"/>
      <c r="J24" s="25" t="s">
        <v>114</v>
      </c>
      <c r="K24" s="25" t="s">
        <v>163</v>
      </c>
      <c r="L24" s="26" t="s">
        <v>289</v>
      </c>
    </row>
    <row r="25" s="2" customFormat="1" ht="22.5" customHeight="1" spans="2:13">
      <c r="B25" s="27" t="s">
        <v>290</v>
      </c>
      <c r="C25" s="26" t="s">
        <v>116</v>
      </c>
      <c r="D25" s="26" t="s">
        <v>291</v>
      </c>
      <c r="E25" s="26" t="s">
        <v>90</v>
      </c>
      <c r="F25" s="26" t="s">
        <v>290</v>
      </c>
      <c r="G25" s="26" t="s">
        <v>292</v>
      </c>
      <c r="H25" s="26"/>
      <c r="I25" s="26"/>
      <c r="J25" s="25" t="s">
        <v>114</v>
      </c>
      <c r="K25" s="26" t="s">
        <v>163</v>
      </c>
      <c r="L25" s="31" t="s">
        <v>293</v>
      </c>
    </row>
    <row r="26" s="2" customFormat="1" ht="12.85" spans="2:13">
      <c r="B26" s="27" t="s">
        <v>294</v>
      </c>
      <c r="C26" s="26" t="s">
        <v>116</v>
      </c>
      <c r="D26" s="26" t="s">
        <v>295</v>
      </c>
      <c r="E26" s="26" t="s">
        <v>90</v>
      </c>
      <c r="F26" s="26" t="s">
        <v>294</v>
      </c>
      <c r="G26" s="26" t="s">
        <v>292</v>
      </c>
      <c r="H26" s="26"/>
      <c r="I26" s="26"/>
      <c r="J26" s="25" t="s">
        <v>114</v>
      </c>
      <c r="K26" s="26" t="s">
        <v>163</v>
      </c>
      <c r="L26" s="26" t="s">
        <v>296</v>
      </c>
    </row>
    <row r="27" s="2" customFormat="1" spans="2:13">
      <c r="B27" s="27" t="s">
        <v>297</v>
      </c>
      <c r="C27" s="26" t="s">
        <v>116</v>
      </c>
      <c r="D27" s="26" t="s">
        <v>298</v>
      </c>
      <c r="E27" s="26" t="s">
        <v>90</v>
      </c>
      <c r="F27" s="26" t="s">
        <v>297</v>
      </c>
      <c r="G27" s="26" t="s">
        <v>292</v>
      </c>
      <c r="H27" s="26"/>
      <c r="I27" s="26" t="s">
        <v>299</v>
      </c>
      <c r="J27" s="25" t="s">
        <v>114</v>
      </c>
      <c r="K27" s="26" t="s">
        <v>163</v>
      </c>
      <c r="L27" s="26" t="s">
        <v>300</v>
      </c>
      <c r="M27" s="4"/>
    </row>
    <row r="28" s="2" customFormat="1" spans="2:13">
      <c r="B28" s="26" t="s">
        <v>301</v>
      </c>
      <c r="C28" s="26" t="s">
        <v>120</v>
      </c>
      <c r="D28" s="26" t="s">
        <v>302</v>
      </c>
      <c r="E28" s="26" t="s">
        <v>90</v>
      </c>
      <c r="F28" s="26" t="s">
        <v>303</v>
      </c>
      <c r="G28" s="26" t="s">
        <v>304</v>
      </c>
      <c r="H28" s="26"/>
      <c r="I28" s="26" t="s">
        <v>124</v>
      </c>
      <c r="J28" s="25" t="s">
        <v>30</v>
      </c>
      <c r="K28" s="26" t="s">
        <v>125</v>
      </c>
      <c r="L28" s="26" t="s">
        <v>305</v>
      </c>
      <c r="M28" s="4"/>
    </row>
    <row r="29" s="2" customFormat="1" spans="2:13">
      <c r="B29" s="32" t="s">
        <v>306</v>
      </c>
      <c r="C29" s="32" t="s">
        <v>307</v>
      </c>
      <c r="D29" s="32" t="s">
        <v>308</v>
      </c>
      <c r="E29" s="32" t="s">
        <v>309</v>
      </c>
      <c r="F29" s="32"/>
      <c r="G29" s="32" t="s">
        <v>310</v>
      </c>
      <c r="H29" s="32"/>
      <c r="I29" s="32"/>
      <c r="J29" s="33" t="s">
        <v>30</v>
      </c>
      <c r="K29" s="32" t="s">
        <v>137</v>
      </c>
      <c r="L29" s="32" t="s">
        <v>311</v>
      </c>
      <c r="M29" s="4"/>
    </row>
    <row r="30" s="2" customFormat="1" spans="2:13">
      <c r="B30" s="26" t="s">
        <v>312</v>
      </c>
      <c r="C30" s="26" t="s">
        <v>120</v>
      </c>
      <c r="D30" s="26" t="s">
        <v>313</v>
      </c>
      <c r="E30" s="26" t="s">
        <v>90</v>
      </c>
      <c r="F30" s="26" t="s">
        <v>314</v>
      </c>
      <c r="G30" s="26" t="s">
        <v>315</v>
      </c>
      <c r="H30" s="26"/>
      <c r="I30" s="26"/>
      <c r="J30" s="25" t="s">
        <v>30</v>
      </c>
      <c r="K30" s="26" t="s">
        <v>125</v>
      </c>
      <c r="L30" s="26" t="s">
        <v>305</v>
      </c>
      <c r="M30" s="4"/>
    </row>
    <row r="31" s="2" customFormat="1" ht="12.85" spans="2:13">
      <c r="B31" s="26" t="s">
        <v>316</v>
      </c>
      <c r="C31" s="26" t="s">
        <v>120</v>
      </c>
      <c r="D31" s="26" t="s">
        <v>317</v>
      </c>
      <c r="E31" s="26" t="s">
        <v>90</v>
      </c>
      <c r="F31" s="26" t="s">
        <v>318</v>
      </c>
      <c r="G31" s="26" t="s">
        <v>319</v>
      </c>
      <c r="H31" s="26"/>
      <c r="I31" s="26"/>
      <c r="J31" s="25" t="s">
        <v>30</v>
      </c>
      <c r="K31" s="26" t="s">
        <v>125</v>
      </c>
      <c r="L31" s="26" t="s">
        <v>305</v>
      </c>
    </row>
    <row r="32" spans="2:13">
      <c r="B32" s="34" t="s">
        <v>320</v>
      </c>
      <c r="C32" s="26" t="s">
        <v>174</v>
      </c>
      <c r="D32" s="34" t="s">
        <v>321</v>
      </c>
      <c r="E32" s="26" t="s">
        <v>90</v>
      </c>
      <c r="F32" s="26"/>
      <c r="G32" s="26" t="s">
        <v>322</v>
      </c>
      <c r="H32" s="26"/>
      <c r="I32" s="34" t="s">
        <v>323</v>
      </c>
      <c r="J32" s="25" t="s">
        <v>30</v>
      </c>
      <c r="K32" s="26" t="s">
        <v>137</v>
      </c>
      <c r="L32" s="26" t="s">
        <v>324</v>
      </c>
    </row>
    <row r="33" spans="2:12">
      <c r="B33" s="35" t="s">
        <v>325</v>
      </c>
      <c r="C33" s="32" t="s">
        <v>174</v>
      </c>
      <c r="D33" s="35" t="s">
        <v>326</v>
      </c>
      <c r="E33" s="32" t="s">
        <v>309</v>
      </c>
      <c r="F33" s="32"/>
      <c r="G33" s="32" t="s">
        <v>327</v>
      </c>
      <c r="H33" s="32"/>
      <c r="I33" s="35"/>
      <c r="J33" s="33" t="s">
        <v>30</v>
      </c>
      <c r="K33" s="32" t="s">
        <v>137</v>
      </c>
      <c r="L33" s="32" t="s">
        <v>311</v>
      </c>
    </row>
    <row r="34" spans="2:12">
      <c r="B34" s="26" t="s">
        <v>328</v>
      </c>
      <c r="C34" s="26" t="s">
        <v>120</v>
      </c>
      <c r="D34" s="26" t="s">
        <v>329</v>
      </c>
      <c r="E34" s="26" t="s">
        <v>90</v>
      </c>
      <c r="F34" s="26" t="s">
        <v>330</v>
      </c>
      <c r="G34" s="26" t="s">
        <v>331</v>
      </c>
      <c r="H34" s="26"/>
      <c r="I34" s="26"/>
      <c r="J34" s="25" t="s">
        <v>30</v>
      </c>
      <c r="K34" s="26" t="s">
        <v>125</v>
      </c>
      <c r="L34" s="26" t="s">
        <v>305</v>
      </c>
    </row>
    <row r="35" spans="2:12">
      <c r="B35" s="26" t="s">
        <v>332</v>
      </c>
      <c r="C35" s="26" t="s">
        <v>120</v>
      </c>
      <c r="D35" s="26" t="s">
        <v>333</v>
      </c>
      <c r="E35" s="26" t="s">
        <v>90</v>
      </c>
      <c r="F35" s="26" t="s">
        <v>334</v>
      </c>
      <c r="G35" s="26" t="s">
        <v>335</v>
      </c>
      <c r="H35" s="26"/>
      <c r="I35" s="26"/>
      <c r="J35" s="25" t="s">
        <v>30</v>
      </c>
      <c r="K35" s="26" t="s">
        <v>125</v>
      </c>
      <c r="L35" s="26" t="s">
        <v>305</v>
      </c>
    </row>
    <row r="36" spans="2:12">
      <c r="B36" s="34" t="s">
        <v>336</v>
      </c>
      <c r="C36" s="26" t="s">
        <v>174</v>
      </c>
      <c r="D36" s="34" t="s">
        <v>337</v>
      </c>
      <c r="E36" s="26" t="s">
        <v>90</v>
      </c>
      <c r="F36" s="26"/>
      <c r="G36" s="26" t="s">
        <v>338</v>
      </c>
      <c r="H36" s="26"/>
      <c r="I36" s="34" t="s">
        <v>339</v>
      </c>
      <c r="J36" s="25" t="s">
        <v>30</v>
      </c>
      <c r="K36" s="26" t="s">
        <v>137</v>
      </c>
      <c r="L36" s="26" t="s">
        <v>324</v>
      </c>
    </row>
    <row r="37" spans="2:12">
      <c r="B37" s="35" t="s">
        <v>340</v>
      </c>
      <c r="C37" s="32" t="s">
        <v>174</v>
      </c>
      <c r="D37" s="35" t="s">
        <v>341</v>
      </c>
      <c r="E37" s="32" t="s">
        <v>309</v>
      </c>
      <c r="F37" s="32"/>
      <c r="G37" s="32" t="s">
        <v>342</v>
      </c>
      <c r="H37" s="32"/>
      <c r="I37" s="35"/>
      <c r="J37" s="33" t="s">
        <v>30</v>
      </c>
      <c r="K37" s="32" t="s">
        <v>137</v>
      </c>
      <c r="L37" s="32" t="s">
        <v>311</v>
      </c>
    </row>
    <row r="38" spans="2:12">
      <c r="B38" s="26" t="s">
        <v>343</v>
      </c>
      <c r="C38" s="26" t="s">
        <v>120</v>
      </c>
      <c r="D38" s="26" t="s">
        <v>344</v>
      </c>
      <c r="E38" s="26" t="s">
        <v>90</v>
      </c>
      <c r="F38" s="26" t="s">
        <v>345</v>
      </c>
      <c r="G38" s="26" t="s">
        <v>346</v>
      </c>
      <c r="H38" s="26"/>
      <c r="I38" s="34"/>
      <c r="J38" s="25" t="s">
        <v>30</v>
      </c>
      <c r="K38" s="26" t="s">
        <v>125</v>
      </c>
      <c r="L38" s="26" t="s">
        <v>305</v>
      </c>
    </row>
    <row r="39" spans="2:12">
      <c r="B39" s="26" t="s">
        <v>347</v>
      </c>
      <c r="C39" s="26" t="s">
        <v>120</v>
      </c>
      <c r="D39" s="26" t="s">
        <v>348</v>
      </c>
      <c r="E39" s="26" t="s">
        <v>90</v>
      </c>
      <c r="F39" s="26" t="s">
        <v>349</v>
      </c>
      <c r="G39" s="26" t="s">
        <v>350</v>
      </c>
      <c r="H39" s="26"/>
      <c r="I39" s="34"/>
      <c r="J39" s="25" t="s">
        <v>30</v>
      </c>
      <c r="K39" s="26" t="s">
        <v>125</v>
      </c>
      <c r="L39" s="26" t="s">
        <v>305</v>
      </c>
    </row>
    <row r="40" spans="2:12">
      <c r="B40" s="34" t="s">
        <v>351</v>
      </c>
      <c r="C40" s="26" t="s">
        <v>174</v>
      </c>
      <c r="D40" s="34" t="s">
        <v>352</v>
      </c>
      <c r="E40" s="26" t="s">
        <v>90</v>
      </c>
      <c r="F40" s="26"/>
      <c r="G40" s="26" t="s">
        <v>353</v>
      </c>
      <c r="H40" s="26"/>
      <c r="I40" s="34" t="s">
        <v>354</v>
      </c>
      <c r="J40" s="25" t="s">
        <v>30</v>
      </c>
      <c r="K40" s="26" t="s">
        <v>137</v>
      </c>
      <c r="L40" s="26" t="s">
        <v>324</v>
      </c>
    </row>
    <row r="41" spans="2:12">
      <c r="B41" s="35" t="s">
        <v>355</v>
      </c>
      <c r="C41" s="32" t="s">
        <v>174</v>
      </c>
      <c r="D41" s="35" t="s">
        <v>356</v>
      </c>
      <c r="E41" s="32" t="s">
        <v>309</v>
      </c>
      <c r="F41" s="32"/>
      <c r="G41" s="32" t="s">
        <v>357</v>
      </c>
      <c r="H41" s="32"/>
      <c r="I41" s="35"/>
      <c r="J41" s="33" t="s">
        <v>30</v>
      </c>
      <c r="K41" s="32" t="s">
        <v>137</v>
      </c>
      <c r="L41" s="32" t="s">
        <v>311</v>
      </c>
    </row>
    <row r="42" spans="2:12">
      <c r="B42" s="26" t="s">
        <v>358</v>
      </c>
      <c r="C42" s="26" t="s">
        <v>120</v>
      </c>
      <c r="D42" s="26" t="s">
        <v>359</v>
      </c>
      <c r="E42" s="26" t="s">
        <v>90</v>
      </c>
      <c r="F42" s="26" t="s">
        <v>360</v>
      </c>
      <c r="G42" s="26" t="s">
        <v>361</v>
      </c>
      <c r="H42" s="26"/>
      <c r="I42" s="34"/>
      <c r="J42" s="25" t="s">
        <v>30</v>
      </c>
      <c r="K42" s="26" t="s">
        <v>125</v>
      </c>
      <c r="L42" s="26" t="s">
        <v>305</v>
      </c>
    </row>
    <row r="43" spans="2:12">
      <c r="B43" s="26" t="s">
        <v>362</v>
      </c>
      <c r="C43" s="26" t="s">
        <v>120</v>
      </c>
      <c r="D43" s="26" t="s">
        <v>363</v>
      </c>
      <c r="E43" s="26" t="s">
        <v>90</v>
      </c>
      <c r="F43" s="26" t="s">
        <v>364</v>
      </c>
      <c r="G43" s="26" t="s">
        <v>365</v>
      </c>
      <c r="H43" s="26"/>
      <c r="I43" s="34"/>
      <c r="J43" s="25" t="s">
        <v>30</v>
      </c>
      <c r="K43" s="26" t="s">
        <v>125</v>
      </c>
      <c r="L43" s="26" t="s">
        <v>305</v>
      </c>
    </row>
    <row r="44" spans="2:12">
      <c r="B44" s="34" t="s">
        <v>366</v>
      </c>
      <c r="C44" s="26" t="s">
        <v>174</v>
      </c>
      <c r="D44" s="34" t="s">
        <v>367</v>
      </c>
      <c r="E44" s="26" t="s">
        <v>90</v>
      </c>
      <c r="F44" s="26"/>
      <c r="G44" s="26" t="s">
        <v>368</v>
      </c>
      <c r="H44" s="26"/>
      <c r="I44" s="34" t="s">
        <v>369</v>
      </c>
      <c r="J44" s="25" t="s">
        <v>30</v>
      </c>
      <c r="K44" s="26" t="s">
        <v>137</v>
      </c>
      <c r="L44" s="26" t="s">
        <v>324</v>
      </c>
    </row>
    <row r="45" spans="2:12">
      <c r="B45" s="35" t="s">
        <v>370</v>
      </c>
      <c r="C45" s="32" t="s">
        <v>174</v>
      </c>
      <c r="D45" s="35" t="s">
        <v>371</v>
      </c>
      <c r="E45" s="32" t="s">
        <v>309</v>
      </c>
      <c r="F45" s="32"/>
      <c r="G45" s="32" t="s">
        <v>372</v>
      </c>
      <c r="H45" s="32"/>
      <c r="I45" s="35"/>
      <c r="J45" s="33" t="s">
        <v>30</v>
      </c>
      <c r="K45" s="32" t="s">
        <v>137</v>
      </c>
      <c r="L45" s="32" t="s">
        <v>311</v>
      </c>
    </row>
    <row r="46" spans="2:12">
      <c r="B46" s="26" t="s">
        <v>373</v>
      </c>
      <c r="C46" s="26" t="s">
        <v>120</v>
      </c>
      <c r="D46" s="26" t="s">
        <v>374</v>
      </c>
      <c r="E46" s="26" t="s">
        <v>90</v>
      </c>
      <c r="F46" s="26" t="s">
        <v>375</v>
      </c>
      <c r="G46" s="26" t="s">
        <v>376</v>
      </c>
      <c r="H46" s="26"/>
      <c r="I46" s="34"/>
      <c r="J46" s="25" t="s">
        <v>30</v>
      </c>
      <c r="K46" s="26" t="s">
        <v>125</v>
      </c>
      <c r="L46" s="26" t="s">
        <v>305</v>
      </c>
    </row>
    <row r="47" spans="2:12">
      <c r="B47" s="26" t="s">
        <v>377</v>
      </c>
      <c r="C47" s="26" t="s">
        <v>120</v>
      </c>
      <c r="D47" s="26" t="s">
        <v>378</v>
      </c>
      <c r="E47" s="26" t="s">
        <v>90</v>
      </c>
      <c r="F47" s="26" t="s">
        <v>379</v>
      </c>
      <c r="G47" s="26" t="s">
        <v>380</v>
      </c>
      <c r="H47" s="26"/>
      <c r="I47" s="34"/>
      <c r="J47" s="25" t="s">
        <v>30</v>
      </c>
      <c r="K47" s="26" t="s">
        <v>125</v>
      </c>
      <c r="L47" s="26" t="s">
        <v>305</v>
      </c>
    </row>
    <row r="48" spans="2:12">
      <c r="B48" s="34" t="s">
        <v>381</v>
      </c>
      <c r="C48" s="26" t="s">
        <v>174</v>
      </c>
      <c r="D48" s="34" t="s">
        <v>382</v>
      </c>
      <c r="E48" s="26" t="s">
        <v>90</v>
      </c>
      <c r="F48" s="26"/>
      <c r="G48" s="26" t="s">
        <v>383</v>
      </c>
      <c r="H48" s="26"/>
      <c r="I48" s="34" t="s">
        <v>384</v>
      </c>
      <c r="J48" s="25" t="s">
        <v>30</v>
      </c>
      <c r="K48" s="26" t="s">
        <v>137</v>
      </c>
      <c r="L48" s="26" t="s">
        <v>324</v>
      </c>
    </row>
    <row r="49" spans="2:12">
      <c r="B49" s="35" t="s">
        <v>385</v>
      </c>
      <c r="C49" s="32" t="s">
        <v>174</v>
      </c>
      <c r="D49" s="35" t="s">
        <v>386</v>
      </c>
      <c r="E49" s="32" t="s">
        <v>309</v>
      </c>
      <c r="F49" s="32"/>
      <c r="G49" s="32" t="s">
        <v>387</v>
      </c>
      <c r="H49" s="32"/>
      <c r="I49" s="35"/>
      <c r="J49" s="33" t="s">
        <v>30</v>
      </c>
      <c r="K49" s="32" t="s">
        <v>137</v>
      </c>
      <c r="L49" s="32" t="s">
        <v>311</v>
      </c>
    </row>
    <row r="50" spans="2:12">
      <c r="B50" s="26" t="s">
        <v>388</v>
      </c>
      <c r="C50" s="26" t="s">
        <v>120</v>
      </c>
      <c r="D50" s="26" t="s">
        <v>389</v>
      </c>
      <c r="E50" s="26" t="s">
        <v>90</v>
      </c>
      <c r="F50" s="26" t="s">
        <v>390</v>
      </c>
      <c r="G50" s="26" t="s">
        <v>391</v>
      </c>
      <c r="H50" s="26"/>
      <c r="I50" s="34"/>
      <c r="J50" s="25" t="s">
        <v>30</v>
      </c>
      <c r="K50" s="26" t="s">
        <v>125</v>
      </c>
      <c r="L50" s="26" t="s">
        <v>305</v>
      </c>
    </row>
    <row r="51" spans="2:12">
      <c r="B51" s="26" t="s">
        <v>392</v>
      </c>
      <c r="C51" s="26" t="s">
        <v>120</v>
      </c>
      <c r="D51" s="26" t="s">
        <v>393</v>
      </c>
      <c r="E51" s="26" t="s">
        <v>90</v>
      </c>
      <c r="F51" s="26" t="s">
        <v>394</v>
      </c>
      <c r="G51" s="26" t="s">
        <v>395</v>
      </c>
      <c r="H51" s="26"/>
      <c r="I51" s="34"/>
      <c r="J51" s="25" t="s">
        <v>30</v>
      </c>
      <c r="K51" s="26" t="s">
        <v>125</v>
      </c>
      <c r="L51" s="26" t="s">
        <v>305</v>
      </c>
    </row>
    <row r="52" spans="2:12">
      <c r="B52" s="34" t="s">
        <v>396</v>
      </c>
      <c r="C52" s="26" t="s">
        <v>174</v>
      </c>
      <c r="D52" s="34" t="s">
        <v>397</v>
      </c>
      <c r="E52" s="26" t="s">
        <v>90</v>
      </c>
      <c r="F52" s="26"/>
      <c r="G52" s="26" t="s">
        <v>398</v>
      </c>
      <c r="H52" s="26"/>
      <c r="I52" s="34" t="s">
        <v>399</v>
      </c>
      <c r="J52" s="25" t="s">
        <v>30</v>
      </c>
      <c r="K52" s="26" t="s">
        <v>137</v>
      </c>
      <c r="L52" s="26" t="s">
        <v>324</v>
      </c>
    </row>
    <row r="53" spans="2:12">
      <c r="B53" s="35" t="s">
        <v>400</v>
      </c>
      <c r="C53" s="32" t="s">
        <v>174</v>
      </c>
      <c r="D53" s="35" t="s">
        <v>401</v>
      </c>
      <c r="E53" s="32" t="s">
        <v>309</v>
      </c>
      <c r="F53" s="32"/>
      <c r="G53" s="32" t="s">
        <v>402</v>
      </c>
      <c r="H53" s="32"/>
      <c r="I53" s="35"/>
      <c r="J53" s="33" t="s">
        <v>30</v>
      </c>
      <c r="K53" s="32" t="s">
        <v>137</v>
      </c>
      <c r="L53" s="32" t="s">
        <v>311</v>
      </c>
    </row>
    <row r="54" spans="2:12">
      <c r="B54" s="26" t="s">
        <v>403</v>
      </c>
      <c r="C54" s="26" t="s">
        <v>120</v>
      </c>
      <c r="D54" s="26" t="s">
        <v>404</v>
      </c>
      <c r="E54" s="26" t="s">
        <v>90</v>
      </c>
      <c r="F54" s="26" t="s">
        <v>405</v>
      </c>
      <c r="G54" s="26" t="s">
        <v>406</v>
      </c>
      <c r="H54" s="26"/>
      <c r="I54" s="34"/>
      <c r="J54" s="25" t="s">
        <v>30</v>
      </c>
      <c r="K54" s="26" t="s">
        <v>125</v>
      </c>
      <c r="L54" s="26" t="s">
        <v>305</v>
      </c>
    </row>
    <row r="55" spans="2:12">
      <c r="B55" s="26" t="s">
        <v>407</v>
      </c>
      <c r="C55" s="26" t="s">
        <v>120</v>
      </c>
      <c r="D55" s="26" t="s">
        <v>408</v>
      </c>
      <c r="E55" s="26" t="s">
        <v>90</v>
      </c>
      <c r="F55" s="26" t="s">
        <v>409</v>
      </c>
      <c r="G55" s="26" t="s">
        <v>410</v>
      </c>
      <c r="H55" s="26"/>
      <c r="I55" s="34"/>
      <c r="J55" s="25" t="s">
        <v>30</v>
      </c>
      <c r="K55" s="26" t="s">
        <v>125</v>
      </c>
      <c r="L55" s="26" t="s">
        <v>305</v>
      </c>
    </row>
    <row r="56" spans="2:12">
      <c r="B56" s="34" t="s">
        <v>411</v>
      </c>
      <c r="C56" s="26" t="s">
        <v>174</v>
      </c>
      <c r="D56" s="34" t="s">
        <v>412</v>
      </c>
      <c r="E56" s="26" t="s">
        <v>90</v>
      </c>
      <c r="F56" s="26"/>
      <c r="G56" s="26" t="s">
        <v>413</v>
      </c>
      <c r="H56" s="26"/>
      <c r="I56" s="34" t="s">
        <v>414</v>
      </c>
      <c r="J56" s="25" t="s">
        <v>30</v>
      </c>
      <c r="K56" s="26" t="s">
        <v>137</v>
      </c>
      <c r="L56" s="26" t="s">
        <v>324</v>
      </c>
    </row>
    <row r="57" spans="2:12">
      <c r="B57" s="35" t="s">
        <v>415</v>
      </c>
      <c r="C57" s="32" t="s">
        <v>174</v>
      </c>
      <c r="D57" s="35" t="s">
        <v>416</v>
      </c>
      <c r="E57" s="32" t="s">
        <v>309</v>
      </c>
      <c r="F57" s="32"/>
      <c r="G57" s="32" t="s">
        <v>417</v>
      </c>
      <c r="H57" s="32"/>
      <c r="I57" s="35"/>
      <c r="J57" s="33" t="s">
        <v>30</v>
      </c>
      <c r="K57" s="32" t="s">
        <v>137</v>
      </c>
      <c r="L57" s="32" t="s">
        <v>311</v>
      </c>
    </row>
    <row r="58" spans="2:12">
      <c r="B58" s="26" t="s">
        <v>418</v>
      </c>
      <c r="C58" s="26" t="s">
        <v>120</v>
      </c>
      <c r="D58" s="26" t="s">
        <v>419</v>
      </c>
      <c r="E58" s="26" t="s">
        <v>90</v>
      </c>
      <c r="F58" s="26" t="s">
        <v>420</v>
      </c>
      <c r="G58" s="26" t="s">
        <v>421</v>
      </c>
      <c r="H58" s="26"/>
      <c r="I58" s="34"/>
      <c r="J58" s="25" t="s">
        <v>30</v>
      </c>
      <c r="K58" s="26" t="s">
        <v>125</v>
      </c>
      <c r="L58" s="26" t="s">
        <v>305</v>
      </c>
    </row>
    <row r="59" spans="2:12">
      <c r="B59" s="26" t="s">
        <v>422</v>
      </c>
      <c r="C59" s="26" t="s">
        <v>120</v>
      </c>
      <c r="D59" s="26" t="s">
        <v>423</v>
      </c>
      <c r="E59" s="26" t="s">
        <v>90</v>
      </c>
      <c r="F59" s="26" t="s">
        <v>424</v>
      </c>
      <c r="G59" s="26" t="s">
        <v>425</v>
      </c>
      <c r="H59" s="26"/>
      <c r="I59" s="34"/>
      <c r="J59" s="25" t="s">
        <v>30</v>
      </c>
      <c r="K59" s="26" t="s">
        <v>125</v>
      </c>
      <c r="L59" s="26" t="s">
        <v>305</v>
      </c>
    </row>
    <row r="60" spans="2:12">
      <c r="B60" s="34" t="s">
        <v>426</v>
      </c>
      <c r="C60" s="26" t="s">
        <v>174</v>
      </c>
      <c r="D60" s="34" t="s">
        <v>427</v>
      </c>
      <c r="E60" s="26" t="s">
        <v>90</v>
      </c>
      <c r="F60" s="26"/>
      <c r="G60" s="26" t="s">
        <v>428</v>
      </c>
      <c r="H60" s="26"/>
      <c r="I60" s="34" t="s">
        <v>429</v>
      </c>
      <c r="J60" s="25" t="s">
        <v>30</v>
      </c>
      <c r="K60" s="26" t="s">
        <v>137</v>
      </c>
      <c r="L60" s="26" t="s">
        <v>324</v>
      </c>
    </row>
    <row r="61" spans="2:12">
      <c r="B61" s="35" t="s">
        <v>430</v>
      </c>
      <c r="C61" s="32" t="s">
        <v>174</v>
      </c>
      <c r="D61" s="35" t="s">
        <v>431</v>
      </c>
      <c r="E61" s="32" t="s">
        <v>309</v>
      </c>
      <c r="F61" s="32"/>
      <c r="G61" s="32" t="s">
        <v>432</v>
      </c>
      <c r="H61" s="32"/>
      <c r="I61" s="35"/>
      <c r="J61" s="33" t="s">
        <v>30</v>
      </c>
      <c r="K61" s="32" t="s">
        <v>137</v>
      </c>
      <c r="L61" s="32" t="s">
        <v>311</v>
      </c>
    </row>
    <row r="62" spans="2:12">
      <c r="B62" s="26" t="s">
        <v>433</v>
      </c>
      <c r="C62" s="26" t="s">
        <v>120</v>
      </c>
      <c r="D62" s="26" t="s">
        <v>434</v>
      </c>
      <c r="E62" s="26" t="s">
        <v>90</v>
      </c>
      <c r="F62" s="26" t="s">
        <v>435</v>
      </c>
      <c r="G62" s="26" t="s">
        <v>436</v>
      </c>
      <c r="H62" s="26"/>
      <c r="I62" s="34"/>
      <c r="J62" s="25" t="s">
        <v>30</v>
      </c>
      <c r="K62" s="26" t="s">
        <v>125</v>
      </c>
      <c r="L62" s="26" t="s">
        <v>305</v>
      </c>
    </row>
    <row r="63" spans="2:12">
      <c r="B63" s="26" t="s">
        <v>437</v>
      </c>
      <c r="C63" s="26" t="s">
        <v>120</v>
      </c>
      <c r="D63" s="26" t="s">
        <v>438</v>
      </c>
      <c r="E63" s="26" t="s">
        <v>90</v>
      </c>
      <c r="F63" s="26" t="s">
        <v>439</v>
      </c>
      <c r="G63" s="26" t="s">
        <v>440</v>
      </c>
      <c r="H63" s="26"/>
      <c r="I63" s="34"/>
      <c r="J63" s="25" t="s">
        <v>30</v>
      </c>
      <c r="K63" s="26" t="s">
        <v>125</v>
      </c>
      <c r="L63" s="26" t="s">
        <v>305</v>
      </c>
    </row>
    <row r="64" spans="2:12">
      <c r="B64" s="34" t="s">
        <v>441</v>
      </c>
      <c r="C64" s="26" t="s">
        <v>174</v>
      </c>
      <c r="D64" s="34" t="s">
        <v>442</v>
      </c>
      <c r="E64" s="26" t="s">
        <v>90</v>
      </c>
      <c r="F64" s="26"/>
      <c r="G64" s="26" t="s">
        <v>443</v>
      </c>
      <c r="H64" s="26"/>
      <c r="I64" s="34" t="s">
        <v>429</v>
      </c>
      <c r="J64" s="25" t="s">
        <v>30</v>
      </c>
      <c r="K64" s="26" t="s">
        <v>137</v>
      </c>
      <c r="L64" s="26" t="s">
        <v>324</v>
      </c>
    </row>
    <row r="65" spans="2:12">
      <c r="B65" s="35" t="s">
        <v>444</v>
      </c>
      <c r="C65" s="32" t="s">
        <v>174</v>
      </c>
      <c r="D65" s="35" t="s">
        <v>445</v>
      </c>
      <c r="E65" s="32" t="s">
        <v>309</v>
      </c>
      <c r="F65" s="32"/>
      <c r="G65" s="32" t="s">
        <v>446</v>
      </c>
      <c r="H65" s="32"/>
      <c r="I65" s="35"/>
      <c r="J65" s="33" t="s">
        <v>30</v>
      </c>
      <c r="K65" s="32" t="s">
        <v>137</v>
      </c>
      <c r="L65" s="32" t="s">
        <v>311</v>
      </c>
    </row>
    <row r="66" spans="2:12">
      <c r="B66" s="26" t="s">
        <v>447</v>
      </c>
      <c r="C66" s="26" t="s">
        <v>120</v>
      </c>
      <c r="D66" s="26" t="s">
        <v>448</v>
      </c>
      <c r="E66" s="26" t="s">
        <v>90</v>
      </c>
      <c r="F66" s="26" t="s">
        <v>449</v>
      </c>
      <c r="G66" s="26" t="s">
        <v>450</v>
      </c>
      <c r="H66" s="26"/>
      <c r="I66" s="34"/>
      <c r="J66" s="25" t="s">
        <v>30</v>
      </c>
      <c r="K66" s="26" t="s">
        <v>125</v>
      </c>
      <c r="L66" s="26" t="s">
        <v>305</v>
      </c>
    </row>
    <row r="67" spans="2:12">
      <c r="B67" s="26" t="s">
        <v>451</v>
      </c>
      <c r="C67" s="26" t="s">
        <v>120</v>
      </c>
      <c r="D67" s="26" t="s">
        <v>452</v>
      </c>
      <c r="E67" s="26" t="s">
        <v>90</v>
      </c>
      <c r="F67" s="26" t="s">
        <v>453</v>
      </c>
      <c r="G67" s="26" t="s">
        <v>454</v>
      </c>
      <c r="H67" s="26"/>
      <c r="I67" s="34"/>
      <c r="J67" s="25" t="s">
        <v>30</v>
      </c>
      <c r="K67" s="26" t="s">
        <v>125</v>
      </c>
      <c r="L67" s="26" t="s">
        <v>305</v>
      </c>
    </row>
    <row r="68" spans="2:12">
      <c r="B68" s="34" t="s">
        <v>455</v>
      </c>
      <c r="C68" s="26" t="s">
        <v>174</v>
      </c>
      <c r="D68" s="34" t="s">
        <v>456</v>
      </c>
      <c r="E68" s="26" t="s">
        <v>90</v>
      </c>
      <c r="F68" s="26"/>
      <c r="G68" s="26" t="s">
        <v>457</v>
      </c>
      <c r="H68" s="26"/>
      <c r="I68" s="34" t="s">
        <v>458</v>
      </c>
      <c r="J68" s="25" t="s">
        <v>30</v>
      </c>
      <c r="K68" s="26" t="s">
        <v>137</v>
      </c>
      <c r="L68" s="26" t="s">
        <v>324</v>
      </c>
    </row>
    <row r="69" spans="2:12">
      <c r="B69" s="35" t="s">
        <v>459</v>
      </c>
      <c r="C69" s="32" t="s">
        <v>174</v>
      </c>
      <c r="D69" s="35" t="s">
        <v>460</v>
      </c>
      <c r="E69" s="32" t="s">
        <v>309</v>
      </c>
      <c r="F69" s="32"/>
      <c r="G69" s="32" t="s">
        <v>461</v>
      </c>
      <c r="H69" s="32"/>
      <c r="I69" s="35"/>
      <c r="J69" s="33" t="s">
        <v>30</v>
      </c>
      <c r="K69" s="32" t="s">
        <v>137</v>
      </c>
      <c r="L69" s="32" t="s">
        <v>311</v>
      </c>
    </row>
    <row r="70" spans="2:12">
      <c r="B70" s="26" t="s">
        <v>462</v>
      </c>
      <c r="C70" s="26" t="s">
        <v>120</v>
      </c>
      <c r="D70" s="26" t="s">
        <v>463</v>
      </c>
      <c r="E70" s="26" t="s">
        <v>90</v>
      </c>
      <c r="F70" s="26" t="s">
        <v>464</v>
      </c>
      <c r="G70" s="26" t="s">
        <v>465</v>
      </c>
      <c r="H70" s="26"/>
      <c r="I70" s="34"/>
      <c r="J70" s="25" t="s">
        <v>30</v>
      </c>
      <c r="K70" s="26" t="s">
        <v>125</v>
      </c>
      <c r="L70" s="26" t="s">
        <v>305</v>
      </c>
    </row>
    <row r="71" spans="2:12">
      <c r="B71" s="26" t="s">
        <v>466</v>
      </c>
      <c r="C71" s="26" t="s">
        <v>120</v>
      </c>
      <c r="D71" s="26" t="s">
        <v>467</v>
      </c>
      <c r="E71" s="26" t="s">
        <v>90</v>
      </c>
      <c r="F71" s="26" t="s">
        <v>468</v>
      </c>
      <c r="G71" s="26" t="s">
        <v>469</v>
      </c>
      <c r="H71" s="26"/>
      <c r="I71" s="34"/>
      <c r="J71" s="25" t="s">
        <v>30</v>
      </c>
      <c r="K71" s="26" t="s">
        <v>125</v>
      </c>
      <c r="L71" s="26" t="s">
        <v>305</v>
      </c>
    </row>
    <row r="72" spans="2:12">
      <c r="B72" s="34" t="s">
        <v>470</v>
      </c>
      <c r="C72" s="26" t="s">
        <v>174</v>
      </c>
      <c r="D72" s="34" t="s">
        <v>471</v>
      </c>
      <c r="E72" s="26" t="s">
        <v>90</v>
      </c>
      <c r="F72" s="26"/>
      <c r="G72" s="26" t="s">
        <v>472</v>
      </c>
      <c r="H72" s="26"/>
      <c r="I72" s="34" t="s">
        <v>473</v>
      </c>
      <c r="J72" s="25" t="s">
        <v>30</v>
      </c>
      <c r="K72" s="26" t="s">
        <v>137</v>
      </c>
      <c r="L72" s="26" t="s">
        <v>324</v>
      </c>
    </row>
    <row r="73" spans="2:12">
      <c r="B73" s="35" t="s">
        <v>474</v>
      </c>
      <c r="C73" s="32" t="s">
        <v>174</v>
      </c>
      <c r="D73" s="35" t="s">
        <v>475</v>
      </c>
      <c r="E73" s="32" t="s">
        <v>309</v>
      </c>
      <c r="F73" s="32"/>
      <c r="G73" s="32" t="s">
        <v>476</v>
      </c>
      <c r="H73" s="32"/>
      <c r="I73" s="35"/>
      <c r="J73" s="33" t="s">
        <v>30</v>
      </c>
      <c r="K73" s="32" t="s">
        <v>137</v>
      </c>
      <c r="L73" s="32" t="s">
        <v>311</v>
      </c>
    </row>
    <row r="74" spans="2:12">
      <c r="B74" s="26" t="s">
        <v>477</v>
      </c>
      <c r="C74" s="26" t="s">
        <v>120</v>
      </c>
      <c r="D74" s="26" t="s">
        <v>478</v>
      </c>
      <c r="E74" s="26" t="s">
        <v>90</v>
      </c>
      <c r="F74" s="26" t="s">
        <v>479</v>
      </c>
      <c r="G74" s="26" t="s">
        <v>480</v>
      </c>
      <c r="H74" s="26"/>
      <c r="I74" s="34"/>
      <c r="J74" s="25" t="s">
        <v>30</v>
      </c>
      <c r="K74" s="26" t="s">
        <v>125</v>
      </c>
      <c r="L74" s="26" t="s">
        <v>305</v>
      </c>
    </row>
    <row r="75" spans="2:12">
      <c r="B75" s="26" t="s">
        <v>481</v>
      </c>
      <c r="C75" s="26" t="s">
        <v>120</v>
      </c>
      <c r="D75" s="26" t="s">
        <v>482</v>
      </c>
      <c r="E75" s="26" t="s">
        <v>90</v>
      </c>
      <c r="F75" s="26" t="s">
        <v>483</v>
      </c>
      <c r="G75" s="26" t="s">
        <v>484</v>
      </c>
      <c r="H75" s="26"/>
      <c r="I75" s="34"/>
      <c r="J75" s="25" t="s">
        <v>30</v>
      </c>
      <c r="K75" s="26" t="s">
        <v>125</v>
      </c>
      <c r="L75" s="26" t="s">
        <v>305</v>
      </c>
    </row>
    <row r="76" spans="2:12">
      <c r="B76" s="34" t="s">
        <v>485</v>
      </c>
      <c r="C76" s="26" t="s">
        <v>174</v>
      </c>
      <c r="D76" s="34" t="s">
        <v>486</v>
      </c>
      <c r="E76" s="26" t="s">
        <v>90</v>
      </c>
      <c r="F76" s="26"/>
      <c r="G76" s="26" t="s">
        <v>487</v>
      </c>
      <c r="H76" s="26"/>
      <c r="I76" s="34" t="s">
        <v>488</v>
      </c>
      <c r="J76" s="25" t="s">
        <v>30</v>
      </c>
      <c r="K76" s="26" t="s">
        <v>137</v>
      </c>
      <c r="L76" s="26" t="s">
        <v>324</v>
      </c>
    </row>
    <row r="77" spans="2:12">
      <c r="B77" s="35" t="s">
        <v>489</v>
      </c>
      <c r="C77" s="32" t="s">
        <v>174</v>
      </c>
      <c r="D77" s="35" t="s">
        <v>490</v>
      </c>
      <c r="E77" s="38" t="s">
        <v>309</v>
      </c>
      <c r="F77" s="37"/>
      <c r="G77" s="32" t="s">
        <v>491</v>
      </c>
      <c r="H77" s="37"/>
      <c r="I77" s="37"/>
      <c r="J77" s="33" t="s">
        <v>30</v>
      </c>
      <c r="K77" s="32" t="s">
        <v>137</v>
      </c>
      <c r="L77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9"/>
  <sheetViews>
    <sheetView workbookViewId="0">
      <pane ySplit="1" topLeftCell="A2" activePane="bottomLeft" state="frozen"/>
      <selection/>
      <selection pane="bottomLeft" activeCell="B3" sqref="B3:H3"/>
    </sheetView>
  </sheetViews>
  <sheetFormatPr defaultColWidth="9.87387387387387" defaultRowHeight="16.25"/>
  <cols>
    <col min="1" max="1" width="5.5045045045045" style="3" customWidth="1"/>
    <col min="2" max="2" width="32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47</v>
      </c>
      <c r="D4" s="11" t="s">
        <v>48</v>
      </c>
      <c r="E4" s="9" t="s">
        <v>492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25.7" spans="2:14">
      <c r="B8" s="9" t="s">
        <v>253</v>
      </c>
      <c r="C8" s="31" t="s">
        <v>493</v>
      </c>
      <c r="D8" s="26" t="s">
        <v>494</v>
      </c>
      <c r="E8" s="9" t="s">
        <v>90</v>
      </c>
      <c r="F8" s="16" t="s">
        <v>256</v>
      </c>
      <c r="G8" s="17" t="s">
        <v>257</v>
      </c>
      <c r="H8" s="18" t="s">
        <v>93</v>
      </c>
    </row>
    <row r="9" ht="25.7" spans="2:14">
      <c r="B9" s="9" t="s">
        <v>253</v>
      </c>
      <c r="C9" s="10" t="s">
        <v>47</v>
      </c>
      <c r="D9" s="11" t="s">
        <v>48</v>
      </c>
      <c r="E9" s="9" t="s">
        <v>96</v>
      </c>
      <c r="F9" s="9" t="s">
        <v>495</v>
      </c>
      <c r="G9" s="19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108</v>
      </c>
      <c r="C12" s="22" t="s">
        <v>109</v>
      </c>
      <c r="D12" s="22" t="s">
        <v>110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2" t="s">
        <v>496</v>
      </c>
      <c r="C13" s="22" t="s">
        <v>109</v>
      </c>
      <c r="D13" s="22" t="s">
        <v>497</v>
      </c>
      <c r="E13" s="23"/>
      <c r="F13" s="24"/>
      <c r="G13" s="24"/>
      <c r="H13" s="24"/>
      <c r="I13" s="25"/>
      <c r="J13" s="25"/>
      <c r="K13" s="25"/>
      <c r="L13" s="25"/>
    </row>
    <row r="14" s="1" customFormat="1" ht="12.85" spans="2:14">
      <c r="B14" s="26" t="s">
        <v>113</v>
      </c>
      <c r="C14" s="26" t="s">
        <v>109</v>
      </c>
      <c r="D14" s="26" t="s">
        <v>60</v>
      </c>
      <c r="E14" s="26"/>
      <c r="F14" s="26"/>
      <c r="G14" s="26"/>
      <c r="H14" s="26"/>
      <c r="I14" s="25"/>
      <c r="J14" s="25"/>
      <c r="K14" s="25"/>
      <c r="L14" s="25"/>
    </row>
    <row r="15" s="1" customFormat="1" ht="12.85" spans="2:14">
      <c r="B15" s="26" t="s">
        <v>492</v>
      </c>
      <c r="C15" s="26" t="s">
        <v>109</v>
      </c>
      <c r="D15" s="26" t="s">
        <v>49</v>
      </c>
      <c r="E15" s="26"/>
      <c r="F15" s="26"/>
      <c r="G15" s="26"/>
      <c r="H15" s="26"/>
      <c r="I15" s="25"/>
      <c r="J15" s="25"/>
      <c r="K15" s="25"/>
      <c r="L15" s="25"/>
    </row>
    <row r="16" s="1" customFormat="1" ht="12.85" spans="2:14">
      <c r="B16" s="27" t="s">
        <v>263</v>
      </c>
      <c r="C16" s="26" t="s">
        <v>109</v>
      </c>
      <c r="D16" s="26" t="s">
        <v>264</v>
      </c>
      <c r="E16" s="26" t="s">
        <v>90</v>
      </c>
      <c r="F16" s="26" t="s">
        <v>265</v>
      </c>
      <c r="G16" s="26" t="s">
        <v>262</v>
      </c>
      <c r="H16" s="26"/>
      <c r="I16" s="25"/>
      <c r="J16" s="25" t="s">
        <v>114</v>
      </c>
      <c r="K16" s="25" t="s">
        <v>163</v>
      </c>
      <c r="L16" s="25" t="s">
        <v>266</v>
      </c>
    </row>
    <row r="17" s="1" customFormat="1" ht="38.55" spans="2:12">
      <c r="B17" s="27" t="s">
        <v>115</v>
      </c>
      <c r="C17" s="26" t="s">
        <v>116</v>
      </c>
      <c r="D17" s="26" t="s">
        <v>117</v>
      </c>
      <c r="E17" s="26" t="s">
        <v>90</v>
      </c>
      <c r="F17" s="26" t="s">
        <v>115</v>
      </c>
      <c r="G17" s="26" t="s">
        <v>267</v>
      </c>
      <c r="H17" s="26"/>
      <c r="I17" s="25"/>
      <c r="J17" s="25" t="s">
        <v>114</v>
      </c>
      <c r="K17" s="25" t="s">
        <v>163</v>
      </c>
      <c r="L17" s="28" t="s">
        <v>164</v>
      </c>
    </row>
    <row r="18" s="1" customFormat="1" ht="12.85" spans="2:12">
      <c r="B18" s="27" t="s">
        <v>268</v>
      </c>
      <c r="C18" s="26" t="s">
        <v>109</v>
      </c>
      <c r="D18" s="26" t="s">
        <v>269</v>
      </c>
      <c r="E18" s="26" t="s">
        <v>90</v>
      </c>
      <c r="F18" s="26" t="s">
        <v>270</v>
      </c>
      <c r="G18" s="26" t="s">
        <v>262</v>
      </c>
      <c r="H18" s="26"/>
      <c r="I18" s="25"/>
      <c r="J18" s="25" t="s">
        <v>114</v>
      </c>
      <c r="K18" s="25"/>
      <c r="L18" s="25"/>
    </row>
    <row r="19" s="2" customFormat="1" ht="12.85" spans="2:12">
      <c r="B19" s="27" t="s">
        <v>271</v>
      </c>
      <c r="C19" s="26" t="s">
        <v>116</v>
      </c>
      <c r="D19" s="26" t="s">
        <v>272</v>
      </c>
      <c r="E19" s="26" t="s">
        <v>90</v>
      </c>
      <c r="F19" s="26" t="s">
        <v>271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2">
      <c r="B20" s="27" t="s">
        <v>273</v>
      </c>
      <c r="C20" s="26" t="s">
        <v>109</v>
      </c>
      <c r="D20" s="26" t="s">
        <v>274</v>
      </c>
      <c r="E20" s="26" t="s">
        <v>90</v>
      </c>
      <c r="F20" s="26" t="s">
        <v>275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2">
      <c r="B21" s="27" t="s">
        <v>276</v>
      </c>
      <c r="C21" s="26" t="s">
        <v>116</v>
      </c>
      <c r="D21" s="26" t="s">
        <v>277</v>
      </c>
      <c r="E21" s="26" t="s">
        <v>90</v>
      </c>
      <c r="F21" s="26" t="s">
        <v>276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2">
      <c r="B22" s="27" t="s">
        <v>278</v>
      </c>
      <c r="C22" s="26" t="s">
        <v>109</v>
      </c>
      <c r="D22" s="26" t="s">
        <v>279</v>
      </c>
      <c r="E22" s="26" t="s">
        <v>90</v>
      </c>
      <c r="F22" s="26" t="s">
        <v>280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2">
      <c r="B23" s="27" t="s">
        <v>281</v>
      </c>
      <c r="C23" s="26" t="s">
        <v>116</v>
      </c>
      <c r="D23" s="26" t="s">
        <v>282</v>
      </c>
      <c r="E23" s="26" t="s">
        <v>90</v>
      </c>
      <c r="F23" s="26" t="s">
        <v>281</v>
      </c>
      <c r="G23" s="26" t="s">
        <v>267</v>
      </c>
      <c r="H23" s="26"/>
      <c r="I23" s="26"/>
      <c r="J23" s="25" t="s">
        <v>114</v>
      </c>
      <c r="K23" s="26"/>
      <c r="L23" s="26"/>
    </row>
    <row r="24" s="2" customFormat="1" ht="12.85" spans="2:12">
      <c r="B24" s="27" t="s">
        <v>283</v>
      </c>
      <c r="C24" s="26" t="s">
        <v>109</v>
      </c>
      <c r="D24" s="26" t="s">
        <v>284</v>
      </c>
      <c r="E24" s="26" t="s">
        <v>90</v>
      </c>
      <c r="F24" s="26" t="s">
        <v>283</v>
      </c>
      <c r="G24" s="26" t="s">
        <v>262</v>
      </c>
      <c r="H24" s="26"/>
      <c r="I24" s="26"/>
      <c r="J24" s="25" t="s">
        <v>114</v>
      </c>
      <c r="K24" s="26"/>
      <c r="L24" s="26"/>
    </row>
    <row r="25" s="2" customFormat="1" ht="12.85" spans="2:12">
      <c r="B25" s="27" t="s">
        <v>285</v>
      </c>
      <c r="C25" s="26" t="s">
        <v>116</v>
      </c>
      <c r="D25" s="26" t="s">
        <v>286</v>
      </c>
      <c r="E25" s="26" t="s">
        <v>90</v>
      </c>
      <c r="F25" s="26" t="s">
        <v>285</v>
      </c>
      <c r="G25" s="26" t="s">
        <v>267</v>
      </c>
      <c r="H25" s="26"/>
      <c r="I25" s="26"/>
      <c r="J25" s="25" t="s">
        <v>114</v>
      </c>
      <c r="K25" s="26"/>
      <c r="L25" s="26"/>
    </row>
    <row r="26" spans="2:12">
      <c r="B26" s="29" t="s">
        <v>165</v>
      </c>
      <c r="C26" s="30" t="s">
        <v>109</v>
      </c>
      <c r="D26" s="30" t="s">
        <v>287</v>
      </c>
      <c r="E26" s="30"/>
      <c r="F26" s="26"/>
      <c r="G26" s="30" t="s">
        <v>288</v>
      </c>
      <c r="H26" s="26"/>
      <c r="I26" s="26"/>
      <c r="J26" s="25" t="s">
        <v>114</v>
      </c>
      <c r="K26" s="25" t="s">
        <v>163</v>
      </c>
      <c r="L26" s="26" t="s">
        <v>289</v>
      </c>
    </row>
    <row r="27" s="2" customFormat="1" ht="22.5" customHeight="1" spans="2:12">
      <c r="B27" s="27" t="s">
        <v>290</v>
      </c>
      <c r="C27" s="26" t="s">
        <v>116</v>
      </c>
      <c r="D27" s="26" t="s">
        <v>291</v>
      </c>
      <c r="E27" s="26" t="s">
        <v>90</v>
      </c>
      <c r="F27" s="26" t="s">
        <v>290</v>
      </c>
      <c r="G27" s="26" t="s">
        <v>292</v>
      </c>
      <c r="H27" s="26"/>
      <c r="I27" s="26"/>
      <c r="J27" s="25" t="s">
        <v>114</v>
      </c>
      <c r="K27" s="26" t="s">
        <v>163</v>
      </c>
      <c r="L27" s="31" t="s">
        <v>293</v>
      </c>
    </row>
    <row r="28" s="2" customFormat="1" ht="12.85" spans="2:12">
      <c r="B28" s="27" t="s">
        <v>294</v>
      </c>
      <c r="C28" s="26" t="s">
        <v>116</v>
      </c>
      <c r="D28" s="26" t="s">
        <v>295</v>
      </c>
      <c r="E28" s="26" t="s">
        <v>90</v>
      </c>
      <c r="F28" s="26" t="s">
        <v>294</v>
      </c>
      <c r="G28" s="26" t="s">
        <v>292</v>
      </c>
      <c r="H28" s="26"/>
      <c r="I28" s="26"/>
      <c r="J28" s="25" t="s">
        <v>114</v>
      </c>
      <c r="K28" s="26" t="s">
        <v>163</v>
      </c>
      <c r="L28" s="26" t="s">
        <v>296</v>
      </c>
    </row>
    <row r="29" s="2" customFormat="1" ht="90" spans="2:12">
      <c r="B29" s="27" t="s">
        <v>297</v>
      </c>
      <c r="C29" s="26" t="s">
        <v>116</v>
      </c>
      <c r="D29" s="26" t="s">
        <v>298</v>
      </c>
      <c r="E29" s="26" t="s">
        <v>90</v>
      </c>
      <c r="F29" s="26" t="s">
        <v>297</v>
      </c>
      <c r="G29" s="26" t="s">
        <v>292</v>
      </c>
      <c r="H29" s="26"/>
      <c r="I29" s="26" t="s">
        <v>299</v>
      </c>
      <c r="J29" s="25" t="s">
        <v>114</v>
      </c>
      <c r="K29" s="26" t="s">
        <v>163</v>
      </c>
      <c r="L29" s="31" t="s">
        <v>300</v>
      </c>
    </row>
    <row r="30" s="2" customFormat="1" ht="12.85" spans="2:12">
      <c r="B30" s="26" t="s">
        <v>301</v>
      </c>
      <c r="C30" s="26" t="s">
        <v>120</v>
      </c>
      <c r="D30" s="26" t="s">
        <v>302</v>
      </c>
      <c r="E30" s="26" t="s">
        <v>90</v>
      </c>
      <c r="F30" s="26" t="s">
        <v>303</v>
      </c>
      <c r="G30" s="26" t="s">
        <v>304</v>
      </c>
      <c r="H30" s="26"/>
      <c r="I30" s="26" t="s">
        <v>124</v>
      </c>
      <c r="J30" s="25" t="s">
        <v>30</v>
      </c>
      <c r="K30" s="26" t="s">
        <v>125</v>
      </c>
      <c r="L30" s="26" t="s">
        <v>305</v>
      </c>
    </row>
    <row r="31" s="2" customFormat="1" ht="12.85" spans="2:12">
      <c r="B31" s="32" t="s">
        <v>306</v>
      </c>
      <c r="C31" s="32" t="s">
        <v>307</v>
      </c>
      <c r="D31" s="32" t="s">
        <v>308</v>
      </c>
      <c r="E31" s="32" t="s">
        <v>309</v>
      </c>
      <c r="F31" s="32"/>
      <c r="G31" s="32" t="s">
        <v>310</v>
      </c>
      <c r="H31" s="32"/>
      <c r="I31" s="32"/>
      <c r="J31" s="33" t="s">
        <v>30</v>
      </c>
      <c r="K31" s="32" t="s">
        <v>137</v>
      </c>
      <c r="L31" s="32" t="s">
        <v>311</v>
      </c>
    </row>
    <row r="32" s="2" customFormat="1" ht="12.85" spans="2:12">
      <c r="B32" s="26" t="s">
        <v>312</v>
      </c>
      <c r="C32" s="26" t="s">
        <v>120</v>
      </c>
      <c r="D32" s="26" t="s">
        <v>313</v>
      </c>
      <c r="E32" s="26" t="s">
        <v>90</v>
      </c>
      <c r="F32" s="26" t="s">
        <v>314</v>
      </c>
      <c r="G32" s="26" t="s">
        <v>315</v>
      </c>
      <c r="H32" s="26"/>
      <c r="I32" s="26"/>
      <c r="J32" s="25" t="s">
        <v>30</v>
      </c>
      <c r="K32" s="26" t="s">
        <v>125</v>
      </c>
      <c r="L32" s="26" t="s">
        <v>305</v>
      </c>
    </row>
    <row r="33" s="2" customFormat="1" ht="12.85" spans="2:13">
      <c r="B33" s="26" t="s">
        <v>316</v>
      </c>
      <c r="C33" s="26" t="s">
        <v>120</v>
      </c>
      <c r="D33" s="26" t="s">
        <v>317</v>
      </c>
      <c r="E33" s="26" t="s">
        <v>90</v>
      </c>
      <c r="F33" s="26" t="s">
        <v>318</v>
      </c>
      <c r="G33" s="26" t="s">
        <v>319</v>
      </c>
      <c r="H33" s="26"/>
      <c r="I33" s="26"/>
      <c r="J33" s="25" t="s">
        <v>30</v>
      </c>
      <c r="K33" s="26" t="s">
        <v>125</v>
      </c>
      <c r="L33" s="26" t="s">
        <v>305</v>
      </c>
    </row>
    <row r="34" spans="2:13">
      <c r="B34" s="34" t="s">
        <v>320</v>
      </c>
      <c r="C34" s="26" t="s">
        <v>174</v>
      </c>
      <c r="D34" s="34" t="s">
        <v>321</v>
      </c>
      <c r="E34" s="26" t="s">
        <v>90</v>
      </c>
      <c r="F34" s="26"/>
      <c r="G34" s="26" t="s">
        <v>322</v>
      </c>
      <c r="H34" s="26"/>
      <c r="I34" s="34" t="s">
        <v>323</v>
      </c>
      <c r="J34" s="25" t="s">
        <v>30</v>
      </c>
      <c r="K34" s="26" t="s">
        <v>137</v>
      </c>
      <c r="L34" s="26" t="s">
        <v>324</v>
      </c>
      <c r="M34" s="2"/>
    </row>
    <row r="35" spans="2:13">
      <c r="B35" s="35" t="s">
        <v>325</v>
      </c>
      <c r="C35" s="32" t="s">
        <v>174</v>
      </c>
      <c r="D35" s="35" t="s">
        <v>326</v>
      </c>
      <c r="E35" s="32" t="s">
        <v>309</v>
      </c>
      <c r="F35" s="32"/>
      <c r="G35" s="32" t="s">
        <v>327</v>
      </c>
      <c r="H35" s="32"/>
      <c r="I35" s="35"/>
      <c r="J35" s="33" t="s">
        <v>30</v>
      </c>
      <c r="K35" s="32" t="s">
        <v>137</v>
      </c>
      <c r="L35" s="32" t="s">
        <v>311</v>
      </c>
      <c r="M35" s="2"/>
    </row>
    <row r="36" spans="2:13">
      <c r="B36" s="26" t="s">
        <v>328</v>
      </c>
      <c r="C36" s="26" t="s">
        <v>120</v>
      </c>
      <c r="D36" s="26" t="s">
        <v>329</v>
      </c>
      <c r="E36" s="26" t="s">
        <v>90</v>
      </c>
      <c r="F36" s="26" t="s">
        <v>330</v>
      </c>
      <c r="G36" s="26" t="s">
        <v>331</v>
      </c>
      <c r="H36" s="26"/>
      <c r="I36" s="26"/>
      <c r="J36" s="25" t="s">
        <v>30</v>
      </c>
      <c r="K36" s="26" t="s">
        <v>125</v>
      </c>
      <c r="L36" s="26" t="s">
        <v>305</v>
      </c>
    </row>
    <row r="37" spans="2:13">
      <c r="B37" s="26" t="s">
        <v>332</v>
      </c>
      <c r="C37" s="26" t="s">
        <v>120</v>
      </c>
      <c r="D37" s="26" t="s">
        <v>333</v>
      </c>
      <c r="E37" s="26" t="s">
        <v>90</v>
      </c>
      <c r="F37" s="26" t="s">
        <v>334</v>
      </c>
      <c r="G37" s="26" t="s">
        <v>335</v>
      </c>
      <c r="H37" s="26"/>
      <c r="I37" s="26"/>
      <c r="J37" s="25" t="s">
        <v>30</v>
      </c>
      <c r="K37" s="26" t="s">
        <v>125</v>
      </c>
      <c r="L37" s="26" t="s">
        <v>305</v>
      </c>
    </row>
    <row r="38" spans="2:13">
      <c r="B38" s="34" t="s">
        <v>336</v>
      </c>
      <c r="C38" s="26" t="s">
        <v>174</v>
      </c>
      <c r="D38" s="34" t="s">
        <v>337</v>
      </c>
      <c r="E38" s="26" t="s">
        <v>90</v>
      </c>
      <c r="F38" s="26"/>
      <c r="G38" s="26" t="s">
        <v>338</v>
      </c>
      <c r="H38" s="26"/>
      <c r="I38" s="34" t="s">
        <v>339</v>
      </c>
      <c r="J38" s="25" t="s">
        <v>30</v>
      </c>
      <c r="K38" s="26" t="s">
        <v>137</v>
      </c>
      <c r="L38" s="26" t="s">
        <v>324</v>
      </c>
    </row>
    <row r="39" spans="2:13">
      <c r="B39" s="35" t="s">
        <v>340</v>
      </c>
      <c r="C39" s="32" t="s">
        <v>174</v>
      </c>
      <c r="D39" s="35" t="s">
        <v>341</v>
      </c>
      <c r="E39" s="32" t="s">
        <v>309</v>
      </c>
      <c r="F39" s="32"/>
      <c r="G39" s="32" t="s">
        <v>342</v>
      </c>
      <c r="H39" s="32"/>
      <c r="I39" s="35"/>
      <c r="J39" s="33" t="s">
        <v>30</v>
      </c>
      <c r="K39" s="32" t="s">
        <v>137</v>
      </c>
      <c r="L39" s="32" t="s">
        <v>311</v>
      </c>
    </row>
    <row r="40" spans="2:13">
      <c r="B40" s="26" t="s">
        <v>343</v>
      </c>
      <c r="C40" s="26" t="s">
        <v>120</v>
      </c>
      <c r="D40" s="26" t="s">
        <v>344</v>
      </c>
      <c r="E40" s="26" t="s">
        <v>90</v>
      </c>
      <c r="F40" s="26" t="s">
        <v>345</v>
      </c>
      <c r="G40" s="26" t="s">
        <v>346</v>
      </c>
      <c r="H40" s="26"/>
      <c r="I40" s="34"/>
      <c r="J40" s="25" t="s">
        <v>30</v>
      </c>
      <c r="K40" s="26" t="s">
        <v>125</v>
      </c>
      <c r="L40" s="26" t="s">
        <v>305</v>
      </c>
    </row>
    <row r="41" spans="2:13">
      <c r="B41" s="26" t="s">
        <v>347</v>
      </c>
      <c r="C41" s="26" t="s">
        <v>120</v>
      </c>
      <c r="D41" s="26" t="s">
        <v>348</v>
      </c>
      <c r="E41" s="26" t="s">
        <v>90</v>
      </c>
      <c r="F41" s="26" t="s">
        <v>349</v>
      </c>
      <c r="G41" s="26" t="s">
        <v>350</v>
      </c>
      <c r="H41" s="26"/>
      <c r="I41" s="34"/>
      <c r="J41" s="25" t="s">
        <v>30</v>
      </c>
      <c r="K41" s="26" t="s">
        <v>125</v>
      </c>
      <c r="L41" s="26" t="s">
        <v>305</v>
      </c>
    </row>
    <row r="42" spans="2:13">
      <c r="B42" s="34" t="s">
        <v>351</v>
      </c>
      <c r="C42" s="26" t="s">
        <v>174</v>
      </c>
      <c r="D42" s="34" t="s">
        <v>352</v>
      </c>
      <c r="E42" s="26" t="s">
        <v>90</v>
      </c>
      <c r="F42" s="26"/>
      <c r="G42" s="26" t="s">
        <v>353</v>
      </c>
      <c r="H42" s="26"/>
      <c r="I42" s="34" t="s">
        <v>354</v>
      </c>
      <c r="J42" s="25" t="s">
        <v>30</v>
      </c>
      <c r="K42" s="26" t="s">
        <v>137</v>
      </c>
      <c r="L42" s="26" t="s">
        <v>324</v>
      </c>
    </row>
    <row r="43" spans="2:13">
      <c r="B43" s="35" t="s">
        <v>355</v>
      </c>
      <c r="C43" s="32" t="s">
        <v>174</v>
      </c>
      <c r="D43" s="35" t="s">
        <v>356</v>
      </c>
      <c r="E43" s="32" t="s">
        <v>309</v>
      </c>
      <c r="F43" s="32"/>
      <c r="G43" s="32" t="s">
        <v>357</v>
      </c>
      <c r="H43" s="32"/>
      <c r="I43" s="35"/>
      <c r="J43" s="33" t="s">
        <v>30</v>
      </c>
      <c r="K43" s="32" t="s">
        <v>137</v>
      </c>
      <c r="L43" s="32" t="s">
        <v>311</v>
      </c>
    </row>
    <row r="44" spans="2:13">
      <c r="B44" s="26" t="s">
        <v>358</v>
      </c>
      <c r="C44" s="26" t="s">
        <v>120</v>
      </c>
      <c r="D44" s="26" t="s">
        <v>359</v>
      </c>
      <c r="E44" s="26" t="s">
        <v>90</v>
      </c>
      <c r="F44" s="26" t="s">
        <v>360</v>
      </c>
      <c r="G44" s="26" t="s">
        <v>361</v>
      </c>
      <c r="H44" s="26"/>
      <c r="I44" s="34"/>
      <c r="J44" s="25" t="s">
        <v>30</v>
      </c>
      <c r="K44" s="26" t="s">
        <v>125</v>
      </c>
      <c r="L44" s="26" t="s">
        <v>305</v>
      </c>
    </row>
    <row r="45" spans="2:13">
      <c r="B45" s="26" t="s">
        <v>362</v>
      </c>
      <c r="C45" s="26" t="s">
        <v>120</v>
      </c>
      <c r="D45" s="26" t="s">
        <v>363</v>
      </c>
      <c r="E45" s="26" t="s">
        <v>90</v>
      </c>
      <c r="F45" s="26" t="s">
        <v>364</v>
      </c>
      <c r="G45" s="26" t="s">
        <v>365</v>
      </c>
      <c r="H45" s="26"/>
      <c r="I45" s="34"/>
      <c r="J45" s="25" t="s">
        <v>30</v>
      </c>
      <c r="K45" s="26" t="s">
        <v>125</v>
      </c>
      <c r="L45" s="26" t="s">
        <v>305</v>
      </c>
    </row>
    <row r="46" spans="2:13">
      <c r="B46" s="34" t="s">
        <v>366</v>
      </c>
      <c r="C46" s="26" t="s">
        <v>174</v>
      </c>
      <c r="D46" s="34" t="s">
        <v>367</v>
      </c>
      <c r="E46" s="26" t="s">
        <v>90</v>
      </c>
      <c r="F46" s="26"/>
      <c r="G46" s="26" t="s">
        <v>368</v>
      </c>
      <c r="H46" s="26"/>
      <c r="I46" s="34" t="s">
        <v>369</v>
      </c>
      <c r="J46" s="25" t="s">
        <v>30</v>
      </c>
      <c r="K46" s="26" t="s">
        <v>137</v>
      </c>
      <c r="L46" s="26" t="s">
        <v>324</v>
      </c>
    </row>
    <row r="47" spans="2:13">
      <c r="B47" s="35" t="s">
        <v>370</v>
      </c>
      <c r="C47" s="32" t="s">
        <v>174</v>
      </c>
      <c r="D47" s="35" t="s">
        <v>371</v>
      </c>
      <c r="E47" s="32" t="s">
        <v>309</v>
      </c>
      <c r="F47" s="32"/>
      <c r="G47" s="32" t="s">
        <v>372</v>
      </c>
      <c r="H47" s="32"/>
      <c r="I47" s="35"/>
      <c r="J47" s="33" t="s">
        <v>30</v>
      </c>
      <c r="K47" s="32" t="s">
        <v>137</v>
      </c>
      <c r="L47" s="32" t="s">
        <v>311</v>
      </c>
    </row>
    <row r="48" spans="2:13">
      <c r="B48" s="26" t="s">
        <v>373</v>
      </c>
      <c r="C48" s="26" t="s">
        <v>120</v>
      </c>
      <c r="D48" s="26" t="s">
        <v>374</v>
      </c>
      <c r="E48" s="26" t="s">
        <v>90</v>
      </c>
      <c r="F48" s="26" t="s">
        <v>375</v>
      </c>
      <c r="G48" s="26" t="s">
        <v>376</v>
      </c>
      <c r="H48" s="26"/>
      <c r="I48" s="34"/>
      <c r="J48" s="25" t="s">
        <v>30</v>
      </c>
      <c r="K48" s="26" t="s">
        <v>125</v>
      </c>
      <c r="L48" s="26" t="s">
        <v>305</v>
      </c>
    </row>
    <row r="49" spans="2:12">
      <c r="B49" s="26" t="s">
        <v>377</v>
      </c>
      <c r="C49" s="26" t="s">
        <v>120</v>
      </c>
      <c r="D49" s="26" t="s">
        <v>378</v>
      </c>
      <c r="E49" s="26" t="s">
        <v>90</v>
      </c>
      <c r="F49" s="26" t="s">
        <v>379</v>
      </c>
      <c r="G49" s="26" t="s">
        <v>380</v>
      </c>
      <c r="H49" s="26"/>
      <c r="I49" s="34"/>
      <c r="J49" s="25" t="s">
        <v>30</v>
      </c>
      <c r="K49" s="26" t="s">
        <v>125</v>
      </c>
      <c r="L49" s="26" t="s">
        <v>305</v>
      </c>
    </row>
    <row r="50" spans="2:12">
      <c r="B50" s="34" t="s">
        <v>381</v>
      </c>
      <c r="C50" s="26" t="s">
        <v>174</v>
      </c>
      <c r="D50" s="34" t="s">
        <v>382</v>
      </c>
      <c r="E50" s="26" t="s">
        <v>90</v>
      </c>
      <c r="F50" s="26"/>
      <c r="G50" s="26" t="s">
        <v>383</v>
      </c>
      <c r="H50" s="26"/>
      <c r="I50" s="34" t="s">
        <v>384</v>
      </c>
      <c r="J50" s="25" t="s">
        <v>30</v>
      </c>
      <c r="K50" s="26" t="s">
        <v>137</v>
      </c>
      <c r="L50" s="26" t="s">
        <v>324</v>
      </c>
    </row>
    <row r="51" spans="2:12">
      <c r="B51" s="35" t="s">
        <v>385</v>
      </c>
      <c r="C51" s="32" t="s">
        <v>174</v>
      </c>
      <c r="D51" s="35" t="s">
        <v>386</v>
      </c>
      <c r="E51" s="32" t="s">
        <v>309</v>
      </c>
      <c r="F51" s="32"/>
      <c r="G51" s="32" t="s">
        <v>387</v>
      </c>
      <c r="H51" s="32"/>
      <c r="I51" s="35"/>
      <c r="J51" s="33" t="s">
        <v>30</v>
      </c>
      <c r="K51" s="32" t="s">
        <v>137</v>
      </c>
      <c r="L51" s="32" t="s">
        <v>311</v>
      </c>
    </row>
    <row r="52" spans="2:12">
      <c r="B52" s="26" t="s">
        <v>388</v>
      </c>
      <c r="C52" s="26" t="s">
        <v>120</v>
      </c>
      <c r="D52" s="26" t="s">
        <v>389</v>
      </c>
      <c r="E52" s="26" t="s">
        <v>90</v>
      </c>
      <c r="F52" s="26" t="s">
        <v>390</v>
      </c>
      <c r="G52" s="26" t="s">
        <v>391</v>
      </c>
      <c r="H52" s="26"/>
      <c r="I52" s="34"/>
      <c r="J52" s="25" t="s">
        <v>30</v>
      </c>
      <c r="K52" s="26" t="s">
        <v>125</v>
      </c>
      <c r="L52" s="26" t="s">
        <v>305</v>
      </c>
    </row>
    <row r="53" spans="2:12">
      <c r="B53" s="26" t="s">
        <v>392</v>
      </c>
      <c r="C53" s="26" t="s">
        <v>120</v>
      </c>
      <c r="D53" s="26" t="s">
        <v>393</v>
      </c>
      <c r="E53" s="26" t="s">
        <v>90</v>
      </c>
      <c r="F53" s="26" t="s">
        <v>394</v>
      </c>
      <c r="G53" s="26" t="s">
        <v>395</v>
      </c>
      <c r="H53" s="26"/>
      <c r="I53" s="34"/>
      <c r="J53" s="25" t="s">
        <v>30</v>
      </c>
      <c r="K53" s="26" t="s">
        <v>125</v>
      </c>
      <c r="L53" s="26" t="s">
        <v>305</v>
      </c>
    </row>
    <row r="54" spans="2:12">
      <c r="B54" s="34" t="s">
        <v>396</v>
      </c>
      <c r="C54" s="26" t="s">
        <v>174</v>
      </c>
      <c r="D54" s="34" t="s">
        <v>397</v>
      </c>
      <c r="E54" s="26" t="s">
        <v>90</v>
      </c>
      <c r="F54" s="26"/>
      <c r="G54" s="26" t="s">
        <v>398</v>
      </c>
      <c r="H54" s="26"/>
      <c r="I54" s="34" t="s">
        <v>399</v>
      </c>
      <c r="J54" s="25" t="s">
        <v>30</v>
      </c>
      <c r="K54" s="26" t="s">
        <v>137</v>
      </c>
      <c r="L54" s="26" t="s">
        <v>324</v>
      </c>
    </row>
    <row r="55" spans="2:12">
      <c r="B55" s="35" t="s">
        <v>400</v>
      </c>
      <c r="C55" s="32" t="s">
        <v>174</v>
      </c>
      <c r="D55" s="35" t="s">
        <v>401</v>
      </c>
      <c r="E55" s="32" t="s">
        <v>309</v>
      </c>
      <c r="F55" s="32"/>
      <c r="G55" s="32" t="s">
        <v>402</v>
      </c>
      <c r="H55" s="32"/>
      <c r="I55" s="35"/>
      <c r="J55" s="33" t="s">
        <v>30</v>
      </c>
      <c r="K55" s="32" t="s">
        <v>137</v>
      </c>
      <c r="L55" s="32" t="s">
        <v>311</v>
      </c>
    </row>
    <row r="56" spans="2:12">
      <c r="B56" s="26" t="s">
        <v>403</v>
      </c>
      <c r="C56" s="26" t="s">
        <v>120</v>
      </c>
      <c r="D56" s="26" t="s">
        <v>404</v>
      </c>
      <c r="E56" s="26" t="s">
        <v>90</v>
      </c>
      <c r="F56" s="26" t="s">
        <v>405</v>
      </c>
      <c r="G56" s="26" t="s">
        <v>406</v>
      </c>
      <c r="H56" s="26"/>
      <c r="I56" s="34"/>
      <c r="J56" s="25" t="s">
        <v>30</v>
      </c>
      <c r="K56" s="26" t="s">
        <v>125</v>
      </c>
      <c r="L56" s="26" t="s">
        <v>305</v>
      </c>
    </row>
    <row r="57" spans="2:12">
      <c r="B57" s="26" t="s">
        <v>407</v>
      </c>
      <c r="C57" s="26" t="s">
        <v>120</v>
      </c>
      <c r="D57" s="26" t="s">
        <v>408</v>
      </c>
      <c r="E57" s="26" t="s">
        <v>90</v>
      </c>
      <c r="F57" s="26" t="s">
        <v>409</v>
      </c>
      <c r="G57" s="26" t="s">
        <v>410</v>
      </c>
      <c r="H57" s="26"/>
      <c r="I57" s="34"/>
      <c r="J57" s="25" t="s">
        <v>30</v>
      </c>
      <c r="K57" s="26" t="s">
        <v>125</v>
      </c>
      <c r="L57" s="26" t="s">
        <v>305</v>
      </c>
    </row>
    <row r="58" spans="2:12">
      <c r="B58" s="34" t="s">
        <v>411</v>
      </c>
      <c r="C58" s="26" t="s">
        <v>174</v>
      </c>
      <c r="D58" s="34" t="s">
        <v>412</v>
      </c>
      <c r="E58" s="26" t="s">
        <v>90</v>
      </c>
      <c r="F58" s="26"/>
      <c r="G58" s="26" t="s">
        <v>413</v>
      </c>
      <c r="H58" s="26"/>
      <c r="I58" s="34" t="s">
        <v>414</v>
      </c>
      <c r="J58" s="25" t="s">
        <v>30</v>
      </c>
      <c r="K58" s="26" t="s">
        <v>137</v>
      </c>
      <c r="L58" s="26" t="s">
        <v>324</v>
      </c>
    </row>
    <row r="59" spans="2:12">
      <c r="B59" s="35" t="s">
        <v>415</v>
      </c>
      <c r="C59" s="32" t="s">
        <v>174</v>
      </c>
      <c r="D59" s="35" t="s">
        <v>416</v>
      </c>
      <c r="E59" s="32" t="s">
        <v>309</v>
      </c>
      <c r="F59" s="32"/>
      <c r="G59" s="32" t="s">
        <v>417</v>
      </c>
      <c r="H59" s="32"/>
      <c r="I59" s="35"/>
      <c r="J59" s="33" t="s">
        <v>30</v>
      </c>
      <c r="K59" s="32" t="s">
        <v>137</v>
      </c>
      <c r="L59" s="32" t="s">
        <v>311</v>
      </c>
    </row>
    <row r="60" spans="2:12">
      <c r="B60" s="26" t="s">
        <v>418</v>
      </c>
      <c r="C60" s="26" t="s">
        <v>120</v>
      </c>
      <c r="D60" s="26" t="s">
        <v>419</v>
      </c>
      <c r="E60" s="26" t="s">
        <v>90</v>
      </c>
      <c r="F60" s="26" t="s">
        <v>420</v>
      </c>
      <c r="G60" s="26" t="s">
        <v>421</v>
      </c>
      <c r="H60" s="26"/>
      <c r="I60" s="34"/>
      <c r="J60" s="25" t="s">
        <v>30</v>
      </c>
      <c r="K60" s="26" t="s">
        <v>125</v>
      </c>
      <c r="L60" s="26" t="s">
        <v>305</v>
      </c>
    </row>
    <row r="61" spans="2:12">
      <c r="B61" s="26" t="s">
        <v>422</v>
      </c>
      <c r="C61" s="26" t="s">
        <v>120</v>
      </c>
      <c r="D61" s="26" t="s">
        <v>423</v>
      </c>
      <c r="E61" s="26" t="s">
        <v>90</v>
      </c>
      <c r="F61" s="26" t="s">
        <v>424</v>
      </c>
      <c r="G61" s="26" t="s">
        <v>425</v>
      </c>
      <c r="H61" s="26"/>
      <c r="I61" s="34"/>
      <c r="J61" s="25" t="s">
        <v>30</v>
      </c>
      <c r="K61" s="26" t="s">
        <v>125</v>
      </c>
      <c r="L61" s="26" t="s">
        <v>305</v>
      </c>
    </row>
    <row r="62" spans="2:12">
      <c r="B62" s="34" t="s">
        <v>426</v>
      </c>
      <c r="C62" s="26" t="s">
        <v>174</v>
      </c>
      <c r="D62" s="34" t="s">
        <v>427</v>
      </c>
      <c r="E62" s="26" t="s">
        <v>90</v>
      </c>
      <c r="F62" s="26"/>
      <c r="G62" s="26" t="s">
        <v>428</v>
      </c>
      <c r="H62" s="26"/>
      <c r="I62" s="34" t="s">
        <v>429</v>
      </c>
      <c r="J62" s="25" t="s">
        <v>30</v>
      </c>
      <c r="K62" s="26" t="s">
        <v>137</v>
      </c>
      <c r="L62" s="26" t="s">
        <v>324</v>
      </c>
    </row>
    <row r="63" spans="2:12">
      <c r="B63" s="35" t="s">
        <v>430</v>
      </c>
      <c r="C63" s="32" t="s">
        <v>174</v>
      </c>
      <c r="D63" s="35" t="s">
        <v>431</v>
      </c>
      <c r="E63" s="32" t="s">
        <v>309</v>
      </c>
      <c r="F63" s="32"/>
      <c r="G63" s="32" t="s">
        <v>432</v>
      </c>
      <c r="H63" s="32"/>
      <c r="I63" s="35"/>
      <c r="J63" s="33" t="s">
        <v>30</v>
      </c>
      <c r="K63" s="32" t="s">
        <v>137</v>
      </c>
      <c r="L63" s="32" t="s">
        <v>311</v>
      </c>
    </row>
    <row r="64" spans="2:12">
      <c r="B64" s="26" t="s">
        <v>433</v>
      </c>
      <c r="C64" s="26" t="s">
        <v>120</v>
      </c>
      <c r="D64" s="26" t="s">
        <v>434</v>
      </c>
      <c r="E64" s="26" t="s">
        <v>90</v>
      </c>
      <c r="F64" s="26" t="s">
        <v>435</v>
      </c>
      <c r="G64" s="26" t="s">
        <v>436</v>
      </c>
      <c r="H64" s="26"/>
      <c r="I64" s="34"/>
      <c r="J64" s="25" t="s">
        <v>30</v>
      </c>
      <c r="K64" s="26" t="s">
        <v>125</v>
      </c>
      <c r="L64" s="26" t="s">
        <v>305</v>
      </c>
    </row>
    <row r="65" spans="2:12">
      <c r="B65" s="26" t="s">
        <v>437</v>
      </c>
      <c r="C65" s="26" t="s">
        <v>120</v>
      </c>
      <c r="D65" s="26" t="s">
        <v>438</v>
      </c>
      <c r="E65" s="26" t="s">
        <v>90</v>
      </c>
      <c r="F65" s="26" t="s">
        <v>439</v>
      </c>
      <c r="G65" s="26" t="s">
        <v>440</v>
      </c>
      <c r="H65" s="26"/>
      <c r="I65" s="34"/>
      <c r="J65" s="25" t="s">
        <v>30</v>
      </c>
      <c r="K65" s="26" t="s">
        <v>125</v>
      </c>
      <c r="L65" s="26" t="s">
        <v>305</v>
      </c>
    </row>
    <row r="66" spans="2:12">
      <c r="B66" s="34" t="s">
        <v>441</v>
      </c>
      <c r="C66" s="26" t="s">
        <v>174</v>
      </c>
      <c r="D66" s="34" t="s">
        <v>442</v>
      </c>
      <c r="E66" s="26" t="s">
        <v>90</v>
      </c>
      <c r="F66" s="26"/>
      <c r="G66" s="26" t="s">
        <v>443</v>
      </c>
      <c r="H66" s="26"/>
      <c r="I66" s="34" t="s">
        <v>429</v>
      </c>
      <c r="J66" s="25" t="s">
        <v>30</v>
      </c>
      <c r="K66" s="26" t="s">
        <v>137</v>
      </c>
      <c r="L66" s="26" t="s">
        <v>324</v>
      </c>
    </row>
    <row r="67" spans="2:12">
      <c r="B67" s="35" t="s">
        <v>444</v>
      </c>
      <c r="C67" s="32" t="s">
        <v>174</v>
      </c>
      <c r="D67" s="35" t="s">
        <v>445</v>
      </c>
      <c r="E67" s="32" t="s">
        <v>309</v>
      </c>
      <c r="F67" s="32"/>
      <c r="G67" s="32" t="s">
        <v>446</v>
      </c>
      <c r="H67" s="32"/>
      <c r="I67" s="35"/>
      <c r="J67" s="33" t="s">
        <v>30</v>
      </c>
      <c r="K67" s="32" t="s">
        <v>137</v>
      </c>
      <c r="L67" s="32" t="s">
        <v>311</v>
      </c>
    </row>
    <row r="68" spans="2:12">
      <c r="B68" s="26" t="s">
        <v>447</v>
      </c>
      <c r="C68" s="26" t="s">
        <v>120</v>
      </c>
      <c r="D68" s="26" t="s">
        <v>448</v>
      </c>
      <c r="E68" s="26" t="s">
        <v>90</v>
      </c>
      <c r="F68" s="26" t="s">
        <v>449</v>
      </c>
      <c r="G68" s="26" t="s">
        <v>450</v>
      </c>
      <c r="H68" s="26"/>
      <c r="I68" s="34"/>
      <c r="J68" s="25" t="s">
        <v>30</v>
      </c>
      <c r="K68" s="26" t="s">
        <v>125</v>
      </c>
      <c r="L68" s="26" t="s">
        <v>305</v>
      </c>
    </row>
    <row r="69" spans="2:12">
      <c r="B69" s="26" t="s">
        <v>451</v>
      </c>
      <c r="C69" s="26" t="s">
        <v>120</v>
      </c>
      <c r="D69" s="26" t="s">
        <v>452</v>
      </c>
      <c r="E69" s="26" t="s">
        <v>90</v>
      </c>
      <c r="F69" s="26" t="s">
        <v>453</v>
      </c>
      <c r="G69" s="26" t="s">
        <v>454</v>
      </c>
      <c r="H69" s="26"/>
      <c r="I69" s="34"/>
      <c r="J69" s="25" t="s">
        <v>30</v>
      </c>
      <c r="K69" s="26" t="s">
        <v>125</v>
      </c>
      <c r="L69" s="26" t="s">
        <v>305</v>
      </c>
    </row>
    <row r="70" spans="2:12">
      <c r="B70" s="34" t="s">
        <v>455</v>
      </c>
      <c r="C70" s="26" t="s">
        <v>174</v>
      </c>
      <c r="D70" s="34" t="s">
        <v>456</v>
      </c>
      <c r="E70" s="26" t="s">
        <v>90</v>
      </c>
      <c r="F70" s="26"/>
      <c r="G70" s="26" t="s">
        <v>457</v>
      </c>
      <c r="H70" s="26"/>
      <c r="I70" s="34" t="s">
        <v>458</v>
      </c>
      <c r="J70" s="25" t="s">
        <v>30</v>
      </c>
      <c r="K70" s="26" t="s">
        <v>137</v>
      </c>
      <c r="L70" s="26" t="s">
        <v>324</v>
      </c>
    </row>
    <row r="71" spans="2:12">
      <c r="B71" s="35" t="s">
        <v>459</v>
      </c>
      <c r="C71" s="32" t="s">
        <v>174</v>
      </c>
      <c r="D71" s="35" t="s">
        <v>460</v>
      </c>
      <c r="E71" s="32" t="s">
        <v>309</v>
      </c>
      <c r="F71" s="32"/>
      <c r="G71" s="32" t="s">
        <v>461</v>
      </c>
      <c r="H71" s="32"/>
      <c r="I71" s="35"/>
      <c r="J71" s="33" t="s">
        <v>30</v>
      </c>
      <c r="K71" s="32" t="s">
        <v>137</v>
      </c>
      <c r="L71" s="32" t="s">
        <v>311</v>
      </c>
    </row>
    <row r="72" spans="2:12">
      <c r="B72" s="26" t="s">
        <v>462</v>
      </c>
      <c r="C72" s="26" t="s">
        <v>120</v>
      </c>
      <c r="D72" s="26" t="s">
        <v>463</v>
      </c>
      <c r="E72" s="26" t="s">
        <v>90</v>
      </c>
      <c r="F72" s="26" t="s">
        <v>464</v>
      </c>
      <c r="G72" s="26" t="s">
        <v>465</v>
      </c>
      <c r="H72" s="26"/>
      <c r="I72" s="34"/>
      <c r="J72" s="25" t="s">
        <v>30</v>
      </c>
      <c r="K72" s="26" t="s">
        <v>125</v>
      </c>
      <c r="L72" s="26" t="s">
        <v>305</v>
      </c>
    </row>
    <row r="73" spans="2:12">
      <c r="B73" s="26" t="s">
        <v>466</v>
      </c>
      <c r="C73" s="26" t="s">
        <v>120</v>
      </c>
      <c r="D73" s="26" t="s">
        <v>467</v>
      </c>
      <c r="E73" s="26" t="s">
        <v>90</v>
      </c>
      <c r="F73" s="26" t="s">
        <v>468</v>
      </c>
      <c r="G73" s="26" t="s">
        <v>469</v>
      </c>
      <c r="H73" s="26"/>
      <c r="I73" s="34"/>
      <c r="J73" s="25" t="s">
        <v>30</v>
      </c>
      <c r="K73" s="26" t="s">
        <v>125</v>
      </c>
      <c r="L73" s="26" t="s">
        <v>305</v>
      </c>
    </row>
    <row r="74" spans="2:12">
      <c r="B74" s="34" t="s">
        <v>470</v>
      </c>
      <c r="C74" s="26" t="s">
        <v>174</v>
      </c>
      <c r="D74" s="34" t="s">
        <v>471</v>
      </c>
      <c r="E74" s="26" t="s">
        <v>90</v>
      </c>
      <c r="F74" s="26"/>
      <c r="G74" s="26" t="s">
        <v>472</v>
      </c>
      <c r="H74" s="26"/>
      <c r="I74" s="34" t="s">
        <v>473</v>
      </c>
      <c r="J74" s="25" t="s">
        <v>30</v>
      </c>
      <c r="K74" s="26" t="s">
        <v>137</v>
      </c>
      <c r="L74" s="26" t="s">
        <v>324</v>
      </c>
    </row>
    <row r="75" spans="2:12">
      <c r="B75" s="35" t="s">
        <v>474</v>
      </c>
      <c r="C75" s="32" t="s">
        <v>174</v>
      </c>
      <c r="D75" s="35" t="s">
        <v>475</v>
      </c>
      <c r="E75" s="32" t="s">
        <v>309</v>
      </c>
      <c r="F75" s="32"/>
      <c r="G75" s="32" t="s">
        <v>476</v>
      </c>
      <c r="H75" s="32"/>
      <c r="I75" s="35"/>
      <c r="J75" s="33" t="s">
        <v>30</v>
      </c>
      <c r="K75" s="32" t="s">
        <v>137</v>
      </c>
      <c r="L75" s="32" t="s">
        <v>311</v>
      </c>
    </row>
    <row r="76" spans="2:12">
      <c r="B76" s="26" t="s">
        <v>477</v>
      </c>
      <c r="C76" s="26" t="s">
        <v>120</v>
      </c>
      <c r="D76" s="26" t="s">
        <v>478</v>
      </c>
      <c r="E76" s="26" t="s">
        <v>90</v>
      </c>
      <c r="F76" s="26" t="s">
        <v>479</v>
      </c>
      <c r="G76" s="26" t="s">
        <v>480</v>
      </c>
      <c r="H76" s="26"/>
      <c r="I76" s="34"/>
      <c r="J76" s="25" t="s">
        <v>30</v>
      </c>
      <c r="K76" s="26" t="s">
        <v>125</v>
      </c>
      <c r="L76" s="26" t="s">
        <v>305</v>
      </c>
    </row>
    <row r="77" spans="2:12">
      <c r="B77" s="26" t="s">
        <v>481</v>
      </c>
      <c r="C77" s="26" t="s">
        <v>120</v>
      </c>
      <c r="D77" s="26" t="s">
        <v>482</v>
      </c>
      <c r="E77" s="26" t="s">
        <v>90</v>
      </c>
      <c r="F77" s="26" t="s">
        <v>483</v>
      </c>
      <c r="G77" s="26" t="s">
        <v>484</v>
      </c>
      <c r="H77" s="26"/>
      <c r="I77" s="34"/>
      <c r="J77" s="25" t="s">
        <v>30</v>
      </c>
      <c r="K77" s="26" t="s">
        <v>125</v>
      </c>
      <c r="L77" s="26" t="s">
        <v>305</v>
      </c>
    </row>
    <row r="78" spans="2:12">
      <c r="B78" s="34" t="s">
        <v>485</v>
      </c>
      <c r="C78" s="26" t="s">
        <v>174</v>
      </c>
      <c r="D78" s="34" t="s">
        <v>486</v>
      </c>
      <c r="E78" s="26" t="s">
        <v>90</v>
      </c>
      <c r="F78" s="26"/>
      <c r="G78" s="26" t="s">
        <v>487</v>
      </c>
      <c r="H78" s="26"/>
      <c r="I78" s="34" t="s">
        <v>488</v>
      </c>
      <c r="J78" s="25" t="s">
        <v>30</v>
      </c>
      <c r="K78" s="26" t="s">
        <v>137</v>
      </c>
      <c r="L78" s="26" t="s">
        <v>324</v>
      </c>
    </row>
    <row r="79" spans="2:12">
      <c r="B79" s="35" t="s">
        <v>489</v>
      </c>
      <c r="C79" s="32" t="s">
        <v>174</v>
      </c>
      <c r="D79" s="35" t="s">
        <v>490</v>
      </c>
      <c r="E79" s="38" t="s">
        <v>309</v>
      </c>
      <c r="F79" s="37"/>
      <c r="G79" s="32" t="s">
        <v>491</v>
      </c>
      <c r="H79" s="37"/>
      <c r="I79" s="37"/>
      <c r="J79" s="33" t="s">
        <v>30</v>
      </c>
      <c r="K79" s="32" t="s">
        <v>137</v>
      </c>
      <c r="L79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9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32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51</v>
      </c>
      <c r="D4" s="11" t="s">
        <v>52</v>
      </c>
      <c r="E4" s="9" t="s">
        <v>78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26.25" customHeight="1" spans="2:14">
      <c r="B8" s="9" t="s">
        <v>253</v>
      </c>
      <c r="C8" s="31" t="s">
        <v>498</v>
      </c>
      <c r="D8" s="26" t="s">
        <v>499</v>
      </c>
      <c r="E8" s="9" t="s">
        <v>90</v>
      </c>
      <c r="F8" s="24" t="s">
        <v>500</v>
      </c>
      <c r="G8" s="17" t="s">
        <v>257</v>
      </c>
      <c r="H8" s="18" t="s">
        <v>93</v>
      </c>
    </row>
    <row r="9" ht="25.7" spans="2:14">
      <c r="B9" s="9" t="s">
        <v>253</v>
      </c>
      <c r="C9" s="10" t="s">
        <v>51</v>
      </c>
      <c r="D9" s="11" t="s">
        <v>52</v>
      </c>
      <c r="E9" s="9" t="s">
        <v>96</v>
      </c>
      <c r="F9" s="9" t="s">
        <v>501</v>
      </c>
      <c r="G9" s="19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108</v>
      </c>
      <c r="C12" s="22" t="s">
        <v>109</v>
      </c>
      <c r="D12" s="22" t="s">
        <v>110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2" t="s">
        <v>111</v>
      </c>
      <c r="C13" s="22" t="s">
        <v>109</v>
      </c>
      <c r="D13" s="22" t="s">
        <v>112</v>
      </c>
      <c r="E13" s="23"/>
      <c r="F13" s="24"/>
      <c r="G13" s="24"/>
      <c r="H13" s="24"/>
      <c r="I13" s="25"/>
      <c r="J13" s="25"/>
      <c r="K13" s="25"/>
      <c r="L13" s="25"/>
    </row>
    <row r="14" s="1" customFormat="1" ht="12.85" spans="2:14">
      <c r="B14" s="26" t="s">
        <v>113</v>
      </c>
      <c r="C14" s="26" t="s">
        <v>109</v>
      </c>
      <c r="D14" s="26" t="s">
        <v>60</v>
      </c>
      <c r="E14" s="26"/>
      <c r="F14" s="26"/>
      <c r="G14" s="26"/>
      <c r="H14" s="26"/>
      <c r="I14" s="25"/>
      <c r="J14" s="25"/>
      <c r="K14" s="25"/>
      <c r="L14" s="25"/>
    </row>
    <row r="15" s="1" customFormat="1" ht="12.85" spans="2:14">
      <c r="B15" s="26" t="s">
        <v>78</v>
      </c>
      <c r="C15" s="26" t="s">
        <v>109</v>
      </c>
      <c r="D15" s="26" t="s">
        <v>35</v>
      </c>
      <c r="E15" s="26"/>
      <c r="F15" s="26"/>
      <c r="G15" s="26"/>
      <c r="H15" s="26"/>
      <c r="I15" s="25"/>
      <c r="J15" s="25"/>
      <c r="K15" s="25"/>
      <c r="L15" s="25"/>
    </row>
    <row r="16" s="1" customFormat="1" ht="12.85" spans="2:14">
      <c r="B16" s="27" t="s">
        <v>263</v>
      </c>
      <c r="C16" s="26" t="s">
        <v>109</v>
      </c>
      <c r="D16" s="26" t="s">
        <v>264</v>
      </c>
      <c r="E16" s="26" t="s">
        <v>90</v>
      </c>
      <c r="F16" s="26" t="s">
        <v>265</v>
      </c>
      <c r="G16" s="26" t="s">
        <v>262</v>
      </c>
      <c r="H16" s="26"/>
      <c r="I16" s="25"/>
      <c r="J16" s="25" t="s">
        <v>114</v>
      </c>
      <c r="K16" s="25" t="s">
        <v>163</v>
      </c>
      <c r="L16" s="25" t="s">
        <v>266</v>
      </c>
    </row>
    <row r="17" s="1" customFormat="1" ht="38.55" spans="2:12">
      <c r="B17" s="27" t="s">
        <v>115</v>
      </c>
      <c r="C17" s="26" t="s">
        <v>116</v>
      </c>
      <c r="D17" s="26" t="s">
        <v>117</v>
      </c>
      <c r="E17" s="26" t="s">
        <v>90</v>
      </c>
      <c r="F17" s="26" t="s">
        <v>115</v>
      </c>
      <c r="G17" s="26" t="s">
        <v>267</v>
      </c>
      <c r="H17" s="26"/>
      <c r="I17" s="25"/>
      <c r="J17" s="25" t="s">
        <v>114</v>
      </c>
      <c r="K17" s="25" t="s">
        <v>163</v>
      </c>
      <c r="L17" s="28" t="s">
        <v>164</v>
      </c>
    </row>
    <row r="18" s="1" customFormat="1" ht="12.85" spans="2:12">
      <c r="B18" s="27" t="s">
        <v>268</v>
      </c>
      <c r="C18" s="26" t="s">
        <v>109</v>
      </c>
      <c r="D18" s="26" t="s">
        <v>269</v>
      </c>
      <c r="E18" s="26" t="s">
        <v>90</v>
      </c>
      <c r="F18" s="26" t="s">
        <v>270</v>
      </c>
      <c r="G18" s="26" t="s">
        <v>262</v>
      </c>
      <c r="H18" s="26"/>
      <c r="I18" s="25"/>
      <c r="J18" s="25" t="s">
        <v>114</v>
      </c>
      <c r="K18" s="25"/>
      <c r="L18" s="25"/>
    </row>
    <row r="19" s="2" customFormat="1" ht="12.85" spans="2:12">
      <c r="B19" s="27" t="s">
        <v>271</v>
      </c>
      <c r="C19" s="26" t="s">
        <v>116</v>
      </c>
      <c r="D19" s="26" t="s">
        <v>272</v>
      </c>
      <c r="E19" s="26" t="s">
        <v>90</v>
      </c>
      <c r="F19" s="26" t="s">
        <v>271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2">
      <c r="B20" s="27" t="s">
        <v>273</v>
      </c>
      <c r="C20" s="26" t="s">
        <v>109</v>
      </c>
      <c r="D20" s="26" t="s">
        <v>274</v>
      </c>
      <c r="E20" s="26" t="s">
        <v>90</v>
      </c>
      <c r="F20" s="26" t="s">
        <v>275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2">
      <c r="B21" s="27" t="s">
        <v>276</v>
      </c>
      <c r="C21" s="26" t="s">
        <v>116</v>
      </c>
      <c r="D21" s="26" t="s">
        <v>277</v>
      </c>
      <c r="E21" s="26" t="s">
        <v>90</v>
      </c>
      <c r="F21" s="26" t="s">
        <v>276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2">
      <c r="B22" s="27" t="s">
        <v>278</v>
      </c>
      <c r="C22" s="26" t="s">
        <v>109</v>
      </c>
      <c r="D22" s="26" t="s">
        <v>279</v>
      </c>
      <c r="E22" s="26" t="s">
        <v>90</v>
      </c>
      <c r="F22" s="26" t="s">
        <v>280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2">
      <c r="B23" s="27" t="s">
        <v>281</v>
      </c>
      <c r="C23" s="26" t="s">
        <v>116</v>
      </c>
      <c r="D23" s="26" t="s">
        <v>282</v>
      </c>
      <c r="E23" s="26" t="s">
        <v>90</v>
      </c>
      <c r="F23" s="26" t="s">
        <v>281</v>
      </c>
      <c r="G23" s="26" t="s">
        <v>267</v>
      </c>
      <c r="H23" s="26"/>
      <c r="I23" s="26"/>
      <c r="J23" s="25" t="s">
        <v>114</v>
      </c>
      <c r="K23" s="26"/>
      <c r="L23" s="26"/>
    </row>
    <row r="24" s="2" customFormat="1" ht="12.85" spans="2:12">
      <c r="B24" s="27" t="s">
        <v>283</v>
      </c>
      <c r="C24" s="26" t="s">
        <v>109</v>
      </c>
      <c r="D24" s="26" t="s">
        <v>284</v>
      </c>
      <c r="E24" s="26" t="s">
        <v>90</v>
      </c>
      <c r="F24" s="26" t="s">
        <v>283</v>
      </c>
      <c r="G24" s="26" t="s">
        <v>262</v>
      </c>
      <c r="H24" s="26"/>
      <c r="I24" s="26"/>
      <c r="J24" s="25" t="s">
        <v>114</v>
      </c>
      <c r="K24" s="26"/>
      <c r="L24" s="26"/>
    </row>
    <row r="25" s="2" customFormat="1" ht="12.85" spans="2:12">
      <c r="B25" s="27" t="s">
        <v>285</v>
      </c>
      <c r="C25" s="26" t="s">
        <v>116</v>
      </c>
      <c r="D25" s="26" t="s">
        <v>286</v>
      </c>
      <c r="E25" s="26" t="s">
        <v>90</v>
      </c>
      <c r="F25" s="26" t="s">
        <v>285</v>
      </c>
      <c r="G25" s="26" t="s">
        <v>267</v>
      </c>
      <c r="H25" s="26"/>
      <c r="I25" s="26"/>
      <c r="J25" s="25" t="s">
        <v>114</v>
      </c>
      <c r="K25" s="26"/>
      <c r="L25" s="26"/>
    </row>
    <row r="26" spans="2:12">
      <c r="B26" s="29" t="s">
        <v>165</v>
      </c>
      <c r="C26" s="30" t="s">
        <v>109</v>
      </c>
      <c r="D26" s="30" t="s">
        <v>287</v>
      </c>
      <c r="E26" s="30"/>
      <c r="F26" s="26"/>
      <c r="G26" s="30" t="s">
        <v>288</v>
      </c>
      <c r="H26" s="26"/>
      <c r="I26" s="26"/>
      <c r="J26" s="25" t="s">
        <v>114</v>
      </c>
      <c r="K26" s="25" t="s">
        <v>163</v>
      </c>
      <c r="L26" s="26" t="s">
        <v>289</v>
      </c>
    </row>
    <row r="27" s="2" customFormat="1" ht="22.5" customHeight="1" spans="2:12">
      <c r="B27" s="27" t="s">
        <v>290</v>
      </c>
      <c r="C27" s="26" t="s">
        <v>116</v>
      </c>
      <c r="D27" s="26" t="s">
        <v>291</v>
      </c>
      <c r="E27" s="26" t="s">
        <v>90</v>
      </c>
      <c r="F27" s="26" t="s">
        <v>290</v>
      </c>
      <c r="G27" s="26" t="s">
        <v>292</v>
      </c>
      <c r="H27" s="26"/>
      <c r="I27" s="26"/>
      <c r="J27" s="25" t="s">
        <v>114</v>
      </c>
      <c r="K27" s="26" t="s">
        <v>163</v>
      </c>
      <c r="L27" s="31" t="s">
        <v>293</v>
      </c>
    </row>
    <row r="28" s="2" customFormat="1" ht="12.85" spans="2:12">
      <c r="B28" s="27" t="s">
        <v>294</v>
      </c>
      <c r="C28" s="26" t="s">
        <v>116</v>
      </c>
      <c r="D28" s="26" t="s">
        <v>295</v>
      </c>
      <c r="E28" s="26" t="s">
        <v>90</v>
      </c>
      <c r="F28" s="26" t="s">
        <v>294</v>
      </c>
      <c r="G28" s="26" t="s">
        <v>292</v>
      </c>
      <c r="H28" s="26"/>
      <c r="I28" s="26"/>
      <c r="J28" s="25" t="s">
        <v>114</v>
      </c>
      <c r="K28" s="26" t="s">
        <v>163</v>
      </c>
      <c r="L28" s="26" t="s">
        <v>296</v>
      </c>
    </row>
    <row r="29" s="2" customFormat="1" ht="12.85" spans="2:12">
      <c r="B29" s="27" t="s">
        <v>297</v>
      </c>
      <c r="C29" s="26" t="s">
        <v>116</v>
      </c>
      <c r="D29" s="26" t="s">
        <v>298</v>
      </c>
      <c r="E29" s="26" t="s">
        <v>90</v>
      </c>
      <c r="F29" s="26" t="s">
        <v>297</v>
      </c>
      <c r="G29" s="26" t="s">
        <v>292</v>
      </c>
      <c r="H29" s="26"/>
      <c r="I29" s="26" t="s">
        <v>299</v>
      </c>
      <c r="J29" s="25" t="s">
        <v>114</v>
      </c>
      <c r="K29" s="26" t="s">
        <v>163</v>
      </c>
      <c r="L29" s="26" t="s">
        <v>300</v>
      </c>
    </row>
    <row r="30" s="2" customFormat="1" ht="12.85" spans="2:12">
      <c r="B30" s="26" t="s">
        <v>301</v>
      </c>
      <c r="C30" s="26" t="s">
        <v>120</v>
      </c>
      <c r="D30" s="26" t="s">
        <v>302</v>
      </c>
      <c r="E30" s="26" t="s">
        <v>90</v>
      </c>
      <c r="F30" s="26" t="s">
        <v>303</v>
      </c>
      <c r="G30" s="26" t="s">
        <v>304</v>
      </c>
      <c r="H30" s="26"/>
      <c r="I30" s="26" t="s">
        <v>124</v>
      </c>
      <c r="J30" s="25" t="s">
        <v>30</v>
      </c>
      <c r="K30" s="26" t="s">
        <v>125</v>
      </c>
      <c r="L30" s="26" t="s">
        <v>305</v>
      </c>
    </row>
    <row r="31" s="2" customFormat="1" ht="12.85" spans="2:12">
      <c r="B31" s="32" t="s">
        <v>306</v>
      </c>
      <c r="C31" s="32" t="s">
        <v>307</v>
      </c>
      <c r="D31" s="32" t="s">
        <v>308</v>
      </c>
      <c r="E31" s="32" t="s">
        <v>309</v>
      </c>
      <c r="F31" s="32"/>
      <c r="G31" s="32" t="s">
        <v>310</v>
      </c>
      <c r="H31" s="32"/>
      <c r="I31" s="32"/>
      <c r="J31" s="33" t="s">
        <v>30</v>
      </c>
      <c r="K31" s="32" t="s">
        <v>137</v>
      </c>
      <c r="L31" s="32" t="s">
        <v>311</v>
      </c>
    </row>
    <row r="32" s="2" customFormat="1" ht="12.85" spans="2:12">
      <c r="B32" s="26" t="s">
        <v>312</v>
      </c>
      <c r="C32" s="26" t="s">
        <v>120</v>
      </c>
      <c r="D32" s="26" t="s">
        <v>313</v>
      </c>
      <c r="E32" s="26" t="s">
        <v>90</v>
      </c>
      <c r="F32" s="26" t="s">
        <v>314</v>
      </c>
      <c r="G32" s="26" t="s">
        <v>315</v>
      </c>
      <c r="H32" s="26"/>
      <c r="I32" s="26"/>
      <c r="J32" s="25" t="s">
        <v>30</v>
      </c>
      <c r="K32" s="26" t="s">
        <v>125</v>
      </c>
      <c r="L32" s="26" t="s">
        <v>305</v>
      </c>
    </row>
    <row r="33" s="2" customFormat="1" ht="12.85" spans="2:12">
      <c r="B33" s="26" t="s">
        <v>316</v>
      </c>
      <c r="C33" s="26" t="s">
        <v>120</v>
      </c>
      <c r="D33" s="26" t="s">
        <v>317</v>
      </c>
      <c r="E33" s="26" t="s">
        <v>90</v>
      </c>
      <c r="F33" s="26" t="s">
        <v>318</v>
      </c>
      <c r="G33" s="26" t="s">
        <v>319</v>
      </c>
      <c r="H33" s="26"/>
      <c r="I33" s="26"/>
      <c r="J33" s="25" t="s">
        <v>30</v>
      </c>
      <c r="K33" s="26" t="s">
        <v>125</v>
      </c>
      <c r="L33" s="26" t="s">
        <v>305</v>
      </c>
    </row>
    <row r="34" spans="2:12">
      <c r="B34" s="34" t="s">
        <v>320</v>
      </c>
      <c r="C34" s="26" t="s">
        <v>174</v>
      </c>
      <c r="D34" s="34" t="s">
        <v>321</v>
      </c>
      <c r="E34" s="26" t="s">
        <v>90</v>
      </c>
      <c r="F34" s="26"/>
      <c r="G34" s="26" t="s">
        <v>322</v>
      </c>
      <c r="H34" s="26"/>
      <c r="I34" s="34" t="s">
        <v>323</v>
      </c>
      <c r="J34" s="25" t="s">
        <v>30</v>
      </c>
      <c r="K34" s="26" t="s">
        <v>137</v>
      </c>
      <c r="L34" s="26" t="s">
        <v>324</v>
      </c>
    </row>
    <row r="35" spans="2:12">
      <c r="B35" s="35" t="s">
        <v>325</v>
      </c>
      <c r="C35" s="32" t="s">
        <v>174</v>
      </c>
      <c r="D35" s="35" t="s">
        <v>326</v>
      </c>
      <c r="E35" s="32" t="s">
        <v>309</v>
      </c>
      <c r="F35" s="32"/>
      <c r="G35" s="32" t="s">
        <v>327</v>
      </c>
      <c r="H35" s="32"/>
      <c r="I35" s="35"/>
      <c r="J35" s="33" t="s">
        <v>30</v>
      </c>
      <c r="K35" s="32" t="s">
        <v>137</v>
      </c>
      <c r="L35" s="32" t="s">
        <v>311</v>
      </c>
    </row>
    <row r="36" spans="2:12">
      <c r="B36" s="26" t="s">
        <v>328</v>
      </c>
      <c r="C36" s="26" t="s">
        <v>120</v>
      </c>
      <c r="D36" s="26" t="s">
        <v>329</v>
      </c>
      <c r="E36" s="26" t="s">
        <v>90</v>
      </c>
      <c r="F36" s="26" t="s">
        <v>330</v>
      </c>
      <c r="G36" s="26" t="s">
        <v>331</v>
      </c>
      <c r="H36" s="26"/>
      <c r="I36" s="26"/>
      <c r="J36" s="25" t="s">
        <v>30</v>
      </c>
      <c r="K36" s="26" t="s">
        <v>125</v>
      </c>
      <c r="L36" s="26" t="s">
        <v>305</v>
      </c>
    </row>
    <row r="37" spans="2:12">
      <c r="B37" s="26" t="s">
        <v>332</v>
      </c>
      <c r="C37" s="26" t="s">
        <v>120</v>
      </c>
      <c r="D37" s="26" t="s">
        <v>333</v>
      </c>
      <c r="E37" s="26" t="s">
        <v>90</v>
      </c>
      <c r="F37" s="26" t="s">
        <v>334</v>
      </c>
      <c r="G37" s="26" t="s">
        <v>335</v>
      </c>
      <c r="H37" s="26"/>
      <c r="I37" s="26"/>
      <c r="J37" s="25" t="s">
        <v>30</v>
      </c>
      <c r="K37" s="26" t="s">
        <v>125</v>
      </c>
      <c r="L37" s="26" t="s">
        <v>305</v>
      </c>
    </row>
    <row r="38" spans="2:12">
      <c r="B38" s="34" t="s">
        <v>336</v>
      </c>
      <c r="C38" s="26" t="s">
        <v>174</v>
      </c>
      <c r="D38" s="34" t="s">
        <v>337</v>
      </c>
      <c r="E38" s="26" t="s">
        <v>90</v>
      </c>
      <c r="F38" s="26"/>
      <c r="G38" s="26" t="s">
        <v>338</v>
      </c>
      <c r="H38" s="26"/>
      <c r="I38" s="34" t="s">
        <v>339</v>
      </c>
      <c r="J38" s="25" t="s">
        <v>30</v>
      </c>
      <c r="K38" s="26" t="s">
        <v>137</v>
      </c>
      <c r="L38" s="26" t="s">
        <v>324</v>
      </c>
    </row>
    <row r="39" spans="2:12">
      <c r="B39" s="35" t="s">
        <v>340</v>
      </c>
      <c r="C39" s="32" t="s">
        <v>174</v>
      </c>
      <c r="D39" s="35" t="s">
        <v>341</v>
      </c>
      <c r="E39" s="32" t="s">
        <v>309</v>
      </c>
      <c r="F39" s="32"/>
      <c r="G39" s="32" t="s">
        <v>342</v>
      </c>
      <c r="H39" s="32"/>
      <c r="I39" s="35"/>
      <c r="J39" s="33" t="s">
        <v>30</v>
      </c>
      <c r="K39" s="32" t="s">
        <v>137</v>
      </c>
      <c r="L39" s="32" t="s">
        <v>311</v>
      </c>
    </row>
    <row r="40" spans="2:12">
      <c r="B40" s="26" t="s">
        <v>343</v>
      </c>
      <c r="C40" s="26" t="s">
        <v>120</v>
      </c>
      <c r="D40" s="26" t="s">
        <v>344</v>
      </c>
      <c r="E40" s="26" t="s">
        <v>90</v>
      </c>
      <c r="F40" s="26" t="s">
        <v>345</v>
      </c>
      <c r="G40" s="26" t="s">
        <v>346</v>
      </c>
      <c r="H40" s="26"/>
      <c r="I40" s="34"/>
      <c r="J40" s="25" t="s">
        <v>30</v>
      </c>
      <c r="K40" s="26" t="s">
        <v>125</v>
      </c>
      <c r="L40" s="26" t="s">
        <v>305</v>
      </c>
    </row>
    <row r="41" spans="2:12">
      <c r="B41" s="26" t="s">
        <v>347</v>
      </c>
      <c r="C41" s="26" t="s">
        <v>120</v>
      </c>
      <c r="D41" s="26" t="s">
        <v>348</v>
      </c>
      <c r="E41" s="26" t="s">
        <v>90</v>
      </c>
      <c r="F41" s="26" t="s">
        <v>349</v>
      </c>
      <c r="G41" s="26" t="s">
        <v>350</v>
      </c>
      <c r="H41" s="26"/>
      <c r="I41" s="34"/>
      <c r="J41" s="25" t="s">
        <v>30</v>
      </c>
      <c r="K41" s="26" t="s">
        <v>125</v>
      </c>
      <c r="L41" s="26" t="s">
        <v>305</v>
      </c>
    </row>
    <row r="42" spans="2:12">
      <c r="B42" s="34" t="s">
        <v>351</v>
      </c>
      <c r="C42" s="26" t="s">
        <v>174</v>
      </c>
      <c r="D42" s="34" t="s">
        <v>352</v>
      </c>
      <c r="E42" s="26" t="s">
        <v>90</v>
      </c>
      <c r="F42" s="26"/>
      <c r="G42" s="26" t="s">
        <v>353</v>
      </c>
      <c r="H42" s="26"/>
      <c r="I42" s="34" t="s">
        <v>354</v>
      </c>
      <c r="J42" s="25" t="s">
        <v>30</v>
      </c>
      <c r="K42" s="26" t="s">
        <v>137</v>
      </c>
      <c r="L42" s="26" t="s">
        <v>324</v>
      </c>
    </row>
    <row r="43" spans="2:12">
      <c r="B43" s="35" t="s">
        <v>355</v>
      </c>
      <c r="C43" s="32" t="s">
        <v>174</v>
      </c>
      <c r="D43" s="35" t="s">
        <v>356</v>
      </c>
      <c r="E43" s="32" t="s">
        <v>309</v>
      </c>
      <c r="F43" s="32"/>
      <c r="G43" s="32" t="s">
        <v>357</v>
      </c>
      <c r="H43" s="32"/>
      <c r="I43" s="35"/>
      <c r="J43" s="33" t="s">
        <v>30</v>
      </c>
      <c r="K43" s="32" t="s">
        <v>137</v>
      </c>
      <c r="L43" s="32" t="s">
        <v>311</v>
      </c>
    </row>
    <row r="44" spans="2:12">
      <c r="B44" s="26" t="s">
        <v>358</v>
      </c>
      <c r="C44" s="26" t="s">
        <v>120</v>
      </c>
      <c r="D44" s="26" t="s">
        <v>359</v>
      </c>
      <c r="E44" s="26" t="s">
        <v>90</v>
      </c>
      <c r="F44" s="26" t="s">
        <v>360</v>
      </c>
      <c r="G44" s="26" t="s">
        <v>361</v>
      </c>
      <c r="H44" s="26"/>
      <c r="I44" s="34"/>
      <c r="J44" s="25" t="s">
        <v>30</v>
      </c>
      <c r="K44" s="26" t="s">
        <v>125</v>
      </c>
      <c r="L44" s="26" t="s">
        <v>305</v>
      </c>
    </row>
    <row r="45" spans="2:12">
      <c r="B45" s="26" t="s">
        <v>362</v>
      </c>
      <c r="C45" s="26" t="s">
        <v>120</v>
      </c>
      <c r="D45" s="26" t="s">
        <v>363</v>
      </c>
      <c r="E45" s="26" t="s">
        <v>90</v>
      </c>
      <c r="F45" s="26" t="s">
        <v>364</v>
      </c>
      <c r="G45" s="26" t="s">
        <v>365</v>
      </c>
      <c r="H45" s="26"/>
      <c r="I45" s="34"/>
      <c r="J45" s="25" t="s">
        <v>30</v>
      </c>
      <c r="K45" s="26" t="s">
        <v>125</v>
      </c>
      <c r="L45" s="26" t="s">
        <v>305</v>
      </c>
    </row>
    <row r="46" spans="2:12">
      <c r="B46" s="34" t="s">
        <v>366</v>
      </c>
      <c r="C46" s="26" t="s">
        <v>174</v>
      </c>
      <c r="D46" s="34" t="s">
        <v>367</v>
      </c>
      <c r="E46" s="26" t="s">
        <v>90</v>
      </c>
      <c r="F46" s="26"/>
      <c r="G46" s="26" t="s">
        <v>368</v>
      </c>
      <c r="H46" s="26"/>
      <c r="I46" s="34" t="s">
        <v>369</v>
      </c>
      <c r="J46" s="25" t="s">
        <v>30</v>
      </c>
      <c r="K46" s="26" t="s">
        <v>137</v>
      </c>
      <c r="L46" s="26" t="s">
        <v>324</v>
      </c>
    </row>
    <row r="47" spans="2:12">
      <c r="B47" s="35" t="s">
        <v>370</v>
      </c>
      <c r="C47" s="32" t="s">
        <v>174</v>
      </c>
      <c r="D47" s="35" t="s">
        <v>371</v>
      </c>
      <c r="E47" s="32" t="s">
        <v>309</v>
      </c>
      <c r="F47" s="32"/>
      <c r="G47" s="32" t="s">
        <v>372</v>
      </c>
      <c r="H47" s="32"/>
      <c r="I47" s="35"/>
      <c r="J47" s="33" t="s">
        <v>30</v>
      </c>
      <c r="K47" s="32" t="s">
        <v>137</v>
      </c>
      <c r="L47" s="32" t="s">
        <v>311</v>
      </c>
    </row>
    <row r="48" spans="2:12">
      <c r="B48" s="26" t="s">
        <v>373</v>
      </c>
      <c r="C48" s="26" t="s">
        <v>120</v>
      </c>
      <c r="D48" s="26" t="s">
        <v>374</v>
      </c>
      <c r="E48" s="26" t="s">
        <v>90</v>
      </c>
      <c r="F48" s="26" t="s">
        <v>375</v>
      </c>
      <c r="G48" s="26" t="s">
        <v>376</v>
      </c>
      <c r="H48" s="26"/>
      <c r="I48" s="34"/>
      <c r="J48" s="25" t="s">
        <v>30</v>
      </c>
      <c r="K48" s="26" t="s">
        <v>125</v>
      </c>
      <c r="L48" s="26" t="s">
        <v>305</v>
      </c>
    </row>
    <row r="49" spans="2:12">
      <c r="B49" s="26" t="s">
        <v>377</v>
      </c>
      <c r="C49" s="26" t="s">
        <v>120</v>
      </c>
      <c r="D49" s="26" t="s">
        <v>378</v>
      </c>
      <c r="E49" s="26" t="s">
        <v>90</v>
      </c>
      <c r="F49" s="26" t="s">
        <v>379</v>
      </c>
      <c r="G49" s="26" t="s">
        <v>380</v>
      </c>
      <c r="H49" s="26"/>
      <c r="I49" s="34"/>
      <c r="J49" s="25" t="s">
        <v>30</v>
      </c>
      <c r="K49" s="26" t="s">
        <v>125</v>
      </c>
      <c r="L49" s="26" t="s">
        <v>305</v>
      </c>
    </row>
    <row r="50" spans="2:12">
      <c r="B50" s="34" t="s">
        <v>381</v>
      </c>
      <c r="C50" s="26" t="s">
        <v>174</v>
      </c>
      <c r="D50" s="34" t="s">
        <v>382</v>
      </c>
      <c r="E50" s="26" t="s">
        <v>90</v>
      </c>
      <c r="F50" s="26"/>
      <c r="G50" s="26" t="s">
        <v>383</v>
      </c>
      <c r="H50" s="26"/>
      <c r="I50" s="34" t="s">
        <v>384</v>
      </c>
      <c r="J50" s="25" t="s">
        <v>30</v>
      </c>
      <c r="K50" s="26" t="s">
        <v>137</v>
      </c>
      <c r="L50" s="26" t="s">
        <v>324</v>
      </c>
    </row>
    <row r="51" spans="2:12">
      <c r="B51" s="35" t="s">
        <v>385</v>
      </c>
      <c r="C51" s="32" t="s">
        <v>174</v>
      </c>
      <c r="D51" s="35" t="s">
        <v>386</v>
      </c>
      <c r="E51" s="32" t="s">
        <v>309</v>
      </c>
      <c r="F51" s="32"/>
      <c r="G51" s="32" t="s">
        <v>387</v>
      </c>
      <c r="H51" s="32"/>
      <c r="I51" s="35"/>
      <c r="J51" s="33" t="s">
        <v>30</v>
      </c>
      <c r="K51" s="32" t="s">
        <v>137</v>
      </c>
      <c r="L51" s="32" t="s">
        <v>311</v>
      </c>
    </row>
    <row r="52" spans="2:12">
      <c r="B52" s="26" t="s">
        <v>388</v>
      </c>
      <c r="C52" s="26" t="s">
        <v>120</v>
      </c>
      <c r="D52" s="26" t="s">
        <v>389</v>
      </c>
      <c r="E52" s="26" t="s">
        <v>90</v>
      </c>
      <c r="F52" s="26" t="s">
        <v>390</v>
      </c>
      <c r="G52" s="26" t="s">
        <v>391</v>
      </c>
      <c r="H52" s="26"/>
      <c r="I52" s="34"/>
      <c r="J52" s="25" t="s">
        <v>30</v>
      </c>
      <c r="K52" s="26" t="s">
        <v>125</v>
      </c>
      <c r="L52" s="26" t="s">
        <v>305</v>
      </c>
    </row>
    <row r="53" spans="2:12">
      <c r="B53" s="26" t="s">
        <v>392</v>
      </c>
      <c r="C53" s="26" t="s">
        <v>120</v>
      </c>
      <c r="D53" s="26" t="s">
        <v>393</v>
      </c>
      <c r="E53" s="26" t="s">
        <v>90</v>
      </c>
      <c r="F53" s="26" t="s">
        <v>394</v>
      </c>
      <c r="G53" s="26" t="s">
        <v>395</v>
      </c>
      <c r="H53" s="26"/>
      <c r="I53" s="34"/>
      <c r="J53" s="25" t="s">
        <v>30</v>
      </c>
      <c r="K53" s="26" t="s">
        <v>125</v>
      </c>
      <c r="L53" s="26" t="s">
        <v>305</v>
      </c>
    </row>
    <row r="54" spans="2:12">
      <c r="B54" s="34" t="s">
        <v>396</v>
      </c>
      <c r="C54" s="26" t="s">
        <v>174</v>
      </c>
      <c r="D54" s="34" t="s">
        <v>397</v>
      </c>
      <c r="E54" s="26" t="s">
        <v>90</v>
      </c>
      <c r="F54" s="26"/>
      <c r="G54" s="26" t="s">
        <v>398</v>
      </c>
      <c r="H54" s="26"/>
      <c r="I54" s="34" t="s">
        <v>399</v>
      </c>
      <c r="J54" s="25" t="s">
        <v>30</v>
      </c>
      <c r="K54" s="26" t="s">
        <v>137</v>
      </c>
      <c r="L54" s="26" t="s">
        <v>324</v>
      </c>
    </row>
    <row r="55" spans="2:12">
      <c r="B55" s="35" t="s">
        <v>400</v>
      </c>
      <c r="C55" s="32" t="s">
        <v>174</v>
      </c>
      <c r="D55" s="35" t="s">
        <v>401</v>
      </c>
      <c r="E55" s="32" t="s">
        <v>309</v>
      </c>
      <c r="F55" s="32"/>
      <c r="G55" s="32" t="s">
        <v>402</v>
      </c>
      <c r="H55" s="32"/>
      <c r="I55" s="35"/>
      <c r="J55" s="33" t="s">
        <v>30</v>
      </c>
      <c r="K55" s="32" t="s">
        <v>137</v>
      </c>
      <c r="L55" s="32" t="s">
        <v>311</v>
      </c>
    </row>
    <row r="56" spans="2:12">
      <c r="B56" s="26" t="s">
        <v>403</v>
      </c>
      <c r="C56" s="26" t="s">
        <v>120</v>
      </c>
      <c r="D56" s="26" t="s">
        <v>404</v>
      </c>
      <c r="E56" s="26" t="s">
        <v>90</v>
      </c>
      <c r="F56" s="26" t="s">
        <v>405</v>
      </c>
      <c r="G56" s="26" t="s">
        <v>406</v>
      </c>
      <c r="H56" s="26"/>
      <c r="I56" s="34"/>
      <c r="J56" s="25" t="s">
        <v>30</v>
      </c>
      <c r="K56" s="26" t="s">
        <v>125</v>
      </c>
      <c r="L56" s="26" t="s">
        <v>305</v>
      </c>
    </row>
    <row r="57" spans="2:12">
      <c r="B57" s="26" t="s">
        <v>407</v>
      </c>
      <c r="C57" s="26" t="s">
        <v>120</v>
      </c>
      <c r="D57" s="26" t="s">
        <v>408</v>
      </c>
      <c r="E57" s="26" t="s">
        <v>90</v>
      </c>
      <c r="F57" s="26" t="s">
        <v>409</v>
      </c>
      <c r="G57" s="26" t="s">
        <v>410</v>
      </c>
      <c r="H57" s="26"/>
      <c r="I57" s="34"/>
      <c r="J57" s="25" t="s">
        <v>30</v>
      </c>
      <c r="K57" s="26" t="s">
        <v>125</v>
      </c>
      <c r="L57" s="26" t="s">
        <v>305</v>
      </c>
    </row>
    <row r="58" spans="2:12">
      <c r="B58" s="34" t="s">
        <v>411</v>
      </c>
      <c r="C58" s="26" t="s">
        <v>174</v>
      </c>
      <c r="D58" s="34" t="s">
        <v>412</v>
      </c>
      <c r="E58" s="26" t="s">
        <v>90</v>
      </c>
      <c r="F58" s="26"/>
      <c r="G58" s="26" t="s">
        <v>413</v>
      </c>
      <c r="H58" s="26"/>
      <c r="I58" s="34" t="s">
        <v>414</v>
      </c>
      <c r="J58" s="25" t="s">
        <v>30</v>
      </c>
      <c r="K58" s="26" t="s">
        <v>137</v>
      </c>
      <c r="L58" s="26" t="s">
        <v>324</v>
      </c>
    </row>
    <row r="59" spans="2:12">
      <c r="B59" s="35" t="s">
        <v>415</v>
      </c>
      <c r="C59" s="32" t="s">
        <v>174</v>
      </c>
      <c r="D59" s="35" t="s">
        <v>416</v>
      </c>
      <c r="E59" s="32" t="s">
        <v>309</v>
      </c>
      <c r="F59" s="32"/>
      <c r="G59" s="32" t="s">
        <v>417</v>
      </c>
      <c r="H59" s="32"/>
      <c r="I59" s="35"/>
      <c r="J59" s="33" t="s">
        <v>30</v>
      </c>
      <c r="K59" s="32" t="s">
        <v>137</v>
      </c>
      <c r="L59" s="32" t="s">
        <v>311</v>
      </c>
    </row>
    <row r="60" spans="2:12">
      <c r="B60" s="26" t="s">
        <v>418</v>
      </c>
      <c r="C60" s="26" t="s">
        <v>120</v>
      </c>
      <c r="D60" s="26" t="s">
        <v>419</v>
      </c>
      <c r="E60" s="26" t="s">
        <v>90</v>
      </c>
      <c r="F60" s="26" t="s">
        <v>420</v>
      </c>
      <c r="G60" s="26" t="s">
        <v>421</v>
      </c>
      <c r="H60" s="26"/>
      <c r="I60" s="34"/>
      <c r="J60" s="25" t="s">
        <v>30</v>
      </c>
      <c r="K60" s="26" t="s">
        <v>125</v>
      </c>
      <c r="L60" s="26" t="s">
        <v>305</v>
      </c>
    </row>
    <row r="61" spans="2:12">
      <c r="B61" s="26" t="s">
        <v>422</v>
      </c>
      <c r="C61" s="26" t="s">
        <v>120</v>
      </c>
      <c r="D61" s="26" t="s">
        <v>423</v>
      </c>
      <c r="E61" s="26" t="s">
        <v>90</v>
      </c>
      <c r="F61" s="26" t="s">
        <v>424</v>
      </c>
      <c r="G61" s="26" t="s">
        <v>425</v>
      </c>
      <c r="H61" s="26"/>
      <c r="I61" s="34"/>
      <c r="J61" s="25" t="s">
        <v>30</v>
      </c>
      <c r="K61" s="26" t="s">
        <v>125</v>
      </c>
      <c r="L61" s="26" t="s">
        <v>305</v>
      </c>
    </row>
    <row r="62" spans="2:12">
      <c r="B62" s="34" t="s">
        <v>426</v>
      </c>
      <c r="C62" s="26" t="s">
        <v>174</v>
      </c>
      <c r="D62" s="34" t="s">
        <v>427</v>
      </c>
      <c r="E62" s="26" t="s">
        <v>90</v>
      </c>
      <c r="F62" s="26"/>
      <c r="G62" s="26" t="s">
        <v>428</v>
      </c>
      <c r="H62" s="26"/>
      <c r="I62" s="34" t="s">
        <v>429</v>
      </c>
      <c r="J62" s="25" t="s">
        <v>30</v>
      </c>
      <c r="K62" s="26" t="s">
        <v>137</v>
      </c>
      <c r="L62" s="26" t="s">
        <v>324</v>
      </c>
    </row>
    <row r="63" spans="2:12">
      <c r="B63" s="35" t="s">
        <v>430</v>
      </c>
      <c r="C63" s="32" t="s">
        <v>174</v>
      </c>
      <c r="D63" s="35" t="s">
        <v>431</v>
      </c>
      <c r="E63" s="32" t="s">
        <v>309</v>
      </c>
      <c r="F63" s="32"/>
      <c r="G63" s="32" t="s">
        <v>432</v>
      </c>
      <c r="H63" s="32"/>
      <c r="I63" s="35"/>
      <c r="J63" s="33" t="s">
        <v>30</v>
      </c>
      <c r="K63" s="32" t="s">
        <v>137</v>
      </c>
      <c r="L63" s="32" t="s">
        <v>311</v>
      </c>
    </row>
    <row r="64" spans="2:12">
      <c r="B64" s="26" t="s">
        <v>433</v>
      </c>
      <c r="C64" s="26" t="s">
        <v>120</v>
      </c>
      <c r="D64" s="26" t="s">
        <v>434</v>
      </c>
      <c r="E64" s="26" t="s">
        <v>90</v>
      </c>
      <c r="F64" s="26" t="s">
        <v>435</v>
      </c>
      <c r="G64" s="26" t="s">
        <v>436</v>
      </c>
      <c r="H64" s="26"/>
      <c r="I64" s="34"/>
      <c r="J64" s="25" t="s">
        <v>30</v>
      </c>
      <c r="K64" s="26" t="s">
        <v>125</v>
      </c>
      <c r="L64" s="26" t="s">
        <v>305</v>
      </c>
    </row>
    <row r="65" spans="2:12">
      <c r="B65" s="26" t="s">
        <v>437</v>
      </c>
      <c r="C65" s="26" t="s">
        <v>120</v>
      </c>
      <c r="D65" s="26" t="s">
        <v>438</v>
      </c>
      <c r="E65" s="26" t="s">
        <v>90</v>
      </c>
      <c r="F65" s="26" t="s">
        <v>439</v>
      </c>
      <c r="G65" s="26" t="s">
        <v>440</v>
      </c>
      <c r="H65" s="26"/>
      <c r="I65" s="34"/>
      <c r="J65" s="25" t="s">
        <v>30</v>
      </c>
      <c r="K65" s="26" t="s">
        <v>125</v>
      </c>
      <c r="L65" s="26" t="s">
        <v>305</v>
      </c>
    </row>
    <row r="66" spans="2:12">
      <c r="B66" s="34" t="s">
        <v>441</v>
      </c>
      <c r="C66" s="26" t="s">
        <v>174</v>
      </c>
      <c r="D66" s="34" t="s">
        <v>442</v>
      </c>
      <c r="E66" s="26" t="s">
        <v>90</v>
      </c>
      <c r="F66" s="26"/>
      <c r="G66" s="26" t="s">
        <v>443</v>
      </c>
      <c r="H66" s="26"/>
      <c r="I66" s="34" t="s">
        <v>429</v>
      </c>
      <c r="J66" s="25" t="s">
        <v>30</v>
      </c>
      <c r="K66" s="26" t="s">
        <v>137</v>
      </c>
      <c r="L66" s="26" t="s">
        <v>324</v>
      </c>
    </row>
    <row r="67" spans="2:12">
      <c r="B67" s="35" t="s">
        <v>444</v>
      </c>
      <c r="C67" s="32" t="s">
        <v>174</v>
      </c>
      <c r="D67" s="35" t="s">
        <v>445</v>
      </c>
      <c r="E67" s="32" t="s">
        <v>309</v>
      </c>
      <c r="F67" s="32"/>
      <c r="G67" s="32" t="s">
        <v>446</v>
      </c>
      <c r="H67" s="32"/>
      <c r="I67" s="35"/>
      <c r="J67" s="33" t="s">
        <v>30</v>
      </c>
      <c r="K67" s="32" t="s">
        <v>137</v>
      </c>
      <c r="L67" s="32" t="s">
        <v>311</v>
      </c>
    </row>
    <row r="68" spans="2:12">
      <c r="B68" s="26" t="s">
        <v>447</v>
      </c>
      <c r="C68" s="26" t="s">
        <v>120</v>
      </c>
      <c r="D68" s="26" t="s">
        <v>448</v>
      </c>
      <c r="E68" s="26" t="s">
        <v>90</v>
      </c>
      <c r="F68" s="26" t="s">
        <v>449</v>
      </c>
      <c r="G68" s="26" t="s">
        <v>450</v>
      </c>
      <c r="H68" s="26"/>
      <c r="I68" s="34"/>
      <c r="J68" s="25" t="s">
        <v>30</v>
      </c>
      <c r="K68" s="26" t="s">
        <v>125</v>
      </c>
      <c r="L68" s="26" t="s">
        <v>305</v>
      </c>
    </row>
    <row r="69" spans="2:12">
      <c r="B69" s="26" t="s">
        <v>451</v>
      </c>
      <c r="C69" s="26" t="s">
        <v>120</v>
      </c>
      <c r="D69" s="26" t="s">
        <v>452</v>
      </c>
      <c r="E69" s="26" t="s">
        <v>90</v>
      </c>
      <c r="F69" s="26" t="s">
        <v>453</v>
      </c>
      <c r="G69" s="26" t="s">
        <v>454</v>
      </c>
      <c r="H69" s="26"/>
      <c r="I69" s="34"/>
      <c r="J69" s="25" t="s">
        <v>30</v>
      </c>
      <c r="K69" s="26" t="s">
        <v>125</v>
      </c>
      <c r="L69" s="26" t="s">
        <v>305</v>
      </c>
    </row>
    <row r="70" spans="2:12">
      <c r="B70" s="34" t="s">
        <v>455</v>
      </c>
      <c r="C70" s="26" t="s">
        <v>174</v>
      </c>
      <c r="D70" s="34" t="s">
        <v>456</v>
      </c>
      <c r="E70" s="26" t="s">
        <v>90</v>
      </c>
      <c r="F70" s="26"/>
      <c r="G70" s="26" t="s">
        <v>457</v>
      </c>
      <c r="H70" s="26"/>
      <c r="I70" s="34" t="s">
        <v>458</v>
      </c>
      <c r="J70" s="25" t="s">
        <v>30</v>
      </c>
      <c r="K70" s="26" t="s">
        <v>137</v>
      </c>
      <c r="L70" s="26" t="s">
        <v>324</v>
      </c>
    </row>
    <row r="71" spans="2:12">
      <c r="B71" s="35" t="s">
        <v>459</v>
      </c>
      <c r="C71" s="32" t="s">
        <v>174</v>
      </c>
      <c r="D71" s="35" t="s">
        <v>460</v>
      </c>
      <c r="E71" s="32" t="s">
        <v>309</v>
      </c>
      <c r="F71" s="32"/>
      <c r="G71" s="32" t="s">
        <v>461</v>
      </c>
      <c r="H71" s="32"/>
      <c r="I71" s="35"/>
      <c r="J71" s="33" t="s">
        <v>30</v>
      </c>
      <c r="K71" s="32" t="s">
        <v>137</v>
      </c>
      <c r="L71" s="32" t="s">
        <v>311</v>
      </c>
    </row>
    <row r="72" spans="2:12">
      <c r="B72" s="26" t="s">
        <v>462</v>
      </c>
      <c r="C72" s="26" t="s">
        <v>120</v>
      </c>
      <c r="D72" s="26" t="s">
        <v>463</v>
      </c>
      <c r="E72" s="26" t="s">
        <v>90</v>
      </c>
      <c r="F72" s="26" t="s">
        <v>464</v>
      </c>
      <c r="G72" s="26" t="s">
        <v>465</v>
      </c>
      <c r="H72" s="26"/>
      <c r="I72" s="34"/>
      <c r="J72" s="25" t="s">
        <v>30</v>
      </c>
      <c r="K72" s="26" t="s">
        <v>125</v>
      </c>
      <c r="L72" s="26" t="s">
        <v>305</v>
      </c>
    </row>
    <row r="73" spans="2:12">
      <c r="B73" s="26" t="s">
        <v>466</v>
      </c>
      <c r="C73" s="26" t="s">
        <v>120</v>
      </c>
      <c r="D73" s="26" t="s">
        <v>467</v>
      </c>
      <c r="E73" s="26" t="s">
        <v>90</v>
      </c>
      <c r="F73" s="26" t="s">
        <v>468</v>
      </c>
      <c r="G73" s="26" t="s">
        <v>469</v>
      </c>
      <c r="H73" s="26"/>
      <c r="I73" s="34"/>
      <c r="J73" s="25" t="s">
        <v>30</v>
      </c>
      <c r="K73" s="26" t="s">
        <v>125</v>
      </c>
      <c r="L73" s="26" t="s">
        <v>305</v>
      </c>
    </row>
    <row r="74" spans="2:12">
      <c r="B74" s="34" t="s">
        <v>470</v>
      </c>
      <c r="C74" s="26" t="s">
        <v>174</v>
      </c>
      <c r="D74" s="34" t="s">
        <v>471</v>
      </c>
      <c r="E74" s="26" t="s">
        <v>90</v>
      </c>
      <c r="F74" s="26"/>
      <c r="G74" s="26" t="s">
        <v>472</v>
      </c>
      <c r="H74" s="26"/>
      <c r="I74" s="34" t="s">
        <v>473</v>
      </c>
      <c r="J74" s="25" t="s">
        <v>30</v>
      </c>
      <c r="K74" s="26" t="s">
        <v>137</v>
      </c>
      <c r="L74" s="26" t="s">
        <v>324</v>
      </c>
    </row>
    <row r="75" spans="2:12">
      <c r="B75" s="35" t="s">
        <v>474</v>
      </c>
      <c r="C75" s="32" t="s">
        <v>174</v>
      </c>
      <c r="D75" s="35" t="s">
        <v>475</v>
      </c>
      <c r="E75" s="32" t="s">
        <v>309</v>
      </c>
      <c r="F75" s="32"/>
      <c r="G75" s="32" t="s">
        <v>476</v>
      </c>
      <c r="H75" s="32"/>
      <c r="I75" s="35"/>
      <c r="J75" s="33" t="s">
        <v>30</v>
      </c>
      <c r="K75" s="32" t="s">
        <v>137</v>
      </c>
      <c r="L75" s="32" t="s">
        <v>311</v>
      </c>
    </row>
    <row r="76" spans="2:12">
      <c r="B76" s="26" t="s">
        <v>477</v>
      </c>
      <c r="C76" s="26" t="s">
        <v>120</v>
      </c>
      <c r="D76" s="26" t="s">
        <v>478</v>
      </c>
      <c r="E76" s="26" t="s">
        <v>90</v>
      </c>
      <c r="F76" s="26" t="s">
        <v>479</v>
      </c>
      <c r="G76" s="26" t="s">
        <v>480</v>
      </c>
      <c r="H76" s="26"/>
      <c r="I76" s="34"/>
      <c r="J76" s="25" t="s">
        <v>30</v>
      </c>
      <c r="K76" s="26" t="s">
        <v>125</v>
      </c>
      <c r="L76" s="26" t="s">
        <v>305</v>
      </c>
    </row>
    <row r="77" spans="2:12">
      <c r="B77" s="26" t="s">
        <v>481</v>
      </c>
      <c r="C77" s="26" t="s">
        <v>120</v>
      </c>
      <c r="D77" s="26" t="s">
        <v>482</v>
      </c>
      <c r="E77" s="26" t="s">
        <v>90</v>
      </c>
      <c r="F77" s="26" t="s">
        <v>483</v>
      </c>
      <c r="G77" s="26" t="s">
        <v>484</v>
      </c>
      <c r="H77" s="26"/>
      <c r="I77" s="34"/>
      <c r="J77" s="25" t="s">
        <v>30</v>
      </c>
      <c r="K77" s="26" t="s">
        <v>125</v>
      </c>
      <c r="L77" s="26" t="s">
        <v>305</v>
      </c>
    </row>
    <row r="78" spans="2:12">
      <c r="B78" s="34" t="s">
        <v>485</v>
      </c>
      <c r="C78" s="26" t="s">
        <v>174</v>
      </c>
      <c r="D78" s="34" t="s">
        <v>486</v>
      </c>
      <c r="E78" s="26" t="s">
        <v>90</v>
      </c>
      <c r="F78" s="26"/>
      <c r="G78" s="26" t="s">
        <v>487</v>
      </c>
      <c r="H78" s="26"/>
      <c r="I78" s="34" t="s">
        <v>488</v>
      </c>
      <c r="J78" s="25" t="s">
        <v>30</v>
      </c>
      <c r="K78" s="26" t="s">
        <v>137</v>
      </c>
      <c r="L78" s="26" t="s">
        <v>324</v>
      </c>
    </row>
    <row r="79" spans="2:12">
      <c r="B79" s="35" t="s">
        <v>489</v>
      </c>
      <c r="C79" s="32" t="s">
        <v>174</v>
      </c>
      <c r="D79" s="35" t="s">
        <v>490</v>
      </c>
      <c r="E79" s="38" t="s">
        <v>309</v>
      </c>
      <c r="F79" s="37"/>
      <c r="G79" s="32" t="s">
        <v>491</v>
      </c>
      <c r="H79" s="37"/>
      <c r="I79" s="37"/>
      <c r="J79" s="33" t="s">
        <v>30</v>
      </c>
      <c r="K79" s="32" t="s">
        <v>137</v>
      </c>
      <c r="L79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9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32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54</v>
      </c>
      <c r="D4" s="11" t="s">
        <v>55</v>
      </c>
      <c r="E4" s="9" t="s">
        <v>502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42" customHeight="1" spans="2:14">
      <c r="B8" s="9" t="s">
        <v>253</v>
      </c>
      <c r="C8" s="31" t="s">
        <v>503</v>
      </c>
      <c r="D8" s="26" t="s">
        <v>504</v>
      </c>
      <c r="E8" s="9" t="s">
        <v>90</v>
      </c>
      <c r="F8" s="24" t="s">
        <v>505</v>
      </c>
      <c r="G8" s="45" t="s">
        <v>257</v>
      </c>
      <c r="H8" s="18" t="s">
        <v>93</v>
      </c>
    </row>
    <row r="9" ht="25.7" spans="2:14">
      <c r="B9" s="9" t="s">
        <v>253</v>
      </c>
      <c r="C9" s="10" t="s">
        <v>54</v>
      </c>
      <c r="D9" s="11" t="s">
        <v>55</v>
      </c>
      <c r="E9" s="9" t="s">
        <v>96</v>
      </c>
      <c r="F9" s="9" t="s">
        <v>506</v>
      </c>
      <c r="G9" s="45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108</v>
      </c>
      <c r="C12" s="22" t="s">
        <v>109</v>
      </c>
      <c r="D12" s="22" t="s">
        <v>110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2" t="s">
        <v>507</v>
      </c>
      <c r="C13" s="22" t="s">
        <v>109</v>
      </c>
      <c r="D13" s="22" t="s">
        <v>508</v>
      </c>
      <c r="E13" s="23"/>
      <c r="F13" s="24"/>
      <c r="G13" s="24"/>
      <c r="H13" s="24"/>
      <c r="I13" s="25"/>
      <c r="J13" s="25"/>
      <c r="K13" s="25"/>
      <c r="L13" s="25"/>
    </row>
    <row r="14" s="1" customFormat="1" ht="12.85" spans="2:14">
      <c r="B14" s="26" t="s">
        <v>113</v>
      </c>
      <c r="C14" s="26" t="s">
        <v>109</v>
      </c>
      <c r="D14" s="26" t="s">
        <v>60</v>
      </c>
      <c r="E14" s="26"/>
      <c r="F14" s="26"/>
      <c r="G14" s="26"/>
      <c r="H14" s="26"/>
      <c r="I14" s="25"/>
      <c r="J14" s="25"/>
      <c r="K14" s="25"/>
      <c r="L14" s="25"/>
    </row>
    <row r="15" s="1" customFormat="1" ht="12.85" spans="2:14">
      <c r="B15" s="26" t="s">
        <v>509</v>
      </c>
      <c r="C15" s="26" t="s">
        <v>109</v>
      </c>
      <c r="D15" s="26" t="s">
        <v>56</v>
      </c>
      <c r="E15" s="26"/>
      <c r="F15" s="26"/>
      <c r="G15" s="26"/>
      <c r="H15" s="26"/>
      <c r="I15" s="25"/>
      <c r="J15" s="25"/>
      <c r="K15" s="25"/>
      <c r="L15" s="25"/>
    </row>
    <row r="16" s="1" customFormat="1" ht="12.85" spans="2:14">
      <c r="B16" s="27" t="s">
        <v>263</v>
      </c>
      <c r="C16" s="26" t="s">
        <v>109</v>
      </c>
      <c r="D16" s="26" t="s">
        <v>264</v>
      </c>
      <c r="E16" s="26" t="s">
        <v>90</v>
      </c>
      <c r="F16" s="26" t="s">
        <v>265</v>
      </c>
      <c r="G16" s="26" t="s">
        <v>262</v>
      </c>
      <c r="H16" s="26"/>
      <c r="I16" s="25"/>
      <c r="J16" s="25" t="s">
        <v>114</v>
      </c>
      <c r="K16" s="25" t="s">
        <v>163</v>
      </c>
      <c r="L16" s="25" t="s">
        <v>266</v>
      </c>
    </row>
    <row r="17" s="1" customFormat="1" ht="38.55" spans="2:12">
      <c r="B17" s="27" t="s">
        <v>115</v>
      </c>
      <c r="C17" s="26" t="s">
        <v>116</v>
      </c>
      <c r="D17" s="26" t="s">
        <v>117</v>
      </c>
      <c r="E17" s="26" t="s">
        <v>90</v>
      </c>
      <c r="F17" s="26" t="s">
        <v>115</v>
      </c>
      <c r="G17" s="26" t="s">
        <v>267</v>
      </c>
      <c r="H17" s="26"/>
      <c r="I17" s="25"/>
      <c r="J17" s="25" t="s">
        <v>114</v>
      </c>
      <c r="K17" s="25" t="s">
        <v>163</v>
      </c>
      <c r="L17" s="28" t="s">
        <v>164</v>
      </c>
    </row>
    <row r="18" s="1" customFormat="1" ht="12.85" spans="2:12">
      <c r="B18" s="27" t="s">
        <v>268</v>
      </c>
      <c r="C18" s="26" t="s">
        <v>109</v>
      </c>
      <c r="D18" s="26" t="s">
        <v>269</v>
      </c>
      <c r="E18" s="26" t="s">
        <v>90</v>
      </c>
      <c r="F18" s="26" t="s">
        <v>270</v>
      </c>
      <c r="G18" s="26" t="s">
        <v>262</v>
      </c>
      <c r="H18" s="26"/>
      <c r="I18" s="25"/>
      <c r="J18" s="25" t="s">
        <v>114</v>
      </c>
      <c r="K18" s="25"/>
      <c r="L18" s="25"/>
    </row>
    <row r="19" s="2" customFormat="1" ht="12.85" spans="2:12">
      <c r="B19" s="27" t="s">
        <v>271</v>
      </c>
      <c r="C19" s="26" t="s">
        <v>116</v>
      </c>
      <c r="D19" s="26" t="s">
        <v>272</v>
      </c>
      <c r="E19" s="26" t="s">
        <v>90</v>
      </c>
      <c r="F19" s="26" t="s">
        <v>271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2">
      <c r="B20" s="27" t="s">
        <v>273</v>
      </c>
      <c r="C20" s="26" t="s">
        <v>109</v>
      </c>
      <c r="D20" s="26" t="s">
        <v>274</v>
      </c>
      <c r="E20" s="26" t="s">
        <v>90</v>
      </c>
      <c r="F20" s="26" t="s">
        <v>275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2">
      <c r="B21" s="27" t="s">
        <v>276</v>
      </c>
      <c r="C21" s="26" t="s">
        <v>116</v>
      </c>
      <c r="D21" s="26" t="s">
        <v>277</v>
      </c>
      <c r="E21" s="26" t="s">
        <v>90</v>
      </c>
      <c r="F21" s="26" t="s">
        <v>276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2">
      <c r="B22" s="27" t="s">
        <v>278</v>
      </c>
      <c r="C22" s="26" t="s">
        <v>109</v>
      </c>
      <c r="D22" s="26" t="s">
        <v>279</v>
      </c>
      <c r="E22" s="26" t="s">
        <v>90</v>
      </c>
      <c r="F22" s="26" t="s">
        <v>280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2">
      <c r="B23" s="27" t="s">
        <v>281</v>
      </c>
      <c r="C23" s="26" t="s">
        <v>116</v>
      </c>
      <c r="D23" s="26" t="s">
        <v>282</v>
      </c>
      <c r="E23" s="26" t="s">
        <v>90</v>
      </c>
      <c r="F23" s="26" t="s">
        <v>281</v>
      </c>
      <c r="G23" s="26" t="s">
        <v>267</v>
      </c>
      <c r="H23" s="26"/>
      <c r="I23" s="26"/>
      <c r="J23" s="25" t="s">
        <v>114</v>
      </c>
      <c r="K23" s="26"/>
      <c r="L23" s="26"/>
    </row>
    <row r="24" s="2" customFormat="1" ht="12.85" spans="2:12">
      <c r="B24" s="27" t="s">
        <v>283</v>
      </c>
      <c r="C24" s="26" t="s">
        <v>109</v>
      </c>
      <c r="D24" s="26" t="s">
        <v>284</v>
      </c>
      <c r="E24" s="26" t="s">
        <v>90</v>
      </c>
      <c r="F24" s="26" t="s">
        <v>283</v>
      </c>
      <c r="G24" s="26" t="s">
        <v>262</v>
      </c>
      <c r="H24" s="26"/>
      <c r="I24" s="26"/>
      <c r="J24" s="25" t="s">
        <v>114</v>
      </c>
      <c r="K24" s="26"/>
      <c r="L24" s="26"/>
    </row>
    <row r="25" s="2" customFormat="1" ht="12.85" spans="2:12">
      <c r="B25" s="27" t="s">
        <v>285</v>
      </c>
      <c r="C25" s="26" t="s">
        <v>116</v>
      </c>
      <c r="D25" s="26" t="s">
        <v>286</v>
      </c>
      <c r="E25" s="26" t="s">
        <v>90</v>
      </c>
      <c r="F25" s="26" t="s">
        <v>285</v>
      </c>
      <c r="G25" s="26" t="s">
        <v>267</v>
      </c>
      <c r="H25" s="26"/>
      <c r="I25" s="26"/>
      <c r="J25" s="25" t="s">
        <v>114</v>
      </c>
      <c r="K25" s="26"/>
      <c r="L25" s="26"/>
    </row>
    <row r="26" spans="2:12">
      <c r="B26" s="29" t="s">
        <v>165</v>
      </c>
      <c r="C26" s="30" t="s">
        <v>109</v>
      </c>
      <c r="D26" s="30" t="s">
        <v>287</v>
      </c>
      <c r="E26" s="30"/>
      <c r="F26" s="26"/>
      <c r="G26" s="30" t="s">
        <v>288</v>
      </c>
      <c r="H26" s="26"/>
      <c r="I26" s="26"/>
      <c r="J26" s="25" t="s">
        <v>114</v>
      </c>
      <c r="K26" s="25" t="s">
        <v>163</v>
      </c>
      <c r="L26" s="26" t="s">
        <v>289</v>
      </c>
    </row>
    <row r="27" s="2" customFormat="1" ht="22.5" customHeight="1" spans="2:12">
      <c r="B27" s="27" t="s">
        <v>290</v>
      </c>
      <c r="C27" s="26" t="s">
        <v>116</v>
      </c>
      <c r="D27" s="26" t="s">
        <v>291</v>
      </c>
      <c r="E27" s="26" t="s">
        <v>90</v>
      </c>
      <c r="F27" s="26" t="s">
        <v>290</v>
      </c>
      <c r="G27" s="26" t="s">
        <v>292</v>
      </c>
      <c r="H27" s="26"/>
      <c r="I27" s="26"/>
      <c r="J27" s="25" t="s">
        <v>114</v>
      </c>
      <c r="K27" s="26" t="s">
        <v>163</v>
      </c>
      <c r="L27" s="31" t="s">
        <v>293</v>
      </c>
    </row>
    <row r="28" s="2" customFormat="1" ht="12.85" spans="2:12">
      <c r="B28" s="27" t="s">
        <v>294</v>
      </c>
      <c r="C28" s="26" t="s">
        <v>116</v>
      </c>
      <c r="D28" s="26" t="s">
        <v>295</v>
      </c>
      <c r="E28" s="26" t="s">
        <v>90</v>
      </c>
      <c r="F28" s="26" t="s">
        <v>294</v>
      </c>
      <c r="G28" s="26" t="s">
        <v>292</v>
      </c>
      <c r="H28" s="26"/>
      <c r="I28" s="26"/>
      <c r="J28" s="25" t="s">
        <v>114</v>
      </c>
      <c r="K28" s="26" t="s">
        <v>163</v>
      </c>
      <c r="L28" s="26" t="s">
        <v>296</v>
      </c>
    </row>
    <row r="29" s="2" customFormat="1" ht="12.85" spans="2:12">
      <c r="B29" s="27" t="s">
        <v>297</v>
      </c>
      <c r="C29" s="26" t="s">
        <v>116</v>
      </c>
      <c r="D29" s="26" t="s">
        <v>298</v>
      </c>
      <c r="E29" s="26" t="s">
        <v>90</v>
      </c>
      <c r="F29" s="26" t="s">
        <v>297</v>
      </c>
      <c r="G29" s="26" t="s">
        <v>292</v>
      </c>
      <c r="H29" s="26"/>
      <c r="I29" s="26" t="s">
        <v>299</v>
      </c>
      <c r="J29" s="25" t="s">
        <v>114</v>
      </c>
      <c r="K29" s="26" t="s">
        <v>163</v>
      </c>
      <c r="L29" s="26" t="s">
        <v>300</v>
      </c>
    </row>
    <row r="30" s="2" customFormat="1" ht="12.85" spans="2:12">
      <c r="B30" s="26" t="s">
        <v>301</v>
      </c>
      <c r="C30" s="26" t="s">
        <v>120</v>
      </c>
      <c r="D30" s="26" t="s">
        <v>302</v>
      </c>
      <c r="E30" s="26" t="s">
        <v>90</v>
      </c>
      <c r="F30" s="26" t="s">
        <v>303</v>
      </c>
      <c r="G30" s="26" t="s">
        <v>304</v>
      </c>
      <c r="H30" s="26"/>
      <c r="I30" s="26" t="s">
        <v>124</v>
      </c>
      <c r="J30" s="25" t="s">
        <v>30</v>
      </c>
      <c r="K30" s="26" t="s">
        <v>125</v>
      </c>
      <c r="L30" s="26" t="s">
        <v>305</v>
      </c>
    </row>
    <row r="31" s="2" customFormat="1" ht="12.85" spans="2:12">
      <c r="B31" s="32" t="s">
        <v>306</v>
      </c>
      <c r="C31" s="32" t="s">
        <v>307</v>
      </c>
      <c r="D31" s="32" t="s">
        <v>308</v>
      </c>
      <c r="E31" s="32" t="s">
        <v>309</v>
      </c>
      <c r="F31" s="32"/>
      <c r="G31" s="32" t="s">
        <v>310</v>
      </c>
      <c r="H31" s="32"/>
      <c r="I31" s="32"/>
      <c r="J31" s="33" t="s">
        <v>30</v>
      </c>
      <c r="K31" s="32" t="s">
        <v>137</v>
      </c>
      <c r="L31" s="32" t="s">
        <v>311</v>
      </c>
    </row>
    <row r="32" s="2" customFormat="1" ht="12.85" spans="2:12">
      <c r="B32" s="26" t="s">
        <v>312</v>
      </c>
      <c r="C32" s="26" t="s">
        <v>120</v>
      </c>
      <c r="D32" s="26" t="s">
        <v>313</v>
      </c>
      <c r="E32" s="26" t="s">
        <v>90</v>
      </c>
      <c r="F32" s="26" t="s">
        <v>314</v>
      </c>
      <c r="G32" s="26" t="s">
        <v>315</v>
      </c>
      <c r="H32" s="26"/>
      <c r="I32" s="26"/>
      <c r="J32" s="25" t="s">
        <v>30</v>
      </c>
      <c r="K32" s="26" t="s">
        <v>125</v>
      </c>
      <c r="L32" s="26" t="s">
        <v>305</v>
      </c>
    </row>
    <row r="33" s="2" customFormat="1" ht="12.85" spans="2:13">
      <c r="B33" s="26" t="s">
        <v>316</v>
      </c>
      <c r="C33" s="26" t="s">
        <v>120</v>
      </c>
      <c r="D33" s="26" t="s">
        <v>317</v>
      </c>
      <c r="E33" s="26" t="s">
        <v>90</v>
      </c>
      <c r="F33" s="26" t="s">
        <v>318</v>
      </c>
      <c r="G33" s="26" t="s">
        <v>319</v>
      </c>
      <c r="H33" s="26"/>
      <c r="I33" s="26"/>
      <c r="J33" s="25" t="s">
        <v>30</v>
      </c>
      <c r="K33" s="26" t="s">
        <v>125</v>
      </c>
      <c r="L33" s="26" t="s">
        <v>305</v>
      </c>
    </row>
    <row r="34" spans="2:13">
      <c r="B34" s="34" t="s">
        <v>320</v>
      </c>
      <c r="C34" s="26" t="s">
        <v>174</v>
      </c>
      <c r="D34" s="34" t="s">
        <v>321</v>
      </c>
      <c r="E34" s="26" t="s">
        <v>90</v>
      </c>
      <c r="F34" s="26"/>
      <c r="G34" s="26" t="s">
        <v>322</v>
      </c>
      <c r="H34" s="26"/>
      <c r="I34" s="34" t="s">
        <v>323</v>
      </c>
      <c r="J34" s="25" t="s">
        <v>30</v>
      </c>
      <c r="K34" s="26" t="s">
        <v>137</v>
      </c>
      <c r="L34" s="26" t="s">
        <v>324</v>
      </c>
      <c r="M34" s="2"/>
    </row>
    <row r="35" spans="2:13">
      <c r="B35" s="35" t="s">
        <v>325</v>
      </c>
      <c r="C35" s="32" t="s">
        <v>174</v>
      </c>
      <c r="D35" s="35" t="s">
        <v>326</v>
      </c>
      <c r="E35" s="32" t="s">
        <v>309</v>
      </c>
      <c r="F35" s="32"/>
      <c r="G35" s="32" t="s">
        <v>327</v>
      </c>
      <c r="H35" s="32"/>
      <c r="I35" s="35"/>
      <c r="J35" s="33" t="s">
        <v>30</v>
      </c>
      <c r="K35" s="32" t="s">
        <v>137</v>
      </c>
      <c r="L35" s="32" t="s">
        <v>311</v>
      </c>
    </row>
    <row r="36" spans="2:13">
      <c r="B36" s="26" t="s">
        <v>328</v>
      </c>
      <c r="C36" s="26" t="s">
        <v>120</v>
      </c>
      <c r="D36" s="26" t="s">
        <v>329</v>
      </c>
      <c r="E36" s="26" t="s">
        <v>90</v>
      </c>
      <c r="F36" s="26" t="s">
        <v>330</v>
      </c>
      <c r="G36" s="26" t="s">
        <v>331</v>
      </c>
      <c r="H36" s="26"/>
      <c r="I36" s="26"/>
      <c r="J36" s="25" t="s">
        <v>30</v>
      </c>
      <c r="K36" s="26" t="s">
        <v>125</v>
      </c>
      <c r="L36" s="26" t="s">
        <v>305</v>
      </c>
    </row>
    <row r="37" spans="2:13">
      <c r="B37" s="26" t="s">
        <v>332</v>
      </c>
      <c r="C37" s="26" t="s">
        <v>120</v>
      </c>
      <c r="D37" s="26" t="s">
        <v>333</v>
      </c>
      <c r="E37" s="26" t="s">
        <v>90</v>
      </c>
      <c r="F37" s="26" t="s">
        <v>334</v>
      </c>
      <c r="G37" s="26" t="s">
        <v>335</v>
      </c>
      <c r="H37" s="26"/>
      <c r="I37" s="26"/>
      <c r="J37" s="25" t="s">
        <v>30</v>
      </c>
      <c r="K37" s="26" t="s">
        <v>125</v>
      </c>
      <c r="L37" s="26" t="s">
        <v>305</v>
      </c>
    </row>
    <row r="38" spans="2:13">
      <c r="B38" s="34" t="s">
        <v>336</v>
      </c>
      <c r="C38" s="26" t="s">
        <v>174</v>
      </c>
      <c r="D38" s="34" t="s">
        <v>337</v>
      </c>
      <c r="E38" s="26" t="s">
        <v>90</v>
      </c>
      <c r="F38" s="26"/>
      <c r="G38" s="26" t="s">
        <v>338</v>
      </c>
      <c r="H38" s="26"/>
      <c r="I38" s="34" t="s">
        <v>339</v>
      </c>
      <c r="J38" s="25" t="s">
        <v>30</v>
      </c>
      <c r="K38" s="26" t="s">
        <v>137</v>
      </c>
      <c r="L38" s="26" t="s">
        <v>324</v>
      </c>
    </row>
    <row r="39" spans="2:13">
      <c r="B39" s="35" t="s">
        <v>340</v>
      </c>
      <c r="C39" s="32" t="s">
        <v>174</v>
      </c>
      <c r="D39" s="35" t="s">
        <v>341</v>
      </c>
      <c r="E39" s="32" t="s">
        <v>309</v>
      </c>
      <c r="F39" s="32"/>
      <c r="G39" s="32" t="s">
        <v>342</v>
      </c>
      <c r="H39" s="32"/>
      <c r="I39" s="35"/>
      <c r="J39" s="33" t="s">
        <v>30</v>
      </c>
      <c r="K39" s="32" t="s">
        <v>137</v>
      </c>
      <c r="L39" s="32" t="s">
        <v>311</v>
      </c>
    </row>
    <row r="40" spans="2:13">
      <c r="B40" s="26" t="s">
        <v>343</v>
      </c>
      <c r="C40" s="26" t="s">
        <v>120</v>
      </c>
      <c r="D40" s="26" t="s">
        <v>344</v>
      </c>
      <c r="E40" s="26" t="s">
        <v>90</v>
      </c>
      <c r="F40" s="26" t="s">
        <v>345</v>
      </c>
      <c r="G40" s="26" t="s">
        <v>346</v>
      </c>
      <c r="H40" s="26"/>
      <c r="I40" s="34"/>
      <c r="J40" s="25" t="s">
        <v>30</v>
      </c>
      <c r="K40" s="26" t="s">
        <v>125</v>
      </c>
      <c r="L40" s="26" t="s">
        <v>305</v>
      </c>
    </row>
    <row r="41" spans="2:13">
      <c r="B41" s="26" t="s">
        <v>347</v>
      </c>
      <c r="C41" s="26" t="s">
        <v>120</v>
      </c>
      <c r="D41" s="26" t="s">
        <v>348</v>
      </c>
      <c r="E41" s="26" t="s">
        <v>90</v>
      </c>
      <c r="F41" s="26" t="s">
        <v>349</v>
      </c>
      <c r="G41" s="26" t="s">
        <v>350</v>
      </c>
      <c r="H41" s="26"/>
      <c r="I41" s="34"/>
      <c r="J41" s="25" t="s">
        <v>30</v>
      </c>
      <c r="K41" s="26" t="s">
        <v>125</v>
      </c>
      <c r="L41" s="26" t="s">
        <v>305</v>
      </c>
    </row>
    <row r="42" spans="2:13">
      <c r="B42" s="34" t="s">
        <v>351</v>
      </c>
      <c r="C42" s="26" t="s">
        <v>174</v>
      </c>
      <c r="D42" s="34" t="s">
        <v>352</v>
      </c>
      <c r="E42" s="26" t="s">
        <v>90</v>
      </c>
      <c r="F42" s="26"/>
      <c r="G42" s="26" t="s">
        <v>353</v>
      </c>
      <c r="H42" s="26"/>
      <c r="I42" s="34" t="s">
        <v>354</v>
      </c>
      <c r="J42" s="25" t="s">
        <v>30</v>
      </c>
      <c r="K42" s="26" t="s">
        <v>137</v>
      </c>
      <c r="L42" s="26" t="s">
        <v>324</v>
      </c>
    </row>
    <row r="43" spans="2:13">
      <c r="B43" s="35" t="s">
        <v>355</v>
      </c>
      <c r="C43" s="32" t="s">
        <v>174</v>
      </c>
      <c r="D43" s="35" t="s">
        <v>356</v>
      </c>
      <c r="E43" s="32" t="s">
        <v>309</v>
      </c>
      <c r="F43" s="32"/>
      <c r="G43" s="32" t="s">
        <v>357</v>
      </c>
      <c r="H43" s="32"/>
      <c r="I43" s="35"/>
      <c r="J43" s="33" t="s">
        <v>30</v>
      </c>
      <c r="K43" s="32" t="s">
        <v>137</v>
      </c>
      <c r="L43" s="32" t="s">
        <v>311</v>
      </c>
    </row>
    <row r="44" spans="2:13">
      <c r="B44" s="26" t="s">
        <v>358</v>
      </c>
      <c r="C44" s="26" t="s">
        <v>120</v>
      </c>
      <c r="D44" s="26" t="s">
        <v>359</v>
      </c>
      <c r="E44" s="26" t="s">
        <v>90</v>
      </c>
      <c r="F44" s="26" t="s">
        <v>360</v>
      </c>
      <c r="G44" s="26" t="s">
        <v>361</v>
      </c>
      <c r="H44" s="26"/>
      <c r="I44" s="34"/>
      <c r="J44" s="25" t="s">
        <v>30</v>
      </c>
      <c r="K44" s="26" t="s">
        <v>125</v>
      </c>
      <c r="L44" s="26" t="s">
        <v>305</v>
      </c>
    </row>
    <row r="45" spans="2:13">
      <c r="B45" s="26" t="s">
        <v>362</v>
      </c>
      <c r="C45" s="26" t="s">
        <v>120</v>
      </c>
      <c r="D45" s="26" t="s">
        <v>363</v>
      </c>
      <c r="E45" s="26" t="s">
        <v>90</v>
      </c>
      <c r="F45" s="26" t="s">
        <v>364</v>
      </c>
      <c r="G45" s="26" t="s">
        <v>365</v>
      </c>
      <c r="H45" s="26"/>
      <c r="I45" s="34"/>
      <c r="J45" s="25" t="s">
        <v>30</v>
      </c>
      <c r="K45" s="26" t="s">
        <v>125</v>
      </c>
      <c r="L45" s="26" t="s">
        <v>305</v>
      </c>
    </row>
    <row r="46" spans="2:13">
      <c r="B46" s="34" t="s">
        <v>366</v>
      </c>
      <c r="C46" s="26" t="s">
        <v>174</v>
      </c>
      <c r="D46" s="34" t="s">
        <v>367</v>
      </c>
      <c r="E46" s="26" t="s">
        <v>90</v>
      </c>
      <c r="F46" s="26"/>
      <c r="G46" s="26" t="s">
        <v>368</v>
      </c>
      <c r="H46" s="26"/>
      <c r="I46" s="34" t="s">
        <v>369</v>
      </c>
      <c r="J46" s="25" t="s">
        <v>30</v>
      </c>
      <c r="K46" s="26" t="s">
        <v>137</v>
      </c>
      <c r="L46" s="26" t="s">
        <v>324</v>
      </c>
    </row>
    <row r="47" spans="2:13">
      <c r="B47" s="35" t="s">
        <v>370</v>
      </c>
      <c r="C47" s="32" t="s">
        <v>174</v>
      </c>
      <c r="D47" s="35" t="s">
        <v>371</v>
      </c>
      <c r="E47" s="32" t="s">
        <v>309</v>
      </c>
      <c r="F47" s="32"/>
      <c r="G47" s="32" t="s">
        <v>372</v>
      </c>
      <c r="H47" s="32"/>
      <c r="I47" s="35"/>
      <c r="J47" s="33" t="s">
        <v>30</v>
      </c>
      <c r="K47" s="32" t="s">
        <v>137</v>
      </c>
      <c r="L47" s="32" t="s">
        <v>311</v>
      </c>
    </row>
    <row r="48" spans="2:13">
      <c r="B48" s="26" t="s">
        <v>373</v>
      </c>
      <c r="C48" s="26" t="s">
        <v>120</v>
      </c>
      <c r="D48" s="26" t="s">
        <v>374</v>
      </c>
      <c r="E48" s="26" t="s">
        <v>90</v>
      </c>
      <c r="F48" s="26" t="s">
        <v>375</v>
      </c>
      <c r="G48" s="26" t="s">
        <v>376</v>
      </c>
      <c r="H48" s="26"/>
      <c r="I48" s="34"/>
      <c r="J48" s="25" t="s">
        <v>30</v>
      </c>
      <c r="K48" s="26" t="s">
        <v>125</v>
      </c>
      <c r="L48" s="26" t="s">
        <v>305</v>
      </c>
    </row>
    <row r="49" spans="2:12">
      <c r="B49" s="26" t="s">
        <v>377</v>
      </c>
      <c r="C49" s="26" t="s">
        <v>120</v>
      </c>
      <c r="D49" s="26" t="s">
        <v>378</v>
      </c>
      <c r="E49" s="26" t="s">
        <v>90</v>
      </c>
      <c r="F49" s="26" t="s">
        <v>379</v>
      </c>
      <c r="G49" s="26" t="s">
        <v>380</v>
      </c>
      <c r="H49" s="26"/>
      <c r="I49" s="34"/>
      <c r="J49" s="25" t="s">
        <v>30</v>
      </c>
      <c r="K49" s="26" t="s">
        <v>125</v>
      </c>
      <c r="L49" s="26" t="s">
        <v>305</v>
      </c>
    </row>
    <row r="50" spans="2:12">
      <c r="B50" s="34" t="s">
        <v>381</v>
      </c>
      <c r="C50" s="26" t="s">
        <v>174</v>
      </c>
      <c r="D50" s="34" t="s">
        <v>382</v>
      </c>
      <c r="E50" s="26" t="s">
        <v>90</v>
      </c>
      <c r="F50" s="26"/>
      <c r="G50" s="26" t="s">
        <v>383</v>
      </c>
      <c r="H50" s="26"/>
      <c r="I50" s="34" t="s">
        <v>384</v>
      </c>
      <c r="J50" s="25" t="s">
        <v>30</v>
      </c>
      <c r="K50" s="26" t="s">
        <v>137</v>
      </c>
      <c r="L50" s="26" t="s">
        <v>324</v>
      </c>
    </row>
    <row r="51" spans="2:12">
      <c r="B51" s="35" t="s">
        <v>385</v>
      </c>
      <c r="C51" s="32" t="s">
        <v>174</v>
      </c>
      <c r="D51" s="35" t="s">
        <v>386</v>
      </c>
      <c r="E51" s="32" t="s">
        <v>309</v>
      </c>
      <c r="F51" s="32"/>
      <c r="G51" s="32" t="s">
        <v>387</v>
      </c>
      <c r="H51" s="32"/>
      <c r="I51" s="35"/>
      <c r="J51" s="33" t="s">
        <v>30</v>
      </c>
      <c r="K51" s="32" t="s">
        <v>137</v>
      </c>
      <c r="L51" s="32" t="s">
        <v>311</v>
      </c>
    </row>
    <row r="52" spans="2:12">
      <c r="B52" s="26" t="s">
        <v>388</v>
      </c>
      <c r="C52" s="26" t="s">
        <v>120</v>
      </c>
      <c r="D52" s="26" t="s">
        <v>389</v>
      </c>
      <c r="E52" s="26" t="s">
        <v>90</v>
      </c>
      <c r="F52" s="26" t="s">
        <v>390</v>
      </c>
      <c r="G52" s="26" t="s">
        <v>391</v>
      </c>
      <c r="H52" s="26"/>
      <c r="I52" s="34"/>
      <c r="J52" s="25" t="s">
        <v>30</v>
      </c>
      <c r="K52" s="26" t="s">
        <v>125</v>
      </c>
      <c r="L52" s="26" t="s">
        <v>305</v>
      </c>
    </row>
    <row r="53" spans="2:12">
      <c r="B53" s="26" t="s">
        <v>392</v>
      </c>
      <c r="C53" s="26" t="s">
        <v>120</v>
      </c>
      <c r="D53" s="26" t="s">
        <v>393</v>
      </c>
      <c r="E53" s="26" t="s">
        <v>90</v>
      </c>
      <c r="F53" s="26" t="s">
        <v>394</v>
      </c>
      <c r="G53" s="26" t="s">
        <v>395</v>
      </c>
      <c r="H53" s="26"/>
      <c r="I53" s="34"/>
      <c r="J53" s="25" t="s">
        <v>30</v>
      </c>
      <c r="K53" s="26" t="s">
        <v>125</v>
      </c>
      <c r="L53" s="26" t="s">
        <v>305</v>
      </c>
    </row>
    <row r="54" spans="2:12">
      <c r="B54" s="34" t="s">
        <v>396</v>
      </c>
      <c r="C54" s="26" t="s">
        <v>174</v>
      </c>
      <c r="D54" s="34" t="s">
        <v>397</v>
      </c>
      <c r="E54" s="26" t="s">
        <v>90</v>
      </c>
      <c r="F54" s="26"/>
      <c r="G54" s="26" t="s">
        <v>398</v>
      </c>
      <c r="H54" s="26"/>
      <c r="I54" s="34" t="s">
        <v>399</v>
      </c>
      <c r="J54" s="25" t="s">
        <v>30</v>
      </c>
      <c r="K54" s="26" t="s">
        <v>137</v>
      </c>
      <c r="L54" s="26" t="s">
        <v>324</v>
      </c>
    </row>
    <row r="55" spans="2:12">
      <c r="B55" s="35" t="s">
        <v>400</v>
      </c>
      <c r="C55" s="32" t="s">
        <v>174</v>
      </c>
      <c r="D55" s="35" t="s">
        <v>401</v>
      </c>
      <c r="E55" s="32" t="s">
        <v>309</v>
      </c>
      <c r="F55" s="32"/>
      <c r="G55" s="32" t="s">
        <v>402</v>
      </c>
      <c r="H55" s="32"/>
      <c r="I55" s="35"/>
      <c r="J55" s="33" t="s">
        <v>30</v>
      </c>
      <c r="K55" s="32" t="s">
        <v>137</v>
      </c>
      <c r="L55" s="32" t="s">
        <v>311</v>
      </c>
    </row>
    <row r="56" spans="2:12">
      <c r="B56" s="26" t="s">
        <v>403</v>
      </c>
      <c r="C56" s="26" t="s">
        <v>120</v>
      </c>
      <c r="D56" s="26" t="s">
        <v>404</v>
      </c>
      <c r="E56" s="26" t="s">
        <v>90</v>
      </c>
      <c r="F56" s="26" t="s">
        <v>405</v>
      </c>
      <c r="G56" s="26" t="s">
        <v>406</v>
      </c>
      <c r="H56" s="26"/>
      <c r="I56" s="34"/>
      <c r="J56" s="25" t="s">
        <v>30</v>
      </c>
      <c r="K56" s="26" t="s">
        <v>125</v>
      </c>
      <c r="L56" s="26" t="s">
        <v>305</v>
      </c>
    </row>
    <row r="57" spans="2:12">
      <c r="B57" s="26" t="s">
        <v>407</v>
      </c>
      <c r="C57" s="26" t="s">
        <v>120</v>
      </c>
      <c r="D57" s="26" t="s">
        <v>408</v>
      </c>
      <c r="E57" s="26" t="s">
        <v>90</v>
      </c>
      <c r="F57" s="26" t="s">
        <v>409</v>
      </c>
      <c r="G57" s="26" t="s">
        <v>410</v>
      </c>
      <c r="H57" s="26"/>
      <c r="I57" s="34"/>
      <c r="J57" s="25" t="s">
        <v>30</v>
      </c>
      <c r="K57" s="26" t="s">
        <v>125</v>
      </c>
      <c r="L57" s="26" t="s">
        <v>305</v>
      </c>
    </row>
    <row r="58" spans="2:12">
      <c r="B58" s="34" t="s">
        <v>411</v>
      </c>
      <c r="C58" s="26" t="s">
        <v>174</v>
      </c>
      <c r="D58" s="34" t="s">
        <v>412</v>
      </c>
      <c r="E58" s="26" t="s">
        <v>90</v>
      </c>
      <c r="F58" s="26"/>
      <c r="G58" s="26" t="s">
        <v>413</v>
      </c>
      <c r="H58" s="26"/>
      <c r="I58" s="34" t="s">
        <v>414</v>
      </c>
      <c r="J58" s="25" t="s">
        <v>30</v>
      </c>
      <c r="K58" s="26" t="s">
        <v>137</v>
      </c>
      <c r="L58" s="26" t="s">
        <v>324</v>
      </c>
    </row>
    <row r="59" spans="2:12">
      <c r="B59" s="35" t="s">
        <v>415</v>
      </c>
      <c r="C59" s="32" t="s">
        <v>174</v>
      </c>
      <c r="D59" s="35" t="s">
        <v>416</v>
      </c>
      <c r="E59" s="32" t="s">
        <v>309</v>
      </c>
      <c r="F59" s="32"/>
      <c r="G59" s="32" t="s">
        <v>417</v>
      </c>
      <c r="H59" s="32"/>
      <c r="I59" s="35"/>
      <c r="J59" s="33" t="s">
        <v>30</v>
      </c>
      <c r="K59" s="32" t="s">
        <v>137</v>
      </c>
      <c r="L59" s="32" t="s">
        <v>311</v>
      </c>
    </row>
    <row r="60" spans="2:12">
      <c r="B60" s="26" t="s">
        <v>418</v>
      </c>
      <c r="C60" s="26" t="s">
        <v>120</v>
      </c>
      <c r="D60" s="26" t="s">
        <v>419</v>
      </c>
      <c r="E60" s="26" t="s">
        <v>90</v>
      </c>
      <c r="F60" s="26" t="s">
        <v>420</v>
      </c>
      <c r="G60" s="26" t="s">
        <v>421</v>
      </c>
      <c r="H60" s="26"/>
      <c r="I60" s="34"/>
      <c r="J60" s="25" t="s">
        <v>30</v>
      </c>
      <c r="K60" s="26" t="s">
        <v>125</v>
      </c>
      <c r="L60" s="26" t="s">
        <v>305</v>
      </c>
    </row>
    <row r="61" spans="2:12">
      <c r="B61" s="26" t="s">
        <v>422</v>
      </c>
      <c r="C61" s="26" t="s">
        <v>120</v>
      </c>
      <c r="D61" s="26" t="s">
        <v>423</v>
      </c>
      <c r="E61" s="26" t="s">
        <v>90</v>
      </c>
      <c r="F61" s="26" t="s">
        <v>424</v>
      </c>
      <c r="G61" s="26" t="s">
        <v>425</v>
      </c>
      <c r="H61" s="26"/>
      <c r="I61" s="34"/>
      <c r="J61" s="25" t="s">
        <v>30</v>
      </c>
      <c r="K61" s="26" t="s">
        <v>125</v>
      </c>
      <c r="L61" s="26" t="s">
        <v>305</v>
      </c>
    </row>
    <row r="62" spans="2:12">
      <c r="B62" s="34" t="s">
        <v>426</v>
      </c>
      <c r="C62" s="26" t="s">
        <v>174</v>
      </c>
      <c r="D62" s="34" t="s">
        <v>427</v>
      </c>
      <c r="E62" s="26" t="s">
        <v>90</v>
      </c>
      <c r="F62" s="26"/>
      <c r="G62" s="26" t="s">
        <v>428</v>
      </c>
      <c r="H62" s="26"/>
      <c r="I62" s="34" t="s">
        <v>429</v>
      </c>
      <c r="J62" s="25" t="s">
        <v>30</v>
      </c>
      <c r="K62" s="26" t="s">
        <v>137</v>
      </c>
      <c r="L62" s="26" t="s">
        <v>324</v>
      </c>
    </row>
    <row r="63" spans="2:12">
      <c r="B63" s="35" t="s">
        <v>430</v>
      </c>
      <c r="C63" s="32" t="s">
        <v>174</v>
      </c>
      <c r="D63" s="35" t="s">
        <v>431</v>
      </c>
      <c r="E63" s="32" t="s">
        <v>309</v>
      </c>
      <c r="F63" s="32"/>
      <c r="G63" s="32" t="s">
        <v>432</v>
      </c>
      <c r="H63" s="32"/>
      <c r="I63" s="35"/>
      <c r="J63" s="33" t="s">
        <v>30</v>
      </c>
      <c r="K63" s="32" t="s">
        <v>137</v>
      </c>
      <c r="L63" s="32" t="s">
        <v>311</v>
      </c>
    </row>
    <row r="64" spans="2:12">
      <c r="B64" s="26" t="s">
        <v>433</v>
      </c>
      <c r="C64" s="26" t="s">
        <v>120</v>
      </c>
      <c r="D64" s="26" t="s">
        <v>434</v>
      </c>
      <c r="E64" s="26" t="s">
        <v>90</v>
      </c>
      <c r="F64" s="26" t="s">
        <v>435</v>
      </c>
      <c r="G64" s="26" t="s">
        <v>436</v>
      </c>
      <c r="H64" s="26"/>
      <c r="I64" s="34"/>
      <c r="J64" s="25" t="s">
        <v>30</v>
      </c>
      <c r="K64" s="26" t="s">
        <v>125</v>
      </c>
      <c r="L64" s="26" t="s">
        <v>305</v>
      </c>
    </row>
    <row r="65" spans="2:12">
      <c r="B65" s="26" t="s">
        <v>437</v>
      </c>
      <c r="C65" s="26" t="s">
        <v>120</v>
      </c>
      <c r="D65" s="26" t="s">
        <v>438</v>
      </c>
      <c r="E65" s="26" t="s">
        <v>90</v>
      </c>
      <c r="F65" s="26" t="s">
        <v>439</v>
      </c>
      <c r="G65" s="26" t="s">
        <v>440</v>
      </c>
      <c r="H65" s="26"/>
      <c r="I65" s="34"/>
      <c r="J65" s="25" t="s">
        <v>30</v>
      </c>
      <c r="K65" s="26" t="s">
        <v>125</v>
      </c>
      <c r="L65" s="26" t="s">
        <v>305</v>
      </c>
    </row>
    <row r="66" spans="2:12">
      <c r="B66" s="34" t="s">
        <v>441</v>
      </c>
      <c r="C66" s="26" t="s">
        <v>174</v>
      </c>
      <c r="D66" s="34" t="s">
        <v>442</v>
      </c>
      <c r="E66" s="26" t="s">
        <v>90</v>
      </c>
      <c r="F66" s="26"/>
      <c r="G66" s="26" t="s">
        <v>443</v>
      </c>
      <c r="H66" s="26"/>
      <c r="I66" s="34" t="s">
        <v>429</v>
      </c>
      <c r="J66" s="25" t="s">
        <v>30</v>
      </c>
      <c r="K66" s="26" t="s">
        <v>137</v>
      </c>
      <c r="L66" s="26" t="s">
        <v>324</v>
      </c>
    </row>
    <row r="67" spans="2:12">
      <c r="B67" s="35" t="s">
        <v>444</v>
      </c>
      <c r="C67" s="32" t="s">
        <v>174</v>
      </c>
      <c r="D67" s="35" t="s">
        <v>445</v>
      </c>
      <c r="E67" s="32" t="s">
        <v>309</v>
      </c>
      <c r="F67" s="32"/>
      <c r="G67" s="32" t="s">
        <v>446</v>
      </c>
      <c r="H67" s="32"/>
      <c r="I67" s="35"/>
      <c r="J67" s="33" t="s">
        <v>30</v>
      </c>
      <c r="K67" s="32" t="s">
        <v>137</v>
      </c>
      <c r="L67" s="32" t="s">
        <v>311</v>
      </c>
    </row>
    <row r="68" spans="2:12">
      <c r="B68" s="26" t="s">
        <v>447</v>
      </c>
      <c r="C68" s="26" t="s">
        <v>120</v>
      </c>
      <c r="D68" s="26" t="s">
        <v>448</v>
      </c>
      <c r="E68" s="26" t="s">
        <v>90</v>
      </c>
      <c r="F68" s="26" t="s">
        <v>449</v>
      </c>
      <c r="G68" s="26" t="s">
        <v>450</v>
      </c>
      <c r="H68" s="26"/>
      <c r="I68" s="34"/>
      <c r="J68" s="25" t="s">
        <v>30</v>
      </c>
      <c r="K68" s="26" t="s">
        <v>125</v>
      </c>
      <c r="L68" s="26" t="s">
        <v>305</v>
      </c>
    </row>
    <row r="69" spans="2:12">
      <c r="B69" s="26" t="s">
        <v>451</v>
      </c>
      <c r="C69" s="26" t="s">
        <v>120</v>
      </c>
      <c r="D69" s="26" t="s">
        <v>452</v>
      </c>
      <c r="E69" s="26" t="s">
        <v>90</v>
      </c>
      <c r="F69" s="26" t="s">
        <v>453</v>
      </c>
      <c r="G69" s="26" t="s">
        <v>454</v>
      </c>
      <c r="H69" s="26"/>
      <c r="I69" s="34"/>
      <c r="J69" s="25" t="s">
        <v>30</v>
      </c>
      <c r="K69" s="26" t="s">
        <v>125</v>
      </c>
      <c r="L69" s="26" t="s">
        <v>305</v>
      </c>
    </row>
    <row r="70" spans="2:12">
      <c r="B70" s="34" t="s">
        <v>455</v>
      </c>
      <c r="C70" s="26" t="s">
        <v>174</v>
      </c>
      <c r="D70" s="34" t="s">
        <v>456</v>
      </c>
      <c r="E70" s="26" t="s">
        <v>90</v>
      </c>
      <c r="F70" s="26"/>
      <c r="G70" s="26" t="s">
        <v>457</v>
      </c>
      <c r="H70" s="26"/>
      <c r="I70" s="34" t="s">
        <v>458</v>
      </c>
      <c r="J70" s="25" t="s">
        <v>30</v>
      </c>
      <c r="K70" s="26" t="s">
        <v>137</v>
      </c>
      <c r="L70" s="26" t="s">
        <v>324</v>
      </c>
    </row>
    <row r="71" spans="2:12">
      <c r="B71" s="35" t="s">
        <v>459</v>
      </c>
      <c r="C71" s="32" t="s">
        <v>174</v>
      </c>
      <c r="D71" s="35" t="s">
        <v>460</v>
      </c>
      <c r="E71" s="32" t="s">
        <v>309</v>
      </c>
      <c r="F71" s="32"/>
      <c r="G71" s="32" t="s">
        <v>461</v>
      </c>
      <c r="H71" s="32"/>
      <c r="I71" s="35"/>
      <c r="J71" s="33" t="s">
        <v>30</v>
      </c>
      <c r="K71" s="32" t="s">
        <v>137</v>
      </c>
      <c r="L71" s="32" t="s">
        <v>311</v>
      </c>
    </row>
    <row r="72" spans="2:12">
      <c r="B72" s="26" t="s">
        <v>462</v>
      </c>
      <c r="C72" s="26" t="s">
        <v>120</v>
      </c>
      <c r="D72" s="26" t="s">
        <v>463</v>
      </c>
      <c r="E72" s="26" t="s">
        <v>90</v>
      </c>
      <c r="F72" s="26" t="s">
        <v>464</v>
      </c>
      <c r="G72" s="26" t="s">
        <v>465</v>
      </c>
      <c r="H72" s="26"/>
      <c r="I72" s="34"/>
      <c r="J72" s="25" t="s">
        <v>30</v>
      </c>
      <c r="K72" s="26" t="s">
        <v>125</v>
      </c>
      <c r="L72" s="26" t="s">
        <v>305</v>
      </c>
    </row>
    <row r="73" spans="2:12">
      <c r="B73" s="26" t="s">
        <v>466</v>
      </c>
      <c r="C73" s="26" t="s">
        <v>120</v>
      </c>
      <c r="D73" s="26" t="s">
        <v>467</v>
      </c>
      <c r="E73" s="26" t="s">
        <v>90</v>
      </c>
      <c r="F73" s="26" t="s">
        <v>468</v>
      </c>
      <c r="G73" s="26" t="s">
        <v>469</v>
      </c>
      <c r="H73" s="26"/>
      <c r="I73" s="34"/>
      <c r="J73" s="25" t="s">
        <v>30</v>
      </c>
      <c r="K73" s="26" t="s">
        <v>125</v>
      </c>
      <c r="L73" s="26" t="s">
        <v>305</v>
      </c>
    </row>
    <row r="74" spans="2:12">
      <c r="B74" s="34" t="s">
        <v>470</v>
      </c>
      <c r="C74" s="26" t="s">
        <v>174</v>
      </c>
      <c r="D74" s="34" t="s">
        <v>471</v>
      </c>
      <c r="E74" s="26" t="s">
        <v>90</v>
      </c>
      <c r="F74" s="26"/>
      <c r="G74" s="26" t="s">
        <v>472</v>
      </c>
      <c r="H74" s="26"/>
      <c r="I74" s="34" t="s">
        <v>473</v>
      </c>
      <c r="J74" s="25" t="s">
        <v>30</v>
      </c>
      <c r="K74" s="26" t="s">
        <v>137</v>
      </c>
      <c r="L74" s="26" t="s">
        <v>324</v>
      </c>
    </row>
    <row r="75" spans="2:12">
      <c r="B75" s="35" t="s">
        <v>474</v>
      </c>
      <c r="C75" s="32" t="s">
        <v>174</v>
      </c>
      <c r="D75" s="35" t="s">
        <v>475</v>
      </c>
      <c r="E75" s="32" t="s">
        <v>309</v>
      </c>
      <c r="F75" s="32"/>
      <c r="G75" s="32" t="s">
        <v>476</v>
      </c>
      <c r="H75" s="32"/>
      <c r="I75" s="35"/>
      <c r="J75" s="33" t="s">
        <v>30</v>
      </c>
      <c r="K75" s="32" t="s">
        <v>137</v>
      </c>
      <c r="L75" s="32" t="s">
        <v>311</v>
      </c>
    </row>
    <row r="76" spans="2:12">
      <c r="B76" s="26" t="s">
        <v>477</v>
      </c>
      <c r="C76" s="26" t="s">
        <v>120</v>
      </c>
      <c r="D76" s="26" t="s">
        <v>478</v>
      </c>
      <c r="E76" s="26" t="s">
        <v>90</v>
      </c>
      <c r="F76" s="26" t="s">
        <v>479</v>
      </c>
      <c r="G76" s="26" t="s">
        <v>480</v>
      </c>
      <c r="H76" s="26"/>
      <c r="I76" s="34"/>
      <c r="J76" s="25" t="s">
        <v>30</v>
      </c>
      <c r="K76" s="26" t="s">
        <v>125</v>
      </c>
      <c r="L76" s="26" t="s">
        <v>305</v>
      </c>
    </row>
    <row r="77" spans="2:12">
      <c r="B77" s="26" t="s">
        <v>481</v>
      </c>
      <c r="C77" s="26" t="s">
        <v>120</v>
      </c>
      <c r="D77" s="26" t="s">
        <v>482</v>
      </c>
      <c r="E77" s="26" t="s">
        <v>90</v>
      </c>
      <c r="F77" s="26" t="s">
        <v>483</v>
      </c>
      <c r="G77" s="26" t="s">
        <v>484</v>
      </c>
      <c r="H77" s="26"/>
      <c r="I77" s="34"/>
      <c r="J77" s="25" t="s">
        <v>30</v>
      </c>
      <c r="K77" s="26" t="s">
        <v>125</v>
      </c>
      <c r="L77" s="26" t="s">
        <v>305</v>
      </c>
    </row>
    <row r="78" spans="2:12">
      <c r="B78" s="34" t="s">
        <v>485</v>
      </c>
      <c r="C78" s="26" t="s">
        <v>174</v>
      </c>
      <c r="D78" s="34" t="s">
        <v>486</v>
      </c>
      <c r="E78" s="26" t="s">
        <v>90</v>
      </c>
      <c r="F78" s="26"/>
      <c r="G78" s="26" t="s">
        <v>487</v>
      </c>
      <c r="H78" s="26"/>
      <c r="I78" s="34" t="s">
        <v>488</v>
      </c>
      <c r="J78" s="25" t="s">
        <v>30</v>
      </c>
      <c r="K78" s="26" t="s">
        <v>137</v>
      </c>
      <c r="L78" s="26" t="s">
        <v>324</v>
      </c>
    </row>
    <row r="79" spans="2:12">
      <c r="B79" s="35" t="s">
        <v>489</v>
      </c>
      <c r="C79" s="32" t="s">
        <v>174</v>
      </c>
      <c r="D79" s="35" t="s">
        <v>490</v>
      </c>
      <c r="E79" s="38" t="s">
        <v>309</v>
      </c>
      <c r="F79" s="37"/>
      <c r="G79" s="32" t="s">
        <v>491</v>
      </c>
      <c r="H79" s="37"/>
      <c r="I79" s="37"/>
      <c r="J79" s="33" t="s">
        <v>30</v>
      </c>
      <c r="K79" s="32" t="s">
        <v>137</v>
      </c>
      <c r="L79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7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32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58</v>
      </c>
      <c r="D4" s="11" t="s">
        <v>59</v>
      </c>
      <c r="E4" s="9" t="s">
        <v>113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42" customHeight="1" spans="2:14">
      <c r="B8" s="9" t="s">
        <v>253</v>
      </c>
      <c r="C8" s="31" t="s">
        <v>510</v>
      </c>
      <c r="D8" s="26" t="s">
        <v>511</v>
      </c>
      <c r="E8" s="9" t="s">
        <v>90</v>
      </c>
      <c r="F8" s="24" t="s">
        <v>512</v>
      </c>
      <c r="G8" s="45" t="s">
        <v>257</v>
      </c>
      <c r="H8" s="18" t="s">
        <v>93</v>
      </c>
    </row>
    <row r="9" ht="25.7" spans="2:14">
      <c r="B9" s="9" t="s">
        <v>253</v>
      </c>
      <c r="C9" s="10" t="s">
        <v>58</v>
      </c>
      <c r="D9" s="11" t="s">
        <v>59</v>
      </c>
      <c r="E9" s="9" t="s">
        <v>96</v>
      </c>
      <c r="F9" s="9" t="s">
        <v>513</v>
      </c>
      <c r="G9" s="45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108</v>
      </c>
      <c r="C12" s="22" t="s">
        <v>109</v>
      </c>
      <c r="D12" s="22" t="s">
        <v>110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6" t="s">
        <v>113</v>
      </c>
      <c r="C13" s="26" t="s">
        <v>109</v>
      </c>
      <c r="D13" s="26" t="s">
        <v>60</v>
      </c>
      <c r="E13" s="26"/>
      <c r="F13" s="26"/>
      <c r="G13" s="26"/>
      <c r="H13" s="26"/>
      <c r="I13" s="25"/>
      <c r="J13" s="25"/>
      <c r="K13" s="25"/>
      <c r="L13" s="25"/>
    </row>
    <row r="14" s="1" customFormat="1" ht="12.85" spans="2:14">
      <c r="B14" s="27" t="s">
        <v>263</v>
      </c>
      <c r="C14" s="26" t="s">
        <v>109</v>
      </c>
      <c r="D14" s="26" t="s">
        <v>264</v>
      </c>
      <c r="E14" s="26" t="s">
        <v>90</v>
      </c>
      <c r="F14" s="26" t="s">
        <v>265</v>
      </c>
      <c r="G14" s="26" t="s">
        <v>262</v>
      </c>
      <c r="H14" s="26"/>
      <c r="I14" s="25"/>
      <c r="J14" s="25" t="s">
        <v>114</v>
      </c>
      <c r="K14" s="25" t="s">
        <v>163</v>
      </c>
      <c r="L14" s="25" t="s">
        <v>266</v>
      </c>
    </row>
    <row r="15" s="1" customFormat="1" ht="38.55" spans="2:14">
      <c r="B15" s="27" t="s">
        <v>115</v>
      </c>
      <c r="C15" s="26" t="s">
        <v>116</v>
      </c>
      <c r="D15" s="26" t="s">
        <v>117</v>
      </c>
      <c r="E15" s="26" t="s">
        <v>90</v>
      </c>
      <c r="F15" s="26" t="s">
        <v>115</v>
      </c>
      <c r="G15" s="26" t="s">
        <v>267</v>
      </c>
      <c r="H15" s="26"/>
      <c r="I15" s="25"/>
      <c r="J15" s="25" t="s">
        <v>114</v>
      </c>
      <c r="K15" s="25" t="s">
        <v>163</v>
      </c>
      <c r="L15" s="28" t="s">
        <v>164</v>
      </c>
    </row>
    <row r="16" s="1" customFormat="1" ht="12.85" spans="2:14">
      <c r="B16" s="27" t="s">
        <v>268</v>
      </c>
      <c r="C16" s="26" t="s">
        <v>109</v>
      </c>
      <c r="D16" s="26" t="s">
        <v>269</v>
      </c>
      <c r="E16" s="26" t="s">
        <v>90</v>
      </c>
      <c r="F16" s="26" t="s">
        <v>270</v>
      </c>
      <c r="G16" s="26" t="s">
        <v>262</v>
      </c>
      <c r="H16" s="26"/>
      <c r="I16" s="25"/>
      <c r="J16" s="25" t="s">
        <v>114</v>
      </c>
      <c r="K16" s="25"/>
      <c r="L16" s="25"/>
    </row>
    <row r="17" s="2" customFormat="1" ht="12.85" spans="2:13">
      <c r="B17" s="27" t="s">
        <v>271</v>
      </c>
      <c r="C17" s="26" t="s">
        <v>116</v>
      </c>
      <c r="D17" s="26" t="s">
        <v>272</v>
      </c>
      <c r="E17" s="26" t="s">
        <v>90</v>
      </c>
      <c r="F17" s="26" t="s">
        <v>271</v>
      </c>
      <c r="G17" s="26" t="s">
        <v>267</v>
      </c>
      <c r="H17" s="26"/>
      <c r="I17" s="26"/>
      <c r="J17" s="25" t="s">
        <v>114</v>
      </c>
      <c r="K17" s="26"/>
      <c r="L17" s="26"/>
    </row>
    <row r="18" s="2" customFormat="1" ht="12.85" spans="2:13">
      <c r="B18" s="27" t="s">
        <v>273</v>
      </c>
      <c r="C18" s="26" t="s">
        <v>109</v>
      </c>
      <c r="D18" s="26" t="s">
        <v>274</v>
      </c>
      <c r="E18" s="26" t="s">
        <v>90</v>
      </c>
      <c r="F18" s="26" t="s">
        <v>275</v>
      </c>
      <c r="G18" s="26" t="s">
        <v>262</v>
      </c>
      <c r="H18" s="26"/>
      <c r="I18" s="26"/>
      <c r="J18" s="25" t="s">
        <v>114</v>
      </c>
      <c r="K18" s="26"/>
      <c r="L18" s="26"/>
    </row>
    <row r="19" s="2" customFormat="1" ht="12.85" spans="2:13">
      <c r="B19" s="27" t="s">
        <v>276</v>
      </c>
      <c r="C19" s="26" t="s">
        <v>116</v>
      </c>
      <c r="D19" s="26" t="s">
        <v>277</v>
      </c>
      <c r="E19" s="26" t="s">
        <v>90</v>
      </c>
      <c r="F19" s="26" t="s">
        <v>276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3">
      <c r="B20" s="27" t="s">
        <v>278</v>
      </c>
      <c r="C20" s="26" t="s">
        <v>109</v>
      </c>
      <c r="D20" s="26" t="s">
        <v>279</v>
      </c>
      <c r="E20" s="26" t="s">
        <v>90</v>
      </c>
      <c r="F20" s="26" t="s">
        <v>280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3">
      <c r="B21" s="27" t="s">
        <v>281</v>
      </c>
      <c r="C21" s="26" t="s">
        <v>116</v>
      </c>
      <c r="D21" s="26" t="s">
        <v>282</v>
      </c>
      <c r="E21" s="26" t="s">
        <v>90</v>
      </c>
      <c r="F21" s="26" t="s">
        <v>281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3">
      <c r="B22" s="27" t="s">
        <v>283</v>
      </c>
      <c r="C22" s="26" t="s">
        <v>109</v>
      </c>
      <c r="D22" s="26" t="s">
        <v>284</v>
      </c>
      <c r="E22" s="26" t="s">
        <v>90</v>
      </c>
      <c r="F22" s="26" t="s">
        <v>283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3">
      <c r="B23" s="27" t="s">
        <v>285</v>
      </c>
      <c r="C23" s="26" t="s">
        <v>116</v>
      </c>
      <c r="D23" s="26" t="s">
        <v>286</v>
      </c>
      <c r="E23" s="26" t="s">
        <v>90</v>
      </c>
      <c r="F23" s="26" t="s">
        <v>285</v>
      </c>
      <c r="G23" s="26" t="s">
        <v>267</v>
      </c>
      <c r="H23" s="26"/>
      <c r="I23" s="26"/>
      <c r="J23" s="25" t="s">
        <v>114</v>
      </c>
      <c r="K23" s="26"/>
      <c r="L23" s="26"/>
    </row>
    <row r="24" spans="2:13">
      <c r="B24" s="29" t="s">
        <v>165</v>
      </c>
      <c r="C24" s="30" t="s">
        <v>109</v>
      </c>
      <c r="D24" s="30" t="s">
        <v>287</v>
      </c>
      <c r="E24" s="30"/>
      <c r="F24" s="26"/>
      <c r="G24" s="30" t="s">
        <v>288</v>
      </c>
      <c r="H24" s="26"/>
      <c r="I24" s="26"/>
      <c r="J24" s="25" t="s">
        <v>114</v>
      </c>
      <c r="K24" s="25" t="s">
        <v>163</v>
      </c>
      <c r="L24" s="26" t="s">
        <v>289</v>
      </c>
      <c r="M24" s="2"/>
    </row>
    <row r="25" s="2" customFormat="1" ht="22.5" customHeight="1" spans="2:13">
      <c r="B25" s="27" t="s">
        <v>290</v>
      </c>
      <c r="C25" s="26" t="s">
        <v>116</v>
      </c>
      <c r="D25" s="26" t="s">
        <v>291</v>
      </c>
      <c r="E25" s="26" t="s">
        <v>90</v>
      </c>
      <c r="F25" s="26" t="s">
        <v>290</v>
      </c>
      <c r="G25" s="26" t="s">
        <v>292</v>
      </c>
      <c r="H25" s="26"/>
      <c r="I25" s="26"/>
      <c r="J25" s="25" t="s">
        <v>114</v>
      </c>
      <c r="K25" s="26" t="s">
        <v>163</v>
      </c>
      <c r="L25" s="31" t="s">
        <v>293</v>
      </c>
    </row>
    <row r="26" s="2" customFormat="1" ht="12.85" spans="2:13">
      <c r="B26" s="27" t="s">
        <v>294</v>
      </c>
      <c r="C26" s="26" t="s">
        <v>116</v>
      </c>
      <c r="D26" s="26" t="s">
        <v>295</v>
      </c>
      <c r="E26" s="26" t="s">
        <v>90</v>
      </c>
      <c r="F26" s="26" t="s">
        <v>294</v>
      </c>
      <c r="G26" s="26" t="s">
        <v>292</v>
      </c>
      <c r="H26" s="26"/>
      <c r="I26" s="26"/>
      <c r="J26" s="25" t="s">
        <v>114</v>
      </c>
      <c r="K26" s="26" t="s">
        <v>163</v>
      </c>
      <c r="L26" s="26" t="s">
        <v>296</v>
      </c>
    </row>
    <row r="27" s="2" customFormat="1" ht="12.85" spans="2:13">
      <c r="B27" s="27" t="s">
        <v>297</v>
      </c>
      <c r="C27" s="26" t="s">
        <v>116</v>
      </c>
      <c r="D27" s="26" t="s">
        <v>298</v>
      </c>
      <c r="E27" s="26" t="s">
        <v>90</v>
      </c>
      <c r="F27" s="26" t="s">
        <v>297</v>
      </c>
      <c r="G27" s="26" t="s">
        <v>292</v>
      </c>
      <c r="H27" s="26"/>
      <c r="I27" s="26" t="s">
        <v>299</v>
      </c>
      <c r="J27" s="25" t="s">
        <v>114</v>
      </c>
      <c r="K27" s="26" t="s">
        <v>163</v>
      </c>
      <c r="L27" s="26" t="s">
        <v>300</v>
      </c>
    </row>
    <row r="28" s="2" customFormat="1" ht="12.85" spans="2:13">
      <c r="B28" s="26" t="s">
        <v>301</v>
      </c>
      <c r="C28" s="26" t="s">
        <v>120</v>
      </c>
      <c r="D28" s="26" t="s">
        <v>302</v>
      </c>
      <c r="E28" s="26" t="s">
        <v>90</v>
      </c>
      <c r="F28" s="26" t="s">
        <v>303</v>
      </c>
      <c r="G28" s="26" t="s">
        <v>304</v>
      </c>
      <c r="H28" s="26"/>
      <c r="I28" s="26" t="s">
        <v>124</v>
      </c>
      <c r="J28" s="25" t="s">
        <v>30</v>
      </c>
      <c r="K28" s="26" t="s">
        <v>125</v>
      </c>
      <c r="L28" s="26" t="s">
        <v>305</v>
      </c>
    </row>
    <row r="29" s="2" customFormat="1" ht="12.85" spans="2:13">
      <c r="B29" s="32" t="s">
        <v>306</v>
      </c>
      <c r="C29" s="32" t="s">
        <v>307</v>
      </c>
      <c r="D29" s="32" t="s">
        <v>308</v>
      </c>
      <c r="E29" s="32" t="s">
        <v>309</v>
      </c>
      <c r="F29" s="32"/>
      <c r="G29" s="32" t="s">
        <v>310</v>
      </c>
      <c r="H29" s="32"/>
      <c r="I29" s="32"/>
      <c r="J29" s="33" t="s">
        <v>30</v>
      </c>
      <c r="K29" s="32" t="s">
        <v>137</v>
      </c>
      <c r="L29" s="32" t="s">
        <v>311</v>
      </c>
    </row>
    <row r="30" s="2" customFormat="1" ht="12.85" spans="2:13">
      <c r="B30" s="26" t="s">
        <v>312</v>
      </c>
      <c r="C30" s="26" t="s">
        <v>120</v>
      </c>
      <c r="D30" s="26" t="s">
        <v>313</v>
      </c>
      <c r="E30" s="26" t="s">
        <v>90</v>
      </c>
      <c r="F30" s="26" t="s">
        <v>314</v>
      </c>
      <c r="G30" s="26" t="s">
        <v>315</v>
      </c>
      <c r="H30" s="26"/>
      <c r="I30" s="26"/>
      <c r="J30" s="25" t="s">
        <v>30</v>
      </c>
      <c r="K30" s="26" t="s">
        <v>125</v>
      </c>
      <c r="L30" s="26" t="s">
        <v>305</v>
      </c>
    </row>
    <row r="31" s="2" customFormat="1" ht="12.85" spans="2:13">
      <c r="B31" s="26" t="s">
        <v>316</v>
      </c>
      <c r="C31" s="26" t="s">
        <v>120</v>
      </c>
      <c r="D31" s="26" t="s">
        <v>317</v>
      </c>
      <c r="E31" s="26" t="s">
        <v>90</v>
      </c>
      <c r="F31" s="26" t="s">
        <v>318</v>
      </c>
      <c r="G31" s="26" t="s">
        <v>319</v>
      </c>
      <c r="H31" s="26"/>
      <c r="I31" s="26"/>
      <c r="J31" s="25" t="s">
        <v>30</v>
      </c>
      <c r="K31" s="26" t="s">
        <v>125</v>
      </c>
      <c r="L31" s="26" t="s">
        <v>305</v>
      </c>
    </row>
    <row r="32" spans="2:13">
      <c r="B32" s="34" t="s">
        <v>320</v>
      </c>
      <c r="C32" s="26" t="s">
        <v>174</v>
      </c>
      <c r="D32" s="34" t="s">
        <v>321</v>
      </c>
      <c r="E32" s="26" t="s">
        <v>90</v>
      </c>
      <c r="F32" s="26"/>
      <c r="G32" s="26" t="s">
        <v>322</v>
      </c>
      <c r="H32" s="26"/>
      <c r="I32" s="34" t="s">
        <v>323</v>
      </c>
      <c r="J32" s="25" t="s">
        <v>30</v>
      </c>
      <c r="K32" s="26" t="s">
        <v>137</v>
      </c>
      <c r="L32" s="26" t="s">
        <v>324</v>
      </c>
      <c r="M32" s="2"/>
    </row>
    <row r="33" spans="2:12">
      <c r="B33" s="35" t="s">
        <v>325</v>
      </c>
      <c r="C33" s="32" t="s">
        <v>174</v>
      </c>
      <c r="D33" s="35" t="s">
        <v>326</v>
      </c>
      <c r="E33" s="32" t="s">
        <v>309</v>
      </c>
      <c r="F33" s="32"/>
      <c r="G33" s="32" t="s">
        <v>327</v>
      </c>
      <c r="H33" s="32"/>
      <c r="I33" s="35"/>
      <c r="J33" s="33" t="s">
        <v>30</v>
      </c>
      <c r="K33" s="32" t="s">
        <v>137</v>
      </c>
      <c r="L33" s="32" t="s">
        <v>311</v>
      </c>
    </row>
    <row r="34" spans="2:12">
      <c r="B34" s="26" t="s">
        <v>328</v>
      </c>
      <c r="C34" s="26" t="s">
        <v>120</v>
      </c>
      <c r="D34" s="26" t="s">
        <v>329</v>
      </c>
      <c r="E34" s="26" t="s">
        <v>90</v>
      </c>
      <c r="F34" s="26" t="s">
        <v>330</v>
      </c>
      <c r="G34" s="26" t="s">
        <v>331</v>
      </c>
      <c r="H34" s="26"/>
      <c r="I34" s="26"/>
      <c r="J34" s="25" t="s">
        <v>30</v>
      </c>
      <c r="K34" s="26" t="s">
        <v>125</v>
      </c>
      <c r="L34" s="26" t="s">
        <v>305</v>
      </c>
    </row>
    <row r="35" spans="2:12">
      <c r="B35" s="26" t="s">
        <v>332</v>
      </c>
      <c r="C35" s="26" t="s">
        <v>120</v>
      </c>
      <c r="D35" s="26" t="s">
        <v>333</v>
      </c>
      <c r="E35" s="26" t="s">
        <v>90</v>
      </c>
      <c r="F35" s="26" t="s">
        <v>334</v>
      </c>
      <c r="G35" s="26" t="s">
        <v>335</v>
      </c>
      <c r="H35" s="26"/>
      <c r="I35" s="26"/>
      <c r="J35" s="25" t="s">
        <v>30</v>
      </c>
      <c r="K35" s="26" t="s">
        <v>125</v>
      </c>
      <c r="L35" s="26" t="s">
        <v>305</v>
      </c>
    </row>
    <row r="36" spans="2:12">
      <c r="B36" s="34" t="s">
        <v>336</v>
      </c>
      <c r="C36" s="26" t="s">
        <v>174</v>
      </c>
      <c r="D36" s="34" t="s">
        <v>337</v>
      </c>
      <c r="E36" s="26" t="s">
        <v>90</v>
      </c>
      <c r="F36" s="26"/>
      <c r="G36" s="26" t="s">
        <v>338</v>
      </c>
      <c r="H36" s="26"/>
      <c r="I36" s="34" t="s">
        <v>339</v>
      </c>
      <c r="J36" s="25" t="s">
        <v>30</v>
      </c>
      <c r="K36" s="26" t="s">
        <v>137</v>
      </c>
      <c r="L36" s="26" t="s">
        <v>324</v>
      </c>
    </row>
    <row r="37" spans="2:12">
      <c r="B37" s="35" t="s">
        <v>340</v>
      </c>
      <c r="C37" s="32" t="s">
        <v>174</v>
      </c>
      <c r="D37" s="35" t="s">
        <v>341</v>
      </c>
      <c r="E37" s="32" t="s">
        <v>309</v>
      </c>
      <c r="F37" s="32"/>
      <c r="G37" s="32" t="s">
        <v>342</v>
      </c>
      <c r="H37" s="32"/>
      <c r="I37" s="35"/>
      <c r="J37" s="33" t="s">
        <v>30</v>
      </c>
      <c r="K37" s="32" t="s">
        <v>137</v>
      </c>
      <c r="L37" s="32" t="s">
        <v>311</v>
      </c>
    </row>
    <row r="38" spans="2:12">
      <c r="B38" s="26" t="s">
        <v>343</v>
      </c>
      <c r="C38" s="26" t="s">
        <v>120</v>
      </c>
      <c r="D38" s="26" t="s">
        <v>344</v>
      </c>
      <c r="E38" s="26" t="s">
        <v>90</v>
      </c>
      <c r="F38" s="26" t="s">
        <v>345</v>
      </c>
      <c r="G38" s="26" t="s">
        <v>346</v>
      </c>
      <c r="H38" s="26"/>
      <c r="I38" s="34"/>
      <c r="J38" s="25" t="s">
        <v>30</v>
      </c>
      <c r="K38" s="26" t="s">
        <v>125</v>
      </c>
      <c r="L38" s="26" t="s">
        <v>305</v>
      </c>
    </row>
    <row r="39" spans="2:12">
      <c r="B39" s="26" t="s">
        <v>347</v>
      </c>
      <c r="C39" s="26" t="s">
        <v>120</v>
      </c>
      <c r="D39" s="26" t="s">
        <v>348</v>
      </c>
      <c r="E39" s="26" t="s">
        <v>90</v>
      </c>
      <c r="F39" s="26" t="s">
        <v>349</v>
      </c>
      <c r="G39" s="26" t="s">
        <v>350</v>
      </c>
      <c r="H39" s="26"/>
      <c r="I39" s="34"/>
      <c r="J39" s="25" t="s">
        <v>30</v>
      </c>
      <c r="K39" s="26" t="s">
        <v>125</v>
      </c>
      <c r="L39" s="26" t="s">
        <v>305</v>
      </c>
    </row>
    <row r="40" spans="2:12">
      <c r="B40" s="34" t="s">
        <v>351</v>
      </c>
      <c r="C40" s="26" t="s">
        <v>174</v>
      </c>
      <c r="D40" s="34" t="s">
        <v>352</v>
      </c>
      <c r="E40" s="26" t="s">
        <v>90</v>
      </c>
      <c r="F40" s="26"/>
      <c r="G40" s="26" t="s">
        <v>353</v>
      </c>
      <c r="H40" s="26"/>
      <c r="I40" s="34" t="s">
        <v>354</v>
      </c>
      <c r="J40" s="25" t="s">
        <v>30</v>
      </c>
      <c r="K40" s="26" t="s">
        <v>137</v>
      </c>
      <c r="L40" s="26" t="s">
        <v>324</v>
      </c>
    </row>
    <row r="41" spans="2:12">
      <c r="B41" s="35" t="s">
        <v>355</v>
      </c>
      <c r="C41" s="32" t="s">
        <v>174</v>
      </c>
      <c r="D41" s="35" t="s">
        <v>356</v>
      </c>
      <c r="E41" s="32" t="s">
        <v>309</v>
      </c>
      <c r="F41" s="32"/>
      <c r="G41" s="32" t="s">
        <v>357</v>
      </c>
      <c r="H41" s="32"/>
      <c r="I41" s="35"/>
      <c r="J41" s="33" t="s">
        <v>30</v>
      </c>
      <c r="K41" s="32" t="s">
        <v>137</v>
      </c>
      <c r="L41" s="32" t="s">
        <v>311</v>
      </c>
    </row>
    <row r="42" spans="2:12">
      <c r="B42" s="26" t="s">
        <v>358</v>
      </c>
      <c r="C42" s="26" t="s">
        <v>120</v>
      </c>
      <c r="D42" s="26" t="s">
        <v>359</v>
      </c>
      <c r="E42" s="26" t="s">
        <v>90</v>
      </c>
      <c r="F42" s="26" t="s">
        <v>360</v>
      </c>
      <c r="G42" s="26" t="s">
        <v>361</v>
      </c>
      <c r="H42" s="26"/>
      <c r="I42" s="34"/>
      <c r="J42" s="25" t="s">
        <v>30</v>
      </c>
      <c r="K42" s="26" t="s">
        <v>125</v>
      </c>
      <c r="L42" s="26" t="s">
        <v>305</v>
      </c>
    </row>
    <row r="43" spans="2:12">
      <c r="B43" s="26" t="s">
        <v>362</v>
      </c>
      <c r="C43" s="26" t="s">
        <v>120</v>
      </c>
      <c r="D43" s="26" t="s">
        <v>363</v>
      </c>
      <c r="E43" s="26" t="s">
        <v>90</v>
      </c>
      <c r="F43" s="26" t="s">
        <v>364</v>
      </c>
      <c r="G43" s="26" t="s">
        <v>365</v>
      </c>
      <c r="H43" s="26"/>
      <c r="I43" s="34"/>
      <c r="J43" s="25" t="s">
        <v>30</v>
      </c>
      <c r="K43" s="26" t="s">
        <v>125</v>
      </c>
      <c r="L43" s="26" t="s">
        <v>305</v>
      </c>
    </row>
    <row r="44" spans="2:12">
      <c r="B44" s="34" t="s">
        <v>366</v>
      </c>
      <c r="C44" s="26" t="s">
        <v>174</v>
      </c>
      <c r="D44" s="34" t="s">
        <v>367</v>
      </c>
      <c r="E44" s="26" t="s">
        <v>90</v>
      </c>
      <c r="F44" s="26"/>
      <c r="G44" s="26" t="s">
        <v>368</v>
      </c>
      <c r="H44" s="26"/>
      <c r="I44" s="34" t="s">
        <v>369</v>
      </c>
      <c r="J44" s="25" t="s">
        <v>30</v>
      </c>
      <c r="K44" s="26" t="s">
        <v>137</v>
      </c>
      <c r="L44" s="26" t="s">
        <v>324</v>
      </c>
    </row>
    <row r="45" spans="2:12">
      <c r="B45" s="35" t="s">
        <v>370</v>
      </c>
      <c r="C45" s="32" t="s">
        <v>174</v>
      </c>
      <c r="D45" s="35" t="s">
        <v>371</v>
      </c>
      <c r="E45" s="32" t="s">
        <v>309</v>
      </c>
      <c r="F45" s="32"/>
      <c r="G45" s="32" t="s">
        <v>372</v>
      </c>
      <c r="H45" s="32"/>
      <c r="I45" s="35"/>
      <c r="J45" s="33" t="s">
        <v>30</v>
      </c>
      <c r="K45" s="32" t="s">
        <v>137</v>
      </c>
      <c r="L45" s="32" t="s">
        <v>311</v>
      </c>
    </row>
    <row r="46" spans="2:12">
      <c r="B46" s="26" t="s">
        <v>373</v>
      </c>
      <c r="C46" s="26" t="s">
        <v>120</v>
      </c>
      <c r="D46" s="26" t="s">
        <v>374</v>
      </c>
      <c r="E46" s="26" t="s">
        <v>90</v>
      </c>
      <c r="F46" s="26" t="s">
        <v>375</v>
      </c>
      <c r="G46" s="26" t="s">
        <v>376</v>
      </c>
      <c r="H46" s="26"/>
      <c r="I46" s="34"/>
      <c r="J46" s="25" t="s">
        <v>30</v>
      </c>
      <c r="K46" s="26" t="s">
        <v>125</v>
      </c>
      <c r="L46" s="26" t="s">
        <v>305</v>
      </c>
    </row>
    <row r="47" spans="2:12">
      <c r="B47" s="26" t="s">
        <v>377</v>
      </c>
      <c r="C47" s="26" t="s">
        <v>120</v>
      </c>
      <c r="D47" s="26" t="s">
        <v>378</v>
      </c>
      <c r="E47" s="26" t="s">
        <v>90</v>
      </c>
      <c r="F47" s="26" t="s">
        <v>379</v>
      </c>
      <c r="G47" s="26" t="s">
        <v>380</v>
      </c>
      <c r="H47" s="26"/>
      <c r="I47" s="34"/>
      <c r="J47" s="25" t="s">
        <v>30</v>
      </c>
      <c r="K47" s="26" t="s">
        <v>125</v>
      </c>
      <c r="L47" s="26" t="s">
        <v>305</v>
      </c>
    </row>
    <row r="48" spans="2:12">
      <c r="B48" s="34" t="s">
        <v>381</v>
      </c>
      <c r="C48" s="26" t="s">
        <v>174</v>
      </c>
      <c r="D48" s="34" t="s">
        <v>382</v>
      </c>
      <c r="E48" s="26" t="s">
        <v>90</v>
      </c>
      <c r="F48" s="26"/>
      <c r="G48" s="26" t="s">
        <v>383</v>
      </c>
      <c r="H48" s="26"/>
      <c r="I48" s="34" t="s">
        <v>384</v>
      </c>
      <c r="J48" s="25" t="s">
        <v>30</v>
      </c>
      <c r="K48" s="26" t="s">
        <v>137</v>
      </c>
      <c r="L48" s="26" t="s">
        <v>324</v>
      </c>
    </row>
    <row r="49" spans="2:12">
      <c r="B49" s="35" t="s">
        <v>385</v>
      </c>
      <c r="C49" s="32" t="s">
        <v>174</v>
      </c>
      <c r="D49" s="35" t="s">
        <v>386</v>
      </c>
      <c r="E49" s="32" t="s">
        <v>309</v>
      </c>
      <c r="F49" s="32"/>
      <c r="G49" s="32" t="s">
        <v>387</v>
      </c>
      <c r="H49" s="32"/>
      <c r="I49" s="35"/>
      <c r="J49" s="33" t="s">
        <v>30</v>
      </c>
      <c r="K49" s="32" t="s">
        <v>137</v>
      </c>
      <c r="L49" s="32" t="s">
        <v>311</v>
      </c>
    </row>
    <row r="50" spans="2:12">
      <c r="B50" s="26" t="s">
        <v>388</v>
      </c>
      <c r="C50" s="26" t="s">
        <v>120</v>
      </c>
      <c r="D50" s="26" t="s">
        <v>389</v>
      </c>
      <c r="E50" s="26" t="s">
        <v>90</v>
      </c>
      <c r="F50" s="26" t="s">
        <v>390</v>
      </c>
      <c r="G50" s="26" t="s">
        <v>391</v>
      </c>
      <c r="H50" s="26"/>
      <c r="I50" s="34"/>
      <c r="J50" s="25" t="s">
        <v>30</v>
      </c>
      <c r="K50" s="26" t="s">
        <v>125</v>
      </c>
      <c r="L50" s="26" t="s">
        <v>305</v>
      </c>
    </row>
    <row r="51" spans="2:12">
      <c r="B51" s="26" t="s">
        <v>392</v>
      </c>
      <c r="C51" s="26" t="s">
        <v>120</v>
      </c>
      <c r="D51" s="26" t="s">
        <v>393</v>
      </c>
      <c r="E51" s="26" t="s">
        <v>90</v>
      </c>
      <c r="F51" s="26" t="s">
        <v>394</v>
      </c>
      <c r="G51" s="26" t="s">
        <v>395</v>
      </c>
      <c r="H51" s="26"/>
      <c r="I51" s="34"/>
      <c r="J51" s="25" t="s">
        <v>30</v>
      </c>
      <c r="K51" s="26" t="s">
        <v>125</v>
      </c>
      <c r="L51" s="26" t="s">
        <v>305</v>
      </c>
    </row>
    <row r="52" spans="2:12">
      <c r="B52" s="34" t="s">
        <v>396</v>
      </c>
      <c r="C52" s="26" t="s">
        <v>174</v>
      </c>
      <c r="D52" s="34" t="s">
        <v>397</v>
      </c>
      <c r="E52" s="26" t="s">
        <v>90</v>
      </c>
      <c r="F52" s="26"/>
      <c r="G52" s="26" t="s">
        <v>398</v>
      </c>
      <c r="H52" s="26"/>
      <c r="I52" s="34" t="s">
        <v>399</v>
      </c>
      <c r="J52" s="25" t="s">
        <v>30</v>
      </c>
      <c r="K52" s="26" t="s">
        <v>137</v>
      </c>
      <c r="L52" s="26" t="s">
        <v>324</v>
      </c>
    </row>
    <row r="53" spans="2:12">
      <c r="B53" s="35" t="s">
        <v>400</v>
      </c>
      <c r="C53" s="32" t="s">
        <v>174</v>
      </c>
      <c r="D53" s="35" t="s">
        <v>401</v>
      </c>
      <c r="E53" s="32" t="s">
        <v>309</v>
      </c>
      <c r="F53" s="32"/>
      <c r="G53" s="32" t="s">
        <v>402</v>
      </c>
      <c r="H53" s="32"/>
      <c r="I53" s="35"/>
      <c r="J53" s="33" t="s">
        <v>30</v>
      </c>
      <c r="K53" s="32" t="s">
        <v>137</v>
      </c>
      <c r="L53" s="32" t="s">
        <v>311</v>
      </c>
    </row>
    <row r="54" spans="2:12">
      <c r="B54" s="26" t="s">
        <v>403</v>
      </c>
      <c r="C54" s="26" t="s">
        <v>120</v>
      </c>
      <c r="D54" s="26" t="s">
        <v>404</v>
      </c>
      <c r="E54" s="26" t="s">
        <v>90</v>
      </c>
      <c r="F54" s="26" t="s">
        <v>405</v>
      </c>
      <c r="G54" s="26" t="s">
        <v>406</v>
      </c>
      <c r="H54" s="26"/>
      <c r="I54" s="34"/>
      <c r="J54" s="25" t="s">
        <v>30</v>
      </c>
      <c r="K54" s="26" t="s">
        <v>125</v>
      </c>
      <c r="L54" s="26" t="s">
        <v>305</v>
      </c>
    </row>
    <row r="55" spans="2:12">
      <c r="B55" s="26" t="s">
        <v>407</v>
      </c>
      <c r="C55" s="26" t="s">
        <v>120</v>
      </c>
      <c r="D55" s="26" t="s">
        <v>408</v>
      </c>
      <c r="E55" s="26" t="s">
        <v>90</v>
      </c>
      <c r="F55" s="26" t="s">
        <v>409</v>
      </c>
      <c r="G55" s="26" t="s">
        <v>410</v>
      </c>
      <c r="H55" s="26"/>
      <c r="I55" s="34"/>
      <c r="J55" s="25" t="s">
        <v>30</v>
      </c>
      <c r="K55" s="26" t="s">
        <v>125</v>
      </c>
      <c r="L55" s="26" t="s">
        <v>305</v>
      </c>
    </row>
    <row r="56" spans="2:12">
      <c r="B56" s="34" t="s">
        <v>411</v>
      </c>
      <c r="C56" s="26" t="s">
        <v>174</v>
      </c>
      <c r="D56" s="34" t="s">
        <v>412</v>
      </c>
      <c r="E56" s="26" t="s">
        <v>90</v>
      </c>
      <c r="F56" s="26"/>
      <c r="G56" s="26" t="s">
        <v>413</v>
      </c>
      <c r="H56" s="26"/>
      <c r="I56" s="34" t="s">
        <v>414</v>
      </c>
      <c r="J56" s="25" t="s">
        <v>30</v>
      </c>
      <c r="K56" s="26" t="s">
        <v>137</v>
      </c>
      <c r="L56" s="26" t="s">
        <v>324</v>
      </c>
    </row>
    <row r="57" spans="2:12">
      <c r="B57" s="35" t="s">
        <v>415</v>
      </c>
      <c r="C57" s="32" t="s">
        <v>174</v>
      </c>
      <c r="D57" s="35" t="s">
        <v>416</v>
      </c>
      <c r="E57" s="32" t="s">
        <v>309</v>
      </c>
      <c r="F57" s="32"/>
      <c r="G57" s="32" t="s">
        <v>417</v>
      </c>
      <c r="H57" s="32"/>
      <c r="I57" s="35"/>
      <c r="J57" s="33" t="s">
        <v>30</v>
      </c>
      <c r="K57" s="32" t="s">
        <v>137</v>
      </c>
      <c r="L57" s="32" t="s">
        <v>311</v>
      </c>
    </row>
    <row r="58" spans="2:12">
      <c r="B58" s="26" t="s">
        <v>418</v>
      </c>
      <c r="C58" s="26" t="s">
        <v>120</v>
      </c>
      <c r="D58" s="26" t="s">
        <v>419</v>
      </c>
      <c r="E58" s="26" t="s">
        <v>90</v>
      </c>
      <c r="F58" s="26" t="s">
        <v>420</v>
      </c>
      <c r="G58" s="26" t="s">
        <v>421</v>
      </c>
      <c r="H58" s="26"/>
      <c r="I58" s="34"/>
      <c r="J58" s="25" t="s">
        <v>30</v>
      </c>
      <c r="K58" s="26" t="s">
        <v>125</v>
      </c>
      <c r="L58" s="26" t="s">
        <v>305</v>
      </c>
    </row>
    <row r="59" spans="2:12">
      <c r="B59" s="26" t="s">
        <v>422</v>
      </c>
      <c r="C59" s="26" t="s">
        <v>120</v>
      </c>
      <c r="D59" s="26" t="s">
        <v>423</v>
      </c>
      <c r="E59" s="26" t="s">
        <v>90</v>
      </c>
      <c r="F59" s="26" t="s">
        <v>424</v>
      </c>
      <c r="G59" s="26" t="s">
        <v>425</v>
      </c>
      <c r="H59" s="26"/>
      <c r="I59" s="34"/>
      <c r="J59" s="25" t="s">
        <v>30</v>
      </c>
      <c r="K59" s="26" t="s">
        <v>125</v>
      </c>
      <c r="L59" s="26" t="s">
        <v>305</v>
      </c>
    </row>
    <row r="60" spans="2:12">
      <c r="B60" s="34" t="s">
        <v>426</v>
      </c>
      <c r="C60" s="26" t="s">
        <v>174</v>
      </c>
      <c r="D60" s="34" t="s">
        <v>427</v>
      </c>
      <c r="E60" s="26" t="s">
        <v>90</v>
      </c>
      <c r="F60" s="26"/>
      <c r="G60" s="26" t="s">
        <v>428</v>
      </c>
      <c r="H60" s="26"/>
      <c r="I60" s="34" t="s">
        <v>429</v>
      </c>
      <c r="J60" s="25" t="s">
        <v>30</v>
      </c>
      <c r="K60" s="26" t="s">
        <v>137</v>
      </c>
      <c r="L60" s="26" t="s">
        <v>324</v>
      </c>
    </row>
    <row r="61" spans="2:12">
      <c r="B61" s="35" t="s">
        <v>430</v>
      </c>
      <c r="C61" s="32" t="s">
        <v>174</v>
      </c>
      <c r="D61" s="35" t="s">
        <v>431</v>
      </c>
      <c r="E61" s="32" t="s">
        <v>309</v>
      </c>
      <c r="F61" s="32"/>
      <c r="G61" s="32" t="s">
        <v>432</v>
      </c>
      <c r="H61" s="32"/>
      <c r="I61" s="35"/>
      <c r="J61" s="33" t="s">
        <v>30</v>
      </c>
      <c r="K61" s="32" t="s">
        <v>137</v>
      </c>
      <c r="L61" s="32" t="s">
        <v>311</v>
      </c>
    </row>
    <row r="62" spans="2:12">
      <c r="B62" s="26" t="s">
        <v>433</v>
      </c>
      <c r="C62" s="26" t="s">
        <v>120</v>
      </c>
      <c r="D62" s="26" t="s">
        <v>434</v>
      </c>
      <c r="E62" s="26" t="s">
        <v>90</v>
      </c>
      <c r="F62" s="26" t="s">
        <v>435</v>
      </c>
      <c r="G62" s="26" t="s">
        <v>436</v>
      </c>
      <c r="H62" s="26"/>
      <c r="I62" s="34"/>
      <c r="J62" s="25" t="s">
        <v>30</v>
      </c>
      <c r="K62" s="26" t="s">
        <v>125</v>
      </c>
      <c r="L62" s="26" t="s">
        <v>305</v>
      </c>
    </row>
    <row r="63" spans="2:12">
      <c r="B63" s="26" t="s">
        <v>437</v>
      </c>
      <c r="C63" s="26" t="s">
        <v>120</v>
      </c>
      <c r="D63" s="26" t="s">
        <v>438</v>
      </c>
      <c r="E63" s="26" t="s">
        <v>90</v>
      </c>
      <c r="F63" s="26" t="s">
        <v>439</v>
      </c>
      <c r="G63" s="26" t="s">
        <v>440</v>
      </c>
      <c r="H63" s="26"/>
      <c r="I63" s="34"/>
      <c r="J63" s="25" t="s">
        <v>30</v>
      </c>
      <c r="K63" s="26" t="s">
        <v>125</v>
      </c>
      <c r="L63" s="26" t="s">
        <v>305</v>
      </c>
    </row>
    <row r="64" spans="2:12">
      <c r="B64" s="34" t="s">
        <v>441</v>
      </c>
      <c r="C64" s="26" t="s">
        <v>174</v>
      </c>
      <c r="D64" s="34" t="s">
        <v>442</v>
      </c>
      <c r="E64" s="26" t="s">
        <v>90</v>
      </c>
      <c r="F64" s="26"/>
      <c r="G64" s="26" t="s">
        <v>443</v>
      </c>
      <c r="H64" s="26"/>
      <c r="I64" s="34" t="s">
        <v>429</v>
      </c>
      <c r="J64" s="25" t="s">
        <v>30</v>
      </c>
      <c r="K64" s="26" t="s">
        <v>137</v>
      </c>
      <c r="L64" s="26" t="s">
        <v>324</v>
      </c>
    </row>
    <row r="65" spans="2:12">
      <c r="B65" s="35" t="s">
        <v>444</v>
      </c>
      <c r="C65" s="32" t="s">
        <v>174</v>
      </c>
      <c r="D65" s="35" t="s">
        <v>445</v>
      </c>
      <c r="E65" s="32" t="s">
        <v>309</v>
      </c>
      <c r="F65" s="32"/>
      <c r="G65" s="32" t="s">
        <v>446</v>
      </c>
      <c r="H65" s="32"/>
      <c r="I65" s="35"/>
      <c r="J65" s="33" t="s">
        <v>30</v>
      </c>
      <c r="K65" s="32" t="s">
        <v>137</v>
      </c>
      <c r="L65" s="32" t="s">
        <v>311</v>
      </c>
    </row>
    <row r="66" spans="2:12">
      <c r="B66" s="26" t="s">
        <v>447</v>
      </c>
      <c r="C66" s="26" t="s">
        <v>120</v>
      </c>
      <c r="D66" s="26" t="s">
        <v>448</v>
      </c>
      <c r="E66" s="26" t="s">
        <v>90</v>
      </c>
      <c r="F66" s="26" t="s">
        <v>449</v>
      </c>
      <c r="G66" s="26" t="s">
        <v>450</v>
      </c>
      <c r="H66" s="26"/>
      <c r="I66" s="34"/>
      <c r="J66" s="25" t="s">
        <v>30</v>
      </c>
      <c r="K66" s="26" t="s">
        <v>125</v>
      </c>
      <c r="L66" s="26" t="s">
        <v>305</v>
      </c>
    </row>
    <row r="67" spans="2:12">
      <c r="B67" s="26" t="s">
        <v>451</v>
      </c>
      <c r="C67" s="26" t="s">
        <v>120</v>
      </c>
      <c r="D67" s="26" t="s">
        <v>452</v>
      </c>
      <c r="E67" s="26" t="s">
        <v>90</v>
      </c>
      <c r="F67" s="26" t="s">
        <v>453</v>
      </c>
      <c r="G67" s="26" t="s">
        <v>454</v>
      </c>
      <c r="H67" s="26"/>
      <c r="I67" s="34"/>
      <c r="J67" s="25" t="s">
        <v>30</v>
      </c>
      <c r="K67" s="26" t="s">
        <v>125</v>
      </c>
      <c r="L67" s="26" t="s">
        <v>305</v>
      </c>
    </row>
    <row r="68" spans="2:12">
      <c r="B68" s="34" t="s">
        <v>455</v>
      </c>
      <c r="C68" s="26" t="s">
        <v>174</v>
      </c>
      <c r="D68" s="34" t="s">
        <v>456</v>
      </c>
      <c r="E68" s="26" t="s">
        <v>90</v>
      </c>
      <c r="F68" s="26"/>
      <c r="G68" s="26" t="s">
        <v>457</v>
      </c>
      <c r="H68" s="26"/>
      <c r="I68" s="34" t="s">
        <v>458</v>
      </c>
      <c r="J68" s="25" t="s">
        <v>30</v>
      </c>
      <c r="K68" s="26" t="s">
        <v>137</v>
      </c>
      <c r="L68" s="26" t="s">
        <v>324</v>
      </c>
    </row>
    <row r="69" spans="2:12">
      <c r="B69" s="35" t="s">
        <v>459</v>
      </c>
      <c r="C69" s="32" t="s">
        <v>174</v>
      </c>
      <c r="D69" s="35" t="s">
        <v>460</v>
      </c>
      <c r="E69" s="32" t="s">
        <v>309</v>
      </c>
      <c r="F69" s="32"/>
      <c r="G69" s="32" t="s">
        <v>461</v>
      </c>
      <c r="H69" s="32"/>
      <c r="I69" s="35"/>
      <c r="J69" s="33" t="s">
        <v>30</v>
      </c>
      <c r="K69" s="32" t="s">
        <v>137</v>
      </c>
      <c r="L69" s="32" t="s">
        <v>311</v>
      </c>
    </row>
    <row r="70" spans="2:12">
      <c r="B70" s="26" t="s">
        <v>462</v>
      </c>
      <c r="C70" s="26" t="s">
        <v>120</v>
      </c>
      <c r="D70" s="26" t="s">
        <v>463</v>
      </c>
      <c r="E70" s="26" t="s">
        <v>90</v>
      </c>
      <c r="F70" s="26" t="s">
        <v>464</v>
      </c>
      <c r="G70" s="26" t="s">
        <v>465</v>
      </c>
      <c r="H70" s="26"/>
      <c r="I70" s="34"/>
      <c r="J70" s="25" t="s">
        <v>30</v>
      </c>
      <c r="K70" s="26" t="s">
        <v>125</v>
      </c>
      <c r="L70" s="26" t="s">
        <v>305</v>
      </c>
    </row>
    <row r="71" spans="2:12">
      <c r="B71" s="26" t="s">
        <v>466</v>
      </c>
      <c r="C71" s="26" t="s">
        <v>120</v>
      </c>
      <c r="D71" s="26" t="s">
        <v>467</v>
      </c>
      <c r="E71" s="26" t="s">
        <v>90</v>
      </c>
      <c r="F71" s="26" t="s">
        <v>468</v>
      </c>
      <c r="G71" s="26" t="s">
        <v>469</v>
      </c>
      <c r="H71" s="26"/>
      <c r="I71" s="34"/>
      <c r="J71" s="25" t="s">
        <v>30</v>
      </c>
      <c r="K71" s="26" t="s">
        <v>125</v>
      </c>
      <c r="L71" s="26" t="s">
        <v>305</v>
      </c>
    </row>
    <row r="72" spans="2:12">
      <c r="B72" s="34" t="s">
        <v>470</v>
      </c>
      <c r="C72" s="26" t="s">
        <v>174</v>
      </c>
      <c r="D72" s="34" t="s">
        <v>471</v>
      </c>
      <c r="E72" s="26" t="s">
        <v>90</v>
      </c>
      <c r="F72" s="26"/>
      <c r="G72" s="26" t="s">
        <v>472</v>
      </c>
      <c r="H72" s="26"/>
      <c r="I72" s="34" t="s">
        <v>473</v>
      </c>
      <c r="J72" s="25" t="s">
        <v>30</v>
      </c>
      <c r="K72" s="26" t="s">
        <v>137</v>
      </c>
      <c r="L72" s="26" t="s">
        <v>324</v>
      </c>
    </row>
    <row r="73" spans="2:12">
      <c r="B73" s="35" t="s">
        <v>474</v>
      </c>
      <c r="C73" s="32" t="s">
        <v>174</v>
      </c>
      <c r="D73" s="35" t="s">
        <v>475</v>
      </c>
      <c r="E73" s="32" t="s">
        <v>309</v>
      </c>
      <c r="F73" s="32"/>
      <c r="G73" s="32" t="s">
        <v>476</v>
      </c>
      <c r="H73" s="32"/>
      <c r="I73" s="35"/>
      <c r="J73" s="33" t="s">
        <v>30</v>
      </c>
      <c r="K73" s="32" t="s">
        <v>137</v>
      </c>
      <c r="L73" s="32" t="s">
        <v>311</v>
      </c>
    </row>
    <row r="74" spans="2:12">
      <c r="B74" s="26" t="s">
        <v>477</v>
      </c>
      <c r="C74" s="26" t="s">
        <v>120</v>
      </c>
      <c r="D74" s="26" t="s">
        <v>478</v>
      </c>
      <c r="E74" s="26" t="s">
        <v>90</v>
      </c>
      <c r="F74" s="26" t="s">
        <v>479</v>
      </c>
      <c r="G74" s="26" t="s">
        <v>480</v>
      </c>
      <c r="H74" s="26"/>
      <c r="I74" s="34"/>
      <c r="J74" s="25" t="s">
        <v>30</v>
      </c>
      <c r="K74" s="26" t="s">
        <v>125</v>
      </c>
      <c r="L74" s="26" t="s">
        <v>305</v>
      </c>
    </row>
    <row r="75" spans="2:12">
      <c r="B75" s="26" t="s">
        <v>481</v>
      </c>
      <c r="C75" s="26" t="s">
        <v>120</v>
      </c>
      <c r="D75" s="26" t="s">
        <v>482</v>
      </c>
      <c r="E75" s="26" t="s">
        <v>90</v>
      </c>
      <c r="F75" s="26" t="s">
        <v>483</v>
      </c>
      <c r="G75" s="26" t="s">
        <v>484</v>
      </c>
      <c r="H75" s="26"/>
      <c r="I75" s="34"/>
      <c r="J75" s="25" t="s">
        <v>30</v>
      </c>
      <c r="K75" s="26" t="s">
        <v>125</v>
      </c>
      <c r="L75" s="26" t="s">
        <v>305</v>
      </c>
    </row>
    <row r="76" spans="2:12">
      <c r="B76" s="34" t="s">
        <v>485</v>
      </c>
      <c r="C76" s="26" t="s">
        <v>174</v>
      </c>
      <c r="D76" s="34" t="s">
        <v>486</v>
      </c>
      <c r="E76" s="26" t="s">
        <v>90</v>
      </c>
      <c r="F76" s="26"/>
      <c r="G76" s="26" t="s">
        <v>487</v>
      </c>
      <c r="H76" s="26"/>
      <c r="I76" s="34" t="s">
        <v>488</v>
      </c>
      <c r="J76" s="25" t="s">
        <v>30</v>
      </c>
      <c r="K76" s="26" t="s">
        <v>137</v>
      </c>
      <c r="L76" s="26" t="s">
        <v>324</v>
      </c>
    </row>
    <row r="77" spans="2:12">
      <c r="B77" s="35" t="s">
        <v>489</v>
      </c>
      <c r="C77" s="32" t="s">
        <v>174</v>
      </c>
      <c r="D77" s="35" t="s">
        <v>490</v>
      </c>
      <c r="E77" s="38" t="s">
        <v>309</v>
      </c>
      <c r="F77" s="37"/>
      <c r="G77" s="32" t="s">
        <v>491</v>
      </c>
      <c r="H77" s="37"/>
      <c r="I77" s="37"/>
      <c r="J77" s="33" t="s">
        <v>30</v>
      </c>
      <c r="K77" s="32" t="s">
        <v>137</v>
      </c>
      <c r="L77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1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62</v>
      </c>
      <c r="D4" s="11" t="s">
        <v>63</v>
      </c>
      <c r="E4" s="9" t="s">
        <v>251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25.7" spans="2:14">
      <c r="B8" s="9" t="s">
        <v>253</v>
      </c>
      <c r="C8" s="15" t="s">
        <v>514</v>
      </c>
      <c r="D8" s="15" t="s">
        <v>515</v>
      </c>
      <c r="E8" s="9" t="s">
        <v>90</v>
      </c>
      <c r="F8" s="16"/>
      <c r="G8" s="17" t="s">
        <v>257</v>
      </c>
      <c r="H8" s="18" t="s">
        <v>93</v>
      </c>
    </row>
    <row r="9" ht="25.7" spans="2:14">
      <c r="B9" s="9" t="s">
        <v>253</v>
      </c>
      <c r="C9" s="10" t="s">
        <v>43</v>
      </c>
      <c r="D9" s="11" t="s">
        <v>44</v>
      </c>
      <c r="E9" s="9" t="s">
        <v>96</v>
      </c>
      <c r="F9" s="9" t="s">
        <v>258</v>
      </c>
      <c r="G9" s="19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259</v>
      </c>
      <c r="C12" s="22" t="s">
        <v>116</v>
      </c>
      <c r="D12" s="22" t="s">
        <v>260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6" t="s">
        <v>251</v>
      </c>
      <c r="C13" s="26" t="s">
        <v>116</v>
      </c>
      <c r="D13" s="26" t="s">
        <v>261</v>
      </c>
      <c r="E13" s="26" t="s">
        <v>90</v>
      </c>
      <c r="F13" s="26" t="s">
        <v>259</v>
      </c>
      <c r="G13" s="26" t="s">
        <v>262</v>
      </c>
      <c r="H13" s="26"/>
      <c r="I13" s="25"/>
      <c r="J13" s="25"/>
      <c r="K13" s="25"/>
      <c r="L13" s="25"/>
    </row>
    <row r="14" s="1" customFormat="1" ht="12.85" spans="2:14">
      <c r="B14" s="27" t="s">
        <v>263</v>
      </c>
      <c r="C14" s="26" t="s">
        <v>109</v>
      </c>
      <c r="D14" s="26" t="s">
        <v>264</v>
      </c>
      <c r="E14" s="26" t="s">
        <v>90</v>
      </c>
      <c r="F14" s="26" t="s">
        <v>265</v>
      </c>
      <c r="G14" s="26" t="s">
        <v>262</v>
      </c>
      <c r="H14" s="26"/>
      <c r="I14" s="25"/>
      <c r="J14" s="25" t="s">
        <v>114</v>
      </c>
      <c r="K14" s="25" t="s">
        <v>163</v>
      </c>
      <c r="L14" s="25" t="s">
        <v>266</v>
      </c>
    </row>
    <row r="15" s="1" customFormat="1" ht="38.55" spans="2:14">
      <c r="B15" s="27" t="s">
        <v>115</v>
      </c>
      <c r="C15" s="26" t="s">
        <v>116</v>
      </c>
      <c r="D15" s="26" t="s">
        <v>117</v>
      </c>
      <c r="E15" s="26" t="s">
        <v>90</v>
      </c>
      <c r="F15" s="26" t="s">
        <v>115</v>
      </c>
      <c r="G15" s="26" t="s">
        <v>267</v>
      </c>
      <c r="H15" s="26"/>
      <c r="I15" s="25"/>
      <c r="J15" s="25" t="s">
        <v>114</v>
      </c>
      <c r="K15" s="25" t="s">
        <v>163</v>
      </c>
      <c r="L15" s="28" t="s">
        <v>164</v>
      </c>
    </row>
    <row r="16" s="1" customFormat="1" ht="12.85" spans="2:14">
      <c r="B16" s="27" t="s">
        <v>268</v>
      </c>
      <c r="C16" s="26" t="s">
        <v>109</v>
      </c>
      <c r="D16" s="26" t="s">
        <v>269</v>
      </c>
      <c r="E16" s="26" t="s">
        <v>90</v>
      </c>
      <c r="F16" s="26" t="s">
        <v>270</v>
      </c>
      <c r="G16" s="26" t="s">
        <v>262</v>
      </c>
      <c r="H16" s="26"/>
      <c r="I16" s="25"/>
      <c r="J16" s="25" t="s">
        <v>114</v>
      </c>
      <c r="K16" s="25"/>
      <c r="L16" s="25"/>
    </row>
    <row r="17" s="2" customFormat="1" ht="12.85" spans="2:13">
      <c r="B17" s="27" t="s">
        <v>271</v>
      </c>
      <c r="C17" s="26" t="s">
        <v>116</v>
      </c>
      <c r="D17" s="26" t="s">
        <v>272</v>
      </c>
      <c r="E17" s="26" t="s">
        <v>90</v>
      </c>
      <c r="F17" s="26" t="s">
        <v>271</v>
      </c>
      <c r="G17" s="26" t="s">
        <v>267</v>
      </c>
      <c r="H17" s="26"/>
      <c r="I17" s="26"/>
      <c r="J17" s="25" t="s">
        <v>114</v>
      </c>
      <c r="K17" s="26"/>
      <c r="L17" s="26"/>
    </row>
    <row r="18" s="2" customFormat="1" ht="12.85" spans="2:13">
      <c r="B18" s="27" t="s">
        <v>273</v>
      </c>
      <c r="C18" s="26" t="s">
        <v>109</v>
      </c>
      <c r="D18" s="26" t="s">
        <v>274</v>
      </c>
      <c r="E18" s="26" t="s">
        <v>90</v>
      </c>
      <c r="F18" s="26" t="s">
        <v>275</v>
      </c>
      <c r="G18" s="26" t="s">
        <v>262</v>
      </c>
      <c r="H18" s="26"/>
      <c r="I18" s="26"/>
      <c r="J18" s="25" t="s">
        <v>114</v>
      </c>
      <c r="K18" s="26"/>
      <c r="L18" s="26"/>
    </row>
    <row r="19" s="2" customFormat="1" ht="12.85" spans="2:13">
      <c r="B19" s="27" t="s">
        <v>276</v>
      </c>
      <c r="C19" s="26" t="s">
        <v>116</v>
      </c>
      <c r="D19" s="26" t="s">
        <v>277</v>
      </c>
      <c r="E19" s="26" t="s">
        <v>90</v>
      </c>
      <c r="F19" s="26" t="s">
        <v>276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3">
      <c r="B20" s="27" t="s">
        <v>278</v>
      </c>
      <c r="C20" s="26" t="s">
        <v>109</v>
      </c>
      <c r="D20" s="26" t="s">
        <v>279</v>
      </c>
      <c r="E20" s="26" t="s">
        <v>90</v>
      </c>
      <c r="F20" s="26" t="s">
        <v>280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3">
      <c r="B21" s="27" t="s">
        <v>281</v>
      </c>
      <c r="C21" s="26" t="s">
        <v>116</v>
      </c>
      <c r="D21" s="26" t="s">
        <v>282</v>
      </c>
      <c r="E21" s="26" t="s">
        <v>90</v>
      </c>
      <c r="F21" s="26" t="s">
        <v>281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3">
      <c r="B22" s="27" t="s">
        <v>283</v>
      </c>
      <c r="C22" s="26" t="s">
        <v>109</v>
      </c>
      <c r="D22" s="26" t="s">
        <v>284</v>
      </c>
      <c r="E22" s="26" t="s">
        <v>90</v>
      </c>
      <c r="F22" s="26" t="s">
        <v>283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3">
      <c r="B23" s="27" t="s">
        <v>285</v>
      </c>
      <c r="C23" s="26" t="s">
        <v>116</v>
      </c>
      <c r="D23" s="26" t="s">
        <v>286</v>
      </c>
      <c r="E23" s="26" t="s">
        <v>90</v>
      </c>
      <c r="F23" s="26" t="s">
        <v>285</v>
      </c>
      <c r="G23" s="26" t="s">
        <v>267</v>
      </c>
      <c r="H23" s="26"/>
      <c r="I23" s="26"/>
      <c r="J23" s="25" t="s">
        <v>114</v>
      </c>
      <c r="K23" s="26"/>
      <c r="L23" s="26"/>
    </row>
    <row r="24" spans="2:13">
      <c r="B24" s="29" t="s">
        <v>165</v>
      </c>
      <c r="C24" s="30" t="s">
        <v>109</v>
      </c>
      <c r="D24" s="30" t="s">
        <v>287</v>
      </c>
      <c r="E24" s="30"/>
      <c r="F24" s="26"/>
      <c r="G24" s="30" t="s">
        <v>288</v>
      </c>
      <c r="H24" s="26"/>
      <c r="I24" s="26"/>
      <c r="J24" s="25" t="s">
        <v>114</v>
      </c>
      <c r="K24" s="25" t="s">
        <v>163</v>
      </c>
      <c r="L24" s="26" t="s">
        <v>289</v>
      </c>
      <c r="M24" s="2"/>
    </row>
    <row r="25" s="2" customFormat="1" ht="22.5" customHeight="1" spans="2:13">
      <c r="B25" s="27" t="s">
        <v>290</v>
      </c>
      <c r="C25" s="26" t="s">
        <v>116</v>
      </c>
      <c r="D25" s="26" t="s">
        <v>291</v>
      </c>
      <c r="E25" s="26" t="s">
        <v>90</v>
      </c>
      <c r="F25" s="26" t="s">
        <v>290</v>
      </c>
      <c r="G25" s="26" t="s">
        <v>262</v>
      </c>
      <c r="H25" s="26"/>
      <c r="I25" s="26"/>
      <c r="J25" s="25" t="s">
        <v>114</v>
      </c>
      <c r="K25" s="26" t="s">
        <v>163</v>
      </c>
      <c r="L25" s="31" t="s">
        <v>293</v>
      </c>
    </row>
    <row r="26" s="2" customFormat="1" ht="12.85" spans="2:13">
      <c r="B26" s="26" t="s">
        <v>301</v>
      </c>
      <c r="C26" s="26" t="s">
        <v>120</v>
      </c>
      <c r="D26" s="26" t="s">
        <v>302</v>
      </c>
      <c r="E26" s="26" t="s">
        <v>90</v>
      </c>
      <c r="F26" s="26" t="s">
        <v>303</v>
      </c>
      <c r="G26" s="26" t="s">
        <v>304</v>
      </c>
      <c r="H26" s="26"/>
      <c r="I26" s="26" t="s">
        <v>124</v>
      </c>
      <c r="J26" s="25" t="s">
        <v>30</v>
      </c>
      <c r="K26" s="26" t="s">
        <v>125</v>
      </c>
      <c r="L26" s="26" t="s">
        <v>305</v>
      </c>
    </row>
    <row r="27" s="2" customFormat="1" ht="12.85" spans="2:13">
      <c r="B27" s="32" t="s">
        <v>306</v>
      </c>
      <c r="C27" s="32" t="s">
        <v>307</v>
      </c>
      <c r="D27" s="32" t="s">
        <v>308</v>
      </c>
      <c r="E27" s="32" t="s">
        <v>309</v>
      </c>
      <c r="F27" s="32"/>
      <c r="G27" s="32" t="s">
        <v>310</v>
      </c>
      <c r="H27" s="32"/>
      <c r="I27" s="32"/>
      <c r="J27" s="33" t="s">
        <v>30</v>
      </c>
      <c r="K27" s="32" t="s">
        <v>137</v>
      </c>
      <c r="L27" s="32" t="s">
        <v>311</v>
      </c>
    </row>
    <row r="28" s="2" customFormat="1" ht="12.85" spans="2:13">
      <c r="B28" s="26" t="s">
        <v>312</v>
      </c>
      <c r="C28" s="26" t="s">
        <v>120</v>
      </c>
      <c r="D28" s="26" t="s">
        <v>313</v>
      </c>
      <c r="E28" s="26" t="s">
        <v>90</v>
      </c>
      <c r="F28" s="26" t="s">
        <v>314</v>
      </c>
      <c r="G28" s="26" t="s">
        <v>315</v>
      </c>
      <c r="H28" s="26"/>
      <c r="I28" s="26"/>
      <c r="J28" s="25" t="s">
        <v>30</v>
      </c>
      <c r="K28" s="26" t="s">
        <v>125</v>
      </c>
      <c r="L28" s="26" t="s">
        <v>305</v>
      </c>
    </row>
    <row r="29" s="2" customFormat="1" ht="12.85" spans="2:13">
      <c r="B29" s="26" t="s">
        <v>316</v>
      </c>
      <c r="C29" s="26" t="s">
        <v>120</v>
      </c>
      <c r="D29" s="26" t="s">
        <v>317</v>
      </c>
      <c r="E29" s="26" t="s">
        <v>90</v>
      </c>
      <c r="F29" s="26" t="s">
        <v>318</v>
      </c>
      <c r="G29" s="26" t="s">
        <v>319</v>
      </c>
      <c r="H29" s="26"/>
      <c r="I29" s="26"/>
      <c r="J29" s="25" t="s">
        <v>30</v>
      </c>
      <c r="K29" s="26" t="s">
        <v>125</v>
      </c>
      <c r="L29" s="26" t="s">
        <v>305</v>
      </c>
    </row>
    <row r="30" spans="2:13">
      <c r="B30" s="34" t="s">
        <v>320</v>
      </c>
      <c r="C30" s="26" t="s">
        <v>174</v>
      </c>
      <c r="D30" s="34" t="s">
        <v>321</v>
      </c>
      <c r="E30" s="26" t="s">
        <v>90</v>
      </c>
      <c r="F30" s="26"/>
      <c r="G30" s="26" t="s">
        <v>322</v>
      </c>
      <c r="H30" s="26"/>
      <c r="I30" s="34" t="s">
        <v>323</v>
      </c>
      <c r="J30" s="25" t="s">
        <v>30</v>
      </c>
      <c r="K30" s="26" t="s">
        <v>137</v>
      </c>
      <c r="L30" s="26" t="s">
        <v>324</v>
      </c>
      <c r="M30" s="2"/>
    </row>
    <row r="31" spans="2:13">
      <c r="B31" s="35" t="s">
        <v>325</v>
      </c>
      <c r="C31" s="32" t="s">
        <v>174</v>
      </c>
      <c r="D31" s="35" t="s">
        <v>326</v>
      </c>
      <c r="E31" s="32" t="s">
        <v>309</v>
      </c>
      <c r="F31" s="32"/>
      <c r="G31" s="32" t="s">
        <v>327</v>
      </c>
      <c r="H31" s="32"/>
      <c r="I31" s="35"/>
      <c r="J31" s="33" t="s">
        <v>30</v>
      </c>
      <c r="K31" s="32" t="s">
        <v>137</v>
      </c>
      <c r="L31" s="32" t="s">
        <v>311</v>
      </c>
      <c r="M31" s="2"/>
    </row>
    <row r="32" spans="2:13">
      <c r="B32" s="26" t="s">
        <v>328</v>
      </c>
      <c r="C32" s="26" t="s">
        <v>120</v>
      </c>
      <c r="D32" s="26" t="s">
        <v>329</v>
      </c>
      <c r="E32" s="26" t="s">
        <v>90</v>
      </c>
      <c r="F32" s="26" t="s">
        <v>330</v>
      </c>
      <c r="G32" s="26" t="s">
        <v>331</v>
      </c>
      <c r="H32" s="26"/>
      <c r="I32" s="26"/>
      <c r="J32" s="25" t="s">
        <v>30</v>
      </c>
      <c r="K32" s="26" t="s">
        <v>125</v>
      </c>
      <c r="L32" s="26" t="s">
        <v>305</v>
      </c>
      <c r="M32" s="2"/>
    </row>
    <row r="33" spans="2:12">
      <c r="B33" s="26" t="s">
        <v>332</v>
      </c>
      <c r="C33" s="26" t="s">
        <v>120</v>
      </c>
      <c r="D33" s="26" t="s">
        <v>333</v>
      </c>
      <c r="E33" s="26" t="s">
        <v>90</v>
      </c>
      <c r="F33" s="26" t="s">
        <v>334</v>
      </c>
      <c r="G33" s="26" t="s">
        <v>335</v>
      </c>
      <c r="H33" s="26"/>
      <c r="I33" s="26"/>
      <c r="J33" s="25" t="s">
        <v>30</v>
      </c>
      <c r="K33" s="26" t="s">
        <v>125</v>
      </c>
      <c r="L33" s="26" t="s">
        <v>305</v>
      </c>
    </row>
    <row r="34" spans="2:12">
      <c r="B34" s="34" t="s">
        <v>336</v>
      </c>
      <c r="C34" s="26" t="s">
        <v>174</v>
      </c>
      <c r="D34" s="34" t="s">
        <v>337</v>
      </c>
      <c r="E34" s="26" t="s">
        <v>90</v>
      </c>
      <c r="F34" s="26"/>
      <c r="G34" s="26" t="s">
        <v>338</v>
      </c>
      <c r="H34" s="26"/>
      <c r="I34" s="34" t="s">
        <v>339</v>
      </c>
      <c r="J34" s="25" t="s">
        <v>30</v>
      </c>
      <c r="K34" s="26" t="s">
        <v>137</v>
      </c>
      <c r="L34" s="26" t="s">
        <v>324</v>
      </c>
    </row>
    <row r="35" spans="2:12">
      <c r="B35" s="35" t="s">
        <v>340</v>
      </c>
      <c r="C35" s="32" t="s">
        <v>174</v>
      </c>
      <c r="D35" s="35" t="s">
        <v>341</v>
      </c>
      <c r="E35" s="32" t="s">
        <v>309</v>
      </c>
      <c r="F35" s="32"/>
      <c r="G35" s="32" t="s">
        <v>342</v>
      </c>
      <c r="H35" s="32"/>
      <c r="I35" s="35"/>
      <c r="J35" s="33" t="s">
        <v>30</v>
      </c>
      <c r="K35" s="32" t="s">
        <v>137</v>
      </c>
      <c r="L35" s="32" t="s">
        <v>311</v>
      </c>
    </row>
    <row r="36" spans="2:12">
      <c r="B36" s="24" t="s">
        <v>516</v>
      </c>
      <c r="C36" s="26" t="s">
        <v>120</v>
      </c>
      <c r="D36" s="24" t="s">
        <v>517</v>
      </c>
      <c r="E36" s="9" t="s">
        <v>90</v>
      </c>
      <c r="F36" s="16" t="s">
        <v>518</v>
      </c>
      <c r="G36" s="16" t="s">
        <v>519</v>
      </c>
      <c r="H36" s="9"/>
      <c r="I36" s="9"/>
      <c r="J36" s="25" t="s">
        <v>30</v>
      </c>
      <c r="K36" s="26" t="s">
        <v>125</v>
      </c>
      <c r="L36" s="26" t="s">
        <v>305</v>
      </c>
    </row>
    <row r="37" spans="2:12">
      <c r="B37" s="24" t="s">
        <v>520</v>
      </c>
      <c r="C37" s="26" t="s">
        <v>120</v>
      </c>
      <c r="D37" s="24" t="s">
        <v>521</v>
      </c>
      <c r="E37" s="9" t="s">
        <v>90</v>
      </c>
      <c r="F37" s="16" t="s">
        <v>522</v>
      </c>
      <c r="G37" s="16" t="s">
        <v>523</v>
      </c>
      <c r="H37" s="9"/>
      <c r="I37" s="9"/>
      <c r="J37" s="25" t="s">
        <v>30</v>
      </c>
      <c r="K37" s="26" t="s">
        <v>125</v>
      </c>
      <c r="L37" s="26" t="s">
        <v>305</v>
      </c>
    </row>
    <row r="38" spans="2:12">
      <c r="B38" s="24" t="s">
        <v>524</v>
      </c>
      <c r="C38" s="26" t="s">
        <v>174</v>
      </c>
      <c r="D38" s="24" t="s">
        <v>525</v>
      </c>
      <c r="E38" s="9" t="s">
        <v>90</v>
      </c>
      <c r="F38" s="16"/>
      <c r="G38" s="16" t="s">
        <v>526</v>
      </c>
      <c r="H38" s="9"/>
      <c r="I38" s="9"/>
      <c r="J38" s="25" t="s">
        <v>30</v>
      </c>
      <c r="K38" s="26" t="s">
        <v>137</v>
      </c>
      <c r="L38" s="26" t="s">
        <v>324</v>
      </c>
    </row>
    <row r="39" spans="2:12">
      <c r="B39" s="36" t="s">
        <v>527</v>
      </c>
      <c r="C39" s="32" t="s">
        <v>174</v>
      </c>
      <c r="D39" s="36" t="s">
        <v>528</v>
      </c>
      <c r="E39" s="37" t="s">
        <v>309</v>
      </c>
      <c r="F39" s="38"/>
      <c r="G39" s="32" t="s">
        <v>529</v>
      </c>
      <c r="H39" s="37"/>
      <c r="I39" s="37"/>
      <c r="J39" s="33" t="s">
        <v>30</v>
      </c>
      <c r="K39" s="32" t="s">
        <v>137</v>
      </c>
      <c r="L39" s="32" t="s">
        <v>311</v>
      </c>
    </row>
    <row r="40" ht="25.7" spans="2:12">
      <c r="B40" s="24" t="s">
        <v>530</v>
      </c>
      <c r="C40" s="26" t="s">
        <v>120</v>
      </c>
      <c r="D40" s="24" t="s">
        <v>531</v>
      </c>
      <c r="E40" s="9" t="s">
        <v>90</v>
      </c>
      <c r="F40" s="16" t="s">
        <v>532</v>
      </c>
      <c r="G40" s="16" t="s">
        <v>533</v>
      </c>
      <c r="H40" s="9"/>
      <c r="I40" s="9"/>
      <c r="J40" s="25" t="s">
        <v>30</v>
      </c>
      <c r="K40" s="26" t="s">
        <v>125</v>
      </c>
      <c r="L40" s="26" t="s">
        <v>305</v>
      </c>
    </row>
    <row r="41" spans="2:12">
      <c r="B41" s="24" t="s">
        <v>534</v>
      </c>
      <c r="C41" s="26" t="s">
        <v>120</v>
      </c>
      <c r="D41" s="24" t="s">
        <v>535</v>
      </c>
      <c r="E41" s="9" t="s">
        <v>90</v>
      </c>
      <c r="F41" s="16" t="s">
        <v>536</v>
      </c>
      <c r="G41" s="16" t="s">
        <v>537</v>
      </c>
      <c r="H41" s="9"/>
      <c r="I41" s="9"/>
      <c r="J41" s="25" t="s">
        <v>30</v>
      </c>
      <c r="K41" s="26" t="s">
        <v>125</v>
      </c>
      <c r="L41" s="26" t="s">
        <v>305</v>
      </c>
    </row>
    <row r="42" spans="2:12">
      <c r="B42" s="24" t="s">
        <v>538</v>
      </c>
      <c r="C42" s="26" t="s">
        <v>174</v>
      </c>
      <c r="D42" s="24" t="s">
        <v>539</v>
      </c>
      <c r="E42" s="9" t="s">
        <v>90</v>
      </c>
      <c r="F42" s="16"/>
      <c r="G42" s="16" t="s">
        <v>540</v>
      </c>
      <c r="H42" s="9"/>
      <c r="I42" s="9"/>
      <c r="J42" s="25" t="s">
        <v>30</v>
      </c>
      <c r="K42" s="26" t="s">
        <v>137</v>
      </c>
      <c r="L42" s="26" t="s">
        <v>324</v>
      </c>
    </row>
    <row r="43" spans="2:12">
      <c r="B43" s="36" t="s">
        <v>541</v>
      </c>
      <c r="C43" s="32" t="s">
        <v>174</v>
      </c>
      <c r="D43" s="36" t="s">
        <v>542</v>
      </c>
      <c r="E43" s="37" t="s">
        <v>309</v>
      </c>
      <c r="F43" s="38"/>
      <c r="G43" s="32" t="s">
        <v>543</v>
      </c>
      <c r="H43" s="37"/>
      <c r="I43" s="37"/>
      <c r="J43" s="33" t="s">
        <v>30</v>
      </c>
      <c r="K43" s="32" t="s">
        <v>137</v>
      </c>
      <c r="L43" s="32" t="s">
        <v>311</v>
      </c>
    </row>
    <row r="44" spans="2:12">
      <c r="B44" s="24" t="s">
        <v>544</v>
      </c>
      <c r="C44" s="26" t="s">
        <v>120</v>
      </c>
      <c r="D44" s="24" t="s">
        <v>545</v>
      </c>
      <c r="E44" s="9" t="s">
        <v>90</v>
      </c>
      <c r="F44" s="16" t="s">
        <v>546</v>
      </c>
      <c r="G44" s="16" t="s">
        <v>547</v>
      </c>
      <c r="H44" s="9"/>
      <c r="I44" s="9"/>
      <c r="J44" s="25" t="s">
        <v>30</v>
      </c>
      <c r="K44" s="26" t="s">
        <v>125</v>
      </c>
      <c r="L44" s="26" t="s">
        <v>305</v>
      </c>
    </row>
    <row r="45" spans="2:12">
      <c r="B45" s="24" t="s">
        <v>548</v>
      </c>
      <c r="C45" s="26" t="s">
        <v>120</v>
      </c>
      <c r="D45" s="24" t="s">
        <v>549</v>
      </c>
      <c r="E45" s="9" t="s">
        <v>90</v>
      </c>
      <c r="F45" s="16" t="s">
        <v>550</v>
      </c>
      <c r="G45" s="16" t="s">
        <v>551</v>
      </c>
      <c r="H45" s="9"/>
      <c r="I45" s="9"/>
      <c r="J45" s="25" t="s">
        <v>30</v>
      </c>
      <c r="K45" s="26" t="s">
        <v>125</v>
      </c>
      <c r="L45" s="26" t="s">
        <v>305</v>
      </c>
    </row>
    <row r="46" spans="2:12">
      <c r="B46" s="24" t="s">
        <v>552</v>
      </c>
      <c r="C46" s="26" t="s">
        <v>174</v>
      </c>
      <c r="D46" s="24" t="s">
        <v>553</v>
      </c>
      <c r="E46" s="9" t="s">
        <v>90</v>
      </c>
      <c r="F46" s="16"/>
      <c r="G46" s="16" t="s">
        <v>554</v>
      </c>
      <c r="H46" s="9"/>
      <c r="I46" s="9"/>
      <c r="J46" s="25" t="s">
        <v>30</v>
      </c>
      <c r="K46" s="26" t="s">
        <v>137</v>
      </c>
      <c r="L46" s="26" t="s">
        <v>324</v>
      </c>
    </row>
    <row r="47" spans="2:12">
      <c r="B47" s="36" t="s">
        <v>555</v>
      </c>
      <c r="C47" s="32" t="s">
        <v>174</v>
      </c>
      <c r="D47" s="36" t="s">
        <v>556</v>
      </c>
      <c r="E47" s="37" t="s">
        <v>309</v>
      </c>
      <c r="F47" s="38"/>
      <c r="G47" s="32" t="s">
        <v>557</v>
      </c>
      <c r="H47" s="37"/>
      <c r="I47" s="37"/>
      <c r="J47" s="33" t="s">
        <v>30</v>
      </c>
      <c r="K47" s="32" t="s">
        <v>137</v>
      </c>
      <c r="L47" s="32" t="s">
        <v>311</v>
      </c>
    </row>
    <row r="48" spans="2:12">
      <c r="B48" s="24" t="s">
        <v>558</v>
      </c>
      <c r="C48" s="26" t="s">
        <v>120</v>
      </c>
      <c r="D48" s="24" t="s">
        <v>559</v>
      </c>
      <c r="E48" s="9" t="s">
        <v>90</v>
      </c>
      <c r="F48" s="16" t="s">
        <v>560</v>
      </c>
      <c r="G48" s="16" t="s">
        <v>561</v>
      </c>
      <c r="H48" s="9"/>
      <c r="I48" s="9"/>
      <c r="J48" s="25" t="s">
        <v>30</v>
      </c>
      <c r="K48" s="26" t="s">
        <v>125</v>
      </c>
      <c r="L48" s="26" t="s">
        <v>305</v>
      </c>
    </row>
    <row r="49" spans="2:12">
      <c r="B49" s="24" t="s">
        <v>562</v>
      </c>
      <c r="C49" s="26" t="s">
        <v>120</v>
      </c>
      <c r="D49" s="24" t="s">
        <v>563</v>
      </c>
      <c r="E49" s="9" t="s">
        <v>90</v>
      </c>
      <c r="F49" s="16" t="s">
        <v>564</v>
      </c>
      <c r="G49" s="16" t="s">
        <v>565</v>
      </c>
      <c r="H49" s="9"/>
      <c r="I49" s="9"/>
      <c r="J49" s="25" t="s">
        <v>30</v>
      </c>
      <c r="K49" s="26" t="s">
        <v>125</v>
      </c>
      <c r="L49" s="26" t="s">
        <v>305</v>
      </c>
    </row>
    <row r="50" spans="2:12">
      <c r="B50" s="24" t="s">
        <v>566</v>
      </c>
      <c r="C50" s="26" t="s">
        <v>174</v>
      </c>
      <c r="D50" s="24" t="s">
        <v>567</v>
      </c>
      <c r="E50" s="9" t="s">
        <v>90</v>
      </c>
      <c r="F50" s="16"/>
      <c r="G50" s="16" t="s">
        <v>568</v>
      </c>
      <c r="H50" s="9"/>
      <c r="I50" s="9"/>
      <c r="J50" s="25" t="s">
        <v>30</v>
      </c>
      <c r="K50" s="26" t="s">
        <v>137</v>
      </c>
      <c r="L50" s="26" t="s">
        <v>324</v>
      </c>
    </row>
    <row r="51" spans="2:12">
      <c r="B51" s="36" t="s">
        <v>569</v>
      </c>
      <c r="C51" s="32" t="s">
        <v>174</v>
      </c>
      <c r="D51" s="36" t="s">
        <v>570</v>
      </c>
      <c r="E51" s="37" t="s">
        <v>309</v>
      </c>
      <c r="F51" s="38"/>
      <c r="G51" s="32" t="s">
        <v>571</v>
      </c>
      <c r="H51" s="37"/>
      <c r="I51" s="37"/>
      <c r="J51" s="33" t="s">
        <v>30</v>
      </c>
      <c r="K51" s="32" t="s">
        <v>137</v>
      </c>
      <c r="L51" s="32" t="s">
        <v>311</v>
      </c>
    </row>
    <row r="52" ht="25.7" spans="2:12">
      <c r="B52" s="24" t="s">
        <v>572</v>
      </c>
      <c r="C52" s="26" t="s">
        <v>120</v>
      </c>
      <c r="D52" s="24" t="s">
        <v>573</v>
      </c>
      <c r="E52" s="9" t="s">
        <v>90</v>
      </c>
      <c r="F52" s="16" t="s">
        <v>574</v>
      </c>
      <c r="G52" s="16" t="s">
        <v>575</v>
      </c>
      <c r="H52" s="9"/>
      <c r="I52" s="9"/>
      <c r="J52" s="25" t="s">
        <v>30</v>
      </c>
      <c r="K52" s="26" t="s">
        <v>125</v>
      </c>
      <c r="L52" s="26" t="s">
        <v>305</v>
      </c>
    </row>
    <row r="53" spans="2:12">
      <c r="B53" s="24" t="s">
        <v>576</v>
      </c>
      <c r="C53" s="26" t="s">
        <v>120</v>
      </c>
      <c r="D53" s="24" t="s">
        <v>577</v>
      </c>
      <c r="E53" s="9" t="s">
        <v>90</v>
      </c>
      <c r="F53" s="16" t="s">
        <v>578</v>
      </c>
      <c r="G53" s="16" t="s">
        <v>579</v>
      </c>
      <c r="H53" s="9"/>
      <c r="I53" s="9"/>
      <c r="J53" s="25" t="s">
        <v>30</v>
      </c>
      <c r="K53" s="26" t="s">
        <v>125</v>
      </c>
      <c r="L53" s="26" t="s">
        <v>305</v>
      </c>
    </row>
    <row r="54" ht="25.7" spans="2:12">
      <c r="B54" s="24" t="s">
        <v>580</v>
      </c>
      <c r="C54" s="26" t="s">
        <v>174</v>
      </c>
      <c r="D54" s="24" t="s">
        <v>581</v>
      </c>
      <c r="E54" s="9" t="s">
        <v>90</v>
      </c>
      <c r="F54" s="39"/>
      <c r="G54" s="16" t="s">
        <v>582</v>
      </c>
      <c r="H54" s="39"/>
      <c r="I54" s="39"/>
      <c r="J54" s="25" t="s">
        <v>30</v>
      </c>
      <c r="K54" s="26" t="s">
        <v>137</v>
      </c>
      <c r="L54" s="26" t="s">
        <v>324</v>
      </c>
    </row>
    <row r="55" ht="25.7" spans="2:12">
      <c r="B55" s="36" t="s">
        <v>583</v>
      </c>
      <c r="C55" s="32" t="s">
        <v>174</v>
      </c>
      <c r="D55" s="36" t="s">
        <v>584</v>
      </c>
      <c r="E55" s="37" t="s">
        <v>309</v>
      </c>
      <c r="F55" s="40"/>
      <c r="G55" s="32" t="s">
        <v>585</v>
      </c>
      <c r="H55" s="40"/>
      <c r="I55" s="40"/>
      <c r="J55" s="33" t="s">
        <v>30</v>
      </c>
      <c r="K55" s="32" t="s">
        <v>137</v>
      </c>
      <c r="L55" s="32" t="s">
        <v>311</v>
      </c>
    </row>
    <row r="56" spans="2:12">
      <c r="B56" s="24" t="s">
        <v>586</v>
      </c>
      <c r="C56" s="26" t="s">
        <v>120</v>
      </c>
      <c r="D56" s="24" t="s">
        <v>587</v>
      </c>
      <c r="E56" s="9" t="s">
        <v>90</v>
      </c>
      <c r="F56" s="16" t="s">
        <v>588</v>
      </c>
      <c r="G56" s="16" t="s">
        <v>589</v>
      </c>
      <c r="H56" s="9"/>
      <c r="I56" s="9"/>
      <c r="J56" s="25" t="s">
        <v>30</v>
      </c>
      <c r="K56" s="26" t="s">
        <v>125</v>
      </c>
      <c r="L56" s="26" t="s">
        <v>305</v>
      </c>
    </row>
    <row r="57" spans="2:12">
      <c r="B57" s="24" t="s">
        <v>590</v>
      </c>
      <c r="C57" s="26" t="s">
        <v>120</v>
      </c>
      <c r="D57" s="24" t="s">
        <v>591</v>
      </c>
      <c r="E57" s="9" t="s">
        <v>90</v>
      </c>
      <c r="F57" s="16" t="s">
        <v>592</v>
      </c>
      <c r="G57" s="16" t="s">
        <v>593</v>
      </c>
      <c r="H57" s="9"/>
      <c r="I57" s="9"/>
      <c r="J57" s="25" t="s">
        <v>30</v>
      </c>
      <c r="K57" s="26" t="s">
        <v>125</v>
      </c>
      <c r="L57" s="26" t="s">
        <v>305</v>
      </c>
    </row>
    <row r="58" spans="2:12">
      <c r="B58" s="24" t="s">
        <v>594</v>
      </c>
      <c r="C58" s="26" t="s">
        <v>174</v>
      </c>
      <c r="D58" s="24" t="s">
        <v>595</v>
      </c>
      <c r="E58" s="9" t="s">
        <v>90</v>
      </c>
      <c r="F58" s="16"/>
      <c r="G58" s="16" t="s">
        <v>596</v>
      </c>
      <c r="H58" s="9"/>
      <c r="I58" s="9"/>
      <c r="J58" s="25" t="s">
        <v>30</v>
      </c>
      <c r="K58" s="26" t="s">
        <v>137</v>
      </c>
      <c r="L58" s="26" t="s">
        <v>324</v>
      </c>
    </row>
    <row r="59" spans="2:12">
      <c r="B59" s="36" t="s">
        <v>597</v>
      </c>
      <c r="C59" s="32" t="s">
        <v>174</v>
      </c>
      <c r="D59" s="36" t="s">
        <v>598</v>
      </c>
      <c r="E59" s="37" t="s">
        <v>309</v>
      </c>
      <c r="F59" s="38"/>
      <c r="G59" s="32" t="s">
        <v>599</v>
      </c>
      <c r="H59" s="37"/>
      <c r="I59" s="37"/>
      <c r="J59" s="33" t="s">
        <v>30</v>
      </c>
      <c r="K59" s="32" t="s">
        <v>137</v>
      </c>
      <c r="L59" s="32" t="s">
        <v>311</v>
      </c>
    </row>
    <row r="60" spans="2:12">
      <c r="B60" s="24" t="s">
        <v>600</v>
      </c>
      <c r="C60" s="26" t="s">
        <v>120</v>
      </c>
      <c r="D60" s="24" t="s">
        <v>601</v>
      </c>
      <c r="E60" s="9" t="s">
        <v>90</v>
      </c>
      <c r="F60" s="16" t="s">
        <v>602</v>
      </c>
      <c r="G60" s="16" t="s">
        <v>603</v>
      </c>
      <c r="H60" s="9"/>
      <c r="I60" s="9"/>
      <c r="J60" s="25" t="s">
        <v>30</v>
      </c>
      <c r="K60" s="26" t="s">
        <v>125</v>
      </c>
      <c r="L60" s="26" t="s">
        <v>305</v>
      </c>
    </row>
    <row r="61" spans="2:12">
      <c r="B61" s="24" t="s">
        <v>604</v>
      </c>
      <c r="C61" s="26" t="s">
        <v>120</v>
      </c>
      <c r="D61" s="24" t="s">
        <v>605</v>
      </c>
      <c r="E61" s="9" t="s">
        <v>90</v>
      </c>
      <c r="F61" s="16" t="s">
        <v>606</v>
      </c>
      <c r="G61" s="16" t="s">
        <v>607</v>
      </c>
      <c r="H61" s="9"/>
      <c r="I61" s="9"/>
      <c r="J61" s="25" t="s">
        <v>30</v>
      </c>
      <c r="K61" s="26" t="s">
        <v>125</v>
      </c>
      <c r="L61" s="26" t="s">
        <v>305</v>
      </c>
    </row>
    <row r="62" spans="2:12">
      <c r="B62" s="24" t="s">
        <v>608</v>
      </c>
      <c r="C62" s="26" t="s">
        <v>174</v>
      </c>
      <c r="D62" s="24" t="s">
        <v>609</v>
      </c>
      <c r="E62" s="9" t="s">
        <v>90</v>
      </c>
      <c r="F62" s="16"/>
      <c r="G62" s="16" t="s">
        <v>610</v>
      </c>
      <c r="H62" s="9"/>
      <c r="I62" s="9"/>
      <c r="J62" s="25" t="s">
        <v>30</v>
      </c>
      <c r="K62" s="26" t="s">
        <v>137</v>
      </c>
      <c r="L62" s="26" t="s">
        <v>324</v>
      </c>
    </row>
    <row r="63" spans="2:12">
      <c r="B63" s="36" t="s">
        <v>611</v>
      </c>
      <c r="C63" s="32" t="s">
        <v>174</v>
      </c>
      <c r="D63" s="36" t="s">
        <v>612</v>
      </c>
      <c r="E63" s="37" t="s">
        <v>309</v>
      </c>
      <c r="F63" s="38"/>
      <c r="G63" s="32" t="s">
        <v>613</v>
      </c>
      <c r="H63" s="37"/>
      <c r="I63" s="37"/>
      <c r="J63" s="33" t="s">
        <v>30</v>
      </c>
      <c r="K63" s="32" t="s">
        <v>137</v>
      </c>
      <c r="L63" s="32" t="s">
        <v>311</v>
      </c>
    </row>
    <row r="64" ht="25.7" spans="2:12">
      <c r="B64" s="24" t="s">
        <v>614</v>
      </c>
      <c r="C64" s="26" t="s">
        <v>120</v>
      </c>
      <c r="D64" s="24" t="s">
        <v>615</v>
      </c>
      <c r="E64" s="9" t="s">
        <v>90</v>
      </c>
      <c r="F64" s="16" t="s">
        <v>616</v>
      </c>
      <c r="G64" s="16" t="s">
        <v>617</v>
      </c>
      <c r="H64" s="9"/>
      <c r="I64" s="9"/>
      <c r="J64" s="25" t="s">
        <v>30</v>
      </c>
      <c r="K64" s="26" t="s">
        <v>125</v>
      </c>
      <c r="L64" s="26" t="s">
        <v>305</v>
      </c>
    </row>
    <row r="65" spans="2:12">
      <c r="B65" s="24" t="s">
        <v>618</v>
      </c>
      <c r="C65" s="26" t="s">
        <v>120</v>
      </c>
      <c r="D65" s="24" t="s">
        <v>619</v>
      </c>
      <c r="E65" s="9" t="s">
        <v>90</v>
      </c>
      <c r="F65" s="16" t="s">
        <v>620</v>
      </c>
      <c r="G65" s="16" t="s">
        <v>621</v>
      </c>
      <c r="H65" s="9"/>
      <c r="I65" s="9"/>
      <c r="J65" s="25" t="s">
        <v>30</v>
      </c>
      <c r="K65" s="26" t="s">
        <v>125</v>
      </c>
      <c r="L65" s="26" t="s">
        <v>305</v>
      </c>
    </row>
    <row r="66" spans="2:12">
      <c r="B66" s="24" t="s">
        <v>622</v>
      </c>
      <c r="C66" s="26" t="s">
        <v>174</v>
      </c>
      <c r="D66" s="24" t="s">
        <v>623</v>
      </c>
      <c r="E66" s="9" t="s">
        <v>90</v>
      </c>
      <c r="F66" s="16"/>
      <c r="G66" s="16" t="s">
        <v>624</v>
      </c>
      <c r="H66" s="9"/>
      <c r="I66" s="9"/>
      <c r="J66" s="25" t="s">
        <v>30</v>
      </c>
      <c r="K66" s="26" t="s">
        <v>137</v>
      </c>
      <c r="L66" s="26" t="s">
        <v>324</v>
      </c>
    </row>
    <row r="67" ht="25.7" spans="2:12">
      <c r="B67" s="36" t="s">
        <v>625</v>
      </c>
      <c r="C67" s="32" t="s">
        <v>174</v>
      </c>
      <c r="D67" s="36" t="s">
        <v>626</v>
      </c>
      <c r="E67" s="37" t="s">
        <v>309</v>
      </c>
      <c r="F67" s="38"/>
      <c r="G67" s="32" t="s">
        <v>627</v>
      </c>
      <c r="H67" s="37"/>
      <c r="I67" s="37"/>
      <c r="J67" s="33" t="s">
        <v>30</v>
      </c>
      <c r="K67" s="32" t="s">
        <v>137</v>
      </c>
      <c r="L67" s="32" t="s">
        <v>311</v>
      </c>
    </row>
    <row r="68" ht="25.7" spans="2:12">
      <c r="B68" s="24" t="s">
        <v>628</v>
      </c>
      <c r="C68" s="26" t="s">
        <v>120</v>
      </c>
      <c r="D68" s="24" t="s">
        <v>629</v>
      </c>
      <c r="E68" s="9" t="s">
        <v>90</v>
      </c>
      <c r="F68" s="16" t="s">
        <v>630</v>
      </c>
      <c r="G68" s="16" t="s">
        <v>631</v>
      </c>
      <c r="H68" s="9"/>
      <c r="I68" s="9"/>
      <c r="J68" s="25" t="s">
        <v>30</v>
      </c>
      <c r="K68" s="26" t="s">
        <v>125</v>
      </c>
      <c r="L68" s="26" t="s">
        <v>305</v>
      </c>
    </row>
    <row r="69" spans="2:12">
      <c r="B69" s="24" t="s">
        <v>632</v>
      </c>
      <c r="C69" s="26" t="s">
        <v>120</v>
      </c>
      <c r="D69" s="24" t="s">
        <v>633</v>
      </c>
      <c r="E69" s="9" t="s">
        <v>90</v>
      </c>
      <c r="F69" s="16" t="s">
        <v>634</v>
      </c>
      <c r="G69" s="16" t="s">
        <v>635</v>
      </c>
      <c r="H69" s="9"/>
      <c r="I69" s="9"/>
      <c r="J69" s="25" t="s">
        <v>30</v>
      </c>
      <c r="K69" s="26" t="s">
        <v>125</v>
      </c>
      <c r="L69" s="26" t="s">
        <v>305</v>
      </c>
    </row>
    <row r="70" spans="2:12">
      <c r="B70" s="24" t="s">
        <v>636</v>
      </c>
      <c r="C70" s="26" t="s">
        <v>174</v>
      </c>
      <c r="D70" s="24" t="s">
        <v>637</v>
      </c>
      <c r="E70" s="41" t="s">
        <v>90</v>
      </c>
      <c r="G70" s="42" t="s">
        <v>638</v>
      </c>
      <c r="J70" s="43" t="s">
        <v>30</v>
      </c>
      <c r="K70" s="44" t="s">
        <v>137</v>
      </c>
      <c r="L70" s="44" t="s">
        <v>324</v>
      </c>
    </row>
    <row r="71" ht="25.7" spans="2:12">
      <c r="B71" s="36" t="s">
        <v>639</v>
      </c>
      <c r="C71" s="32" t="s">
        <v>174</v>
      </c>
      <c r="D71" s="36" t="s">
        <v>640</v>
      </c>
      <c r="E71" s="37" t="s">
        <v>309</v>
      </c>
      <c r="F71" s="40"/>
      <c r="G71" s="32" t="s">
        <v>641</v>
      </c>
      <c r="H71" s="40"/>
      <c r="I71" s="40"/>
      <c r="J71" s="33" t="s">
        <v>30</v>
      </c>
      <c r="K71" s="32" t="s">
        <v>137</v>
      </c>
      <c r="L71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3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67</v>
      </c>
      <c r="D4" s="11" t="s">
        <v>68</v>
      </c>
      <c r="E4" s="9" t="s">
        <v>492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25.7" spans="2:14">
      <c r="B8" s="9" t="s">
        <v>253</v>
      </c>
      <c r="C8" s="15" t="s">
        <v>642</v>
      </c>
      <c r="D8" s="15" t="s">
        <v>643</v>
      </c>
      <c r="E8" s="9" t="s">
        <v>90</v>
      </c>
      <c r="F8" s="16"/>
      <c r="G8" s="17" t="s">
        <v>257</v>
      </c>
      <c r="H8" s="18" t="s">
        <v>93</v>
      </c>
    </row>
    <row r="9" ht="25.7" spans="2:14">
      <c r="B9" s="9" t="s">
        <v>253</v>
      </c>
      <c r="C9" s="10" t="s">
        <v>67</v>
      </c>
      <c r="D9" s="11" t="s">
        <v>68</v>
      </c>
      <c r="E9" s="9" t="s">
        <v>96</v>
      </c>
      <c r="F9" s="9" t="s">
        <v>495</v>
      </c>
      <c r="G9" s="19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108</v>
      </c>
      <c r="C12" s="22" t="s">
        <v>109</v>
      </c>
      <c r="D12" s="22" t="s">
        <v>110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2" t="s">
        <v>496</v>
      </c>
      <c r="C13" s="22" t="s">
        <v>109</v>
      </c>
      <c r="D13" s="22" t="s">
        <v>497</v>
      </c>
      <c r="E13" s="23"/>
      <c r="F13" s="24"/>
      <c r="G13" s="24"/>
      <c r="H13" s="24"/>
      <c r="I13" s="25"/>
      <c r="J13" s="25"/>
      <c r="K13" s="25"/>
      <c r="L13" s="25"/>
    </row>
    <row r="14" s="1" customFormat="1" ht="12.85" spans="2:14">
      <c r="B14" s="26" t="s">
        <v>113</v>
      </c>
      <c r="C14" s="26" t="s">
        <v>109</v>
      </c>
      <c r="D14" s="26" t="s">
        <v>60</v>
      </c>
      <c r="E14" s="26"/>
      <c r="F14" s="26"/>
      <c r="G14" s="26"/>
      <c r="H14" s="26"/>
      <c r="I14" s="25"/>
      <c r="J14" s="25"/>
      <c r="K14" s="25"/>
      <c r="L14" s="25"/>
    </row>
    <row r="15" s="1" customFormat="1" ht="12.85" spans="2:14">
      <c r="B15" s="26" t="s">
        <v>492</v>
      </c>
      <c r="C15" s="26" t="s">
        <v>109</v>
      </c>
      <c r="D15" s="26" t="s">
        <v>49</v>
      </c>
      <c r="E15" s="26"/>
      <c r="F15" s="26"/>
      <c r="G15" s="26"/>
      <c r="H15" s="26"/>
      <c r="I15" s="25"/>
      <c r="J15" s="25"/>
      <c r="K15" s="25"/>
      <c r="L15" s="25"/>
    </row>
    <row r="16" s="1" customFormat="1" ht="12.85" spans="2:14">
      <c r="B16" s="27" t="s">
        <v>263</v>
      </c>
      <c r="C16" s="26" t="s">
        <v>109</v>
      </c>
      <c r="D16" s="26" t="s">
        <v>264</v>
      </c>
      <c r="E16" s="26" t="s">
        <v>90</v>
      </c>
      <c r="F16" s="26" t="s">
        <v>265</v>
      </c>
      <c r="G16" s="26" t="s">
        <v>262</v>
      </c>
      <c r="H16" s="26"/>
      <c r="I16" s="25"/>
      <c r="J16" s="25" t="s">
        <v>114</v>
      </c>
      <c r="K16" s="25" t="s">
        <v>163</v>
      </c>
      <c r="L16" s="25" t="s">
        <v>266</v>
      </c>
    </row>
    <row r="17" s="1" customFormat="1" ht="38.55" spans="2:13">
      <c r="B17" s="27" t="s">
        <v>115</v>
      </c>
      <c r="C17" s="26" t="s">
        <v>116</v>
      </c>
      <c r="D17" s="26" t="s">
        <v>117</v>
      </c>
      <c r="E17" s="26" t="s">
        <v>90</v>
      </c>
      <c r="F17" s="26" t="s">
        <v>115</v>
      </c>
      <c r="G17" s="26" t="s">
        <v>267</v>
      </c>
      <c r="H17" s="26"/>
      <c r="I17" s="25"/>
      <c r="J17" s="25" t="s">
        <v>114</v>
      </c>
      <c r="K17" s="25" t="s">
        <v>163</v>
      </c>
      <c r="L17" s="28" t="s">
        <v>164</v>
      </c>
    </row>
    <row r="18" s="1" customFormat="1" ht="12.85" spans="2:13">
      <c r="B18" s="27" t="s">
        <v>268</v>
      </c>
      <c r="C18" s="26" t="s">
        <v>109</v>
      </c>
      <c r="D18" s="26" t="s">
        <v>269</v>
      </c>
      <c r="E18" s="26" t="s">
        <v>90</v>
      </c>
      <c r="F18" s="26" t="s">
        <v>270</v>
      </c>
      <c r="G18" s="26" t="s">
        <v>262</v>
      </c>
      <c r="H18" s="26"/>
      <c r="I18" s="25"/>
      <c r="J18" s="25" t="s">
        <v>114</v>
      </c>
      <c r="K18" s="25"/>
      <c r="L18" s="25"/>
    </row>
    <row r="19" s="2" customFormat="1" ht="12.85" spans="2:13">
      <c r="B19" s="27" t="s">
        <v>271</v>
      </c>
      <c r="C19" s="26" t="s">
        <v>116</v>
      </c>
      <c r="D19" s="26" t="s">
        <v>272</v>
      </c>
      <c r="E19" s="26" t="s">
        <v>90</v>
      </c>
      <c r="F19" s="26" t="s">
        <v>271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3">
      <c r="B20" s="27" t="s">
        <v>273</v>
      </c>
      <c r="C20" s="26" t="s">
        <v>109</v>
      </c>
      <c r="D20" s="26" t="s">
        <v>274</v>
      </c>
      <c r="E20" s="26" t="s">
        <v>90</v>
      </c>
      <c r="F20" s="26" t="s">
        <v>275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3">
      <c r="B21" s="27" t="s">
        <v>276</v>
      </c>
      <c r="C21" s="26" t="s">
        <v>116</v>
      </c>
      <c r="D21" s="26" t="s">
        <v>277</v>
      </c>
      <c r="E21" s="26" t="s">
        <v>90</v>
      </c>
      <c r="F21" s="26" t="s">
        <v>276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3">
      <c r="B22" s="27" t="s">
        <v>278</v>
      </c>
      <c r="C22" s="26" t="s">
        <v>109</v>
      </c>
      <c r="D22" s="26" t="s">
        <v>279</v>
      </c>
      <c r="E22" s="26" t="s">
        <v>90</v>
      </c>
      <c r="F22" s="26" t="s">
        <v>280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3">
      <c r="B23" s="27" t="s">
        <v>281</v>
      </c>
      <c r="C23" s="26" t="s">
        <v>116</v>
      </c>
      <c r="D23" s="26" t="s">
        <v>282</v>
      </c>
      <c r="E23" s="26" t="s">
        <v>90</v>
      </c>
      <c r="F23" s="26" t="s">
        <v>281</v>
      </c>
      <c r="G23" s="26" t="s">
        <v>267</v>
      </c>
      <c r="H23" s="26"/>
      <c r="I23" s="26"/>
      <c r="J23" s="25" t="s">
        <v>114</v>
      </c>
      <c r="K23" s="26"/>
      <c r="L23" s="26"/>
    </row>
    <row r="24" s="2" customFormat="1" ht="12.85" spans="2:13">
      <c r="B24" s="27" t="s">
        <v>283</v>
      </c>
      <c r="C24" s="26" t="s">
        <v>109</v>
      </c>
      <c r="D24" s="26" t="s">
        <v>284</v>
      </c>
      <c r="E24" s="26" t="s">
        <v>90</v>
      </c>
      <c r="F24" s="26" t="s">
        <v>283</v>
      </c>
      <c r="G24" s="26" t="s">
        <v>262</v>
      </c>
      <c r="H24" s="26"/>
      <c r="I24" s="26"/>
      <c r="J24" s="25" t="s">
        <v>114</v>
      </c>
      <c r="K24" s="26"/>
      <c r="L24" s="26"/>
    </row>
    <row r="25" s="2" customFormat="1" ht="12.85" spans="2:13">
      <c r="B25" s="27" t="s">
        <v>285</v>
      </c>
      <c r="C25" s="26" t="s">
        <v>116</v>
      </c>
      <c r="D25" s="26" t="s">
        <v>286</v>
      </c>
      <c r="E25" s="26" t="s">
        <v>90</v>
      </c>
      <c r="F25" s="26" t="s">
        <v>285</v>
      </c>
      <c r="G25" s="26" t="s">
        <v>267</v>
      </c>
      <c r="H25" s="26"/>
      <c r="I25" s="26"/>
      <c r="J25" s="25" t="s">
        <v>114</v>
      </c>
      <c r="K25" s="26"/>
      <c r="L25" s="26"/>
    </row>
    <row r="26" spans="2:13">
      <c r="B26" s="29" t="s">
        <v>165</v>
      </c>
      <c r="C26" s="30" t="s">
        <v>109</v>
      </c>
      <c r="D26" s="30" t="s">
        <v>287</v>
      </c>
      <c r="E26" s="30"/>
      <c r="F26" s="26"/>
      <c r="G26" s="30" t="s">
        <v>288</v>
      </c>
      <c r="H26" s="26"/>
      <c r="I26" s="26"/>
      <c r="J26" s="25" t="s">
        <v>114</v>
      </c>
      <c r="K26" s="25" t="s">
        <v>163</v>
      </c>
      <c r="L26" s="26" t="s">
        <v>289</v>
      </c>
      <c r="M26" s="2"/>
    </row>
    <row r="27" s="2" customFormat="1" ht="22.5" customHeight="1" spans="2:13">
      <c r="B27" s="27" t="s">
        <v>290</v>
      </c>
      <c r="C27" s="26" t="s">
        <v>116</v>
      </c>
      <c r="D27" s="26" t="s">
        <v>291</v>
      </c>
      <c r="E27" s="26" t="s">
        <v>90</v>
      </c>
      <c r="F27" s="26" t="s">
        <v>290</v>
      </c>
      <c r="G27" s="26" t="s">
        <v>292</v>
      </c>
      <c r="H27" s="26"/>
      <c r="I27" s="26"/>
      <c r="J27" s="25" t="s">
        <v>114</v>
      </c>
      <c r="K27" s="26" t="s">
        <v>163</v>
      </c>
      <c r="L27" s="31" t="s">
        <v>293</v>
      </c>
    </row>
    <row r="28" s="2" customFormat="1" ht="12.85" spans="2:13">
      <c r="B28" s="26" t="s">
        <v>301</v>
      </c>
      <c r="C28" s="26" t="s">
        <v>120</v>
      </c>
      <c r="D28" s="26" t="s">
        <v>302</v>
      </c>
      <c r="E28" s="26" t="s">
        <v>90</v>
      </c>
      <c r="F28" s="26" t="s">
        <v>303</v>
      </c>
      <c r="G28" s="26" t="s">
        <v>304</v>
      </c>
      <c r="H28" s="26"/>
      <c r="I28" s="26" t="s">
        <v>124</v>
      </c>
      <c r="J28" s="25" t="s">
        <v>30</v>
      </c>
      <c r="K28" s="26" t="s">
        <v>125</v>
      </c>
      <c r="L28" s="26" t="s">
        <v>305</v>
      </c>
    </row>
    <row r="29" s="2" customFormat="1" ht="12.85" spans="2:13">
      <c r="B29" s="32" t="s">
        <v>306</v>
      </c>
      <c r="C29" s="32" t="s">
        <v>307</v>
      </c>
      <c r="D29" s="32" t="s">
        <v>308</v>
      </c>
      <c r="E29" s="32" t="s">
        <v>309</v>
      </c>
      <c r="F29" s="32"/>
      <c r="G29" s="32" t="s">
        <v>310</v>
      </c>
      <c r="H29" s="32"/>
      <c r="I29" s="32"/>
      <c r="J29" s="33" t="s">
        <v>30</v>
      </c>
      <c r="K29" s="32" t="s">
        <v>137</v>
      </c>
      <c r="L29" s="32" t="s">
        <v>311</v>
      </c>
    </row>
    <row r="30" s="2" customFormat="1" ht="12.85" spans="2:13">
      <c r="B30" s="26" t="s">
        <v>312</v>
      </c>
      <c r="C30" s="26" t="s">
        <v>120</v>
      </c>
      <c r="D30" s="26" t="s">
        <v>313</v>
      </c>
      <c r="E30" s="26" t="s">
        <v>90</v>
      </c>
      <c r="F30" s="26" t="s">
        <v>314</v>
      </c>
      <c r="G30" s="26" t="s">
        <v>315</v>
      </c>
      <c r="H30" s="26"/>
      <c r="I30" s="26"/>
      <c r="J30" s="25" t="s">
        <v>30</v>
      </c>
      <c r="K30" s="26" t="s">
        <v>125</v>
      </c>
      <c r="L30" s="26" t="s">
        <v>305</v>
      </c>
    </row>
    <row r="31" s="2" customFormat="1" ht="12.85" spans="2:13">
      <c r="B31" s="26" t="s">
        <v>316</v>
      </c>
      <c r="C31" s="26" t="s">
        <v>120</v>
      </c>
      <c r="D31" s="26" t="s">
        <v>317</v>
      </c>
      <c r="E31" s="26" t="s">
        <v>90</v>
      </c>
      <c r="F31" s="26" t="s">
        <v>318</v>
      </c>
      <c r="G31" s="26" t="s">
        <v>319</v>
      </c>
      <c r="H31" s="26"/>
      <c r="I31" s="26"/>
      <c r="J31" s="25" t="s">
        <v>30</v>
      </c>
      <c r="K31" s="26" t="s">
        <v>125</v>
      </c>
      <c r="L31" s="26" t="s">
        <v>305</v>
      </c>
    </row>
    <row r="32" spans="2:13">
      <c r="B32" s="34" t="s">
        <v>320</v>
      </c>
      <c r="C32" s="26" t="s">
        <v>174</v>
      </c>
      <c r="D32" s="34" t="s">
        <v>321</v>
      </c>
      <c r="E32" s="26" t="s">
        <v>90</v>
      </c>
      <c r="F32" s="26"/>
      <c r="G32" s="26" t="s">
        <v>322</v>
      </c>
      <c r="H32" s="26"/>
      <c r="I32" s="34" t="s">
        <v>323</v>
      </c>
      <c r="J32" s="25" t="s">
        <v>30</v>
      </c>
      <c r="K32" s="26" t="s">
        <v>137</v>
      </c>
      <c r="L32" s="26" t="s">
        <v>324</v>
      </c>
      <c r="M32" s="2"/>
    </row>
    <row r="33" spans="2:13">
      <c r="B33" s="35" t="s">
        <v>325</v>
      </c>
      <c r="C33" s="32" t="s">
        <v>174</v>
      </c>
      <c r="D33" s="35" t="s">
        <v>326</v>
      </c>
      <c r="E33" s="32" t="s">
        <v>309</v>
      </c>
      <c r="F33" s="32"/>
      <c r="G33" s="32" t="s">
        <v>327</v>
      </c>
      <c r="H33" s="32"/>
      <c r="I33" s="35"/>
      <c r="J33" s="33" t="s">
        <v>30</v>
      </c>
      <c r="K33" s="32" t="s">
        <v>137</v>
      </c>
      <c r="L33" s="32" t="s">
        <v>311</v>
      </c>
      <c r="M33" s="2"/>
    </row>
    <row r="34" spans="2:13">
      <c r="B34" s="26" t="s">
        <v>328</v>
      </c>
      <c r="C34" s="26" t="s">
        <v>120</v>
      </c>
      <c r="D34" s="26" t="s">
        <v>329</v>
      </c>
      <c r="E34" s="26" t="s">
        <v>90</v>
      </c>
      <c r="F34" s="26" t="s">
        <v>330</v>
      </c>
      <c r="G34" s="26" t="s">
        <v>331</v>
      </c>
      <c r="H34" s="26"/>
      <c r="I34" s="26"/>
      <c r="J34" s="25" t="s">
        <v>30</v>
      </c>
      <c r="K34" s="26" t="s">
        <v>125</v>
      </c>
      <c r="L34" s="26" t="s">
        <v>305</v>
      </c>
      <c r="M34" s="2"/>
    </row>
    <row r="35" spans="2:13">
      <c r="B35" s="26" t="s">
        <v>332</v>
      </c>
      <c r="C35" s="26" t="s">
        <v>120</v>
      </c>
      <c r="D35" s="26" t="s">
        <v>333</v>
      </c>
      <c r="E35" s="26" t="s">
        <v>90</v>
      </c>
      <c r="F35" s="26" t="s">
        <v>334</v>
      </c>
      <c r="G35" s="26" t="s">
        <v>335</v>
      </c>
      <c r="H35" s="26"/>
      <c r="I35" s="26"/>
      <c r="J35" s="25" t="s">
        <v>30</v>
      </c>
      <c r="K35" s="26" t="s">
        <v>125</v>
      </c>
      <c r="L35" s="26" t="s">
        <v>305</v>
      </c>
    </row>
    <row r="36" spans="2:13">
      <c r="B36" s="34" t="s">
        <v>336</v>
      </c>
      <c r="C36" s="26" t="s">
        <v>174</v>
      </c>
      <c r="D36" s="34" t="s">
        <v>337</v>
      </c>
      <c r="E36" s="26" t="s">
        <v>90</v>
      </c>
      <c r="F36" s="26"/>
      <c r="G36" s="26" t="s">
        <v>338</v>
      </c>
      <c r="H36" s="26"/>
      <c r="I36" s="34" t="s">
        <v>339</v>
      </c>
      <c r="J36" s="25" t="s">
        <v>30</v>
      </c>
      <c r="K36" s="26" t="s">
        <v>137</v>
      </c>
      <c r="L36" s="26" t="s">
        <v>324</v>
      </c>
    </row>
    <row r="37" spans="2:13">
      <c r="B37" s="35" t="s">
        <v>340</v>
      </c>
      <c r="C37" s="32" t="s">
        <v>174</v>
      </c>
      <c r="D37" s="35" t="s">
        <v>341</v>
      </c>
      <c r="E37" s="32" t="s">
        <v>309</v>
      </c>
      <c r="F37" s="32"/>
      <c r="G37" s="32" t="s">
        <v>342</v>
      </c>
      <c r="H37" s="32"/>
      <c r="I37" s="35"/>
      <c r="J37" s="33" t="s">
        <v>30</v>
      </c>
      <c r="K37" s="32" t="s">
        <v>137</v>
      </c>
      <c r="L37" s="32" t="s">
        <v>311</v>
      </c>
    </row>
    <row r="38" spans="2:13">
      <c r="B38" s="24" t="s">
        <v>516</v>
      </c>
      <c r="C38" s="26" t="s">
        <v>120</v>
      </c>
      <c r="D38" s="24" t="s">
        <v>517</v>
      </c>
      <c r="E38" s="9" t="s">
        <v>90</v>
      </c>
      <c r="F38" s="16" t="s">
        <v>518</v>
      </c>
      <c r="G38" s="16" t="s">
        <v>519</v>
      </c>
      <c r="H38" s="9"/>
      <c r="I38" s="9"/>
      <c r="J38" s="25" t="s">
        <v>30</v>
      </c>
      <c r="K38" s="26" t="s">
        <v>125</v>
      </c>
      <c r="L38" s="26" t="s">
        <v>305</v>
      </c>
    </row>
    <row r="39" spans="2:13">
      <c r="B39" s="24" t="s">
        <v>520</v>
      </c>
      <c r="C39" s="26" t="s">
        <v>120</v>
      </c>
      <c r="D39" s="24" t="s">
        <v>521</v>
      </c>
      <c r="E39" s="9" t="s">
        <v>90</v>
      </c>
      <c r="F39" s="16" t="s">
        <v>522</v>
      </c>
      <c r="G39" s="16" t="s">
        <v>523</v>
      </c>
      <c r="H39" s="9"/>
      <c r="I39" s="9"/>
      <c r="J39" s="25" t="s">
        <v>30</v>
      </c>
      <c r="K39" s="26" t="s">
        <v>125</v>
      </c>
      <c r="L39" s="26" t="s">
        <v>305</v>
      </c>
    </row>
    <row r="40" spans="2:13">
      <c r="B40" s="24" t="s">
        <v>524</v>
      </c>
      <c r="C40" s="26" t="s">
        <v>174</v>
      </c>
      <c r="D40" s="24" t="s">
        <v>525</v>
      </c>
      <c r="E40" s="9" t="s">
        <v>90</v>
      </c>
      <c r="F40" s="16"/>
      <c r="G40" s="16" t="s">
        <v>526</v>
      </c>
      <c r="H40" s="9"/>
      <c r="I40" s="9"/>
      <c r="J40" s="25" t="s">
        <v>30</v>
      </c>
      <c r="K40" s="26" t="s">
        <v>137</v>
      </c>
      <c r="L40" s="26" t="s">
        <v>324</v>
      </c>
    </row>
    <row r="41" spans="2:13">
      <c r="B41" s="36" t="s">
        <v>527</v>
      </c>
      <c r="C41" s="32" t="s">
        <v>174</v>
      </c>
      <c r="D41" s="36" t="s">
        <v>528</v>
      </c>
      <c r="E41" s="37" t="s">
        <v>309</v>
      </c>
      <c r="F41" s="38"/>
      <c r="G41" s="32" t="s">
        <v>529</v>
      </c>
      <c r="H41" s="37"/>
      <c r="I41" s="37"/>
      <c r="J41" s="33" t="s">
        <v>30</v>
      </c>
      <c r="K41" s="32" t="s">
        <v>137</v>
      </c>
      <c r="L41" s="32" t="s">
        <v>311</v>
      </c>
    </row>
    <row r="42" ht="25.7" spans="2:13">
      <c r="B42" s="24" t="s">
        <v>530</v>
      </c>
      <c r="C42" s="26" t="s">
        <v>120</v>
      </c>
      <c r="D42" s="24" t="s">
        <v>531</v>
      </c>
      <c r="E42" s="9" t="s">
        <v>90</v>
      </c>
      <c r="F42" s="16" t="s">
        <v>532</v>
      </c>
      <c r="G42" s="16" t="s">
        <v>533</v>
      </c>
      <c r="H42" s="9"/>
      <c r="I42" s="9"/>
      <c r="J42" s="25" t="s">
        <v>30</v>
      </c>
      <c r="K42" s="26" t="s">
        <v>125</v>
      </c>
      <c r="L42" s="26" t="s">
        <v>305</v>
      </c>
    </row>
    <row r="43" spans="2:13">
      <c r="B43" s="24" t="s">
        <v>534</v>
      </c>
      <c r="C43" s="26" t="s">
        <v>120</v>
      </c>
      <c r="D43" s="24" t="s">
        <v>535</v>
      </c>
      <c r="E43" s="9" t="s">
        <v>90</v>
      </c>
      <c r="F43" s="16" t="s">
        <v>536</v>
      </c>
      <c r="G43" s="16" t="s">
        <v>537</v>
      </c>
      <c r="H43" s="9"/>
      <c r="I43" s="9"/>
      <c r="J43" s="25" t="s">
        <v>30</v>
      </c>
      <c r="K43" s="26" t="s">
        <v>125</v>
      </c>
      <c r="L43" s="26" t="s">
        <v>305</v>
      </c>
    </row>
    <row r="44" spans="2:13">
      <c r="B44" s="24" t="s">
        <v>538</v>
      </c>
      <c r="C44" s="26" t="s">
        <v>174</v>
      </c>
      <c r="D44" s="24" t="s">
        <v>539</v>
      </c>
      <c r="E44" s="9" t="s">
        <v>90</v>
      </c>
      <c r="F44" s="16"/>
      <c r="G44" s="16" t="s">
        <v>540</v>
      </c>
      <c r="H44" s="9"/>
      <c r="I44" s="9"/>
      <c r="J44" s="25" t="s">
        <v>30</v>
      </c>
      <c r="K44" s="26" t="s">
        <v>137</v>
      </c>
      <c r="L44" s="26" t="s">
        <v>324</v>
      </c>
    </row>
    <row r="45" spans="2:13">
      <c r="B45" s="36" t="s">
        <v>541</v>
      </c>
      <c r="C45" s="32" t="s">
        <v>174</v>
      </c>
      <c r="D45" s="36" t="s">
        <v>542</v>
      </c>
      <c r="E45" s="37" t="s">
        <v>309</v>
      </c>
      <c r="F45" s="38"/>
      <c r="G45" s="32" t="s">
        <v>543</v>
      </c>
      <c r="H45" s="37"/>
      <c r="I45" s="37"/>
      <c r="J45" s="33" t="s">
        <v>30</v>
      </c>
      <c r="K45" s="32" t="s">
        <v>137</v>
      </c>
      <c r="L45" s="32" t="s">
        <v>311</v>
      </c>
    </row>
    <row r="46" spans="2:13">
      <c r="B46" s="24" t="s">
        <v>544</v>
      </c>
      <c r="C46" s="26" t="s">
        <v>120</v>
      </c>
      <c r="D46" s="24" t="s">
        <v>545</v>
      </c>
      <c r="E46" s="9" t="s">
        <v>90</v>
      </c>
      <c r="F46" s="16" t="s">
        <v>546</v>
      </c>
      <c r="G46" s="16" t="s">
        <v>547</v>
      </c>
      <c r="H46" s="9"/>
      <c r="I46" s="9"/>
      <c r="J46" s="25" t="s">
        <v>30</v>
      </c>
      <c r="K46" s="26" t="s">
        <v>125</v>
      </c>
      <c r="L46" s="26" t="s">
        <v>305</v>
      </c>
    </row>
    <row r="47" spans="2:13">
      <c r="B47" s="24" t="s">
        <v>548</v>
      </c>
      <c r="C47" s="26" t="s">
        <v>120</v>
      </c>
      <c r="D47" s="24" t="s">
        <v>549</v>
      </c>
      <c r="E47" s="9" t="s">
        <v>90</v>
      </c>
      <c r="F47" s="16" t="s">
        <v>550</v>
      </c>
      <c r="G47" s="16" t="s">
        <v>551</v>
      </c>
      <c r="H47" s="9"/>
      <c r="I47" s="9"/>
      <c r="J47" s="25" t="s">
        <v>30</v>
      </c>
      <c r="K47" s="26" t="s">
        <v>125</v>
      </c>
      <c r="L47" s="26" t="s">
        <v>305</v>
      </c>
    </row>
    <row r="48" spans="2:13">
      <c r="B48" s="24" t="s">
        <v>552</v>
      </c>
      <c r="C48" s="26" t="s">
        <v>174</v>
      </c>
      <c r="D48" s="24" t="s">
        <v>553</v>
      </c>
      <c r="E48" s="9" t="s">
        <v>90</v>
      </c>
      <c r="F48" s="16"/>
      <c r="G48" s="16" t="s">
        <v>554</v>
      </c>
      <c r="H48" s="9"/>
      <c r="I48" s="9"/>
      <c r="J48" s="25" t="s">
        <v>30</v>
      </c>
      <c r="K48" s="26" t="s">
        <v>137</v>
      </c>
      <c r="L48" s="26" t="s">
        <v>324</v>
      </c>
    </row>
    <row r="49" spans="2:12">
      <c r="B49" s="36" t="s">
        <v>555</v>
      </c>
      <c r="C49" s="32" t="s">
        <v>174</v>
      </c>
      <c r="D49" s="36" t="s">
        <v>556</v>
      </c>
      <c r="E49" s="37" t="s">
        <v>309</v>
      </c>
      <c r="F49" s="38"/>
      <c r="G49" s="32" t="s">
        <v>557</v>
      </c>
      <c r="H49" s="37"/>
      <c r="I49" s="37"/>
      <c r="J49" s="33" t="s">
        <v>30</v>
      </c>
      <c r="K49" s="32" t="s">
        <v>137</v>
      </c>
      <c r="L49" s="32" t="s">
        <v>311</v>
      </c>
    </row>
    <row r="50" spans="2:12">
      <c r="B50" s="24" t="s">
        <v>558</v>
      </c>
      <c r="C50" s="26" t="s">
        <v>120</v>
      </c>
      <c r="D50" s="24" t="s">
        <v>559</v>
      </c>
      <c r="E50" s="9" t="s">
        <v>90</v>
      </c>
      <c r="F50" s="16" t="s">
        <v>560</v>
      </c>
      <c r="G50" s="16" t="s">
        <v>561</v>
      </c>
      <c r="H50" s="9"/>
      <c r="I50" s="9"/>
      <c r="J50" s="25" t="s">
        <v>30</v>
      </c>
      <c r="K50" s="26" t="s">
        <v>125</v>
      </c>
      <c r="L50" s="26" t="s">
        <v>305</v>
      </c>
    </row>
    <row r="51" spans="2:12">
      <c r="B51" s="24" t="s">
        <v>562</v>
      </c>
      <c r="C51" s="26" t="s">
        <v>120</v>
      </c>
      <c r="D51" s="24" t="s">
        <v>563</v>
      </c>
      <c r="E51" s="9" t="s">
        <v>90</v>
      </c>
      <c r="F51" s="16" t="s">
        <v>564</v>
      </c>
      <c r="G51" s="16" t="s">
        <v>565</v>
      </c>
      <c r="H51" s="9"/>
      <c r="I51" s="9"/>
      <c r="J51" s="25" t="s">
        <v>30</v>
      </c>
      <c r="K51" s="26" t="s">
        <v>125</v>
      </c>
      <c r="L51" s="26" t="s">
        <v>305</v>
      </c>
    </row>
    <row r="52" spans="2:12">
      <c r="B52" s="24" t="s">
        <v>566</v>
      </c>
      <c r="C52" s="26" t="s">
        <v>174</v>
      </c>
      <c r="D52" s="24" t="s">
        <v>567</v>
      </c>
      <c r="E52" s="9" t="s">
        <v>90</v>
      </c>
      <c r="F52" s="16"/>
      <c r="G52" s="16" t="s">
        <v>568</v>
      </c>
      <c r="H52" s="9"/>
      <c r="I52" s="9"/>
      <c r="J52" s="25" t="s">
        <v>30</v>
      </c>
      <c r="K52" s="26" t="s">
        <v>137</v>
      </c>
      <c r="L52" s="26" t="s">
        <v>324</v>
      </c>
    </row>
    <row r="53" spans="2:12">
      <c r="B53" s="36" t="s">
        <v>569</v>
      </c>
      <c r="C53" s="32" t="s">
        <v>174</v>
      </c>
      <c r="D53" s="36" t="s">
        <v>570</v>
      </c>
      <c r="E53" s="37" t="s">
        <v>309</v>
      </c>
      <c r="F53" s="38"/>
      <c r="G53" s="32" t="s">
        <v>571</v>
      </c>
      <c r="H53" s="37"/>
      <c r="I53" s="37"/>
      <c r="J53" s="33" t="s">
        <v>30</v>
      </c>
      <c r="K53" s="32" t="s">
        <v>137</v>
      </c>
      <c r="L53" s="32" t="s">
        <v>311</v>
      </c>
    </row>
    <row r="54" ht="25.7" spans="2:12">
      <c r="B54" s="24" t="s">
        <v>572</v>
      </c>
      <c r="C54" s="26" t="s">
        <v>120</v>
      </c>
      <c r="D54" s="24" t="s">
        <v>573</v>
      </c>
      <c r="E54" s="9" t="s">
        <v>90</v>
      </c>
      <c r="F54" s="16" t="s">
        <v>574</v>
      </c>
      <c r="G54" s="16" t="s">
        <v>575</v>
      </c>
      <c r="H54" s="9"/>
      <c r="I54" s="9"/>
      <c r="J54" s="25" t="s">
        <v>30</v>
      </c>
      <c r="K54" s="26" t="s">
        <v>125</v>
      </c>
      <c r="L54" s="26" t="s">
        <v>305</v>
      </c>
    </row>
    <row r="55" spans="2:12">
      <c r="B55" s="24" t="s">
        <v>576</v>
      </c>
      <c r="C55" s="26" t="s">
        <v>120</v>
      </c>
      <c r="D55" s="24" t="s">
        <v>577</v>
      </c>
      <c r="E55" s="9" t="s">
        <v>90</v>
      </c>
      <c r="F55" s="16" t="s">
        <v>578</v>
      </c>
      <c r="G55" s="16" t="s">
        <v>579</v>
      </c>
      <c r="H55" s="9"/>
      <c r="I55" s="9"/>
      <c r="J55" s="25" t="s">
        <v>30</v>
      </c>
      <c r="K55" s="26" t="s">
        <v>125</v>
      </c>
      <c r="L55" s="26" t="s">
        <v>305</v>
      </c>
    </row>
    <row r="56" ht="25.7" spans="2:12">
      <c r="B56" s="24" t="s">
        <v>580</v>
      </c>
      <c r="C56" s="26" t="s">
        <v>174</v>
      </c>
      <c r="D56" s="24" t="s">
        <v>581</v>
      </c>
      <c r="E56" s="9" t="s">
        <v>90</v>
      </c>
      <c r="F56" s="39"/>
      <c r="G56" s="16" t="s">
        <v>582</v>
      </c>
      <c r="H56" s="39"/>
      <c r="I56" s="39"/>
      <c r="J56" s="25" t="s">
        <v>30</v>
      </c>
      <c r="K56" s="26" t="s">
        <v>137</v>
      </c>
      <c r="L56" s="26" t="s">
        <v>324</v>
      </c>
    </row>
    <row r="57" ht="25.7" spans="2:12">
      <c r="B57" s="36" t="s">
        <v>583</v>
      </c>
      <c r="C57" s="32" t="s">
        <v>174</v>
      </c>
      <c r="D57" s="36" t="s">
        <v>584</v>
      </c>
      <c r="E57" s="37" t="s">
        <v>309</v>
      </c>
      <c r="F57" s="40"/>
      <c r="G57" s="32" t="s">
        <v>585</v>
      </c>
      <c r="H57" s="40"/>
      <c r="I57" s="40"/>
      <c r="J57" s="33" t="s">
        <v>30</v>
      </c>
      <c r="K57" s="32" t="s">
        <v>137</v>
      </c>
      <c r="L57" s="32" t="s">
        <v>311</v>
      </c>
    </row>
    <row r="58" spans="2:12">
      <c r="B58" s="24" t="s">
        <v>586</v>
      </c>
      <c r="C58" s="26" t="s">
        <v>120</v>
      </c>
      <c r="D58" s="24" t="s">
        <v>587</v>
      </c>
      <c r="E58" s="9" t="s">
        <v>90</v>
      </c>
      <c r="F58" s="16" t="s">
        <v>588</v>
      </c>
      <c r="G58" s="16" t="s">
        <v>589</v>
      </c>
      <c r="H58" s="9"/>
      <c r="I58" s="9"/>
      <c r="J58" s="25" t="s">
        <v>30</v>
      </c>
      <c r="K58" s="26" t="s">
        <v>125</v>
      </c>
      <c r="L58" s="26" t="s">
        <v>305</v>
      </c>
    </row>
    <row r="59" spans="2:12">
      <c r="B59" s="24" t="s">
        <v>590</v>
      </c>
      <c r="C59" s="26" t="s">
        <v>120</v>
      </c>
      <c r="D59" s="24" t="s">
        <v>591</v>
      </c>
      <c r="E59" s="9" t="s">
        <v>90</v>
      </c>
      <c r="F59" s="16" t="s">
        <v>592</v>
      </c>
      <c r="G59" s="16" t="s">
        <v>593</v>
      </c>
      <c r="H59" s="9"/>
      <c r="I59" s="9"/>
      <c r="J59" s="25" t="s">
        <v>30</v>
      </c>
      <c r="K59" s="26" t="s">
        <v>125</v>
      </c>
      <c r="L59" s="26" t="s">
        <v>305</v>
      </c>
    </row>
    <row r="60" spans="2:12">
      <c r="B60" s="24" t="s">
        <v>594</v>
      </c>
      <c r="C60" s="26" t="s">
        <v>174</v>
      </c>
      <c r="D60" s="24" t="s">
        <v>595</v>
      </c>
      <c r="E60" s="9" t="s">
        <v>90</v>
      </c>
      <c r="F60" s="16"/>
      <c r="G60" s="16" t="s">
        <v>596</v>
      </c>
      <c r="H60" s="9"/>
      <c r="I60" s="9"/>
      <c r="J60" s="25" t="s">
        <v>30</v>
      </c>
      <c r="K60" s="26" t="s">
        <v>137</v>
      </c>
      <c r="L60" s="26" t="s">
        <v>324</v>
      </c>
    </row>
    <row r="61" spans="2:12">
      <c r="B61" s="36" t="s">
        <v>597</v>
      </c>
      <c r="C61" s="32" t="s">
        <v>174</v>
      </c>
      <c r="D61" s="36" t="s">
        <v>598</v>
      </c>
      <c r="E61" s="37" t="s">
        <v>309</v>
      </c>
      <c r="F61" s="38"/>
      <c r="G61" s="32" t="s">
        <v>599</v>
      </c>
      <c r="H61" s="37"/>
      <c r="I61" s="37"/>
      <c r="J61" s="33" t="s">
        <v>30</v>
      </c>
      <c r="K61" s="32" t="s">
        <v>137</v>
      </c>
      <c r="L61" s="32" t="s">
        <v>311</v>
      </c>
    </row>
    <row r="62" spans="2:12">
      <c r="B62" s="24" t="s">
        <v>600</v>
      </c>
      <c r="C62" s="26" t="s">
        <v>120</v>
      </c>
      <c r="D62" s="24" t="s">
        <v>601</v>
      </c>
      <c r="E62" s="9" t="s">
        <v>90</v>
      </c>
      <c r="F62" s="16" t="s">
        <v>602</v>
      </c>
      <c r="G62" s="16" t="s">
        <v>603</v>
      </c>
      <c r="H62" s="9"/>
      <c r="I62" s="9"/>
      <c r="J62" s="25" t="s">
        <v>30</v>
      </c>
      <c r="K62" s="26" t="s">
        <v>125</v>
      </c>
      <c r="L62" s="26" t="s">
        <v>305</v>
      </c>
    </row>
    <row r="63" spans="2:12">
      <c r="B63" s="24" t="s">
        <v>604</v>
      </c>
      <c r="C63" s="26" t="s">
        <v>120</v>
      </c>
      <c r="D63" s="24" t="s">
        <v>605</v>
      </c>
      <c r="E63" s="9" t="s">
        <v>90</v>
      </c>
      <c r="F63" s="16" t="s">
        <v>606</v>
      </c>
      <c r="G63" s="16" t="s">
        <v>607</v>
      </c>
      <c r="H63" s="9"/>
      <c r="I63" s="9"/>
      <c r="J63" s="25" t="s">
        <v>30</v>
      </c>
      <c r="K63" s="26" t="s">
        <v>125</v>
      </c>
      <c r="L63" s="26" t="s">
        <v>305</v>
      </c>
    </row>
    <row r="64" spans="2:12">
      <c r="B64" s="24" t="s">
        <v>608</v>
      </c>
      <c r="C64" s="26" t="s">
        <v>174</v>
      </c>
      <c r="D64" s="24" t="s">
        <v>609</v>
      </c>
      <c r="E64" s="9" t="s">
        <v>90</v>
      </c>
      <c r="F64" s="16"/>
      <c r="G64" s="16" t="s">
        <v>610</v>
      </c>
      <c r="H64" s="9"/>
      <c r="I64" s="9"/>
      <c r="J64" s="25" t="s">
        <v>30</v>
      </c>
      <c r="K64" s="26" t="s">
        <v>137</v>
      </c>
      <c r="L64" s="26" t="s">
        <v>324</v>
      </c>
    </row>
    <row r="65" spans="2:12">
      <c r="B65" s="36" t="s">
        <v>611</v>
      </c>
      <c r="C65" s="32" t="s">
        <v>174</v>
      </c>
      <c r="D65" s="36" t="s">
        <v>612</v>
      </c>
      <c r="E65" s="37" t="s">
        <v>309</v>
      </c>
      <c r="F65" s="38"/>
      <c r="G65" s="32" t="s">
        <v>613</v>
      </c>
      <c r="H65" s="37"/>
      <c r="I65" s="37"/>
      <c r="J65" s="33" t="s">
        <v>30</v>
      </c>
      <c r="K65" s="32" t="s">
        <v>137</v>
      </c>
      <c r="L65" s="32" t="s">
        <v>311</v>
      </c>
    </row>
    <row r="66" ht="25.7" spans="2:12">
      <c r="B66" s="24" t="s">
        <v>614</v>
      </c>
      <c r="C66" s="26" t="s">
        <v>120</v>
      </c>
      <c r="D66" s="24" t="s">
        <v>615</v>
      </c>
      <c r="E66" s="9" t="s">
        <v>90</v>
      </c>
      <c r="F66" s="16" t="s">
        <v>616</v>
      </c>
      <c r="G66" s="16" t="s">
        <v>617</v>
      </c>
      <c r="H66" s="9"/>
      <c r="I66" s="9"/>
      <c r="J66" s="25" t="s">
        <v>30</v>
      </c>
      <c r="K66" s="26" t="s">
        <v>125</v>
      </c>
      <c r="L66" s="26" t="s">
        <v>305</v>
      </c>
    </row>
    <row r="67" spans="2:12">
      <c r="B67" s="24" t="s">
        <v>618</v>
      </c>
      <c r="C67" s="26" t="s">
        <v>120</v>
      </c>
      <c r="D67" s="24" t="s">
        <v>619</v>
      </c>
      <c r="E67" s="9" t="s">
        <v>90</v>
      </c>
      <c r="F67" s="16" t="s">
        <v>620</v>
      </c>
      <c r="G67" s="16" t="s">
        <v>621</v>
      </c>
      <c r="H67" s="9"/>
      <c r="I67" s="9"/>
      <c r="J67" s="25" t="s">
        <v>30</v>
      </c>
      <c r="K67" s="26" t="s">
        <v>125</v>
      </c>
      <c r="L67" s="26" t="s">
        <v>305</v>
      </c>
    </row>
    <row r="68" spans="2:12">
      <c r="B68" s="24" t="s">
        <v>622</v>
      </c>
      <c r="C68" s="26" t="s">
        <v>174</v>
      </c>
      <c r="D68" s="24" t="s">
        <v>623</v>
      </c>
      <c r="E68" s="9" t="s">
        <v>90</v>
      </c>
      <c r="F68" s="16"/>
      <c r="G68" s="16" t="s">
        <v>624</v>
      </c>
      <c r="H68" s="9"/>
      <c r="I68" s="9"/>
      <c r="J68" s="25" t="s">
        <v>30</v>
      </c>
      <c r="K68" s="26" t="s">
        <v>137</v>
      </c>
      <c r="L68" s="26" t="s">
        <v>324</v>
      </c>
    </row>
    <row r="69" ht="25.7" spans="2:12">
      <c r="B69" s="36" t="s">
        <v>625</v>
      </c>
      <c r="C69" s="32" t="s">
        <v>174</v>
      </c>
      <c r="D69" s="36" t="s">
        <v>626</v>
      </c>
      <c r="E69" s="37" t="s">
        <v>309</v>
      </c>
      <c r="F69" s="38"/>
      <c r="G69" s="32" t="s">
        <v>627</v>
      </c>
      <c r="H69" s="37"/>
      <c r="I69" s="37"/>
      <c r="J69" s="33" t="s">
        <v>30</v>
      </c>
      <c r="K69" s="32" t="s">
        <v>137</v>
      </c>
      <c r="L69" s="32" t="s">
        <v>311</v>
      </c>
    </row>
    <row r="70" ht="25.7" spans="2:12">
      <c r="B70" s="24" t="s">
        <v>628</v>
      </c>
      <c r="C70" s="26" t="s">
        <v>120</v>
      </c>
      <c r="D70" s="24" t="s">
        <v>629</v>
      </c>
      <c r="E70" s="9" t="s">
        <v>90</v>
      </c>
      <c r="F70" s="16" t="s">
        <v>630</v>
      </c>
      <c r="G70" s="16" t="s">
        <v>631</v>
      </c>
      <c r="H70" s="9"/>
      <c r="I70" s="9"/>
      <c r="J70" s="25" t="s">
        <v>30</v>
      </c>
      <c r="K70" s="26" t="s">
        <v>125</v>
      </c>
      <c r="L70" s="26" t="s">
        <v>305</v>
      </c>
    </row>
    <row r="71" spans="2:12">
      <c r="B71" s="24" t="s">
        <v>632</v>
      </c>
      <c r="C71" s="26" t="s">
        <v>120</v>
      </c>
      <c r="D71" s="24" t="s">
        <v>633</v>
      </c>
      <c r="E71" s="9" t="s">
        <v>90</v>
      </c>
      <c r="F71" s="16" t="s">
        <v>634</v>
      </c>
      <c r="G71" s="16" t="s">
        <v>635</v>
      </c>
      <c r="H71" s="9"/>
      <c r="I71" s="9"/>
      <c r="J71" s="25" t="s">
        <v>30</v>
      </c>
      <c r="K71" s="26" t="s">
        <v>125</v>
      </c>
      <c r="L71" s="26" t="s">
        <v>305</v>
      </c>
    </row>
    <row r="72" spans="2:12">
      <c r="B72" s="24" t="s">
        <v>636</v>
      </c>
      <c r="C72" s="26" t="s">
        <v>174</v>
      </c>
      <c r="D72" s="24" t="s">
        <v>637</v>
      </c>
      <c r="E72" s="41" t="s">
        <v>90</v>
      </c>
      <c r="G72" s="42" t="s">
        <v>638</v>
      </c>
      <c r="J72" s="43" t="s">
        <v>30</v>
      </c>
      <c r="K72" s="44" t="s">
        <v>137</v>
      </c>
      <c r="L72" s="44" t="s">
        <v>324</v>
      </c>
    </row>
    <row r="73" ht="25.7" spans="2:12">
      <c r="B73" s="36" t="s">
        <v>639</v>
      </c>
      <c r="C73" s="32" t="s">
        <v>174</v>
      </c>
      <c r="D73" s="36" t="s">
        <v>640</v>
      </c>
      <c r="E73" s="37" t="s">
        <v>309</v>
      </c>
      <c r="F73" s="40"/>
      <c r="G73" s="32" t="s">
        <v>641</v>
      </c>
      <c r="H73" s="40"/>
      <c r="I73" s="40"/>
      <c r="J73" s="33" t="s">
        <v>30</v>
      </c>
      <c r="K73" s="32" t="s">
        <v>137</v>
      </c>
      <c r="L73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3"/>
  <sheetViews>
    <sheetView tabSelected="1" workbookViewId="0">
      <pane ySplit="1" topLeftCell="A2" activePane="bottomLeft" state="frozen"/>
      <selection/>
      <selection pane="bottomLeft"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72</v>
      </c>
      <c r="C2" s="7"/>
      <c r="D2" s="7"/>
      <c r="E2" s="7"/>
      <c r="F2" s="7"/>
      <c r="G2" s="7"/>
      <c r="H2" s="7"/>
    </row>
    <row r="3" ht="29.15" spans="2:14">
      <c r="B3" s="8" t="s">
        <v>5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10</v>
      </c>
      <c r="H3" s="8" t="s">
        <v>15</v>
      </c>
    </row>
    <row r="4" ht="25.7" spans="2:14">
      <c r="B4" s="9" t="s">
        <v>87</v>
      </c>
      <c r="C4" s="10" t="s">
        <v>70</v>
      </c>
      <c r="D4" s="11" t="s">
        <v>71</v>
      </c>
      <c r="E4" s="9" t="s">
        <v>78</v>
      </c>
      <c r="F4" s="12" t="s">
        <v>252</v>
      </c>
      <c r="G4" s="9"/>
      <c r="H4" s="9" t="s">
        <v>36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80</v>
      </c>
      <c r="C6" s="7"/>
      <c r="D6" s="7"/>
      <c r="E6" s="7"/>
      <c r="F6" s="7"/>
      <c r="G6" s="7"/>
      <c r="H6" s="7"/>
    </row>
    <row r="7" spans="2:14">
      <c r="B7" s="14" t="s">
        <v>81</v>
      </c>
      <c r="C7" s="14" t="s">
        <v>82</v>
      </c>
      <c r="D7" s="14" t="s">
        <v>83</v>
      </c>
      <c r="E7" s="14" t="s">
        <v>84</v>
      </c>
      <c r="F7" s="14" t="s">
        <v>85</v>
      </c>
      <c r="G7" s="14" t="s">
        <v>11</v>
      </c>
      <c r="H7" s="14" t="s">
        <v>86</v>
      </c>
    </row>
    <row r="8" ht="25.7" spans="2:14">
      <c r="B8" s="9" t="s">
        <v>253</v>
      </c>
      <c r="C8" s="15" t="s">
        <v>644</v>
      </c>
      <c r="D8" s="15" t="s">
        <v>645</v>
      </c>
      <c r="E8" s="9" t="s">
        <v>90</v>
      </c>
      <c r="F8" s="16" t="s">
        <v>646</v>
      </c>
      <c r="G8" s="17" t="s">
        <v>257</v>
      </c>
      <c r="H8" s="18" t="s">
        <v>93</v>
      </c>
    </row>
    <row r="9" ht="25.7" spans="2:14">
      <c r="B9" s="9" t="s">
        <v>253</v>
      </c>
      <c r="C9" s="10" t="s">
        <v>70</v>
      </c>
      <c r="D9" s="11" t="s">
        <v>71</v>
      </c>
      <c r="E9" s="9" t="s">
        <v>96</v>
      </c>
      <c r="F9" s="9" t="s">
        <v>501</v>
      </c>
      <c r="G9" s="19"/>
      <c r="H9" s="9"/>
    </row>
    <row r="10" spans="2:14">
      <c r="B10" s="20" t="s">
        <v>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25.7" spans="2:14">
      <c r="B11" s="21" t="s">
        <v>98</v>
      </c>
      <c r="C11" s="21" t="s">
        <v>99</v>
      </c>
      <c r="D11" s="21" t="s">
        <v>100</v>
      </c>
      <c r="E11" s="21" t="s">
        <v>101</v>
      </c>
      <c r="F11" s="21" t="s">
        <v>102</v>
      </c>
      <c r="G11" s="21" t="s">
        <v>103</v>
      </c>
      <c r="H11" s="21" t="s">
        <v>104</v>
      </c>
      <c r="I11" s="21" t="s">
        <v>11</v>
      </c>
      <c r="J11" s="21" t="s">
        <v>105</v>
      </c>
      <c r="K11" s="21" t="s">
        <v>106</v>
      </c>
      <c r="L11" s="21" t="s">
        <v>107</v>
      </c>
    </row>
    <row r="12" s="1" customFormat="1" ht="12.85" spans="2:14">
      <c r="B12" s="22" t="s">
        <v>108</v>
      </c>
      <c r="C12" s="22" t="s">
        <v>109</v>
      </c>
      <c r="D12" s="22" t="s">
        <v>110</v>
      </c>
      <c r="E12" s="23"/>
      <c r="F12" s="24"/>
      <c r="G12" s="24"/>
      <c r="H12" s="24"/>
      <c r="I12" s="25"/>
      <c r="J12" s="25"/>
      <c r="K12" s="25"/>
      <c r="L12" s="25"/>
    </row>
    <row r="13" s="1" customFormat="1" ht="12.85" spans="2:14">
      <c r="B13" s="22" t="s">
        <v>496</v>
      </c>
      <c r="C13" s="22" t="s">
        <v>109</v>
      </c>
      <c r="D13" s="22" t="s">
        <v>497</v>
      </c>
      <c r="E13" s="23"/>
      <c r="F13" s="24"/>
      <c r="G13" s="24"/>
      <c r="H13" s="24"/>
      <c r="I13" s="25"/>
      <c r="J13" s="25"/>
      <c r="K13" s="25"/>
      <c r="L13" s="25"/>
    </row>
    <row r="14" s="1" customFormat="1" ht="12.85" spans="2:14">
      <c r="B14" s="26" t="s">
        <v>113</v>
      </c>
      <c r="C14" s="26" t="s">
        <v>109</v>
      </c>
      <c r="D14" s="26" t="s">
        <v>60</v>
      </c>
      <c r="E14" s="26"/>
      <c r="F14" s="26"/>
      <c r="G14" s="26"/>
      <c r="H14" s="26"/>
      <c r="I14" s="25"/>
      <c r="J14" s="25"/>
      <c r="K14" s="25"/>
      <c r="L14" s="25"/>
    </row>
    <row r="15" s="1" customFormat="1" ht="12.85" spans="2:14">
      <c r="B15" s="26" t="s">
        <v>492</v>
      </c>
      <c r="C15" s="26" t="s">
        <v>109</v>
      </c>
      <c r="D15" s="26" t="s">
        <v>49</v>
      </c>
      <c r="E15" s="26"/>
      <c r="F15" s="26"/>
      <c r="G15" s="26"/>
      <c r="H15" s="26"/>
      <c r="I15" s="25"/>
      <c r="J15" s="25"/>
      <c r="K15" s="25"/>
      <c r="L15" s="25"/>
    </row>
    <row r="16" s="1" customFormat="1" ht="12.85" spans="2:14">
      <c r="B16" s="27" t="s">
        <v>263</v>
      </c>
      <c r="C16" s="26" t="s">
        <v>109</v>
      </c>
      <c r="D16" s="26" t="s">
        <v>264</v>
      </c>
      <c r="E16" s="26" t="s">
        <v>90</v>
      </c>
      <c r="F16" s="26" t="s">
        <v>265</v>
      </c>
      <c r="G16" s="26" t="s">
        <v>262</v>
      </c>
      <c r="H16" s="26"/>
      <c r="I16" s="25"/>
      <c r="J16" s="25" t="s">
        <v>114</v>
      </c>
      <c r="K16" s="25" t="s">
        <v>163</v>
      </c>
      <c r="L16" s="25" t="s">
        <v>266</v>
      </c>
    </row>
    <row r="17" s="1" customFormat="1" ht="38.55" spans="2:13">
      <c r="B17" s="27" t="s">
        <v>115</v>
      </c>
      <c r="C17" s="26" t="s">
        <v>116</v>
      </c>
      <c r="D17" s="26" t="s">
        <v>117</v>
      </c>
      <c r="E17" s="26" t="s">
        <v>90</v>
      </c>
      <c r="F17" s="26" t="s">
        <v>115</v>
      </c>
      <c r="G17" s="26" t="s">
        <v>267</v>
      </c>
      <c r="H17" s="26"/>
      <c r="I17" s="25"/>
      <c r="J17" s="25" t="s">
        <v>114</v>
      </c>
      <c r="K17" s="25" t="s">
        <v>163</v>
      </c>
      <c r="L17" s="28" t="s">
        <v>164</v>
      </c>
    </row>
    <row r="18" s="1" customFormat="1" ht="12.85" spans="2:13">
      <c r="B18" s="27" t="s">
        <v>268</v>
      </c>
      <c r="C18" s="26" t="s">
        <v>109</v>
      </c>
      <c r="D18" s="26" t="s">
        <v>269</v>
      </c>
      <c r="E18" s="26" t="s">
        <v>90</v>
      </c>
      <c r="F18" s="26" t="s">
        <v>270</v>
      </c>
      <c r="G18" s="26" t="s">
        <v>262</v>
      </c>
      <c r="H18" s="26"/>
      <c r="I18" s="25"/>
      <c r="J18" s="25" t="s">
        <v>114</v>
      </c>
      <c r="K18" s="25"/>
      <c r="L18" s="25"/>
    </row>
    <row r="19" s="2" customFormat="1" ht="12.85" spans="2:13">
      <c r="B19" s="27" t="s">
        <v>271</v>
      </c>
      <c r="C19" s="26" t="s">
        <v>116</v>
      </c>
      <c r="D19" s="26" t="s">
        <v>272</v>
      </c>
      <c r="E19" s="26" t="s">
        <v>90</v>
      </c>
      <c r="F19" s="26" t="s">
        <v>271</v>
      </c>
      <c r="G19" s="26" t="s">
        <v>267</v>
      </c>
      <c r="H19" s="26"/>
      <c r="I19" s="26"/>
      <c r="J19" s="25" t="s">
        <v>114</v>
      </c>
      <c r="K19" s="26"/>
      <c r="L19" s="26"/>
    </row>
    <row r="20" s="2" customFormat="1" ht="12.85" spans="2:13">
      <c r="B20" s="27" t="s">
        <v>273</v>
      </c>
      <c r="C20" s="26" t="s">
        <v>109</v>
      </c>
      <c r="D20" s="26" t="s">
        <v>274</v>
      </c>
      <c r="E20" s="26" t="s">
        <v>90</v>
      </c>
      <c r="F20" s="26" t="s">
        <v>275</v>
      </c>
      <c r="G20" s="26" t="s">
        <v>262</v>
      </c>
      <c r="H20" s="26"/>
      <c r="I20" s="26"/>
      <c r="J20" s="25" t="s">
        <v>114</v>
      </c>
      <c r="K20" s="26"/>
      <c r="L20" s="26"/>
    </row>
    <row r="21" s="2" customFormat="1" ht="12.85" spans="2:13">
      <c r="B21" s="27" t="s">
        <v>276</v>
      </c>
      <c r="C21" s="26" t="s">
        <v>116</v>
      </c>
      <c r="D21" s="26" t="s">
        <v>277</v>
      </c>
      <c r="E21" s="26" t="s">
        <v>90</v>
      </c>
      <c r="F21" s="26" t="s">
        <v>276</v>
      </c>
      <c r="G21" s="26" t="s">
        <v>267</v>
      </c>
      <c r="H21" s="26"/>
      <c r="I21" s="26"/>
      <c r="J21" s="25" t="s">
        <v>114</v>
      </c>
      <c r="K21" s="26"/>
      <c r="L21" s="26"/>
    </row>
    <row r="22" s="2" customFormat="1" ht="12.85" spans="2:13">
      <c r="B22" s="27" t="s">
        <v>278</v>
      </c>
      <c r="C22" s="26" t="s">
        <v>109</v>
      </c>
      <c r="D22" s="26" t="s">
        <v>279</v>
      </c>
      <c r="E22" s="26" t="s">
        <v>90</v>
      </c>
      <c r="F22" s="26" t="s">
        <v>280</v>
      </c>
      <c r="G22" s="26" t="s">
        <v>262</v>
      </c>
      <c r="H22" s="26"/>
      <c r="I22" s="26"/>
      <c r="J22" s="25" t="s">
        <v>114</v>
      </c>
      <c r="K22" s="26"/>
      <c r="L22" s="26"/>
    </row>
    <row r="23" s="2" customFormat="1" ht="12.85" spans="2:13">
      <c r="B23" s="27" t="s">
        <v>281</v>
      </c>
      <c r="C23" s="26" t="s">
        <v>116</v>
      </c>
      <c r="D23" s="26" t="s">
        <v>282</v>
      </c>
      <c r="E23" s="26" t="s">
        <v>90</v>
      </c>
      <c r="F23" s="26" t="s">
        <v>281</v>
      </c>
      <c r="G23" s="26" t="s">
        <v>267</v>
      </c>
      <c r="H23" s="26"/>
      <c r="I23" s="26"/>
      <c r="J23" s="25" t="s">
        <v>114</v>
      </c>
      <c r="K23" s="26"/>
      <c r="L23" s="26"/>
    </row>
    <row r="24" s="2" customFormat="1" ht="12.85" spans="2:13">
      <c r="B24" s="27" t="s">
        <v>283</v>
      </c>
      <c r="C24" s="26" t="s">
        <v>109</v>
      </c>
      <c r="D24" s="26" t="s">
        <v>284</v>
      </c>
      <c r="E24" s="26" t="s">
        <v>90</v>
      </c>
      <c r="F24" s="26" t="s">
        <v>283</v>
      </c>
      <c r="G24" s="26" t="s">
        <v>262</v>
      </c>
      <c r="H24" s="26"/>
      <c r="I24" s="26"/>
      <c r="J24" s="25" t="s">
        <v>114</v>
      </c>
      <c r="K24" s="26"/>
      <c r="L24" s="26"/>
    </row>
    <row r="25" s="2" customFormat="1" ht="12.85" spans="2:13">
      <c r="B25" s="27" t="s">
        <v>285</v>
      </c>
      <c r="C25" s="26" t="s">
        <v>116</v>
      </c>
      <c r="D25" s="26" t="s">
        <v>286</v>
      </c>
      <c r="E25" s="26" t="s">
        <v>90</v>
      </c>
      <c r="F25" s="26" t="s">
        <v>285</v>
      </c>
      <c r="G25" s="26" t="s">
        <v>267</v>
      </c>
      <c r="H25" s="26"/>
      <c r="I25" s="26"/>
      <c r="J25" s="25" t="s">
        <v>114</v>
      </c>
      <c r="K25" s="26"/>
      <c r="L25" s="26"/>
    </row>
    <row r="26" spans="2:13">
      <c r="B26" s="29" t="s">
        <v>165</v>
      </c>
      <c r="C26" s="30" t="s">
        <v>109</v>
      </c>
      <c r="D26" s="30" t="s">
        <v>287</v>
      </c>
      <c r="E26" s="30"/>
      <c r="F26" s="26"/>
      <c r="G26" s="30" t="s">
        <v>288</v>
      </c>
      <c r="H26" s="26"/>
      <c r="I26" s="26"/>
      <c r="J26" s="25" t="s">
        <v>114</v>
      </c>
      <c r="K26" s="25" t="s">
        <v>163</v>
      </c>
      <c r="L26" s="26" t="s">
        <v>289</v>
      </c>
      <c r="M26" s="2"/>
    </row>
    <row r="27" s="2" customFormat="1" ht="22.5" customHeight="1" spans="2:13">
      <c r="B27" s="27" t="s">
        <v>290</v>
      </c>
      <c r="C27" s="26" t="s">
        <v>116</v>
      </c>
      <c r="D27" s="26" t="s">
        <v>291</v>
      </c>
      <c r="E27" s="26" t="s">
        <v>90</v>
      </c>
      <c r="F27" s="26" t="s">
        <v>290</v>
      </c>
      <c r="G27" s="26" t="s">
        <v>292</v>
      </c>
      <c r="H27" s="26"/>
      <c r="I27" s="26"/>
      <c r="J27" s="25" t="s">
        <v>114</v>
      </c>
      <c r="K27" s="26" t="s">
        <v>163</v>
      </c>
      <c r="L27" s="31" t="s">
        <v>293</v>
      </c>
    </row>
    <row r="28" s="2" customFormat="1" ht="12.85" spans="2:13">
      <c r="B28" s="26" t="s">
        <v>301</v>
      </c>
      <c r="C28" s="26" t="s">
        <v>120</v>
      </c>
      <c r="D28" s="26" t="s">
        <v>302</v>
      </c>
      <c r="E28" s="26" t="s">
        <v>90</v>
      </c>
      <c r="F28" s="26" t="s">
        <v>303</v>
      </c>
      <c r="G28" s="26" t="s">
        <v>304</v>
      </c>
      <c r="H28" s="26"/>
      <c r="I28" s="26" t="s">
        <v>124</v>
      </c>
      <c r="J28" s="25" t="s">
        <v>30</v>
      </c>
      <c r="K28" s="26" t="s">
        <v>125</v>
      </c>
      <c r="L28" s="26" t="s">
        <v>305</v>
      </c>
    </row>
    <row r="29" s="2" customFormat="1" ht="12.85" spans="2:13">
      <c r="B29" s="32" t="s">
        <v>306</v>
      </c>
      <c r="C29" s="32" t="s">
        <v>307</v>
      </c>
      <c r="D29" s="32" t="s">
        <v>308</v>
      </c>
      <c r="E29" s="32" t="s">
        <v>309</v>
      </c>
      <c r="F29" s="32"/>
      <c r="G29" s="32" t="s">
        <v>310</v>
      </c>
      <c r="H29" s="32"/>
      <c r="I29" s="32"/>
      <c r="J29" s="33" t="s">
        <v>30</v>
      </c>
      <c r="K29" s="32" t="s">
        <v>137</v>
      </c>
      <c r="L29" s="32" t="s">
        <v>311</v>
      </c>
    </row>
    <row r="30" s="2" customFormat="1" ht="12.85" spans="2:13">
      <c r="B30" s="26" t="s">
        <v>312</v>
      </c>
      <c r="C30" s="26" t="s">
        <v>120</v>
      </c>
      <c r="D30" s="26" t="s">
        <v>313</v>
      </c>
      <c r="E30" s="26" t="s">
        <v>90</v>
      </c>
      <c r="F30" s="26" t="s">
        <v>314</v>
      </c>
      <c r="G30" s="26" t="s">
        <v>315</v>
      </c>
      <c r="H30" s="26"/>
      <c r="I30" s="26"/>
      <c r="J30" s="25" t="s">
        <v>30</v>
      </c>
      <c r="K30" s="26" t="s">
        <v>125</v>
      </c>
      <c r="L30" s="26" t="s">
        <v>305</v>
      </c>
    </row>
    <row r="31" s="2" customFormat="1" ht="12.85" spans="2:13">
      <c r="B31" s="26" t="s">
        <v>316</v>
      </c>
      <c r="C31" s="26" t="s">
        <v>120</v>
      </c>
      <c r="D31" s="26" t="s">
        <v>317</v>
      </c>
      <c r="E31" s="26" t="s">
        <v>90</v>
      </c>
      <c r="F31" s="26" t="s">
        <v>318</v>
      </c>
      <c r="G31" s="26" t="s">
        <v>319</v>
      </c>
      <c r="H31" s="26"/>
      <c r="I31" s="26"/>
      <c r="J31" s="25" t="s">
        <v>30</v>
      </c>
      <c r="K31" s="26" t="s">
        <v>125</v>
      </c>
      <c r="L31" s="26" t="s">
        <v>305</v>
      </c>
    </row>
    <row r="32" spans="2:13">
      <c r="B32" s="34" t="s">
        <v>320</v>
      </c>
      <c r="C32" s="26" t="s">
        <v>174</v>
      </c>
      <c r="D32" s="34" t="s">
        <v>321</v>
      </c>
      <c r="E32" s="26" t="s">
        <v>90</v>
      </c>
      <c r="F32" s="26"/>
      <c r="G32" s="26" t="s">
        <v>322</v>
      </c>
      <c r="H32" s="26"/>
      <c r="I32" s="34" t="s">
        <v>323</v>
      </c>
      <c r="J32" s="25" t="s">
        <v>30</v>
      </c>
      <c r="K32" s="26" t="s">
        <v>137</v>
      </c>
      <c r="L32" s="26" t="s">
        <v>324</v>
      </c>
      <c r="M32" s="2"/>
    </row>
    <row r="33" spans="2:13">
      <c r="B33" s="35" t="s">
        <v>325</v>
      </c>
      <c r="C33" s="32" t="s">
        <v>174</v>
      </c>
      <c r="D33" s="35" t="s">
        <v>326</v>
      </c>
      <c r="E33" s="32" t="s">
        <v>309</v>
      </c>
      <c r="F33" s="32"/>
      <c r="G33" s="32" t="s">
        <v>327</v>
      </c>
      <c r="H33" s="32"/>
      <c r="I33" s="35"/>
      <c r="J33" s="33" t="s">
        <v>30</v>
      </c>
      <c r="K33" s="32" t="s">
        <v>137</v>
      </c>
      <c r="L33" s="32" t="s">
        <v>311</v>
      </c>
      <c r="M33" s="2"/>
    </row>
    <row r="34" spans="2:13">
      <c r="B34" s="26" t="s">
        <v>328</v>
      </c>
      <c r="C34" s="26" t="s">
        <v>120</v>
      </c>
      <c r="D34" s="26" t="s">
        <v>329</v>
      </c>
      <c r="E34" s="26" t="s">
        <v>90</v>
      </c>
      <c r="F34" s="26" t="s">
        <v>330</v>
      </c>
      <c r="G34" s="26" t="s">
        <v>331</v>
      </c>
      <c r="H34" s="26"/>
      <c r="I34" s="26"/>
      <c r="J34" s="25" t="s">
        <v>30</v>
      </c>
      <c r="K34" s="26" t="s">
        <v>125</v>
      </c>
      <c r="L34" s="26" t="s">
        <v>305</v>
      </c>
      <c r="M34" s="2"/>
    </row>
    <row r="35" spans="2:13">
      <c r="B35" s="26" t="s">
        <v>332</v>
      </c>
      <c r="C35" s="26" t="s">
        <v>120</v>
      </c>
      <c r="D35" s="26" t="s">
        <v>333</v>
      </c>
      <c r="E35" s="26" t="s">
        <v>90</v>
      </c>
      <c r="F35" s="26" t="s">
        <v>334</v>
      </c>
      <c r="G35" s="26" t="s">
        <v>335</v>
      </c>
      <c r="H35" s="26"/>
      <c r="I35" s="26"/>
      <c r="J35" s="25" t="s">
        <v>30</v>
      </c>
      <c r="K35" s="26" t="s">
        <v>125</v>
      </c>
      <c r="L35" s="26" t="s">
        <v>305</v>
      </c>
    </row>
    <row r="36" spans="2:13">
      <c r="B36" s="34" t="s">
        <v>336</v>
      </c>
      <c r="C36" s="26" t="s">
        <v>174</v>
      </c>
      <c r="D36" s="34" t="s">
        <v>337</v>
      </c>
      <c r="E36" s="26" t="s">
        <v>90</v>
      </c>
      <c r="F36" s="26"/>
      <c r="G36" s="26" t="s">
        <v>338</v>
      </c>
      <c r="H36" s="26"/>
      <c r="I36" s="34" t="s">
        <v>339</v>
      </c>
      <c r="J36" s="25" t="s">
        <v>30</v>
      </c>
      <c r="K36" s="26" t="s">
        <v>137</v>
      </c>
      <c r="L36" s="26" t="s">
        <v>324</v>
      </c>
    </row>
    <row r="37" spans="2:13">
      <c r="B37" s="35" t="s">
        <v>340</v>
      </c>
      <c r="C37" s="32" t="s">
        <v>174</v>
      </c>
      <c r="D37" s="35" t="s">
        <v>341</v>
      </c>
      <c r="E37" s="32" t="s">
        <v>309</v>
      </c>
      <c r="F37" s="32"/>
      <c r="G37" s="32" t="s">
        <v>342</v>
      </c>
      <c r="H37" s="32"/>
      <c r="I37" s="35"/>
      <c r="J37" s="33" t="s">
        <v>30</v>
      </c>
      <c r="K37" s="32" t="s">
        <v>137</v>
      </c>
      <c r="L37" s="32" t="s">
        <v>311</v>
      </c>
    </row>
    <row r="38" spans="2:13">
      <c r="B38" s="24" t="s">
        <v>516</v>
      </c>
      <c r="C38" s="26" t="s">
        <v>120</v>
      </c>
      <c r="D38" s="24" t="s">
        <v>517</v>
      </c>
      <c r="E38" s="9" t="s">
        <v>90</v>
      </c>
      <c r="F38" s="16" t="s">
        <v>518</v>
      </c>
      <c r="G38" s="16" t="s">
        <v>519</v>
      </c>
      <c r="H38" s="9"/>
      <c r="I38" s="9"/>
      <c r="J38" s="25" t="s">
        <v>30</v>
      </c>
      <c r="K38" s="26" t="s">
        <v>125</v>
      </c>
      <c r="L38" s="26" t="s">
        <v>305</v>
      </c>
    </row>
    <row r="39" spans="2:13">
      <c r="B39" s="24" t="s">
        <v>520</v>
      </c>
      <c r="C39" s="26" t="s">
        <v>120</v>
      </c>
      <c r="D39" s="24" t="s">
        <v>521</v>
      </c>
      <c r="E39" s="9" t="s">
        <v>90</v>
      </c>
      <c r="F39" s="16" t="s">
        <v>522</v>
      </c>
      <c r="G39" s="16" t="s">
        <v>523</v>
      </c>
      <c r="H39" s="9"/>
      <c r="I39" s="9"/>
      <c r="J39" s="25" t="s">
        <v>30</v>
      </c>
      <c r="K39" s="26" t="s">
        <v>125</v>
      </c>
      <c r="L39" s="26" t="s">
        <v>305</v>
      </c>
    </row>
    <row r="40" spans="2:13">
      <c r="B40" s="24" t="s">
        <v>524</v>
      </c>
      <c r="C40" s="26" t="s">
        <v>174</v>
      </c>
      <c r="D40" s="24" t="s">
        <v>525</v>
      </c>
      <c r="E40" s="9" t="s">
        <v>90</v>
      </c>
      <c r="F40" s="16"/>
      <c r="G40" s="16" t="s">
        <v>526</v>
      </c>
      <c r="H40" s="9"/>
      <c r="I40" s="9"/>
      <c r="J40" s="25" t="s">
        <v>30</v>
      </c>
      <c r="K40" s="26" t="s">
        <v>137</v>
      </c>
      <c r="L40" s="26" t="s">
        <v>324</v>
      </c>
    </row>
    <row r="41" spans="2:13">
      <c r="B41" s="36" t="s">
        <v>527</v>
      </c>
      <c r="C41" s="32" t="s">
        <v>174</v>
      </c>
      <c r="D41" s="36" t="s">
        <v>528</v>
      </c>
      <c r="E41" s="37" t="s">
        <v>309</v>
      </c>
      <c r="F41" s="38"/>
      <c r="G41" s="32" t="s">
        <v>529</v>
      </c>
      <c r="H41" s="37"/>
      <c r="I41" s="37"/>
      <c r="J41" s="33" t="s">
        <v>30</v>
      </c>
      <c r="K41" s="32" t="s">
        <v>137</v>
      </c>
      <c r="L41" s="32" t="s">
        <v>311</v>
      </c>
    </row>
    <row r="42" ht="25.7" spans="2:13">
      <c r="B42" s="24" t="s">
        <v>530</v>
      </c>
      <c r="C42" s="26" t="s">
        <v>120</v>
      </c>
      <c r="D42" s="24" t="s">
        <v>531</v>
      </c>
      <c r="E42" s="9" t="s">
        <v>90</v>
      </c>
      <c r="F42" s="16" t="s">
        <v>532</v>
      </c>
      <c r="G42" s="16" t="s">
        <v>533</v>
      </c>
      <c r="H42" s="9"/>
      <c r="I42" s="9"/>
      <c r="J42" s="25" t="s">
        <v>30</v>
      </c>
      <c r="K42" s="26" t="s">
        <v>125</v>
      </c>
      <c r="L42" s="26" t="s">
        <v>305</v>
      </c>
    </row>
    <row r="43" spans="2:13">
      <c r="B43" s="24" t="s">
        <v>534</v>
      </c>
      <c r="C43" s="26" t="s">
        <v>120</v>
      </c>
      <c r="D43" s="24" t="s">
        <v>535</v>
      </c>
      <c r="E43" s="9" t="s">
        <v>90</v>
      </c>
      <c r="F43" s="16" t="s">
        <v>536</v>
      </c>
      <c r="G43" s="16" t="s">
        <v>537</v>
      </c>
      <c r="H43" s="9"/>
      <c r="I43" s="9"/>
      <c r="J43" s="25" t="s">
        <v>30</v>
      </c>
      <c r="K43" s="26" t="s">
        <v>125</v>
      </c>
      <c r="L43" s="26" t="s">
        <v>305</v>
      </c>
    </row>
    <row r="44" spans="2:13">
      <c r="B44" s="24" t="s">
        <v>538</v>
      </c>
      <c r="C44" s="26" t="s">
        <v>174</v>
      </c>
      <c r="D44" s="24" t="s">
        <v>539</v>
      </c>
      <c r="E44" s="9" t="s">
        <v>90</v>
      </c>
      <c r="F44" s="16"/>
      <c r="G44" s="16" t="s">
        <v>540</v>
      </c>
      <c r="H44" s="9"/>
      <c r="I44" s="9"/>
      <c r="J44" s="25" t="s">
        <v>30</v>
      </c>
      <c r="K44" s="26" t="s">
        <v>137</v>
      </c>
      <c r="L44" s="26" t="s">
        <v>324</v>
      </c>
    </row>
    <row r="45" spans="2:13">
      <c r="B45" s="36" t="s">
        <v>541</v>
      </c>
      <c r="C45" s="32" t="s">
        <v>174</v>
      </c>
      <c r="D45" s="36" t="s">
        <v>542</v>
      </c>
      <c r="E45" s="37" t="s">
        <v>309</v>
      </c>
      <c r="F45" s="38"/>
      <c r="G45" s="32" t="s">
        <v>543</v>
      </c>
      <c r="H45" s="37"/>
      <c r="I45" s="37"/>
      <c r="J45" s="33" t="s">
        <v>30</v>
      </c>
      <c r="K45" s="32" t="s">
        <v>137</v>
      </c>
      <c r="L45" s="32" t="s">
        <v>311</v>
      </c>
    </row>
    <row r="46" spans="2:13">
      <c r="B46" s="24" t="s">
        <v>544</v>
      </c>
      <c r="C46" s="26" t="s">
        <v>120</v>
      </c>
      <c r="D46" s="24" t="s">
        <v>545</v>
      </c>
      <c r="E46" s="9" t="s">
        <v>90</v>
      </c>
      <c r="F46" s="16" t="s">
        <v>546</v>
      </c>
      <c r="G46" s="16" t="s">
        <v>547</v>
      </c>
      <c r="H46" s="9"/>
      <c r="I46" s="9"/>
      <c r="J46" s="25" t="s">
        <v>30</v>
      </c>
      <c r="K46" s="26" t="s">
        <v>125</v>
      </c>
      <c r="L46" s="26" t="s">
        <v>305</v>
      </c>
    </row>
    <row r="47" spans="2:13">
      <c r="B47" s="24" t="s">
        <v>548</v>
      </c>
      <c r="C47" s="26" t="s">
        <v>120</v>
      </c>
      <c r="D47" s="24" t="s">
        <v>549</v>
      </c>
      <c r="E47" s="9" t="s">
        <v>90</v>
      </c>
      <c r="F47" s="16" t="s">
        <v>550</v>
      </c>
      <c r="G47" s="16" t="s">
        <v>551</v>
      </c>
      <c r="H47" s="9"/>
      <c r="I47" s="9"/>
      <c r="J47" s="25" t="s">
        <v>30</v>
      </c>
      <c r="K47" s="26" t="s">
        <v>125</v>
      </c>
      <c r="L47" s="26" t="s">
        <v>305</v>
      </c>
    </row>
    <row r="48" spans="2:13">
      <c r="B48" s="24" t="s">
        <v>552</v>
      </c>
      <c r="C48" s="26" t="s">
        <v>174</v>
      </c>
      <c r="D48" s="24" t="s">
        <v>553</v>
      </c>
      <c r="E48" s="9" t="s">
        <v>90</v>
      </c>
      <c r="F48" s="16"/>
      <c r="G48" s="16" t="s">
        <v>554</v>
      </c>
      <c r="H48" s="9"/>
      <c r="I48" s="9"/>
      <c r="J48" s="25" t="s">
        <v>30</v>
      </c>
      <c r="K48" s="26" t="s">
        <v>137</v>
      </c>
      <c r="L48" s="26" t="s">
        <v>324</v>
      </c>
    </row>
    <row r="49" spans="2:12">
      <c r="B49" s="36" t="s">
        <v>555</v>
      </c>
      <c r="C49" s="32" t="s">
        <v>174</v>
      </c>
      <c r="D49" s="36" t="s">
        <v>556</v>
      </c>
      <c r="E49" s="37" t="s">
        <v>309</v>
      </c>
      <c r="F49" s="38"/>
      <c r="G49" s="32" t="s">
        <v>557</v>
      </c>
      <c r="H49" s="37"/>
      <c r="I49" s="37"/>
      <c r="J49" s="33" t="s">
        <v>30</v>
      </c>
      <c r="K49" s="32" t="s">
        <v>137</v>
      </c>
      <c r="L49" s="32" t="s">
        <v>311</v>
      </c>
    </row>
    <row r="50" spans="2:12">
      <c r="B50" s="24" t="s">
        <v>558</v>
      </c>
      <c r="C50" s="26" t="s">
        <v>120</v>
      </c>
      <c r="D50" s="24" t="s">
        <v>559</v>
      </c>
      <c r="E50" s="9" t="s">
        <v>90</v>
      </c>
      <c r="F50" s="16" t="s">
        <v>560</v>
      </c>
      <c r="G50" s="16" t="s">
        <v>561</v>
      </c>
      <c r="H50" s="9"/>
      <c r="I50" s="9"/>
      <c r="J50" s="25" t="s">
        <v>30</v>
      </c>
      <c r="K50" s="26" t="s">
        <v>125</v>
      </c>
      <c r="L50" s="26" t="s">
        <v>305</v>
      </c>
    </row>
    <row r="51" spans="2:12">
      <c r="B51" s="24" t="s">
        <v>562</v>
      </c>
      <c r="C51" s="26" t="s">
        <v>120</v>
      </c>
      <c r="D51" s="24" t="s">
        <v>563</v>
      </c>
      <c r="E51" s="9" t="s">
        <v>90</v>
      </c>
      <c r="F51" s="16" t="s">
        <v>564</v>
      </c>
      <c r="G51" s="16" t="s">
        <v>565</v>
      </c>
      <c r="H51" s="9"/>
      <c r="I51" s="9"/>
      <c r="J51" s="25" t="s">
        <v>30</v>
      </c>
      <c r="K51" s="26" t="s">
        <v>125</v>
      </c>
      <c r="L51" s="26" t="s">
        <v>305</v>
      </c>
    </row>
    <row r="52" spans="2:12">
      <c r="B52" s="24" t="s">
        <v>566</v>
      </c>
      <c r="C52" s="26" t="s">
        <v>174</v>
      </c>
      <c r="D52" s="24" t="s">
        <v>567</v>
      </c>
      <c r="E52" s="9" t="s">
        <v>90</v>
      </c>
      <c r="F52" s="16"/>
      <c r="G52" s="16" t="s">
        <v>568</v>
      </c>
      <c r="H52" s="9"/>
      <c r="I52" s="9"/>
      <c r="J52" s="25" t="s">
        <v>30</v>
      </c>
      <c r="K52" s="26" t="s">
        <v>137</v>
      </c>
      <c r="L52" s="26" t="s">
        <v>324</v>
      </c>
    </row>
    <row r="53" spans="2:12">
      <c r="B53" s="36" t="s">
        <v>569</v>
      </c>
      <c r="C53" s="32" t="s">
        <v>174</v>
      </c>
      <c r="D53" s="36" t="s">
        <v>570</v>
      </c>
      <c r="E53" s="37" t="s">
        <v>309</v>
      </c>
      <c r="F53" s="38"/>
      <c r="G53" s="32" t="s">
        <v>571</v>
      </c>
      <c r="H53" s="37"/>
      <c r="I53" s="37"/>
      <c r="J53" s="33" t="s">
        <v>30</v>
      </c>
      <c r="K53" s="32" t="s">
        <v>137</v>
      </c>
      <c r="L53" s="32" t="s">
        <v>311</v>
      </c>
    </row>
    <row r="54" ht="25.7" spans="2:12">
      <c r="B54" s="24" t="s">
        <v>572</v>
      </c>
      <c r="C54" s="26" t="s">
        <v>120</v>
      </c>
      <c r="D54" s="24" t="s">
        <v>573</v>
      </c>
      <c r="E54" s="9" t="s">
        <v>90</v>
      </c>
      <c r="F54" s="16" t="s">
        <v>574</v>
      </c>
      <c r="G54" s="16" t="s">
        <v>575</v>
      </c>
      <c r="H54" s="9"/>
      <c r="I54" s="9"/>
      <c r="J54" s="25" t="s">
        <v>30</v>
      </c>
      <c r="K54" s="26" t="s">
        <v>125</v>
      </c>
      <c r="L54" s="26" t="s">
        <v>305</v>
      </c>
    </row>
    <row r="55" spans="2:12">
      <c r="B55" s="24" t="s">
        <v>576</v>
      </c>
      <c r="C55" s="26" t="s">
        <v>120</v>
      </c>
      <c r="D55" s="24" t="s">
        <v>577</v>
      </c>
      <c r="E55" s="9" t="s">
        <v>90</v>
      </c>
      <c r="F55" s="16" t="s">
        <v>578</v>
      </c>
      <c r="G55" s="16" t="s">
        <v>579</v>
      </c>
      <c r="H55" s="9"/>
      <c r="I55" s="9"/>
      <c r="J55" s="25" t="s">
        <v>30</v>
      </c>
      <c r="K55" s="26" t="s">
        <v>125</v>
      </c>
      <c r="L55" s="26" t="s">
        <v>305</v>
      </c>
    </row>
    <row r="56" ht="25.7" spans="2:12">
      <c r="B56" s="24" t="s">
        <v>580</v>
      </c>
      <c r="C56" s="26" t="s">
        <v>174</v>
      </c>
      <c r="D56" s="24" t="s">
        <v>581</v>
      </c>
      <c r="E56" s="9" t="s">
        <v>90</v>
      </c>
      <c r="F56" s="39"/>
      <c r="G56" s="16" t="s">
        <v>582</v>
      </c>
      <c r="H56" s="39"/>
      <c r="I56" s="39"/>
      <c r="J56" s="25" t="s">
        <v>30</v>
      </c>
      <c r="K56" s="26" t="s">
        <v>137</v>
      </c>
      <c r="L56" s="26" t="s">
        <v>324</v>
      </c>
    </row>
    <row r="57" ht="25.7" spans="2:12">
      <c r="B57" s="36" t="s">
        <v>583</v>
      </c>
      <c r="C57" s="32" t="s">
        <v>174</v>
      </c>
      <c r="D57" s="36" t="s">
        <v>584</v>
      </c>
      <c r="E57" s="37" t="s">
        <v>309</v>
      </c>
      <c r="F57" s="40"/>
      <c r="G57" s="32" t="s">
        <v>585</v>
      </c>
      <c r="H57" s="40"/>
      <c r="I57" s="40"/>
      <c r="J57" s="33" t="s">
        <v>30</v>
      </c>
      <c r="K57" s="32" t="s">
        <v>137</v>
      </c>
      <c r="L57" s="32" t="s">
        <v>311</v>
      </c>
    </row>
    <row r="58" spans="2:12">
      <c r="B58" s="24" t="s">
        <v>586</v>
      </c>
      <c r="C58" s="26" t="s">
        <v>120</v>
      </c>
      <c r="D58" s="24" t="s">
        <v>587</v>
      </c>
      <c r="E58" s="9" t="s">
        <v>90</v>
      </c>
      <c r="F58" s="16" t="s">
        <v>588</v>
      </c>
      <c r="G58" s="16" t="s">
        <v>589</v>
      </c>
      <c r="H58" s="9"/>
      <c r="I58" s="9"/>
      <c r="J58" s="25" t="s">
        <v>30</v>
      </c>
      <c r="K58" s="26" t="s">
        <v>125</v>
      </c>
      <c r="L58" s="26" t="s">
        <v>305</v>
      </c>
    </row>
    <row r="59" spans="2:12">
      <c r="B59" s="24" t="s">
        <v>590</v>
      </c>
      <c r="C59" s="26" t="s">
        <v>120</v>
      </c>
      <c r="D59" s="24" t="s">
        <v>591</v>
      </c>
      <c r="E59" s="9" t="s">
        <v>90</v>
      </c>
      <c r="F59" s="16" t="s">
        <v>592</v>
      </c>
      <c r="G59" s="16" t="s">
        <v>593</v>
      </c>
      <c r="H59" s="9"/>
      <c r="I59" s="9"/>
      <c r="J59" s="25" t="s">
        <v>30</v>
      </c>
      <c r="K59" s="26" t="s">
        <v>125</v>
      </c>
      <c r="L59" s="26" t="s">
        <v>305</v>
      </c>
    </row>
    <row r="60" spans="2:12">
      <c r="B60" s="24" t="s">
        <v>594</v>
      </c>
      <c r="C60" s="26" t="s">
        <v>174</v>
      </c>
      <c r="D60" s="24" t="s">
        <v>595</v>
      </c>
      <c r="E60" s="9" t="s">
        <v>90</v>
      </c>
      <c r="F60" s="16"/>
      <c r="G60" s="16" t="s">
        <v>596</v>
      </c>
      <c r="H60" s="9"/>
      <c r="I60" s="9"/>
      <c r="J60" s="25" t="s">
        <v>30</v>
      </c>
      <c r="K60" s="26" t="s">
        <v>137</v>
      </c>
      <c r="L60" s="26" t="s">
        <v>324</v>
      </c>
    </row>
    <row r="61" spans="2:12">
      <c r="B61" s="36" t="s">
        <v>597</v>
      </c>
      <c r="C61" s="32" t="s">
        <v>174</v>
      </c>
      <c r="D61" s="36" t="s">
        <v>598</v>
      </c>
      <c r="E61" s="37" t="s">
        <v>309</v>
      </c>
      <c r="F61" s="38"/>
      <c r="G61" s="32" t="s">
        <v>599</v>
      </c>
      <c r="H61" s="37"/>
      <c r="I61" s="37"/>
      <c r="J61" s="33" t="s">
        <v>30</v>
      </c>
      <c r="K61" s="32" t="s">
        <v>137</v>
      </c>
      <c r="L61" s="32" t="s">
        <v>311</v>
      </c>
    </row>
    <row r="62" spans="2:12">
      <c r="B62" s="24" t="s">
        <v>600</v>
      </c>
      <c r="C62" s="26" t="s">
        <v>120</v>
      </c>
      <c r="D62" s="24" t="s">
        <v>601</v>
      </c>
      <c r="E62" s="9" t="s">
        <v>90</v>
      </c>
      <c r="F62" s="16" t="s">
        <v>602</v>
      </c>
      <c r="G62" s="16" t="s">
        <v>603</v>
      </c>
      <c r="H62" s="9"/>
      <c r="I62" s="9"/>
      <c r="J62" s="25" t="s">
        <v>30</v>
      </c>
      <c r="K62" s="26" t="s">
        <v>125</v>
      </c>
      <c r="L62" s="26" t="s">
        <v>305</v>
      </c>
    </row>
    <row r="63" spans="2:12">
      <c r="B63" s="24" t="s">
        <v>604</v>
      </c>
      <c r="C63" s="26" t="s">
        <v>120</v>
      </c>
      <c r="D63" s="24" t="s">
        <v>605</v>
      </c>
      <c r="E63" s="9" t="s">
        <v>90</v>
      </c>
      <c r="F63" s="16" t="s">
        <v>606</v>
      </c>
      <c r="G63" s="16" t="s">
        <v>607</v>
      </c>
      <c r="H63" s="9"/>
      <c r="I63" s="9"/>
      <c r="J63" s="25" t="s">
        <v>30</v>
      </c>
      <c r="K63" s="26" t="s">
        <v>125</v>
      </c>
      <c r="L63" s="26" t="s">
        <v>305</v>
      </c>
    </row>
    <row r="64" spans="2:12">
      <c r="B64" s="24" t="s">
        <v>608</v>
      </c>
      <c r="C64" s="26" t="s">
        <v>174</v>
      </c>
      <c r="D64" s="24" t="s">
        <v>609</v>
      </c>
      <c r="E64" s="9" t="s">
        <v>90</v>
      </c>
      <c r="F64" s="16"/>
      <c r="G64" s="16" t="s">
        <v>610</v>
      </c>
      <c r="H64" s="9"/>
      <c r="I64" s="9"/>
      <c r="J64" s="25" t="s">
        <v>30</v>
      </c>
      <c r="K64" s="26" t="s">
        <v>137</v>
      </c>
      <c r="L64" s="26" t="s">
        <v>324</v>
      </c>
    </row>
    <row r="65" spans="2:12">
      <c r="B65" s="36" t="s">
        <v>611</v>
      </c>
      <c r="C65" s="32" t="s">
        <v>174</v>
      </c>
      <c r="D65" s="36" t="s">
        <v>612</v>
      </c>
      <c r="E65" s="37" t="s">
        <v>309</v>
      </c>
      <c r="F65" s="38"/>
      <c r="G65" s="32" t="s">
        <v>613</v>
      </c>
      <c r="H65" s="37"/>
      <c r="I65" s="37"/>
      <c r="J65" s="33" t="s">
        <v>30</v>
      </c>
      <c r="K65" s="32" t="s">
        <v>137</v>
      </c>
      <c r="L65" s="32" t="s">
        <v>311</v>
      </c>
    </row>
    <row r="66" ht="25.7" spans="2:12">
      <c r="B66" s="24" t="s">
        <v>614</v>
      </c>
      <c r="C66" s="26" t="s">
        <v>120</v>
      </c>
      <c r="D66" s="24" t="s">
        <v>615</v>
      </c>
      <c r="E66" s="9" t="s">
        <v>90</v>
      </c>
      <c r="F66" s="16" t="s">
        <v>616</v>
      </c>
      <c r="G66" s="16" t="s">
        <v>617</v>
      </c>
      <c r="H66" s="9"/>
      <c r="I66" s="9"/>
      <c r="J66" s="25" t="s">
        <v>30</v>
      </c>
      <c r="K66" s="26" t="s">
        <v>125</v>
      </c>
      <c r="L66" s="26" t="s">
        <v>305</v>
      </c>
    </row>
    <row r="67" spans="2:12">
      <c r="B67" s="24" t="s">
        <v>618</v>
      </c>
      <c r="C67" s="26" t="s">
        <v>120</v>
      </c>
      <c r="D67" s="24" t="s">
        <v>619</v>
      </c>
      <c r="E67" s="9" t="s">
        <v>90</v>
      </c>
      <c r="F67" s="16" t="s">
        <v>620</v>
      </c>
      <c r="G67" s="16" t="s">
        <v>621</v>
      </c>
      <c r="H67" s="9"/>
      <c r="I67" s="9"/>
      <c r="J67" s="25" t="s">
        <v>30</v>
      </c>
      <c r="K67" s="26" t="s">
        <v>125</v>
      </c>
      <c r="L67" s="26" t="s">
        <v>305</v>
      </c>
    </row>
    <row r="68" spans="2:12">
      <c r="B68" s="24" t="s">
        <v>622</v>
      </c>
      <c r="C68" s="26" t="s">
        <v>174</v>
      </c>
      <c r="D68" s="24" t="s">
        <v>623</v>
      </c>
      <c r="E68" s="9" t="s">
        <v>90</v>
      </c>
      <c r="F68" s="16"/>
      <c r="G68" s="16" t="s">
        <v>624</v>
      </c>
      <c r="H68" s="9"/>
      <c r="I68" s="9"/>
      <c r="J68" s="25" t="s">
        <v>30</v>
      </c>
      <c r="K68" s="26" t="s">
        <v>137</v>
      </c>
      <c r="L68" s="26" t="s">
        <v>324</v>
      </c>
    </row>
    <row r="69" ht="25.7" spans="2:12">
      <c r="B69" s="36" t="s">
        <v>625</v>
      </c>
      <c r="C69" s="32" t="s">
        <v>174</v>
      </c>
      <c r="D69" s="36" t="s">
        <v>626</v>
      </c>
      <c r="E69" s="37" t="s">
        <v>309</v>
      </c>
      <c r="F69" s="38"/>
      <c r="G69" s="32" t="s">
        <v>627</v>
      </c>
      <c r="H69" s="37"/>
      <c r="I69" s="37"/>
      <c r="J69" s="33" t="s">
        <v>30</v>
      </c>
      <c r="K69" s="32" t="s">
        <v>137</v>
      </c>
      <c r="L69" s="32" t="s">
        <v>311</v>
      </c>
    </row>
    <row r="70" ht="25.7" spans="2:12">
      <c r="B70" s="24" t="s">
        <v>628</v>
      </c>
      <c r="C70" s="26" t="s">
        <v>120</v>
      </c>
      <c r="D70" s="24" t="s">
        <v>629</v>
      </c>
      <c r="E70" s="9" t="s">
        <v>90</v>
      </c>
      <c r="F70" s="16" t="s">
        <v>630</v>
      </c>
      <c r="G70" s="16" t="s">
        <v>631</v>
      </c>
      <c r="H70" s="9"/>
      <c r="I70" s="9"/>
      <c r="J70" s="25" t="s">
        <v>30</v>
      </c>
      <c r="K70" s="26" t="s">
        <v>125</v>
      </c>
      <c r="L70" s="26" t="s">
        <v>305</v>
      </c>
    </row>
    <row r="71" spans="2:12">
      <c r="B71" s="24" t="s">
        <v>632</v>
      </c>
      <c r="C71" s="26" t="s">
        <v>120</v>
      </c>
      <c r="D71" s="24" t="s">
        <v>633</v>
      </c>
      <c r="E71" s="9" t="s">
        <v>90</v>
      </c>
      <c r="F71" s="16" t="s">
        <v>634</v>
      </c>
      <c r="G71" s="16" t="s">
        <v>635</v>
      </c>
      <c r="H71" s="9"/>
      <c r="I71" s="9"/>
      <c r="J71" s="25" t="s">
        <v>30</v>
      </c>
      <c r="K71" s="26" t="s">
        <v>125</v>
      </c>
      <c r="L71" s="26" t="s">
        <v>305</v>
      </c>
    </row>
    <row r="72" spans="2:12">
      <c r="B72" s="24" t="s">
        <v>636</v>
      </c>
      <c r="C72" s="26" t="s">
        <v>174</v>
      </c>
      <c r="D72" s="24" t="s">
        <v>637</v>
      </c>
      <c r="E72" s="41" t="s">
        <v>90</v>
      </c>
      <c r="G72" s="42" t="s">
        <v>638</v>
      </c>
      <c r="J72" s="43" t="s">
        <v>30</v>
      </c>
      <c r="K72" s="44" t="s">
        <v>137</v>
      </c>
      <c r="L72" s="44" t="s">
        <v>324</v>
      </c>
    </row>
    <row r="73" ht="25.7" spans="2:12">
      <c r="B73" s="36" t="s">
        <v>639</v>
      </c>
      <c r="C73" s="32" t="s">
        <v>174</v>
      </c>
      <c r="D73" s="36" t="s">
        <v>640</v>
      </c>
      <c r="E73" s="37" t="s">
        <v>309</v>
      </c>
      <c r="F73" s="40"/>
      <c r="G73" s="32" t="s">
        <v>641</v>
      </c>
      <c r="H73" s="40"/>
      <c r="I73" s="40"/>
      <c r="J73" s="33" t="s">
        <v>30</v>
      </c>
      <c r="K73" s="32" t="s">
        <v>137</v>
      </c>
      <c r="L73" s="32" t="s">
        <v>311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导航</vt:lpstr>
      <vt:lpstr>QI83</vt:lpstr>
      <vt:lpstr>QI84</vt:lpstr>
      <vt:lpstr>QI85</vt:lpstr>
      <vt:lpstr>QI86</vt:lpstr>
      <vt:lpstr>QI87</vt:lpstr>
      <vt:lpstr>QI88</vt:lpstr>
      <vt:lpstr>QI89</vt:lpstr>
      <vt:lpstr>QI90</vt:lpstr>
      <vt:lpstr>QI91</vt:lpstr>
      <vt:lpstr>QI92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guiza</dc:creator>
  <cp:lastModifiedBy>桂再鑫</cp:lastModifiedBy>
  <dcterms:created xsi:type="dcterms:W3CDTF">2026-05-21T03:39:12Z</dcterms:created>
  <dcterms:modified xsi:type="dcterms:W3CDTF">2026-05-21T03:44:27Z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E145535563674068A22D67B9D9892A6C_11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